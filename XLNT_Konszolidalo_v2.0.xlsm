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P:\MUNKAHELYRŐL\#XLLENT.AC\MUNKA\#FOLYAMATBAN\Konszolidáló\##LEVÉDETT\"/>
    </mc:Choice>
  </mc:AlternateContent>
  <xr:revisionPtr revIDLastSave="0" documentId="13_ncr:1_{C708530F-F54D-4DD5-B9FA-030DC3F3D6CB}" xr6:coauthVersionLast="47" xr6:coauthVersionMax="47" xr10:uidLastSave="{00000000-0000-0000-0000-000000000000}"/>
  <bookViews>
    <workbookView xWindow="-108" yWindow="-108" windowWidth="23256" windowHeight="12456" tabRatio="914" xr2:uid="{00000000-000D-0000-FFFF-FFFF00000000}"/>
  </bookViews>
  <sheets>
    <sheet name="00_KEZDOLAP" sheetId="1" r:id="rId1"/>
    <sheet name="01_BEALLITASOK" sheetId="2" r:id="rId2"/>
    <sheet name="02_KONSZ_KOR" sheetId="3" r:id="rId3"/>
    <sheet name="03_ADATBEVITEL" sheetId="4" r:id="rId4"/>
    <sheet name="03B_NYITO" sheetId="5" r:id="rId5"/>
    <sheet name="04_TOKEKONSZ" sheetId="6" r:id="rId6"/>
    <sheet name="05_ADOSSAGKONSZ" sheetId="7" r:id="rId7"/>
    <sheet name="06_KOZBENSO" sheetId="8" r:id="rId8"/>
    <sheet name="07_BEVRAF" sheetId="9" r:id="rId9"/>
    <sheet name="08_EQUITY" sheetId="10" r:id="rId10"/>
    <sheet name="09_ADOKUL" sheetId="11" r:id="rId11"/>
    <sheet name="10_NAPLO" sheetId="12" r:id="rId12"/>
    <sheet name="11_MUNKATABLA" sheetId="13" r:id="rId13"/>
    <sheet name="12_K_MERLEG" sheetId="14" r:id="rId14"/>
    <sheet name="12B_MERLEG_B" sheetId="15" r:id="rId15"/>
    <sheet name="13_K_EREDMENY" sheetId="16" r:id="rId16"/>
    <sheet name="13B_EREDMENY_FK" sheetId="17" r:id="rId17"/>
    <sheet name="14_CASHFLOW" sheetId="18" r:id="rId18"/>
    <sheet name="15_KIEG_MELLEKLET" sheetId="19" r:id="rId19"/>
    <sheet name="20_ELLENORZES" sheetId="20" r:id="rId20"/>
    <sheet name="90_SEMA" sheetId="21" r:id="rId21"/>
    <sheet name="91_NYELV" sheetId="22" r:id="rId22"/>
    <sheet name="99_SUGO" sheetId="23" r:id="rId23"/>
  </sheets>
  <functionGroups builtInGroupCount="19"/>
  <definedNames>
    <definedName name="EK_VALT">'01_BEALLITASOK'!$D$17</definedName>
    <definedName name="NYELV_IDX">'01_BEALLITASOK'!$D$10</definedName>
    <definedName name="_xlnm.Print_Area" localSheetId="18">'15_KIEG_MELLEKLET'!$A$1:$E$46</definedName>
    <definedName name="TAO_KULCS">'01_BEALLITASOK'!$C$13</definedName>
    <definedName name="TK_EVEK">'01_BEALLITASOK'!$C$14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4" i="20" l="1"/>
  <c r="G40" i="18"/>
  <c r="H38" i="18"/>
  <c r="G37" i="18"/>
  <c r="G36" i="18"/>
  <c r="G35" i="18"/>
  <c r="G34" i="18"/>
  <c r="G33" i="18"/>
  <c r="G32" i="18"/>
  <c r="G31" i="18"/>
  <c r="G30" i="18"/>
  <c r="G38" i="18" s="1"/>
  <c r="H29" i="18"/>
  <c r="G27" i="18"/>
  <c r="G26" i="18"/>
  <c r="G25" i="18"/>
  <c r="G24" i="18"/>
  <c r="G22" i="18"/>
  <c r="G14" i="18"/>
  <c r="G12" i="18"/>
  <c r="H10" i="18"/>
  <c r="H23" i="18" s="1"/>
  <c r="G9" i="18"/>
  <c r="G8" i="18"/>
  <c r="E58" i="17"/>
  <c r="E56" i="17"/>
  <c r="E54" i="17"/>
  <c r="E53" i="17"/>
  <c r="E52" i="17"/>
  <c r="E51" i="17"/>
  <c r="E47" i="17"/>
  <c r="E46" i="17"/>
  <c r="E45" i="17"/>
  <c r="E44" i="17"/>
  <c r="E43" i="17"/>
  <c r="E42" i="17"/>
  <c r="E41" i="17"/>
  <c r="E40" i="17"/>
  <c r="E39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4" i="17"/>
  <c r="E23" i="17"/>
  <c r="E22" i="17"/>
  <c r="E21" i="17"/>
  <c r="E20" i="17"/>
  <c r="E19" i="17"/>
  <c r="E17" i="17"/>
  <c r="E16" i="17"/>
  <c r="E15" i="17"/>
  <c r="E12" i="17"/>
  <c r="E13" i="17" s="1"/>
  <c r="E11" i="17"/>
  <c r="E10" i="17"/>
  <c r="E8" i="17"/>
  <c r="E7" i="17"/>
  <c r="E63" i="16"/>
  <c r="E61" i="16"/>
  <c r="E59" i="16"/>
  <c r="E58" i="16"/>
  <c r="E57" i="16"/>
  <c r="E56" i="16"/>
  <c r="E52" i="16"/>
  <c r="E51" i="16"/>
  <c r="E50" i="16"/>
  <c r="E49" i="16"/>
  <c r="E48" i="16"/>
  <c r="E47" i="16"/>
  <c r="E46" i="16"/>
  <c r="E45" i="16"/>
  <c r="E44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29" i="16"/>
  <c r="E28" i="16"/>
  <c r="E27" i="16"/>
  <c r="E26" i="16"/>
  <c r="E24" i="16"/>
  <c r="E23" i="16"/>
  <c r="E22" i="16"/>
  <c r="E20" i="16"/>
  <c r="E19" i="16"/>
  <c r="E18" i="16"/>
  <c r="E17" i="16"/>
  <c r="E16" i="16"/>
  <c r="E15" i="16"/>
  <c r="E14" i="16"/>
  <c r="E13" i="16"/>
  <c r="E11" i="16"/>
  <c r="E10" i="16"/>
  <c r="E8" i="16"/>
  <c r="E7" i="16"/>
  <c r="E129" i="15"/>
  <c r="F128" i="15"/>
  <c r="E127" i="15"/>
  <c r="E126" i="15"/>
  <c r="E124" i="15"/>
  <c r="E123" i="15"/>
  <c r="E122" i="15"/>
  <c r="E121" i="15"/>
  <c r="E119" i="15"/>
  <c r="E118" i="15"/>
  <c r="E117" i="15"/>
  <c r="E116" i="15"/>
  <c r="E115" i="15"/>
  <c r="E114" i="15"/>
  <c r="E112" i="15"/>
  <c r="E111" i="15"/>
  <c r="E110" i="15"/>
  <c r="E108" i="15"/>
  <c r="E107" i="15"/>
  <c r="E106" i="15"/>
  <c r="E105" i="15"/>
  <c r="E104" i="15"/>
  <c r="E102" i="15"/>
  <c r="E101" i="15"/>
  <c r="E100" i="15"/>
  <c r="E99" i="15"/>
  <c r="E98" i="15"/>
  <c r="E97" i="15"/>
  <c r="E96" i="15"/>
  <c r="E95" i="15"/>
  <c r="E94" i="15"/>
  <c r="E93" i="15"/>
  <c r="E88" i="15"/>
  <c r="E87" i="15"/>
  <c r="E86" i="15"/>
  <c r="E84" i="15"/>
  <c r="E83" i="15"/>
  <c r="E82" i="15"/>
  <c r="E81" i="15"/>
  <c r="E80" i="15"/>
  <c r="E79" i="15"/>
  <c r="E78" i="15"/>
  <c r="E77" i="15"/>
  <c r="E76" i="15"/>
  <c r="E75" i="15"/>
  <c r="E74" i="15"/>
  <c r="E73" i="15"/>
  <c r="E72" i="15"/>
  <c r="E70" i="15"/>
  <c r="E69" i="15"/>
  <c r="E68" i="15"/>
  <c r="E66" i="15"/>
  <c r="E65" i="15"/>
  <c r="E63" i="15"/>
  <c r="E62" i="15"/>
  <c r="E61" i="15"/>
  <c r="E60" i="15"/>
  <c r="E59" i="15"/>
  <c r="E58" i="15"/>
  <c r="E56" i="15"/>
  <c r="E55" i="15"/>
  <c r="E54" i="15"/>
  <c r="E53" i="15"/>
  <c r="E52" i="15"/>
  <c r="E51" i="15"/>
  <c r="E50" i="15"/>
  <c r="E49" i="15"/>
  <c r="E48" i="15"/>
  <c r="E46" i="15"/>
  <c r="E45" i="15"/>
  <c r="E44" i="15"/>
  <c r="E43" i="15"/>
  <c r="E42" i="15"/>
  <c r="E41" i="15"/>
  <c r="E38" i="15"/>
  <c r="E37" i="15"/>
  <c r="E36" i="15"/>
  <c r="E34" i="15"/>
  <c r="E33" i="15"/>
  <c r="E32" i="15"/>
  <c r="E31" i="15"/>
  <c r="E30" i="15"/>
  <c r="E29" i="15"/>
  <c r="E28" i="15"/>
  <c r="E27" i="15"/>
  <c r="E26" i="15"/>
  <c r="E25" i="15"/>
  <c r="E23" i="15"/>
  <c r="E22" i="15"/>
  <c r="E21" i="15"/>
  <c r="E20" i="15"/>
  <c r="E19" i="15"/>
  <c r="E18" i="15"/>
  <c r="E17" i="15"/>
  <c r="E15" i="15"/>
  <c r="E14" i="15"/>
  <c r="E13" i="15"/>
  <c r="E12" i="15"/>
  <c r="E11" i="15"/>
  <c r="E10" i="15"/>
  <c r="E9" i="15"/>
  <c r="E127" i="14"/>
  <c r="E126" i="14"/>
  <c r="E125" i="14"/>
  <c r="E123" i="14"/>
  <c r="E122" i="14"/>
  <c r="E121" i="14"/>
  <c r="E120" i="14"/>
  <c r="E119" i="14"/>
  <c r="E118" i="14"/>
  <c r="E117" i="14"/>
  <c r="E116" i="14"/>
  <c r="E115" i="14"/>
  <c r="E114" i="14"/>
  <c r="E113" i="14"/>
  <c r="E112" i="14"/>
  <c r="E111" i="14"/>
  <c r="E109" i="14"/>
  <c r="E108" i="14"/>
  <c r="E107" i="14"/>
  <c r="E106" i="14"/>
  <c r="E105" i="14"/>
  <c r="E104" i="14"/>
  <c r="E103" i="14"/>
  <c r="E102" i="14"/>
  <c r="E101" i="14"/>
  <c r="E100" i="14"/>
  <c r="E98" i="14"/>
  <c r="E97" i="14"/>
  <c r="E96" i="14"/>
  <c r="E95" i="14"/>
  <c r="E94" i="14"/>
  <c r="E91" i="14"/>
  <c r="E90" i="14"/>
  <c r="E89" i="14"/>
  <c r="E87" i="14"/>
  <c r="F86" i="14"/>
  <c r="E85" i="14"/>
  <c r="E84" i="14"/>
  <c r="E82" i="14"/>
  <c r="E81" i="14"/>
  <c r="E80" i="14"/>
  <c r="E79" i="14"/>
  <c r="E77" i="14"/>
  <c r="E76" i="14"/>
  <c r="E75" i="14"/>
  <c r="E74" i="14"/>
  <c r="E73" i="14"/>
  <c r="E72" i="14"/>
  <c r="E70" i="14"/>
  <c r="E69" i="14"/>
  <c r="E68" i="14"/>
  <c r="E66" i="14"/>
  <c r="E65" i="14"/>
  <c r="E63" i="14"/>
  <c r="E62" i="14"/>
  <c r="E61" i="14"/>
  <c r="E60" i="14"/>
  <c r="E59" i="14"/>
  <c r="E58" i="14"/>
  <c r="E56" i="14"/>
  <c r="E55" i="14"/>
  <c r="E54" i="14"/>
  <c r="E53" i="14"/>
  <c r="E52" i="14"/>
  <c r="E51" i="14"/>
  <c r="E50" i="14"/>
  <c r="E49" i="14"/>
  <c r="E48" i="14"/>
  <c r="E46" i="14"/>
  <c r="E45" i="14"/>
  <c r="E44" i="14"/>
  <c r="E43" i="14"/>
  <c r="E42" i="14"/>
  <c r="E41" i="14"/>
  <c r="E38" i="14"/>
  <c r="E37" i="14"/>
  <c r="E36" i="14"/>
  <c r="E34" i="14"/>
  <c r="E33" i="14"/>
  <c r="E32" i="14"/>
  <c r="E31" i="14"/>
  <c r="E30" i="14"/>
  <c r="E29" i="14"/>
  <c r="E28" i="14"/>
  <c r="E27" i="14"/>
  <c r="E26" i="14"/>
  <c r="E25" i="14"/>
  <c r="E23" i="14"/>
  <c r="E22" i="14"/>
  <c r="E21" i="14"/>
  <c r="E20" i="14"/>
  <c r="E19" i="14"/>
  <c r="E18" i="14"/>
  <c r="E17" i="14"/>
  <c r="E15" i="14"/>
  <c r="E14" i="14"/>
  <c r="E13" i="14"/>
  <c r="E12" i="14"/>
  <c r="E11" i="14"/>
  <c r="E10" i="14"/>
  <c r="E9" i="14"/>
  <c r="I183" i="13"/>
  <c r="H183" i="13"/>
  <c r="J183" i="13" s="1"/>
  <c r="J182" i="13"/>
  <c r="I182" i="13"/>
  <c r="H182" i="13"/>
  <c r="I181" i="13"/>
  <c r="H181" i="13"/>
  <c r="J181" i="13" s="1"/>
  <c r="I180" i="13"/>
  <c r="H180" i="13"/>
  <c r="J180" i="13" s="1"/>
  <c r="J179" i="13" s="1"/>
  <c r="I179" i="13"/>
  <c r="J178" i="13"/>
  <c r="I178" i="13"/>
  <c r="H178" i="13"/>
  <c r="J177" i="13"/>
  <c r="I177" i="13"/>
  <c r="H177" i="13"/>
  <c r="I176" i="13"/>
  <c r="H176" i="13"/>
  <c r="J176" i="13" s="1"/>
  <c r="I175" i="13"/>
  <c r="H175" i="13"/>
  <c r="J175" i="13" s="1"/>
  <c r="J174" i="13"/>
  <c r="I174" i="13"/>
  <c r="H174" i="13"/>
  <c r="J173" i="13"/>
  <c r="I173" i="13"/>
  <c r="H173" i="13"/>
  <c r="I172" i="13"/>
  <c r="H172" i="13"/>
  <c r="J172" i="13" s="1"/>
  <c r="I171" i="13"/>
  <c r="H171" i="13"/>
  <c r="J171" i="13" s="1"/>
  <c r="J170" i="13"/>
  <c r="I170" i="13"/>
  <c r="H170" i="13"/>
  <c r="J169" i="13"/>
  <c r="I169" i="13"/>
  <c r="H169" i="13"/>
  <c r="I168" i="13"/>
  <c r="H168" i="13"/>
  <c r="I167" i="13"/>
  <c r="H167" i="13"/>
  <c r="J167" i="13" s="1"/>
  <c r="J166" i="13"/>
  <c r="I166" i="13"/>
  <c r="H166" i="13"/>
  <c r="J165" i="13"/>
  <c r="J164" i="13" s="1"/>
  <c r="I165" i="13"/>
  <c r="H165" i="13"/>
  <c r="I164" i="13"/>
  <c r="I163" i="13"/>
  <c r="H163" i="13"/>
  <c r="I162" i="13"/>
  <c r="H162" i="13"/>
  <c r="J162" i="13" s="1"/>
  <c r="I161" i="13"/>
  <c r="H161" i="13"/>
  <c r="I160" i="13"/>
  <c r="J160" i="13" s="1"/>
  <c r="H160" i="13"/>
  <c r="J159" i="13"/>
  <c r="I159" i="13"/>
  <c r="H159" i="13"/>
  <c r="I158" i="13"/>
  <c r="H158" i="13"/>
  <c r="I157" i="13"/>
  <c r="J157" i="13" s="1"/>
  <c r="H157" i="13"/>
  <c r="I156" i="13"/>
  <c r="H156" i="13"/>
  <c r="J156" i="13" s="1"/>
  <c r="J155" i="13"/>
  <c r="I155" i="13"/>
  <c r="H155" i="13"/>
  <c r="J154" i="13"/>
  <c r="I154" i="13"/>
  <c r="H154" i="13"/>
  <c r="I153" i="13"/>
  <c r="J153" i="13" s="1"/>
  <c r="H153" i="13"/>
  <c r="I152" i="13"/>
  <c r="H152" i="13"/>
  <c r="H151" i="13"/>
  <c r="F151" i="13"/>
  <c r="I150" i="13"/>
  <c r="H150" i="13"/>
  <c r="I149" i="13"/>
  <c r="H149" i="13"/>
  <c r="I148" i="13"/>
  <c r="H148" i="13"/>
  <c r="J148" i="13" s="1"/>
  <c r="I147" i="13"/>
  <c r="H147" i="13"/>
  <c r="J147" i="13" s="1"/>
  <c r="J146" i="13"/>
  <c r="I146" i="13"/>
  <c r="H146" i="13"/>
  <c r="I145" i="13"/>
  <c r="H145" i="13"/>
  <c r="J145" i="13" s="1"/>
  <c r="I144" i="13"/>
  <c r="H144" i="13"/>
  <c r="H143" i="13" s="1"/>
  <c r="I142" i="13"/>
  <c r="H142" i="13"/>
  <c r="J142" i="13" s="1"/>
  <c r="J141" i="13"/>
  <c r="I141" i="13"/>
  <c r="H141" i="13"/>
  <c r="J140" i="13"/>
  <c r="I140" i="13"/>
  <c r="H140" i="13"/>
  <c r="I139" i="13"/>
  <c r="J139" i="13" s="1"/>
  <c r="H139" i="13"/>
  <c r="J138" i="13"/>
  <c r="I138" i="13"/>
  <c r="I137" i="13" s="1"/>
  <c r="H138" i="13"/>
  <c r="J136" i="13"/>
  <c r="I136" i="13"/>
  <c r="H136" i="13"/>
  <c r="J135" i="13"/>
  <c r="I135" i="13"/>
  <c r="H135" i="13"/>
  <c r="J134" i="13"/>
  <c r="I134" i="13"/>
  <c r="H134" i="13"/>
  <c r="J133" i="13"/>
  <c r="I133" i="13"/>
  <c r="H133" i="13"/>
  <c r="I132" i="13"/>
  <c r="I131" i="13" s="1"/>
  <c r="H132" i="13"/>
  <c r="H131" i="13" s="1"/>
  <c r="I130" i="13"/>
  <c r="H130" i="13"/>
  <c r="J130" i="13" s="1"/>
  <c r="I129" i="13"/>
  <c r="H129" i="13"/>
  <c r="I127" i="13"/>
  <c r="H127" i="13"/>
  <c r="J127" i="13" s="1"/>
  <c r="I126" i="13"/>
  <c r="J126" i="13" s="1"/>
  <c r="H126" i="13"/>
  <c r="I125" i="13"/>
  <c r="H125" i="13"/>
  <c r="H124" i="13" s="1"/>
  <c r="I123" i="13"/>
  <c r="J123" i="13" s="1"/>
  <c r="H123" i="13"/>
  <c r="I122" i="13"/>
  <c r="H122" i="13"/>
  <c r="J121" i="13"/>
  <c r="I121" i="13"/>
  <c r="H121" i="13"/>
  <c r="J120" i="13"/>
  <c r="I120" i="13"/>
  <c r="H120" i="13"/>
  <c r="J119" i="13"/>
  <c r="I119" i="13"/>
  <c r="H119" i="13"/>
  <c r="I118" i="13"/>
  <c r="H118" i="13"/>
  <c r="J118" i="13" s="1"/>
  <c r="I117" i="13"/>
  <c r="J117" i="13" s="1"/>
  <c r="H117" i="13"/>
  <c r="I116" i="13"/>
  <c r="J116" i="13" s="1"/>
  <c r="H116" i="13"/>
  <c r="I115" i="13"/>
  <c r="H115" i="13"/>
  <c r="J115" i="13" s="1"/>
  <c r="I114" i="13"/>
  <c r="J114" i="13" s="1"/>
  <c r="H114" i="13"/>
  <c r="I113" i="13"/>
  <c r="H113" i="13"/>
  <c r="J112" i="13"/>
  <c r="I112" i="13"/>
  <c r="H112" i="13"/>
  <c r="I111" i="13"/>
  <c r="J111" i="13" s="1"/>
  <c r="H111" i="13"/>
  <c r="H110" i="13"/>
  <c r="J109" i="13"/>
  <c r="I109" i="13"/>
  <c r="H109" i="13"/>
  <c r="J108" i="13"/>
  <c r="I108" i="13"/>
  <c r="H108" i="13"/>
  <c r="J107" i="13"/>
  <c r="I107" i="13"/>
  <c r="H107" i="13"/>
  <c r="I106" i="13"/>
  <c r="H106" i="13"/>
  <c r="J106" i="13" s="1"/>
  <c r="I105" i="13"/>
  <c r="J105" i="13" s="1"/>
  <c r="H105" i="13"/>
  <c r="I104" i="13"/>
  <c r="J104" i="13" s="1"/>
  <c r="H104" i="13"/>
  <c r="I103" i="13"/>
  <c r="H103" i="13"/>
  <c r="J103" i="13" s="1"/>
  <c r="I102" i="13"/>
  <c r="J102" i="13" s="1"/>
  <c r="H102" i="13"/>
  <c r="I101" i="13"/>
  <c r="J101" i="13" s="1"/>
  <c r="H101" i="13"/>
  <c r="J100" i="13"/>
  <c r="I100" i="13"/>
  <c r="H100" i="13"/>
  <c r="I98" i="13"/>
  <c r="H98" i="13"/>
  <c r="I97" i="13"/>
  <c r="H97" i="13"/>
  <c r="J97" i="13" s="1"/>
  <c r="J96" i="13"/>
  <c r="I96" i="13"/>
  <c r="H96" i="13"/>
  <c r="J95" i="13"/>
  <c r="I95" i="13"/>
  <c r="H95" i="13"/>
  <c r="I94" i="13"/>
  <c r="H94" i="13"/>
  <c r="I93" i="13"/>
  <c r="I91" i="13"/>
  <c r="H91" i="13"/>
  <c r="H88" i="13" s="1"/>
  <c r="I90" i="13"/>
  <c r="J90" i="13" s="1"/>
  <c r="H90" i="13"/>
  <c r="I89" i="13"/>
  <c r="H89" i="13"/>
  <c r="I87" i="13"/>
  <c r="J87" i="13" s="1"/>
  <c r="H87" i="13"/>
  <c r="I86" i="13"/>
  <c r="J86" i="13" s="1"/>
  <c r="H86" i="13"/>
  <c r="J85" i="13"/>
  <c r="I85" i="13"/>
  <c r="H85" i="13"/>
  <c r="J84" i="13"/>
  <c r="J83" i="13" s="1"/>
  <c r="I84" i="13"/>
  <c r="H84" i="13"/>
  <c r="I83" i="13"/>
  <c r="H83" i="13"/>
  <c r="I82" i="13"/>
  <c r="H82" i="13"/>
  <c r="J82" i="13" s="1"/>
  <c r="I81" i="13"/>
  <c r="J81" i="13" s="1"/>
  <c r="H81" i="13"/>
  <c r="I80" i="13"/>
  <c r="J80" i="13" s="1"/>
  <c r="H80" i="13"/>
  <c r="I79" i="13"/>
  <c r="H79" i="13"/>
  <c r="I78" i="13"/>
  <c r="I77" i="13"/>
  <c r="J77" i="13" s="1"/>
  <c r="H77" i="13"/>
  <c r="J76" i="13"/>
  <c r="I76" i="13"/>
  <c r="H76" i="13"/>
  <c r="I75" i="13"/>
  <c r="J75" i="13" s="1"/>
  <c r="H75" i="13"/>
  <c r="I74" i="13"/>
  <c r="H74" i="13"/>
  <c r="J73" i="13"/>
  <c r="I73" i="13"/>
  <c r="H73" i="13"/>
  <c r="J72" i="13"/>
  <c r="I72" i="13"/>
  <c r="H72" i="13"/>
  <c r="I70" i="13"/>
  <c r="H70" i="13"/>
  <c r="J70" i="13" s="1"/>
  <c r="I69" i="13"/>
  <c r="J69" i="13" s="1"/>
  <c r="H69" i="13"/>
  <c r="I68" i="13"/>
  <c r="H68" i="13"/>
  <c r="J68" i="13" s="1"/>
  <c r="I66" i="13"/>
  <c r="J66" i="13" s="1"/>
  <c r="H66" i="13"/>
  <c r="I65" i="13"/>
  <c r="I64" i="13" s="1"/>
  <c r="H65" i="13"/>
  <c r="H64" i="13"/>
  <c r="I63" i="13"/>
  <c r="J63" i="13" s="1"/>
  <c r="H63" i="13"/>
  <c r="I62" i="13"/>
  <c r="H62" i="13"/>
  <c r="J62" i="13" s="1"/>
  <c r="J61" i="13"/>
  <c r="I61" i="13"/>
  <c r="H61" i="13"/>
  <c r="J60" i="13"/>
  <c r="I60" i="13"/>
  <c r="H60" i="13"/>
  <c r="J59" i="13"/>
  <c r="I59" i="13"/>
  <c r="H59" i="13"/>
  <c r="I58" i="13"/>
  <c r="I57" i="13" s="1"/>
  <c r="H58" i="13"/>
  <c r="I56" i="13"/>
  <c r="H56" i="13"/>
  <c r="J56" i="13" s="1"/>
  <c r="J55" i="13"/>
  <c r="I55" i="13"/>
  <c r="H55" i="13"/>
  <c r="I54" i="13"/>
  <c r="J54" i="13" s="1"/>
  <c r="H54" i="13"/>
  <c r="I53" i="13"/>
  <c r="I47" i="13" s="1"/>
  <c r="H53" i="13"/>
  <c r="I52" i="13"/>
  <c r="H52" i="13"/>
  <c r="J52" i="13" s="1"/>
  <c r="I51" i="13"/>
  <c r="H51" i="13"/>
  <c r="J51" i="13" s="1"/>
  <c r="J50" i="13"/>
  <c r="I50" i="13"/>
  <c r="H50" i="13"/>
  <c r="H47" i="13" s="1"/>
  <c r="J49" i="13"/>
  <c r="I49" i="13"/>
  <c r="H49" i="13"/>
  <c r="I48" i="13"/>
  <c r="J48" i="13" s="1"/>
  <c r="H48" i="13"/>
  <c r="J46" i="13"/>
  <c r="I46" i="13"/>
  <c r="H46" i="13"/>
  <c r="I45" i="13"/>
  <c r="H45" i="13"/>
  <c r="J45" i="13" s="1"/>
  <c r="J44" i="13"/>
  <c r="I44" i="13"/>
  <c r="H44" i="13"/>
  <c r="I43" i="13"/>
  <c r="J43" i="13" s="1"/>
  <c r="H43" i="13"/>
  <c r="I42" i="13"/>
  <c r="H42" i="13"/>
  <c r="H40" i="13" s="1"/>
  <c r="I41" i="13"/>
  <c r="I39" i="13" s="1"/>
  <c r="H41" i="13"/>
  <c r="J41" i="13" s="1"/>
  <c r="I40" i="13"/>
  <c r="I38" i="13"/>
  <c r="H38" i="13"/>
  <c r="J38" i="13" s="1"/>
  <c r="I37" i="13"/>
  <c r="J37" i="13" s="1"/>
  <c r="J35" i="13" s="1"/>
  <c r="H37" i="13"/>
  <c r="J36" i="13"/>
  <c r="I36" i="13"/>
  <c r="H36" i="13"/>
  <c r="H35" i="13"/>
  <c r="I34" i="13"/>
  <c r="H34" i="13"/>
  <c r="J34" i="13" s="1"/>
  <c r="I33" i="13"/>
  <c r="J33" i="13" s="1"/>
  <c r="H33" i="13"/>
  <c r="I32" i="13"/>
  <c r="H32" i="13"/>
  <c r="J32" i="13" s="1"/>
  <c r="I31" i="13"/>
  <c r="H31" i="13"/>
  <c r="J31" i="13" s="1"/>
  <c r="I30" i="13"/>
  <c r="J30" i="13" s="1"/>
  <c r="H30" i="13"/>
  <c r="I29" i="13"/>
  <c r="H29" i="13"/>
  <c r="J29" i="13" s="1"/>
  <c r="I28" i="13"/>
  <c r="H28" i="13"/>
  <c r="J28" i="13" s="1"/>
  <c r="I27" i="13"/>
  <c r="H27" i="13"/>
  <c r="J27" i="13" s="1"/>
  <c r="I26" i="13"/>
  <c r="H26" i="13"/>
  <c r="J26" i="13" s="1"/>
  <c r="F26" i="13"/>
  <c r="I25" i="13"/>
  <c r="H25" i="13"/>
  <c r="I23" i="13"/>
  <c r="H23" i="13"/>
  <c r="J23" i="13" s="1"/>
  <c r="I22" i="13"/>
  <c r="H22" i="13"/>
  <c r="J22" i="13" s="1"/>
  <c r="F22" i="13"/>
  <c r="I21" i="13"/>
  <c r="H21" i="13"/>
  <c r="I20" i="13"/>
  <c r="H20" i="13"/>
  <c r="J20" i="13" s="1"/>
  <c r="I19" i="13"/>
  <c r="H19" i="13"/>
  <c r="J19" i="13" s="1"/>
  <c r="I18" i="13"/>
  <c r="H18" i="13"/>
  <c r="J18" i="13" s="1"/>
  <c r="I17" i="13"/>
  <c r="H17" i="13"/>
  <c r="I15" i="13"/>
  <c r="H15" i="13"/>
  <c r="J15" i="13" s="1"/>
  <c r="I14" i="13"/>
  <c r="H14" i="13"/>
  <c r="J14" i="13" s="1"/>
  <c r="I13" i="13"/>
  <c r="H13" i="13"/>
  <c r="I12" i="13"/>
  <c r="H12" i="13"/>
  <c r="J12" i="13" s="1"/>
  <c r="I11" i="13"/>
  <c r="H11" i="13"/>
  <c r="J11" i="13" s="1"/>
  <c r="I10" i="13"/>
  <c r="H10" i="13"/>
  <c r="J10" i="13" s="1"/>
  <c r="I9" i="13"/>
  <c r="I7" i="13" s="1"/>
  <c r="H9" i="13"/>
  <c r="H806" i="12"/>
  <c r="B806" i="12"/>
  <c r="H805" i="12"/>
  <c r="B805" i="12"/>
  <c r="H804" i="12"/>
  <c r="B804" i="12"/>
  <c r="H803" i="12"/>
  <c r="B803" i="12"/>
  <c r="H802" i="12"/>
  <c r="B802" i="12"/>
  <c r="H801" i="12"/>
  <c r="B801" i="12"/>
  <c r="H800" i="12"/>
  <c r="B800" i="12"/>
  <c r="H799" i="12"/>
  <c r="B799" i="12"/>
  <c r="H798" i="12"/>
  <c r="B798" i="12"/>
  <c r="H797" i="12"/>
  <c r="B797" i="12"/>
  <c r="H796" i="12"/>
  <c r="B796" i="12"/>
  <c r="H795" i="12"/>
  <c r="B795" i="12"/>
  <c r="H794" i="12"/>
  <c r="B794" i="12"/>
  <c r="H793" i="12"/>
  <c r="B793" i="12"/>
  <c r="H792" i="12"/>
  <c r="B792" i="12"/>
  <c r="H791" i="12"/>
  <c r="B791" i="12"/>
  <c r="H790" i="12"/>
  <c r="B790" i="12"/>
  <c r="H789" i="12"/>
  <c r="B789" i="12"/>
  <c r="H788" i="12"/>
  <c r="B788" i="12"/>
  <c r="H787" i="12"/>
  <c r="B787" i="12"/>
  <c r="H786" i="12"/>
  <c r="B786" i="12"/>
  <c r="H785" i="12"/>
  <c r="B785" i="12"/>
  <c r="H784" i="12"/>
  <c r="B784" i="12"/>
  <c r="H783" i="12"/>
  <c r="B783" i="12"/>
  <c r="H782" i="12"/>
  <c r="B782" i="12"/>
  <c r="H781" i="12"/>
  <c r="B781" i="12"/>
  <c r="H780" i="12"/>
  <c r="B780" i="12"/>
  <c r="H779" i="12"/>
  <c r="B779" i="12"/>
  <c r="H778" i="12"/>
  <c r="B778" i="12"/>
  <c r="H777" i="12"/>
  <c r="B777" i="12"/>
  <c r="H776" i="12"/>
  <c r="B776" i="12"/>
  <c r="H775" i="12"/>
  <c r="B775" i="12"/>
  <c r="H774" i="12"/>
  <c r="B774" i="12"/>
  <c r="H773" i="12"/>
  <c r="B773" i="12"/>
  <c r="H772" i="12"/>
  <c r="B772" i="12"/>
  <c r="H771" i="12"/>
  <c r="B771" i="12"/>
  <c r="H770" i="12"/>
  <c r="B770" i="12"/>
  <c r="H769" i="12"/>
  <c r="B769" i="12"/>
  <c r="H768" i="12"/>
  <c r="B768" i="12"/>
  <c r="H767" i="12"/>
  <c r="B767" i="12"/>
  <c r="H766" i="12"/>
  <c r="B766" i="12"/>
  <c r="H765" i="12"/>
  <c r="B765" i="12"/>
  <c r="H764" i="12"/>
  <c r="B764" i="12"/>
  <c r="H763" i="12"/>
  <c r="B763" i="12"/>
  <c r="H762" i="12"/>
  <c r="B762" i="12"/>
  <c r="H761" i="12"/>
  <c r="B761" i="12"/>
  <c r="H760" i="12"/>
  <c r="B760" i="12"/>
  <c r="H759" i="12"/>
  <c r="B759" i="12"/>
  <c r="H758" i="12"/>
  <c r="B758" i="12"/>
  <c r="H757" i="12"/>
  <c r="B757" i="12"/>
  <c r="H756" i="12"/>
  <c r="B756" i="12"/>
  <c r="H755" i="12"/>
  <c r="B755" i="12"/>
  <c r="H754" i="12"/>
  <c r="B754" i="12"/>
  <c r="H753" i="12"/>
  <c r="B753" i="12"/>
  <c r="H752" i="12"/>
  <c r="B752" i="12"/>
  <c r="H751" i="12"/>
  <c r="B751" i="12"/>
  <c r="H750" i="12"/>
  <c r="B750" i="12"/>
  <c r="H749" i="12"/>
  <c r="B749" i="12"/>
  <c r="H748" i="12"/>
  <c r="B748" i="12"/>
  <c r="H747" i="12"/>
  <c r="B747" i="12"/>
  <c r="H746" i="12"/>
  <c r="B746" i="12"/>
  <c r="H745" i="12"/>
  <c r="B745" i="12"/>
  <c r="H744" i="12"/>
  <c r="B744" i="12"/>
  <c r="H743" i="12"/>
  <c r="B743" i="12"/>
  <c r="H742" i="12"/>
  <c r="B742" i="12"/>
  <c r="H741" i="12"/>
  <c r="B741" i="12"/>
  <c r="H740" i="12"/>
  <c r="B740" i="12"/>
  <c r="H739" i="12"/>
  <c r="B739" i="12"/>
  <c r="H738" i="12"/>
  <c r="B738" i="12"/>
  <c r="H737" i="12"/>
  <c r="B737" i="12"/>
  <c r="H736" i="12"/>
  <c r="B736" i="12"/>
  <c r="H735" i="12"/>
  <c r="B735" i="12"/>
  <c r="H734" i="12"/>
  <c r="B734" i="12"/>
  <c r="H733" i="12"/>
  <c r="B733" i="12"/>
  <c r="H732" i="12"/>
  <c r="B732" i="12"/>
  <c r="H731" i="12"/>
  <c r="B731" i="12"/>
  <c r="H730" i="12"/>
  <c r="B730" i="12"/>
  <c r="H729" i="12"/>
  <c r="B729" i="12"/>
  <c r="H728" i="12"/>
  <c r="B728" i="12"/>
  <c r="H727" i="12"/>
  <c r="B727" i="12"/>
  <c r="H726" i="12"/>
  <c r="B726" i="12"/>
  <c r="H725" i="12"/>
  <c r="B725" i="12"/>
  <c r="H724" i="12"/>
  <c r="B724" i="12"/>
  <c r="H723" i="12"/>
  <c r="B723" i="12"/>
  <c r="H722" i="12"/>
  <c r="B722" i="12"/>
  <c r="H721" i="12"/>
  <c r="B721" i="12"/>
  <c r="H720" i="12"/>
  <c r="B720" i="12"/>
  <c r="H719" i="12"/>
  <c r="B719" i="12"/>
  <c r="H718" i="12"/>
  <c r="B718" i="12"/>
  <c r="H717" i="12"/>
  <c r="B717" i="12"/>
  <c r="H716" i="12"/>
  <c r="B716" i="12"/>
  <c r="H715" i="12"/>
  <c r="B715" i="12"/>
  <c r="H714" i="12"/>
  <c r="B714" i="12"/>
  <c r="H713" i="12"/>
  <c r="B713" i="12"/>
  <c r="H712" i="12"/>
  <c r="B712" i="12"/>
  <c r="H711" i="12"/>
  <c r="B711" i="12"/>
  <c r="H710" i="12"/>
  <c r="B710" i="12"/>
  <c r="H709" i="12"/>
  <c r="B709" i="12"/>
  <c r="H708" i="12"/>
  <c r="B708" i="12"/>
  <c r="H707" i="12"/>
  <c r="B707" i="12"/>
  <c r="H706" i="12"/>
  <c r="B706" i="12"/>
  <c r="H705" i="12"/>
  <c r="B705" i="12"/>
  <c r="H704" i="12"/>
  <c r="B704" i="12"/>
  <c r="H703" i="12"/>
  <c r="B703" i="12"/>
  <c r="H702" i="12"/>
  <c r="B702" i="12"/>
  <c r="H701" i="12"/>
  <c r="B701" i="12"/>
  <c r="H700" i="12"/>
  <c r="B700" i="12"/>
  <c r="H699" i="12"/>
  <c r="B699" i="12"/>
  <c r="H698" i="12"/>
  <c r="B698" i="12"/>
  <c r="H697" i="12"/>
  <c r="B697" i="12"/>
  <c r="H696" i="12"/>
  <c r="B696" i="12"/>
  <c r="H695" i="12"/>
  <c r="B695" i="12"/>
  <c r="H694" i="12"/>
  <c r="B694" i="12"/>
  <c r="H693" i="12"/>
  <c r="B693" i="12"/>
  <c r="H692" i="12"/>
  <c r="B692" i="12"/>
  <c r="H691" i="12"/>
  <c r="B691" i="12"/>
  <c r="H690" i="12"/>
  <c r="B690" i="12"/>
  <c r="H689" i="12"/>
  <c r="B689" i="12"/>
  <c r="H688" i="12"/>
  <c r="B688" i="12"/>
  <c r="H687" i="12"/>
  <c r="B687" i="12"/>
  <c r="H686" i="12"/>
  <c r="B686" i="12"/>
  <c r="H685" i="12"/>
  <c r="B685" i="12"/>
  <c r="H684" i="12"/>
  <c r="B684" i="12"/>
  <c r="H683" i="12"/>
  <c r="B683" i="12"/>
  <c r="H682" i="12"/>
  <c r="B682" i="12"/>
  <c r="H681" i="12"/>
  <c r="B681" i="12"/>
  <c r="H680" i="12"/>
  <c r="B680" i="12"/>
  <c r="H679" i="12"/>
  <c r="B679" i="12"/>
  <c r="H678" i="12"/>
  <c r="B678" i="12"/>
  <c r="H677" i="12"/>
  <c r="B677" i="12"/>
  <c r="H676" i="12"/>
  <c r="B676" i="12"/>
  <c r="H675" i="12"/>
  <c r="B675" i="12"/>
  <c r="H674" i="12"/>
  <c r="B674" i="12"/>
  <c r="H673" i="12"/>
  <c r="B673" i="12"/>
  <c r="H672" i="12"/>
  <c r="B672" i="12"/>
  <c r="H671" i="12"/>
  <c r="B671" i="12"/>
  <c r="H670" i="12"/>
  <c r="B670" i="12"/>
  <c r="H669" i="12"/>
  <c r="B669" i="12"/>
  <c r="H668" i="12"/>
  <c r="B668" i="12"/>
  <c r="H667" i="12"/>
  <c r="B667" i="12"/>
  <c r="H666" i="12"/>
  <c r="B666" i="12"/>
  <c r="H665" i="12"/>
  <c r="B665" i="12"/>
  <c r="H664" i="12"/>
  <c r="B664" i="12"/>
  <c r="H663" i="12"/>
  <c r="B663" i="12"/>
  <c r="H662" i="12"/>
  <c r="B662" i="12"/>
  <c r="H661" i="12"/>
  <c r="B661" i="12"/>
  <c r="H660" i="12"/>
  <c r="B660" i="12"/>
  <c r="H659" i="12"/>
  <c r="B659" i="12"/>
  <c r="H658" i="12"/>
  <c r="B658" i="12"/>
  <c r="H657" i="12"/>
  <c r="B657" i="12"/>
  <c r="H656" i="12"/>
  <c r="B656" i="12"/>
  <c r="H655" i="12"/>
  <c r="B655" i="12"/>
  <c r="H654" i="12"/>
  <c r="B654" i="12"/>
  <c r="H653" i="12"/>
  <c r="B653" i="12"/>
  <c r="H652" i="12"/>
  <c r="B652" i="12"/>
  <c r="H651" i="12"/>
  <c r="B651" i="12"/>
  <c r="H650" i="12"/>
  <c r="B650" i="12"/>
  <c r="H649" i="12"/>
  <c r="B649" i="12"/>
  <c r="H648" i="12"/>
  <c r="B648" i="12"/>
  <c r="H647" i="12"/>
  <c r="B647" i="12"/>
  <c r="H646" i="12"/>
  <c r="B646" i="12"/>
  <c r="H645" i="12"/>
  <c r="B645" i="12"/>
  <c r="H644" i="12"/>
  <c r="B644" i="12"/>
  <c r="H643" i="12"/>
  <c r="B643" i="12"/>
  <c r="H642" i="12"/>
  <c r="B642" i="12"/>
  <c r="H641" i="12"/>
  <c r="B641" i="12"/>
  <c r="H640" i="12"/>
  <c r="B640" i="12"/>
  <c r="H639" i="12"/>
  <c r="B639" i="12"/>
  <c r="H638" i="12"/>
  <c r="B638" i="12"/>
  <c r="H637" i="12"/>
  <c r="B637" i="12"/>
  <c r="H636" i="12"/>
  <c r="B636" i="12"/>
  <c r="H635" i="12"/>
  <c r="B635" i="12"/>
  <c r="H634" i="12"/>
  <c r="B634" i="12"/>
  <c r="H633" i="12"/>
  <c r="B633" i="12"/>
  <c r="H632" i="12"/>
  <c r="B632" i="12"/>
  <c r="H631" i="12"/>
  <c r="B631" i="12"/>
  <c r="H630" i="12"/>
  <c r="B630" i="12"/>
  <c r="H629" i="12"/>
  <c r="B629" i="12"/>
  <c r="H628" i="12"/>
  <c r="B628" i="12"/>
  <c r="H627" i="12"/>
  <c r="B627" i="12"/>
  <c r="H626" i="12"/>
  <c r="B626" i="12"/>
  <c r="H625" i="12"/>
  <c r="B625" i="12"/>
  <c r="H624" i="12"/>
  <c r="B624" i="12"/>
  <c r="H623" i="12"/>
  <c r="B623" i="12"/>
  <c r="H622" i="12"/>
  <c r="B622" i="12"/>
  <c r="H621" i="12"/>
  <c r="B621" i="12"/>
  <c r="H620" i="12"/>
  <c r="B620" i="12"/>
  <c r="H619" i="12"/>
  <c r="B619" i="12"/>
  <c r="H618" i="12"/>
  <c r="B618" i="12"/>
  <c r="H617" i="12"/>
  <c r="B617" i="12"/>
  <c r="H616" i="12"/>
  <c r="B616" i="12"/>
  <c r="H615" i="12"/>
  <c r="B615" i="12"/>
  <c r="H614" i="12"/>
  <c r="B614" i="12"/>
  <c r="H613" i="12"/>
  <c r="B613" i="12"/>
  <c r="H612" i="12"/>
  <c r="B612" i="12"/>
  <c r="H611" i="12"/>
  <c r="B611" i="12"/>
  <c r="H610" i="12"/>
  <c r="B610" i="12"/>
  <c r="H609" i="12"/>
  <c r="B609" i="12"/>
  <c r="H608" i="12"/>
  <c r="B608" i="12"/>
  <c r="H607" i="12"/>
  <c r="B607" i="12"/>
  <c r="H606" i="12"/>
  <c r="B606" i="12"/>
  <c r="H605" i="12"/>
  <c r="B605" i="12"/>
  <c r="H604" i="12"/>
  <c r="B604" i="12"/>
  <c r="H603" i="12"/>
  <c r="B603" i="12"/>
  <c r="H602" i="12"/>
  <c r="B602" i="12"/>
  <c r="H601" i="12"/>
  <c r="B601" i="12"/>
  <c r="H600" i="12"/>
  <c r="B600" i="12"/>
  <c r="H599" i="12"/>
  <c r="B599" i="12"/>
  <c r="H598" i="12"/>
  <c r="B598" i="12"/>
  <c r="H597" i="12"/>
  <c r="B597" i="12"/>
  <c r="H596" i="12"/>
  <c r="B596" i="12"/>
  <c r="H595" i="12"/>
  <c r="B595" i="12"/>
  <c r="H594" i="12"/>
  <c r="B594" i="12"/>
  <c r="H593" i="12"/>
  <c r="B593" i="12"/>
  <c r="H592" i="12"/>
  <c r="B592" i="12"/>
  <c r="H591" i="12"/>
  <c r="B591" i="12"/>
  <c r="H590" i="12"/>
  <c r="B590" i="12"/>
  <c r="H589" i="12"/>
  <c r="B589" i="12"/>
  <c r="H588" i="12"/>
  <c r="B588" i="12"/>
  <c r="H587" i="12"/>
  <c r="B587" i="12"/>
  <c r="H586" i="12"/>
  <c r="B586" i="12"/>
  <c r="H585" i="12"/>
  <c r="B585" i="12"/>
  <c r="H584" i="12"/>
  <c r="B584" i="12"/>
  <c r="H583" i="12"/>
  <c r="B583" i="12"/>
  <c r="H582" i="12"/>
  <c r="B582" i="12"/>
  <c r="H581" i="12"/>
  <c r="B581" i="12"/>
  <c r="H580" i="12"/>
  <c r="B580" i="12"/>
  <c r="H579" i="12"/>
  <c r="B579" i="12"/>
  <c r="H578" i="12"/>
  <c r="B578" i="12"/>
  <c r="H577" i="12"/>
  <c r="B577" i="12"/>
  <c r="H576" i="12"/>
  <c r="B576" i="12"/>
  <c r="H575" i="12"/>
  <c r="B575" i="12"/>
  <c r="H574" i="12"/>
  <c r="B574" i="12"/>
  <c r="H573" i="12"/>
  <c r="B573" i="12"/>
  <c r="H572" i="12"/>
  <c r="B572" i="12"/>
  <c r="H571" i="12"/>
  <c r="B571" i="12"/>
  <c r="H570" i="12"/>
  <c r="B570" i="12"/>
  <c r="H569" i="12"/>
  <c r="B569" i="12"/>
  <c r="H568" i="12"/>
  <c r="B568" i="12"/>
  <c r="H567" i="12"/>
  <c r="B567" i="12"/>
  <c r="H566" i="12"/>
  <c r="B566" i="12"/>
  <c r="H565" i="12"/>
  <c r="B565" i="12"/>
  <c r="H564" i="12"/>
  <c r="B564" i="12"/>
  <c r="H563" i="12"/>
  <c r="B563" i="12"/>
  <c r="H562" i="12"/>
  <c r="B562" i="12"/>
  <c r="H561" i="12"/>
  <c r="B561" i="12"/>
  <c r="H560" i="12"/>
  <c r="B560" i="12"/>
  <c r="H559" i="12"/>
  <c r="B559" i="12"/>
  <c r="H558" i="12"/>
  <c r="B558" i="12"/>
  <c r="H557" i="12"/>
  <c r="B557" i="12"/>
  <c r="H556" i="12"/>
  <c r="B556" i="12"/>
  <c r="H555" i="12"/>
  <c r="B555" i="12"/>
  <c r="H554" i="12"/>
  <c r="B554" i="12"/>
  <c r="H553" i="12"/>
  <c r="B553" i="12"/>
  <c r="H552" i="12"/>
  <c r="B552" i="12"/>
  <c r="H551" i="12"/>
  <c r="B551" i="12"/>
  <c r="H550" i="12"/>
  <c r="B550" i="12"/>
  <c r="H549" i="12"/>
  <c r="B549" i="12"/>
  <c r="H548" i="12"/>
  <c r="B548" i="12"/>
  <c r="H547" i="12"/>
  <c r="B547" i="12"/>
  <c r="H546" i="12"/>
  <c r="B546" i="12"/>
  <c r="H545" i="12"/>
  <c r="B545" i="12"/>
  <c r="H544" i="12"/>
  <c r="B544" i="12"/>
  <c r="H543" i="12"/>
  <c r="B543" i="12"/>
  <c r="H542" i="12"/>
  <c r="B542" i="12"/>
  <c r="H541" i="12"/>
  <c r="B541" i="12"/>
  <c r="H540" i="12"/>
  <c r="B540" i="12"/>
  <c r="H539" i="12"/>
  <c r="B539" i="12"/>
  <c r="H538" i="12"/>
  <c r="B538" i="12"/>
  <c r="H537" i="12"/>
  <c r="B537" i="12"/>
  <c r="H536" i="12"/>
  <c r="B536" i="12"/>
  <c r="H535" i="12"/>
  <c r="B535" i="12"/>
  <c r="H534" i="12"/>
  <c r="B534" i="12"/>
  <c r="H533" i="12"/>
  <c r="B533" i="12"/>
  <c r="H532" i="12"/>
  <c r="B532" i="12"/>
  <c r="H531" i="12"/>
  <c r="B531" i="12"/>
  <c r="H530" i="12"/>
  <c r="B530" i="12"/>
  <c r="H529" i="12"/>
  <c r="B529" i="12"/>
  <c r="H528" i="12"/>
  <c r="B528" i="12"/>
  <c r="H527" i="12"/>
  <c r="B527" i="12"/>
  <c r="H526" i="12"/>
  <c r="B526" i="12"/>
  <c r="H525" i="12"/>
  <c r="B525" i="12"/>
  <c r="H524" i="12"/>
  <c r="B524" i="12"/>
  <c r="H523" i="12"/>
  <c r="B523" i="12"/>
  <c r="H522" i="12"/>
  <c r="B522" i="12"/>
  <c r="H521" i="12"/>
  <c r="B521" i="12"/>
  <c r="H520" i="12"/>
  <c r="B520" i="12"/>
  <c r="H519" i="12"/>
  <c r="B519" i="12"/>
  <c r="H518" i="12"/>
  <c r="B518" i="12"/>
  <c r="H517" i="12"/>
  <c r="B517" i="12"/>
  <c r="H516" i="12"/>
  <c r="B516" i="12"/>
  <c r="H515" i="12"/>
  <c r="B515" i="12"/>
  <c r="H514" i="12"/>
  <c r="B514" i="12"/>
  <c r="H513" i="12"/>
  <c r="B513" i="12"/>
  <c r="H512" i="12"/>
  <c r="B512" i="12"/>
  <c r="H511" i="12"/>
  <c r="B511" i="12"/>
  <c r="H510" i="12"/>
  <c r="B510" i="12"/>
  <c r="H509" i="12"/>
  <c r="B509" i="12"/>
  <c r="H508" i="12"/>
  <c r="B508" i="12"/>
  <c r="H507" i="12"/>
  <c r="B507" i="12"/>
  <c r="H506" i="12"/>
  <c r="B506" i="12"/>
  <c r="H505" i="12"/>
  <c r="B505" i="12"/>
  <c r="H504" i="12"/>
  <c r="B504" i="12"/>
  <c r="H503" i="12"/>
  <c r="B503" i="12"/>
  <c r="H502" i="12"/>
  <c r="B502" i="12"/>
  <c r="H501" i="12"/>
  <c r="B501" i="12"/>
  <c r="H500" i="12"/>
  <c r="B500" i="12"/>
  <c r="H499" i="12"/>
  <c r="B499" i="12"/>
  <c r="H498" i="12"/>
  <c r="B498" i="12"/>
  <c r="H497" i="12"/>
  <c r="B497" i="12"/>
  <c r="H496" i="12"/>
  <c r="B496" i="12"/>
  <c r="H495" i="12"/>
  <c r="B495" i="12"/>
  <c r="H494" i="12"/>
  <c r="B494" i="12"/>
  <c r="H493" i="12"/>
  <c r="B493" i="12"/>
  <c r="H492" i="12"/>
  <c r="B492" i="12"/>
  <c r="H491" i="12"/>
  <c r="B491" i="12"/>
  <c r="H490" i="12"/>
  <c r="B490" i="12"/>
  <c r="H489" i="12"/>
  <c r="B489" i="12"/>
  <c r="H488" i="12"/>
  <c r="B488" i="12"/>
  <c r="H487" i="12"/>
  <c r="B487" i="12"/>
  <c r="H486" i="12"/>
  <c r="B486" i="12"/>
  <c r="H485" i="12"/>
  <c r="B485" i="12"/>
  <c r="H484" i="12"/>
  <c r="B484" i="12"/>
  <c r="H483" i="12"/>
  <c r="B483" i="12"/>
  <c r="H482" i="12"/>
  <c r="B482" i="12"/>
  <c r="H481" i="12"/>
  <c r="B481" i="12"/>
  <c r="H480" i="12"/>
  <c r="B480" i="12"/>
  <c r="H479" i="12"/>
  <c r="B479" i="12"/>
  <c r="H478" i="12"/>
  <c r="B478" i="12"/>
  <c r="H477" i="12"/>
  <c r="B477" i="12"/>
  <c r="H476" i="12"/>
  <c r="B476" i="12"/>
  <c r="H475" i="12"/>
  <c r="B475" i="12"/>
  <c r="H474" i="12"/>
  <c r="B474" i="12"/>
  <c r="H473" i="12"/>
  <c r="B473" i="12"/>
  <c r="H472" i="12"/>
  <c r="B472" i="12"/>
  <c r="H471" i="12"/>
  <c r="B471" i="12"/>
  <c r="H470" i="12"/>
  <c r="B470" i="12"/>
  <c r="H469" i="12"/>
  <c r="B469" i="12"/>
  <c r="H468" i="12"/>
  <c r="B468" i="12"/>
  <c r="H467" i="12"/>
  <c r="B467" i="12"/>
  <c r="H466" i="12"/>
  <c r="B466" i="12"/>
  <c r="H465" i="12"/>
  <c r="B465" i="12"/>
  <c r="H464" i="12"/>
  <c r="B464" i="12"/>
  <c r="H463" i="12"/>
  <c r="B463" i="12"/>
  <c r="H462" i="12"/>
  <c r="B462" i="12"/>
  <c r="H461" i="12"/>
  <c r="B461" i="12"/>
  <c r="H460" i="12"/>
  <c r="B460" i="12"/>
  <c r="H459" i="12"/>
  <c r="B459" i="12"/>
  <c r="H458" i="12"/>
  <c r="B458" i="12"/>
  <c r="H457" i="12"/>
  <c r="B457" i="12"/>
  <c r="H456" i="12"/>
  <c r="B456" i="12"/>
  <c r="H455" i="12"/>
  <c r="B455" i="12"/>
  <c r="H454" i="12"/>
  <c r="B454" i="12"/>
  <c r="H453" i="12"/>
  <c r="B453" i="12"/>
  <c r="H452" i="12"/>
  <c r="B452" i="12"/>
  <c r="H451" i="12"/>
  <c r="B451" i="12"/>
  <c r="H450" i="12"/>
  <c r="B450" i="12"/>
  <c r="H449" i="12"/>
  <c r="B449" i="12"/>
  <c r="H448" i="12"/>
  <c r="B448" i="12"/>
  <c r="H447" i="12"/>
  <c r="B447" i="12"/>
  <c r="H446" i="12"/>
  <c r="B446" i="12"/>
  <c r="H445" i="12"/>
  <c r="B445" i="12"/>
  <c r="H444" i="12"/>
  <c r="B444" i="12"/>
  <c r="H443" i="12"/>
  <c r="B443" i="12"/>
  <c r="H442" i="12"/>
  <c r="B442" i="12"/>
  <c r="H441" i="12"/>
  <c r="B441" i="12"/>
  <c r="H440" i="12"/>
  <c r="B440" i="12"/>
  <c r="H439" i="12"/>
  <c r="B439" i="12"/>
  <c r="H438" i="12"/>
  <c r="B438" i="12"/>
  <c r="H437" i="12"/>
  <c r="B437" i="12"/>
  <c r="H436" i="12"/>
  <c r="B436" i="12"/>
  <c r="H435" i="12"/>
  <c r="B435" i="12"/>
  <c r="H434" i="12"/>
  <c r="B434" i="12"/>
  <c r="H433" i="12"/>
  <c r="B433" i="12"/>
  <c r="H432" i="12"/>
  <c r="B432" i="12"/>
  <c r="H431" i="12"/>
  <c r="B431" i="12"/>
  <c r="H430" i="12"/>
  <c r="B430" i="12"/>
  <c r="H429" i="12"/>
  <c r="B429" i="12"/>
  <c r="H428" i="12"/>
  <c r="B428" i="12"/>
  <c r="H427" i="12"/>
  <c r="B427" i="12"/>
  <c r="H426" i="12"/>
  <c r="B426" i="12"/>
  <c r="H425" i="12"/>
  <c r="B425" i="12"/>
  <c r="H424" i="12"/>
  <c r="B424" i="12"/>
  <c r="H423" i="12"/>
  <c r="B423" i="12"/>
  <c r="H422" i="12"/>
  <c r="B422" i="12"/>
  <c r="H421" i="12"/>
  <c r="B421" i="12"/>
  <c r="H420" i="12"/>
  <c r="B420" i="12"/>
  <c r="H419" i="12"/>
  <c r="B419" i="12"/>
  <c r="H418" i="12"/>
  <c r="B418" i="12"/>
  <c r="H417" i="12"/>
  <c r="B417" i="12"/>
  <c r="H416" i="12"/>
  <c r="B416" i="12"/>
  <c r="H415" i="12"/>
  <c r="B415" i="12"/>
  <c r="H414" i="12"/>
  <c r="B414" i="12"/>
  <c r="H413" i="12"/>
  <c r="B413" i="12"/>
  <c r="H412" i="12"/>
  <c r="B412" i="12"/>
  <c r="H411" i="12"/>
  <c r="B411" i="12"/>
  <c r="H410" i="12"/>
  <c r="B410" i="12"/>
  <c r="H409" i="12"/>
  <c r="B409" i="12"/>
  <c r="H408" i="12"/>
  <c r="B408" i="12"/>
  <c r="H407" i="12"/>
  <c r="B407" i="12"/>
  <c r="H406" i="12"/>
  <c r="B406" i="12"/>
  <c r="H405" i="12"/>
  <c r="B405" i="12"/>
  <c r="H404" i="12"/>
  <c r="B404" i="12"/>
  <c r="H403" i="12"/>
  <c r="B403" i="12"/>
  <c r="H402" i="12"/>
  <c r="B402" i="12"/>
  <c r="H401" i="12"/>
  <c r="B401" i="12"/>
  <c r="H400" i="12"/>
  <c r="B400" i="12"/>
  <c r="H399" i="12"/>
  <c r="B399" i="12"/>
  <c r="H398" i="12"/>
  <c r="B398" i="12"/>
  <c r="H397" i="12"/>
  <c r="B397" i="12"/>
  <c r="H396" i="12"/>
  <c r="B396" i="12"/>
  <c r="H395" i="12"/>
  <c r="B395" i="12"/>
  <c r="H394" i="12"/>
  <c r="B394" i="12"/>
  <c r="H393" i="12"/>
  <c r="B393" i="12"/>
  <c r="H392" i="12"/>
  <c r="B392" i="12"/>
  <c r="H391" i="12"/>
  <c r="B391" i="12"/>
  <c r="H390" i="12"/>
  <c r="B390" i="12"/>
  <c r="H389" i="12"/>
  <c r="B389" i="12"/>
  <c r="H388" i="12"/>
  <c r="B388" i="12"/>
  <c r="H387" i="12"/>
  <c r="B387" i="12"/>
  <c r="H386" i="12"/>
  <c r="B386" i="12"/>
  <c r="H385" i="12"/>
  <c r="B385" i="12"/>
  <c r="H384" i="12"/>
  <c r="B384" i="12"/>
  <c r="H383" i="12"/>
  <c r="B383" i="12"/>
  <c r="H382" i="12"/>
  <c r="B382" i="12"/>
  <c r="H381" i="12"/>
  <c r="B381" i="12"/>
  <c r="H380" i="12"/>
  <c r="B380" i="12"/>
  <c r="H379" i="12"/>
  <c r="B379" i="12"/>
  <c r="H378" i="12"/>
  <c r="B378" i="12"/>
  <c r="H377" i="12"/>
  <c r="B377" i="12"/>
  <c r="H376" i="12"/>
  <c r="B376" i="12"/>
  <c r="H375" i="12"/>
  <c r="B375" i="12"/>
  <c r="H374" i="12"/>
  <c r="B374" i="12"/>
  <c r="H373" i="12"/>
  <c r="B373" i="12"/>
  <c r="H372" i="12"/>
  <c r="B372" i="12"/>
  <c r="H371" i="12"/>
  <c r="B371" i="12"/>
  <c r="H370" i="12"/>
  <c r="B370" i="12"/>
  <c r="H369" i="12"/>
  <c r="B369" i="12"/>
  <c r="H368" i="12"/>
  <c r="B368" i="12"/>
  <c r="H367" i="12"/>
  <c r="B367" i="12"/>
  <c r="H366" i="12"/>
  <c r="B366" i="12"/>
  <c r="H365" i="12"/>
  <c r="B365" i="12"/>
  <c r="H364" i="12"/>
  <c r="B364" i="12"/>
  <c r="H363" i="12"/>
  <c r="B363" i="12"/>
  <c r="H362" i="12"/>
  <c r="B362" i="12"/>
  <c r="H361" i="12"/>
  <c r="B361" i="12"/>
  <c r="H360" i="12"/>
  <c r="B360" i="12"/>
  <c r="H359" i="12"/>
  <c r="B359" i="12"/>
  <c r="H358" i="12"/>
  <c r="B358" i="12"/>
  <c r="H357" i="12"/>
  <c r="B357" i="12"/>
  <c r="H356" i="12"/>
  <c r="B356" i="12"/>
  <c r="H355" i="12"/>
  <c r="B355" i="12"/>
  <c r="H354" i="12"/>
  <c r="B354" i="12"/>
  <c r="H353" i="12"/>
  <c r="B353" i="12"/>
  <c r="H352" i="12"/>
  <c r="B352" i="12"/>
  <c r="H351" i="12"/>
  <c r="B351" i="12"/>
  <c r="H350" i="12"/>
  <c r="B350" i="12"/>
  <c r="H349" i="12"/>
  <c r="B349" i="12"/>
  <c r="H348" i="12"/>
  <c r="B348" i="12"/>
  <c r="H347" i="12"/>
  <c r="B347" i="12"/>
  <c r="H346" i="12"/>
  <c r="B346" i="12"/>
  <c r="H345" i="12"/>
  <c r="B345" i="12"/>
  <c r="H344" i="12"/>
  <c r="B344" i="12"/>
  <c r="H343" i="12"/>
  <c r="B343" i="12"/>
  <c r="H342" i="12"/>
  <c r="B342" i="12"/>
  <c r="H341" i="12"/>
  <c r="B341" i="12"/>
  <c r="H340" i="12"/>
  <c r="B340" i="12"/>
  <c r="H339" i="12"/>
  <c r="B339" i="12"/>
  <c r="H338" i="12"/>
  <c r="B338" i="12"/>
  <c r="H337" i="12"/>
  <c r="B337" i="12"/>
  <c r="H336" i="12"/>
  <c r="B336" i="12"/>
  <c r="H335" i="12"/>
  <c r="B335" i="12"/>
  <c r="H334" i="12"/>
  <c r="B334" i="12"/>
  <c r="H333" i="12"/>
  <c r="B333" i="12"/>
  <c r="H332" i="12"/>
  <c r="B332" i="12"/>
  <c r="H331" i="12"/>
  <c r="B331" i="12"/>
  <c r="H330" i="12"/>
  <c r="B330" i="12"/>
  <c r="H329" i="12"/>
  <c r="B329" i="12"/>
  <c r="H328" i="12"/>
  <c r="B328" i="12"/>
  <c r="H327" i="12"/>
  <c r="B327" i="12"/>
  <c r="H326" i="12"/>
  <c r="B326" i="12"/>
  <c r="H325" i="12"/>
  <c r="B325" i="12"/>
  <c r="H324" i="12"/>
  <c r="B324" i="12"/>
  <c r="H323" i="12"/>
  <c r="B323" i="12"/>
  <c r="H322" i="12"/>
  <c r="B322" i="12"/>
  <c r="H321" i="12"/>
  <c r="B321" i="12"/>
  <c r="H320" i="12"/>
  <c r="B320" i="12"/>
  <c r="H319" i="12"/>
  <c r="B319" i="12"/>
  <c r="H318" i="12"/>
  <c r="B318" i="12"/>
  <c r="H317" i="12"/>
  <c r="B317" i="12"/>
  <c r="H316" i="12"/>
  <c r="B316" i="12"/>
  <c r="H315" i="12"/>
  <c r="B315" i="12"/>
  <c r="H314" i="12"/>
  <c r="B314" i="12"/>
  <c r="H313" i="12"/>
  <c r="B313" i="12"/>
  <c r="H312" i="12"/>
  <c r="B312" i="12"/>
  <c r="H311" i="12"/>
  <c r="B311" i="12"/>
  <c r="H310" i="12"/>
  <c r="B310" i="12"/>
  <c r="H309" i="12"/>
  <c r="B309" i="12"/>
  <c r="H308" i="12"/>
  <c r="B308" i="12"/>
  <c r="H307" i="12"/>
  <c r="B307" i="12"/>
  <c r="H306" i="12"/>
  <c r="B306" i="12"/>
  <c r="H305" i="12"/>
  <c r="B305" i="12"/>
  <c r="H304" i="12"/>
  <c r="B304" i="12"/>
  <c r="H303" i="12"/>
  <c r="B303" i="12"/>
  <c r="H302" i="12"/>
  <c r="B302" i="12"/>
  <c r="H301" i="12"/>
  <c r="B301" i="12"/>
  <c r="H300" i="12"/>
  <c r="B300" i="12"/>
  <c r="H299" i="12"/>
  <c r="B299" i="12"/>
  <c r="H298" i="12"/>
  <c r="B298" i="12"/>
  <c r="H297" i="12"/>
  <c r="B297" i="12"/>
  <c r="H296" i="12"/>
  <c r="B296" i="12"/>
  <c r="H295" i="12"/>
  <c r="B295" i="12"/>
  <c r="H294" i="12"/>
  <c r="B294" i="12"/>
  <c r="H293" i="12"/>
  <c r="B293" i="12"/>
  <c r="H292" i="12"/>
  <c r="B292" i="12"/>
  <c r="H291" i="12"/>
  <c r="B291" i="12"/>
  <c r="H290" i="12"/>
  <c r="B290" i="12"/>
  <c r="H289" i="12"/>
  <c r="B289" i="12"/>
  <c r="H288" i="12"/>
  <c r="B288" i="12"/>
  <c r="H287" i="12"/>
  <c r="B287" i="12"/>
  <c r="H286" i="12"/>
  <c r="B286" i="12"/>
  <c r="H285" i="12"/>
  <c r="B285" i="12"/>
  <c r="H284" i="12"/>
  <c r="B284" i="12"/>
  <c r="H283" i="12"/>
  <c r="B283" i="12"/>
  <c r="H282" i="12"/>
  <c r="B282" i="12"/>
  <c r="H281" i="12"/>
  <c r="B281" i="12"/>
  <c r="H280" i="12"/>
  <c r="B280" i="12"/>
  <c r="H279" i="12"/>
  <c r="B279" i="12"/>
  <c r="H278" i="12"/>
  <c r="B278" i="12"/>
  <c r="H277" i="12"/>
  <c r="B277" i="12"/>
  <c r="H276" i="12"/>
  <c r="B276" i="12"/>
  <c r="H275" i="12"/>
  <c r="B275" i="12"/>
  <c r="H274" i="12"/>
  <c r="B274" i="12"/>
  <c r="H273" i="12"/>
  <c r="B273" i="12"/>
  <c r="H272" i="12"/>
  <c r="B272" i="12"/>
  <c r="H271" i="12"/>
  <c r="B271" i="12"/>
  <c r="H270" i="12"/>
  <c r="B270" i="12"/>
  <c r="H269" i="12"/>
  <c r="B269" i="12"/>
  <c r="H268" i="12"/>
  <c r="B268" i="12"/>
  <c r="H267" i="12"/>
  <c r="B267" i="12"/>
  <c r="H266" i="12"/>
  <c r="B266" i="12"/>
  <c r="H265" i="12"/>
  <c r="B265" i="12"/>
  <c r="H264" i="12"/>
  <c r="B264" i="12"/>
  <c r="H263" i="12"/>
  <c r="B263" i="12"/>
  <c r="H262" i="12"/>
  <c r="B262" i="12"/>
  <c r="H261" i="12"/>
  <c r="B261" i="12"/>
  <c r="H260" i="12"/>
  <c r="B260" i="12"/>
  <c r="H259" i="12"/>
  <c r="B259" i="12"/>
  <c r="H258" i="12"/>
  <c r="B258" i="12"/>
  <c r="H257" i="12"/>
  <c r="B257" i="12"/>
  <c r="H256" i="12"/>
  <c r="B256" i="12"/>
  <c r="H255" i="12"/>
  <c r="B255" i="12"/>
  <c r="H254" i="12"/>
  <c r="B254" i="12"/>
  <c r="H253" i="12"/>
  <c r="B253" i="12"/>
  <c r="H252" i="12"/>
  <c r="B252" i="12"/>
  <c r="H251" i="12"/>
  <c r="B251" i="12"/>
  <c r="H250" i="12"/>
  <c r="B250" i="12"/>
  <c r="H249" i="12"/>
  <c r="B249" i="12"/>
  <c r="H248" i="12"/>
  <c r="B248" i="12"/>
  <c r="H247" i="12"/>
  <c r="B247" i="12"/>
  <c r="H246" i="12"/>
  <c r="B246" i="12"/>
  <c r="H245" i="12"/>
  <c r="B245" i="12"/>
  <c r="H244" i="12"/>
  <c r="B244" i="12"/>
  <c r="H243" i="12"/>
  <c r="B243" i="12"/>
  <c r="H242" i="12"/>
  <c r="B242" i="12"/>
  <c r="H241" i="12"/>
  <c r="B241" i="12"/>
  <c r="H240" i="12"/>
  <c r="B240" i="12"/>
  <c r="H239" i="12"/>
  <c r="B239" i="12"/>
  <c r="H238" i="12"/>
  <c r="B238" i="12"/>
  <c r="H237" i="12"/>
  <c r="B237" i="12"/>
  <c r="H236" i="12"/>
  <c r="B236" i="12"/>
  <c r="H235" i="12"/>
  <c r="B235" i="12"/>
  <c r="H234" i="12"/>
  <c r="B234" i="12"/>
  <c r="H233" i="12"/>
  <c r="B233" i="12"/>
  <c r="H232" i="12"/>
  <c r="B232" i="12"/>
  <c r="H231" i="12"/>
  <c r="B231" i="12"/>
  <c r="H230" i="12"/>
  <c r="B230" i="12"/>
  <c r="H229" i="12"/>
  <c r="B229" i="12"/>
  <c r="H228" i="12"/>
  <c r="B228" i="12"/>
  <c r="H227" i="12"/>
  <c r="B227" i="12"/>
  <c r="H226" i="12"/>
  <c r="B226" i="12"/>
  <c r="H225" i="12"/>
  <c r="B225" i="12"/>
  <c r="H224" i="12"/>
  <c r="B224" i="12"/>
  <c r="H223" i="12"/>
  <c r="B223" i="12"/>
  <c r="H222" i="12"/>
  <c r="B222" i="12"/>
  <c r="H221" i="12"/>
  <c r="B221" i="12"/>
  <c r="H220" i="12"/>
  <c r="B220" i="12"/>
  <c r="H219" i="12"/>
  <c r="B219" i="12"/>
  <c r="H218" i="12"/>
  <c r="B218" i="12"/>
  <c r="H217" i="12"/>
  <c r="B217" i="12"/>
  <c r="H216" i="12"/>
  <c r="B216" i="12"/>
  <c r="H215" i="12"/>
  <c r="B215" i="12"/>
  <c r="H214" i="12"/>
  <c r="B214" i="12"/>
  <c r="H213" i="12"/>
  <c r="B213" i="12"/>
  <c r="H212" i="12"/>
  <c r="B212" i="12"/>
  <c r="H211" i="12"/>
  <c r="B211" i="12"/>
  <c r="H210" i="12"/>
  <c r="B210" i="12"/>
  <c r="H209" i="12"/>
  <c r="B209" i="12"/>
  <c r="H208" i="12"/>
  <c r="B208" i="12"/>
  <c r="H207" i="12"/>
  <c r="B207" i="12"/>
  <c r="H206" i="12"/>
  <c r="B206" i="12"/>
  <c r="H205" i="12"/>
  <c r="B205" i="12"/>
  <c r="H204" i="12"/>
  <c r="B204" i="12"/>
  <c r="H203" i="12"/>
  <c r="B203" i="12"/>
  <c r="H202" i="12"/>
  <c r="B202" i="12"/>
  <c r="H201" i="12"/>
  <c r="B201" i="12"/>
  <c r="H200" i="12"/>
  <c r="B200" i="12"/>
  <c r="H199" i="12"/>
  <c r="B199" i="12"/>
  <c r="H198" i="12"/>
  <c r="B198" i="12"/>
  <c r="H197" i="12"/>
  <c r="B197" i="12"/>
  <c r="H196" i="12"/>
  <c r="B196" i="12"/>
  <c r="H195" i="12"/>
  <c r="B195" i="12"/>
  <c r="H194" i="12"/>
  <c r="B194" i="12"/>
  <c r="H193" i="12"/>
  <c r="B193" i="12"/>
  <c r="H192" i="12"/>
  <c r="B192" i="12"/>
  <c r="H191" i="12"/>
  <c r="B191" i="12"/>
  <c r="H190" i="12"/>
  <c r="B190" i="12"/>
  <c r="H189" i="12"/>
  <c r="B189" i="12"/>
  <c r="H188" i="12"/>
  <c r="B188" i="12"/>
  <c r="H187" i="12"/>
  <c r="B187" i="12"/>
  <c r="H186" i="12"/>
  <c r="B186" i="12"/>
  <c r="H185" i="12"/>
  <c r="B185" i="12"/>
  <c r="H184" i="12"/>
  <c r="B184" i="12"/>
  <c r="H183" i="12"/>
  <c r="B183" i="12"/>
  <c r="H182" i="12"/>
  <c r="B182" i="12"/>
  <c r="H181" i="12"/>
  <c r="B181" i="12"/>
  <c r="H180" i="12"/>
  <c r="B180" i="12"/>
  <c r="H179" i="12"/>
  <c r="B179" i="12"/>
  <c r="H178" i="12"/>
  <c r="B178" i="12"/>
  <c r="H177" i="12"/>
  <c r="B177" i="12"/>
  <c r="H176" i="12"/>
  <c r="B176" i="12"/>
  <c r="H175" i="12"/>
  <c r="B175" i="12"/>
  <c r="H174" i="12"/>
  <c r="B174" i="12"/>
  <c r="H173" i="12"/>
  <c r="B173" i="12"/>
  <c r="H172" i="12"/>
  <c r="B172" i="12"/>
  <c r="H171" i="12"/>
  <c r="B171" i="12"/>
  <c r="H170" i="12"/>
  <c r="B170" i="12"/>
  <c r="H169" i="12"/>
  <c r="B169" i="12"/>
  <c r="H168" i="12"/>
  <c r="B168" i="12"/>
  <c r="H167" i="12"/>
  <c r="B167" i="12"/>
  <c r="H166" i="12"/>
  <c r="B166" i="12"/>
  <c r="H165" i="12"/>
  <c r="B165" i="12"/>
  <c r="H164" i="12"/>
  <c r="B164" i="12"/>
  <c r="H163" i="12"/>
  <c r="B163" i="12"/>
  <c r="H162" i="12"/>
  <c r="B162" i="12"/>
  <c r="H161" i="12"/>
  <c r="B161" i="12"/>
  <c r="H160" i="12"/>
  <c r="B160" i="12"/>
  <c r="H159" i="12"/>
  <c r="B159" i="12"/>
  <c r="H158" i="12"/>
  <c r="B158" i="12"/>
  <c r="H157" i="12"/>
  <c r="B157" i="12"/>
  <c r="H156" i="12"/>
  <c r="B156" i="12"/>
  <c r="H155" i="12"/>
  <c r="B155" i="12"/>
  <c r="H154" i="12"/>
  <c r="B154" i="12"/>
  <c r="H153" i="12"/>
  <c r="B153" i="12"/>
  <c r="H152" i="12"/>
  <c r="B152" i="12"/>
  <c r="H151" i="12"/>
  <c r="B151" i="12"/>
  <c r="H150" i="12"/>
  <c r="B150" i="12"/>
  <c r="H149" i="12"/>
  <c r="B149" i="12"/>
  <c r="H148" i="12"/>
  <c r="B148" i="12"/>
  <c r="H147" i="12"/>
  <c r="B147" i="12"/>
  <c r="H146" i="12"/>
  <c r="B146" i="12"/>
  <c r="H145" i="12"/>
  <c r="B145" i="12"/>
  <c r="H144" i="12"/>
  <c r="B144" i="12"/>
  <c r="H143" i="12"/>
  <c r="B143" i="12"/>
  <c r="H142" i="12"/>
  <c r="B142" i="12"/>
  <c r="H141" i="12"/>
  <c r="B141" i="12"/>
  <c r="H140" i="12"/>
  <c r="B140" i="12"/>
  <c r="H139" i="12"/>
  <c r="B139" i="12"/>
  <c r="H138" i="12"/>
  <c r="B138" i="12"/>
  <c r="H137" i="12"/>
  <c r="B137" i="12"/>
  <c r="H136" i="12"/>
  <c r="B136" i="12"/>
  <c r="H135" i="12"/>
  <c r="B135" i="12"/>
  <c r="H134" i="12"/>
  <c r="B134" i="12"/>
  <c r="H133" i="12"/>
  <c r="B133" i="12"/>
  <c r="H132" i="12"/>
  <c r="B132" i="12"/>
  <c r="H131" i="12"/>
  <c r="B131" i="12"/>
  <c r="H130" i="12"/>
  <c r="B130" i="12"/>
  <c r="H129" i="12"/>
  <c r="B129" i="12"/>
  <c r="H128" i="12"/>
  <c r="B128" i="12"/>
  <c r="H127" i="12"/>
  <c r="B127" i="12"/>
  <c r="H126" i="12"/>
  <c r="B126" i="12"/>
  <c r="H125" i="12"/>
  <c r="B125" i="12"/>
  <c r="H124" i="12"/>
  <c r="B124" i="12"/>
  <c r="H123" i="12"/>
  <c r="B123" i="12"/>
  <c r="H122" i="12"/>
  <c r="B122" i="12"/>
  <c r="H121" i="12"/>
  <c r="B121" i="12"/>
  <c r="H120" i="12"/>
  <c r="B120" i="12"/>
  <c r="H119" i="12"/>
  <c r="B119" i="12"/>
  <c r="H118" i="12"/>
  <c r="B118" i="12"/>
  <c r="H117" i="12"/>
  <c r="B117" i="12"/>
  <c r="H116" i="12"/>
  <c r="B116" i="12"/>
  <c r="H115" i="12"/>
  <c r="B115" i="12"/>
  <c r="H114" i="12"/>
  <c r="B114" i="12"/>
  <c r="H113" i="12"/>
  <c r="B113" i="12"/>
  <c r="H112" i="12"/>
  <c r="B112" i="12"/>
  <c r="H111" i="12"/>
  <c r="B111" i="12"/>
  <c r="H110" i="12"/>
  <c r="B110" i="12"/>
  <c r="H109" i="12"/>
  <c r="B109" i="12"/>
  <c r="H108" i="12"/>
  <c r="B108" i="12"/>
  <c r="H107" i="12"/>
  <c r="B107" i="12"/>
  <c r="H106" i="12"/>
  <c r="B106" i="12"/>
  <c r="H105" i="12"/>
  <c r="B105" i="12"/>
  <c r="H104" i="12"/>
  <c r="B104" i="12"/>
  <c r="H103" i="12"/>
  <c r="B103" i="12"/>
  <c r="H102" i="12"/>
  <c r="B102" i="12"/>
  <c r="H101" i="12"/>
  <c r="B101" i="12"/>
  <c r="H100" i="12"/>
  <c r="B100" i="12"/>
  <c r="H99" i="12"/>
  <c r="B99" i="12"/>
  <c r="H98" i="12"/>
  <c r="B98" i="12"/>
  <c r="H97" i="12"/>
  <c r="B97" i="12"/>
  <c r="H96" i="12"/>
  <c r="B96" i="12"/>
  <c r="H95" i="12"/>
  <c r="B95" i="12"/>
  <c r="H94" i="12"/>
  <c r="B94" i="12"/>
  <c r="H93" i="12"/>
  <c r="B93" i="12"/>
  <c r="H92" i="12"/>
  <c r="B92" i="12"/>
  <c r="H91" i="12"/>
  <c r="B91" i="12"/>
  <c r="H90" i="12"/>
  <c r="B90" i="12"/>
  <c r="H89" i="12"/>
  <c r="B89" i="12"/>
  <c r="H88" i="12"/>
  <c r="B88" i="12"/>
  <c r="H87" i="12"/>
  <c r="B87" i="12"/>
  <c r="H86" i="12"/>
  <c r="B86" i="12"/>
  <c r="H85" i="12"/>
  <c r="B85" i="12"/>
  <c r="H84" i="12"/>
  <c r="B84" i="12"/>
  <c r="H83" i="12"/>
  <c r="B83" i="12"/>
  <c r="H82" i="12"/>
  <c r="B82" i="12"/>
  <c r="H81" i="12"/>
  <c r="B81" i="12"/>
  <c r="H80" i="12"/>
  <c r="B80" i="12"/>
  <c r="H79" i="12"/>
  <c r="B79" i="12"/>
  <c r="H78" i="12"/>
  <c r="B78" i="12"/>
  <c r="H77" i="12"/>
  <c r="B77" i="12"/>
  <c r="H76" i="12"/>
  <c r="B76" i="12"/>
  <c r="H75" i="12"/>
  <c r="B75" i="12"/>
  <c r="H74" i="12"/>
  <c r="B74" i="12"/>
  <c r="H73" i="12"/>
  <c r="B73" i="12"/>
  <c r="H72" i="12"/>
  <c r="B72" i="12"/>
  <c r="H71" i="12"/>
  <c r="B71" i="12"/>
  <c r="H70" i="12"/>
  <c r="B70" i="12"/>
  <c r="H69" i="12"/>
  <c r="B69" i="12"/>
  <c r="H68" i="12"/>
  <c r="B68" i="12"/>
  <c r="H67" i="12"/>
  <c r="B67" i="12"/>
  <c r="H66" i="12"/>
  <c r="B66" i="12"/>
  <c r="H65" i="12"/>
  <c r="B65" i="12"/>
  <c r="H64" i="12"/>
  <c r="B64" i="12"/>
  <c r="H63" i="12"/>
  <c r="B63" i="12"/>
  <c r="H62" i="12"/>
  <c r="B62" i="12"/>
  <c r="H61" i="12"/>
  <c r="B61" i="12"/>
  <c r="H60" i="12"/>
  <c r="B60" i="12"/>
  <c r="H59" i="12"/>
  <c r="B59" i="12"/>
  <c r="H58" i="12"/>
  <c r="B58" i="12"/>
  <c r="H57" i="12"/>
  <c r="B57" i="12"/>
  <c r="H56" i="12"/>
  <c r="B56" i="12"/>
  <c r="H55" i="12"/>
  <c r="B55" i="12"/>
  <c r="H54" i="12"/>
  <c r="B54" i="12"/>
  <c r="H53" i="12"/>
  <c r="B53" i="12"/>
  <c r="H52" i="12"/>
  <c r="B52" i="12"/>
  <c r="H51" i="12"/>
  <c r="B51" i="12"/>
  <c r="H50" i="12"/>
  <c r="B50" i="12"/>
  <c r="H49" i="12"/>
  <c r="B49" i="12"/>
  <c r="H48" i="12"/>
  <c r="B48" i="12"/>
  <c r="H47" i="12"/>
  <c r="B47" i="12"/>
  <c r="H46" i="12"/>
  <c r="B46" i="12"/>
  <c r="H45" i="12"/>
  <c r="B45" i="12"/>
  <c r="H44" i="12"/>
  <c r="B44" i="12"/>
  <c r="H43" i="12"/>
  <c r="B43" i="12"/>
  <c r="H42" i="12"/>
  <c r="B42" i="12"/>
  <c r="H41" i="12"/>
  <c r="B41" i="12"/>
  <c r="H40" i="12"/>
  <c r="B40" i="12"/>
  <c r="H39" i="12"/>
  <c r="B39" i="12"/>
  <c r="H38" i="12"/>
  <c r="B38" i="12"/>
  <c r="H37" i="12"/>
  <c r="B37" i="12"/>
  <c r="H36" i="12"/>
  <c r="B36" i="12"/>
  <c r="H35" i="12"/>
  <c r="B35" i="12"/>
  <c r="H34" i="12"/>
  <c r="B34" i="12"/>
  <c r="H33" i="12"/>
  <c r="B33" i="12"/>
  <c r="H32" i="12"/>
  <c r="B32" i="12"/>
  <c r="H31" i="12"/>
  <c r="B31" i="12"/>
  <c r="H30" i="12"/>
  <c r="B30" i="12"/>
  <c r="H29" i="12"/>
  <c r="B29" i="12"/>
  <c r="H28" i="12"/>
  <c r="B28" i="12"/>
  <c r="H27" i="12"/>
  <c r="B27" i="12"/>
  <c r="H26" i="12"/>
  <c r="B26" i="12"/>
  <c r="H25" i="12"/>
  <c r="B25" i="12"/>
  <c r="H24" i="12"/>
  <c r="B24" i="12"/>
  <c r="H23" i="12"/>
  <c r="B23" i="12"/>
  <c r="H22" i="12"/>
  <c r="B22" i="12"/>
  <c r="H21" i="12"/>
  <c r="B21" i="12"/>
  <c r="H20" i="12"/>
  <c r="B20" i="12"/>
  <c r="H19" i="12"/>
  <c r="B19" i="12"/>
  <c r="H18" i="12"/>
  <c r="B18" i="12"/>
  <c r="H17" i="12"/>
  <c r="B17" i="12"/>
  <c r="H16" i="12"/>
  <c r="B16" i="12"/>
  <c r="H15" i="12"/>
  <c r="B15" i="12"/>
  <c r="H14" i="12"/>
  <c r="B14" i="12"/>
  <c r="H13" i="12"/>
  <c r="B13" i="12"/>
  <c r="H12" i="12"/>
  <c r="B12" i="12"/>
  <c r="H11" i="12"/>
  <c r="B11" i="12"/>
  <c r="H10" i="12"/>
  <c r="B10" i="12"/>
  <c r="H9" i="12"/>
  <c r="B9" i="12"/>
  <c r="H8" i="12"/>
  <c r="B8" i="12"/>
  <c r="H7" i="12"/>
  <c r="B7" i="12"/>
  <c r="I6" i="12"/>
  <c r="H6" i="12"/>
  <c r="J5" i="12"/>
  <c r="I5" i="12"/>
  <c r="D8" i="20" s="1"/>
  <c r="F21" i="11"/>
  <c r="E21" i="11"/>
  <c r="F20" i="11"/>
  <c r="E20" i="11"/>
  <c r="F19" i="11"/>
  <c r="E19" i="11"/>
  <c r="E18" i="11"/>
  <c r="F18" i="11" s="1"/>
  <c r="E17" i="11"/>
  <c r="F17" i="11" s="1"/>
  <c r="F16" i="11"/>
  <c r="E16" i="11"/>
  <c r="E15" i="11"/>
  <c r="F15" i="11" s="1"/>
  <c r="F14" i="11"/>
  <c r="E14" i="11"/>
  <c r="F13" i="11"/>
  <c r="E13" i="11"/>
  <c r="E12" i="11"/>
  <c r="F12" i="11" s="1"/>
  <c r="E11" i="11"/>
  <c r="F11" i="11" s="1"/>
  <c r="F10" i="11"/>
  <c r="E10" i="11"/>
  <c r="F9" i="11"/>
  <c r="E9" i="11"/>
  <c r="E8" i="11"/>
  <c r="F8" i="11" s="1"/>
  <c r="F7" i="11"/>
  <c r="E7" i="11"/>
  <c r="B3" i="11"/>
  <c r="J21" i="10"/>
  <c r="H21" i="10"/>
  <c r="I21" i="10" s="1"/>
  <c r="K21" i="10" s="1"/>
  <c r="J20" i="10"/>
  <c r="I20" i="10"/>
  <c r="K20" i="10" s="1"/>
  <c r="H20" i="10"/>
  <c r="K19" i="10"/>
  <c r="J19" i="10"/>
  <c r="H19" i="10"/>
  <c r="I19" i="10" s="1"/>
  <c r="J18" i="10"/>
  <c r="I18" i="10"/>
  <c r="K18" i="10" s="1"/>
  <c r="H18" i="10"/>
  <c r="J17" i="10"/>
  <c r="I17" i="10"/>
  <c r="K17" i="10" s="1"/>
  <c r="H17" i="10"/>
  <c r="J16" i="10"/>
  <c r="H16" i="10"/>
  <c r="I16" i="10" s="1"/>
  <c r="K16" i="10" s="1"/>
  <c r="J15" i="10"/>
  <c r="H15" i="10"/>
  <c r="I15" i="10" s="1"/>
  <c r="K15" i="10" s="1"/>
  <c r="J14" i="10"/>
  <c r="I14" i="10"/>
  <c r="K14" i="10" s="1"/>
  <c r="H14" i="10"/>
  <c r="K13" i="10"/>
  <c r="J13" i="10"/>
  <c r="H13" i="10"/>
  <c r="I13" i="10" s="1"/>
  <c r="J12" i="10"/>
  <c r="H12" i="10"/>
  <c r="I12" i="10" s="1"/>
  <c r="K12" i="10" s="1"/>
  <c r="J11" i="10"/>
  <c r="I11" i="10"/>
  <c r="K11" i="10" s="1"/>
  <c r="H11" i="10"/>
  <c r="J10" i="10"/>
  <c r="H10" i="10"/>
  <c r="I10" i="10" s="1"/>
  <c r="K10" i="10" s="1"/>
  <c r="J9" i="10"/>
  <c r="H9" i="10"/>
  <c r="I9" i="10" s="1"/>
  <c r="K9" i="10" s="1"/>
  <c r="J8" i="10"/>
  <c r="I8" i="10"/>
  <c r="K8" i="10" s="1"/>
  <c r="H8" i="10"/>
  <c r="K7" i="10"/>
  <c r="J7" i="10"/>
  <c r="H7" i="10"/>
  <c r="I7" i="10" s="1"/>
  <c r="H6" i="9"/>
  <c r="G6" i="9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J36" i="7"/>
  <c r="I36" i="7"/>
  <c r="J35" i="7"/>
  <c r="I35" i="7"/>
  <c r="J34" i="7"/>
  <c r="I34" i="7"/>
  <c r="J33" i="7"/>
  <c r="I33" i="7"/>
  <c r="J32" i="7"/>
  <c r="I32" i="7"/>
  <c r="J31" i="7"/>
  <c r="I31" i="7"/>
  <c r="J30" i="7"/>
  <c r="I30" i="7"/>
  <c r="J29" i="7"/>
  <c r="I29" i="7"/>
  <c r="J28" i="7"/>
  <c r="I28" i="7"/>
  <c r="J27" i="7"/>
  <c r="I27" i="7"/>
  <c r="J26" i="7"/>
  <c r="I26" i="7"/>
  <c r="J25" i="7"/>
  <c r="I25" i="7"/>
  <c r="J24" i="7"/>
  <c r="I24" i="7"/>
  <c r="J23" i="7"/>
  <c r="I23" i="7"/>
  <c r="J22" i="7"/>
  <c r="I22" i="7"/>
  <c r="J21" i="7"/>
  <c r="I21" i="7"/>
  <c r="J20" i="7"/>
  <c r="I20" i="7"/>
  <c r="J19" i="7"/>
  <c r="I19" i="7"/>
  <c r="J18" i="7"/>
  <c r="I18" i="7"/>
  <c r="J17" i="7"/>
  <c r="I17" i="7"/>
  <c r="J16" i="7"/>
  <c r="I16" i="7"/>
  <c r="J15" i="7"/>
  <c r="I15" i="7"/>
  <c r="J14" i="7"/>
  <c r="I14" i="7"/>
  <c r="J13" i="7"/>
  <c r="I13" i="7"/>
  <c r="J12" i="7"/>
  <c r="I12" i="7"/>
  <c r="J11" i="7"/>
  <c r="I11" i="7"/>
  <c r="J10" i="7"/>
  <c r="I10" i="7"/>
  <c r="J9" i="7"/>
  <c r="I9" i="7"/>
  <c r="J8" i="7"/>
  <c r="I8" i="7"/>
  <c r="J7" i="7"/>
  <c r="I7" i="7"/>
  <c r="I6" i="7"/>
  <c r="H6" i="7"/>
  <c r="R21" i="6"/>
  <c r="P21" i="6"/>
  <c r="M21" i="6"/>
  <c r="O21" i="6" s="1"/>
  <c r="L21" i="6"/>
  <c r="E21" i="6"/>
  <c r="R20" i="6"/>
  <c r="L20" i="6"/>
  <c r="M20" i="6" s="1"/>
  <c r="O20" i="6" s="1"/>
  <c r="E20" i="6"/>
  <c r="P20" i="6" s="1"/>
  <c r="R19" i="6"/>
  <c r="P19" i="6"/>
  <c r="E19" i="6"/>
  <c r="L19" i="6" s="1"/>
  <c r="M19" i="6" s="1"/>
  <c r="R18" i="6"/>
  <c r="P18" i="6"/>
  <c r="L18" i="6"/>
  <c r="M18" i="6" s="1"/>
  <c r="E18" i="6"/>
  <c r="R17" i="6"/>
  <c r="L17" i="6"/>
  <c r="M17" i="6" s="1"/>
  <c r="O17" i="6" s="1"/>
  <c r="E17" i="6"/>
  <c r="P17" i="6" s="1"/>
  <c r="R16" i="6"/>
  <c r="P16" i="6"/>
  <c r="M16" i="6"/>
  <c r="O16" i="6" s="1"/>
  <c r="E16" i="6"/>
  <c r="L16" i="6" s="1"/>
  <c r="R15" i="6"/>
  <c r="P15" i="6"/>
  <c r="L15" i="6"/>
  <c r="M15" i="6" s="1"/>
  <c r="E15" i="6"/>
  <c r="R14" i="6"/>
  <c r="E14" i="6"/>
  <c r="P14" i="6" s="1"/>
  <c r="R13" i="6"/>
  <c r="E13" i="6"/>
  <c r="L13" i="6" s="1"/>
  <c r="M13" i="6" s="1"/>
  <c r="R12" i="6"/>
  <c r="P12" i="6"/>
  <c r="M12" i="6"/>
  <c r="O12" i="6" s="1"/>
  <c r="L12" i="6"/>
  <c r="E12" i="6"/>
  <c r="R11" i="6"/>
  <c r="L11" i="6"/>
  <c r="M11" i="6" s="1"/>
  <c r="O11" i="6" s="1"/>
  <c r="E11" i="6"/>
  <c r="P11" i="6" s="1"/>
  <c r="R10" i="6"/>
  <c r="P10" i="6"/>
  <c r="E10" i="6"/>
  <c r="L10" i="6" s="1"/>
  <c r="M10" i="6" s="1"/>
  <c r="R9" i="6"/>
  <c r="P9" i="6"/>
  <c r="L9" i="6"/>
  <c r="M9" i="6" s="1"/>
  <c r="E9" i="6"/>
  <c r="R8" i="6"/>
  <c r="L8" i="6"/>
  <c r="M8" i="6" s="1"/>
  <c r="O8" i="6" s="1"/>
  <c r="E8" i="6"/>
  <c r="P8" i="6" s="1"/>
  <c r="R7" i="6"/>
  <c r="P7" i="6"/>
  <c r="M7" i="6"/>
  <c r="O7" i="6" s="1"/>
  <c r="E7" i="6"/>
  <c r="L7" i="6" s="1"/>
  <c r="T6" i="6"/>
  <c r="R6" i="6"/>
  <c r="D6" i="6"/>
  <c r="C6" i="6"/>
  <c r="E179" i="5"/>
  <c r="D175" i="5"/>
  <c r="D173" i="5"/>
  <c r="E164" i="5"/>
  <c r="D159" i="5"/>
  <c r="D158" i="5"/>
  <c r="E151" i="5"/>
  <c r="D145" i="5"/>
  <c r="D144" i="5"/>
  <c r="E143" i="5"/>
  <c r="E25" i="16" s="1"/>
  <c r="E137" i="5"/>
  <c r="E21" i="16" s="1"/>
  <c r="D132" i="5"/>
  <c r="E131" i="5"/>
  <c r="E12" i="16" s="1"/>
  <c r="E128" i="5"/>
  <c r="E124" i="5"/>
  <c r="D120" i="5"/>
  <c r="D119" i="5"/>
  <c r="E110" i="5"/>
  <c r="D105" i="5"/>
  <c r="D103" i="5"/>
  <c r="E99" i="5"/>
  <c r="E93" i="5"/>
  <c r="E92" i="5"/>
  <c r="E92" i="14" s="1"/>
  <c r="D92" i="5"/>
  <c r="E88" i="5"/>
  <c r="E83" i="5"/>
  <c r="D81" i="5"/>
  <c r="D80" i="5"/>
  <c r="E78" i="5"/>
  <c r="E71" i="5"/>
  <c r="D68" i="5"/>
  <c r="E67" i="5"/>
  <c r="E64" i="5"/>
  <c r="E57" i="5"/>
  <c r="D56" i="5"/>
  <c r="D55" i="5"/>
  <c r="E47" i="5"/>
  <c r="D43" i="5"/>
  <c r="D42" i="5"/>
  <c r="E40" i="5"/>
  <c r="E39" i="5"/>
  <c r="E35" i="5"/>
  <c r="D32" i="5"/>
  <c r="D31" i="5"/>
  <c r="E24" i="5"/>
  <c r="D19" i="5"/>
  <c r="D18" i="5"/>
  <c r="E16" i="5"/>
  <c r="E8" i="5"/>
  <c r="E8" i="14" s="1"/>
  <c r="D8" i="5"/>
  <c r="E7" i="5"/>
  <c r="T185" i="4"/>
  <c r="S185" i="4"/>
  <c r="F185" i="4"/>
  <c r="X179" i="4"/>
  <c r="W179" i="4"/>
  <c r="V179" i="4"/>
  <c r="U179" i="4"/>
  <c r="T179" i="4"/>
  <c r="S179" i="4"/>
  <c r="R179" i="4"/>
  <c r="Q179" i="4"/>
  <c r="P179" i="4"/>
  <c r="O179" i="4"/>
  <c r="N179" i="4"/>
  <c r="M179" i="4"/>
  <c r="L179" i="4"/>
  <c r="K179" i="4"/>
  <c r="J179" i="4"/>
  <c r="I179" i="4"/>
  <c r="H179" i="4"/>
  <c r="G179" i="4"/>
  <c r="F179" i="4"/>
  <c r="E179" i="4"/>
  <c r="D169" i="4"/>
  <c r="D167" i="4"/>
  <c r="X164" i="4"/>
  <c r="W164" i="4"/>
  <c r="V164" i="4"/>
  <c r="U164" i="4"/>
  <c r="T164" i="4"/>
  <c r="S164" i="4"/>
  <c r="R164" i="4"/>
  <c r="Q164" i="4"/>
  <c r="P164" i="4"/>
  <c r="O164" i="4"/>
  <c r="N164" i="4"/>
  <c r="M164" i="4"/>
  <c r="L164" i="4"/>
  <c r="K164" i="4"/>
  <c r="J164" i="4"/>
  <c r="I164" i="4"/>
  <c r="H164" i="4"/>
  <c r="G164" i="4"/>
  <c r="F164" i="4"/>
  <c r="E164" i="4"/>
  <c r="D163" i="4"/>
  <c r="D162" i="4"/>
  <c r="X151" i="4"/>
  <c r="W151" i="4"/>
  <c r="V151" i="4"/>
  <c r="U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G151" i="4"/>
  <c r="F151" i="4"/>
  <c r="E151" i="4"/>
  <c r="D146" i="4"/>
  <c r="D145" i="4"/>
  <c r="X143" i="4"/>
  <c r="W143" i="4"/>
  <c r="V143" i="4"/>
  <c r="U143" i="4"/>
  <c r="T143" i="4"/>
  <c r="S143" i="4"/>
  <c r="R143" i="4"/>
  <c r="Q143" i="4"/>
  <c r="P143" i="4"/>
  <c r="O143" i="4"/>
  <c r="N143" i="4"/>
  <c r="M143" i="4"/>
  <c r="L143" i="4"/>
  <c r="K143" i="4"/>
  <c r="J143" i="4"/>
  <c r="I143" i="4"/>
  <c r="H143" i="4"/>
  <c r="G143" i="4"/>
  <c r="F143" i="4"/>
  <c r="E143" i="4"/>
  <c r="D142" i="4"/>
  <c r="D141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X131" i="4"/>
  <c r="W131" i="4"/>
  <c r="V131" i="4"/>
  <c r="U131" i="4"/>
  <c r="T131" i="4"/>
  <c r="S131" i="4"/>
  <c r="R131" i="4"/>
  <c r="Q131" i="4"/>
  <c r="P131" i="4"/>
  <c r="O131" i="4"/>
  <c r="N131" i="4"/>
  <c r="M131" i="4"/>
  <c r="L131" i="4"/>
  <c r="K131" i="4"/>
  <c r="J131" i="4"/>
  <c r="I131" i="4"/>
  <c r="H131" i="4"/>
  <c r="G131" i="4"/>
  <c r="F131" i="4"/>
  <c r="E131" i="4"/>
  <c r="X128" i="4"/>
  <c r="W128" i="4"/>
  <c r="V128" i="4"/>
  <c r="U128" i="4"/>
  <c r="T128" i="4"/>
  <c r="S128" i="4"/>
  <c r="R128" i="4"/>
  <c r="Q128" i="4"/>
  <c r="P128" i="4"/>
  <c r="O128" i="4"/>
  <c r="N128" i="4"/>
  <c r="M128" i="4"/>
  <c r="L128" i="4"/>
  <c r="K128" i="4"/>
  <c r="J128" i="4"/>
  <c r="I128" i="4"/>
  <c r="H128" i="4"/>
  <c r="G128" i="4"/>
  <c r="F128" i="4"/>
  <c r="E128" i="4"/>
  <c r="X124" i="4"/>
  <c r="W124" i="4"/>
  <c r="V124" i="4"/>
  <c r="U124" i="4"/>
  <c r="T124" i="4"/>
  <c r="S124" i="4"/>
  <c r="R124" i="4"/>
  <c r="Q124" i="4"/>
  <c r="P124" i="4"/>
  <c r="O124" i="4"/>
  <c r="N124" i="4"/>
  <c r="M124" i="4"/>
  <c r="L124" i="4"/>
  <c r="K124" i="4"/>
  <c r="J124" i="4"/>
  <c r="I124" i="4"/>
  <c r="H124" i="4"/>
  <c r="G124" i="4"/>
  <c r="F124" i="4"/>
  <c r="E124" i="4"/>
  <c r="D118" i="4"/>
  <c r="D114" i="4"/>
  <c r="D113" i="4"/>
  <c r="X110" i="4"/>
  <c r="W110" i="4"/>
  <c r="V110" i="4"/>
  <c r="U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D109" i="4"/>
  <c r="D102" i="4"/>
  <c r="X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8" i="4"/>
  <c r="D94" i="4"/>
  <c r="X93" i="4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X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0" i="4"/>
  <c r="X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6" i="4"/>
  <c r="X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2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D74" i="4"/>
  <c r="D73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0" i="4"/>
  <c r="D69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G185" i="4" s="1"/>
  <c r="F67" i="4"/>
  <c r="E67" i="4"/>
  <c r="D66" i="4"/>
  <c r="D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2" i="4"/>
  <c r="D61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D50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6" i="4"/>
  <c r="D42" i="4"/>
  <c r="D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8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4" i="4"/>
  <c r="D30" i="4"/>
  <c r="D29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2" i="4"/>
  <c r="D20" i="4"/>
  <c r="D18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D15" i="4"/>
  <c r="D14" i="4"/>
  <c r="D10" i="4"/>
  <c r="D9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X7" i="4"/>
  <c r="X185" i="4" s="1"/>
  <c r="W7" i="4"/>
  <c r="W185" i="4" s="1"/>
  <c r="V7" i="4"/>
  <c r="V185" i="4" s="1"/>
  <c r="U7" i="4"/>
  <c r="U185" i="4" s="1"/>
  <c r="T7" i="4"/>
  <c r="S7" i="4"/>
  <c r="R7" i="4"/>
  <c r="R185" i="4" s="1"/>
  <c r="Q7" i="4"/>
  <c r="P7" i="4"/>
  <c r="P185" i="4" s="1"/>
  <c r="O7" i="4"/>
  <c r="O185" i="4" s="1"/>
  <c r="N7" i="4"/>
  <c r="N185" i="4" s="1"/>
  <c r="M7" i="4"/>
  <c r="M185" i="4" s="1"/>
  <c r="L7" i="4"/>
  <c r="L185" i="4" s="1"/>
  <c r="K7" i="4"/>
  <c r="K185" i="4" s="1"/>
  <c r="J7" i="4"/>
  <c r="J185" i="4" s="1"/>
  <c r="I7" i="4"/>
  <c r="I185" i="4" s="1"/>
  <c r="H7" i="4"/>
  <c r="H185" i="4" s="1"/>
  <c r="G7" i="4"/>
  <c r="F7" i="4"/>
  <c r="E7" i="4"/>
  <c r="D7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B6" i="4"/>
  <c r="B5" i="4"/>
  <c r="X4" i="4"/>
  <c r="T4" i="4"/>
  <c r="S4" i="4"/>
  <c r="R4" i="4"/>
  <c r="P4" i="4"/>
  <c r="N4" i="4"/>
  <c r="M4" i="4"/>
  <c r="L4" i="4"/>
  <c r="H4" i="4"/>
  <c r="G4" i="4"/>
  <c r="F4" i="4"/>
  <c r="D4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N26" i="3"/>
  <c r="N25" i="3"/>
  <c r="W4" i="4" s="1"/>
  <c r="N24" i="3"/>
  <c r="V4" i="4" s="1"/>
  <c r="N23" i="3"/>
  <c r="U4" i="4" s="1"/>
  <c r="N22" i="3"/>
  <c r="N21" i="3"/>
  <c r="N20" i="3"/>
  <c r="N19" i="3"/>
  <c r="Q4" i="4" s="1"/>
  <c r="N18" i="3"/>
  <c r="N17" i="3"/>
  <c r="O4" i="4" s="1"/>
  <c r="N16" i="3"/>
  <c r="N15" i="3"/>
  <c r="N14" i="3"/>
  <c r="N13" i="3"/>
  <c r="K4" i="4" s="1"/>
  <c r="N12" i="3"/>
  <c r="J4" i="4" s="1"/>
  <c r="N11" i="3"/>
  <c r="I4" i="4" s="1"/>
  <c r="N10" i="3"/>
  <c r="N9" i="3"/>
  <c r="N8" i="3"/>
  <c r="N7" i="3"/>
  <c r="O6" i="3"/>
  <c r="N6" i="3"/>
  <c r="L6" i="3"/>
  <c r="K6" i="3"/>
  <c r="J6" i="3"/>
  <c r="I6" i="3"/>
  <c r="H6" i="3"/>
  <c r="G6" i="3"/>
  <c r="F6" i="3"/>
  <c r="E6" i="3"/>
  <c r="D6" i="3"/>
  <c r="C6" i="3"/>
  <c r="B6" i="3"/>
  <c r="B3" i="3"/>
  <c r="B19" i="2"/>
  <c r="B18" i="2"/>
  <c r="D17" i="2"/>
  <c r="B17" i="2"/>
  <c r="B16" i="2"/>
  <c r="B15" i="2"/>
  <c r="B14" i="2"/>
  <c r="B13" i="2"/>
  <c r="B12" i="2"/>
  <c r="B11" i="2"/>
  <c r="D10" i="2"/>
  <c r="F12" i="13" s="1"/>
  <c r="B10" i="2"/>
  <c r="B9" i="2"/>
  <c r="B8" i="2"/>
  <c r="B7" i="2"/>
  <c r="B4" i="2"/>
  <c r="B3" i="2"/>
  <c r="C38" i="1"/>
  <c r="C37" i="1"/>
  <c r="C36" i="1"/>
  <c r="C35" i="1"/>
  <c r="C34" i="1"/>
  <c r="C33" i="1"/>
  <c r="C32" i="1"/>
  <c r="C31" i="1"/>
  <c r="C30" i="1"/>
  <c r="E27" i="1"/>
  <c r="D27" i="1"/>
  <c r="C27" i="1"/>
  <c r="E26" i="1"/>
  <c r="D26" i="1"/>
  <c r="C26" i="1"/>
  <c r="E25" i="1"/>
  <c r="D25" i="1"/>
  <c r="C25" i="1"/>
  <c r="E24" i="1"/>
  <c r="D24" i="1"/>
  <c r="C24" i="1"/>
  <c r="E23" i="1"/>
  <c r="D23" i="1"/>
  <c r="C23" i="1"/>
  <c r="E22" i="1"/>
  <c r="D22" i="1"/>
  <c r="C22" i="1"/>
  <c r="E21" i="1"/>
  <c r="D21" i="1"/>
  <c r="C21" i="1"/>
  <c r="E20" i="1"/>
  <c r="D20" i="1"/>
  <c r="C20" i="1"/>
  <c r="E19" i="1"/>
  <c r="D19" i="1"/>
  <c r="C19" i="1"/>
  <c r="E18" i="1"/>
  <c r="D18" i="1"/>
  <c r="C18" i="1"/>
  <c r="E17" i="1"/>
  <c r="D17" i="1"/>
  <c r="C17" i="1"/>
  <c r="E16" i="1"/>
  <c r="D16" i="1"/>
  <c r="C16" i="1"/>
  <c r="E15" i="1"/>
  <c r="D15" i="1"/>
  <c r="C15" i="1"/>
  <c r="E14" i="1"/>
  <c r="D14" i="1"/>
  <c r="C14" i="1"/>
  <c r="E13" i="1"/>
  <c r="D13" i="1"/>
  <c r="C13" i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B6" i="1"/>
  <c r="B4" i="1"/>
  <c r="B3" i="1"/>
  <c r="O13" i="6" l="1"/>
  <c r="N13" i="6"/>
  <c r="S13" i="6" s="1"/>
  <c r="O9" i="6"/>
  <c r="N9" i="6"/>
  <c r="S9" i="6" s="1"/>
  <c r="O18" i="6"/>
  <c r="N18" i="6"/>
  <c r="S18" i="6" s="1"/>
  <c r="O15" i="6"/>
  <c r="N15" i="6"/>
  <c r="S15" i="6" s="1"/>
  <c r="O10" i="6"/>
  <c r="N10" i="6"/>
  <c r="S10" i="6" s="1"/>
  <c r="O19" i="6"/>
  <c r="N19" i="6"/>
  <c r="S19" i="6" s="1"/>
  <c r="N12" i="6"/>
  <c r="S12" i="6" s="1"/>
  <c r="N21" i="6"/>
  <c r="S21" i="6" s="1"/>
  <c r="D11" i="4"/>
  <c r="D31" i="4"/>
  <c r="D43" i="4"/>
  <c r="D63" i="4"/>
  <c r="D67" i="4"/>
  <c r="D71" i="4"/>
  <c r="D75" i="4"/>
  <c r="D79" i="4"/>
  <c r="D95" i="4"/>
  <c r="D115" i="4"/>
  <c r="D143" i="4"/>
  <c r="D147" i="4"/>
  <c r="D170" i="4"/>
  <c r="D20" i="5"/>
  <c r="D33" i="5"/>
  <c r="D44" i="5"/>
  <c r="E57" i="15"/>
  <c r="E57" i="14"/>
  <c r="D70" i="5"/>
  <c r="D82" i="5"/>
  <c r="D93" i="5"/>
  <c r="D106" i="5"/>
  <c r="D122" i="5"/>
  <c r="D133" i="5"/>
  <c r="D147" i="5"/>
  <c r="D161" i="5"/>
  <c r="D176" i="5"/>
  <c r="E6" i="6"/>
  <c r="B3" i="8"/>
  <c r="B3" i="10"/>
  <c r="C6" i="11"/>
  <c r="L6" i="12"/>
  <c r="J53" i="13"/>
  <c r="J58" i="13"/>
  <c r="J57" i="13" s="1"/>
  <c r="I124" i="13"/>
  <c r="J125" i="13"/>
  <c r="J124" i="13" s="1"/>
  <c r="L14" i="6"/>
  <c r="M14" i="6" s="1"/>
  <c r="H7" i="13"/>
  <c r="D12" i="4"/>
  <c r="D32" i="4"/>
  <c r="D36" i="4"/>
  <c r="D40" i="4"/>
  <c r="D44" i="4"/>
  <c r="D48" i="4"/>
  <c r="D64" i="4"/>
  <c r="D76" i="4"/>
  <c r="D80" i="4"/>
  <c r="D84" i="4"/>
  <c r="D96" i="4"/>
  <c r="D100" i="4"/>
  <c r="D116" i="4"/>
  <c r="D148" i="4"/>
  <c r="D153" i="4"/>
  <c r="D171" i="4"/>
  <c r="D9" i="5"/>
  <c r="D21" i="5"/>
  <c r="D34" i="5"/>
  <c r="D45" i="5"/>
  <c r="D58" i="5"/>
  <c r="D71" i="5"/>
  <c r="D83" i="5"/>
  <c r="D108" i="5"/>
  <c r="D123" i="5"/>
  <c r="D134" i="5"/>
  <c r="D148" i="5"/>
  <c r="D162" i="5"/>
  <c r="D177" i="5"/>
  <c r="F6" i="6"/>
  <c r="B4" i="8"/>
  <c r="B4" i="10"/>
  <c r="E6" i="11"/>
  <c r="F8" i="13"/>
  <c r="J42" i="13"/>
  <c r="E8" i="15"/>
  <c r="B4" i="23"/>
  <c r="E6" i="20"/>
  <c r="C29" i="18"/>
  <c r="G6" i="18"/>
  <c r="F6" i="17"/>
  <c r="B4" i="16"/>
  <c r="B3" i="23"/>
  <c r="I6" i="21"/>
  <c r="C14" i="20"/>
  <c r="C10" i="20"/>
  <c r="C6" i="20"/>
  <c r="C39" i="18"/>
  <c r="C23" i="18"/>
  <c r="C10" i="18"/>
  <c r="E6" i="18"/>
  <c r="D6" i="17"/>
  <c r="C62" i="16"/>
  <c r="C59" i="16"/>
  <c r="C56" i="16"/>
  <c r="C53" i="16"/>
  <c r="C50" i="16"/>
  <c r="C47" i="16"/>
  <c r="C44" i="16"/>
  <c r="C41" i="16"/>
  <c r="C38" i="16"/>
  <c r="C35" i="16"/>
  <c r="C32" i="16"/>
  <c r="C29" i="16"/>
  <c r="C26" i="16"/>
  <c r="C23" i="16"/>
  <c r="C20" i="16"/>
  <c r="C17" i="16"/>
  <c r="C14" i="16"/>
  <c r="C11" i="16"/>
  <c r="C8" i="16"/>
  <c r="H6" i="21"/>
  <c r="B6" i="20"/>
  <c r="C33" i="18"/>
  <c r="C28" i="18"/>
  <c r="C14" i="18"/>
  <c r="D6" i="18"/>
  <c r="C57" i="17"/>
  <c r="C54" i="17"/>
  <c r="C51" i="17"/>
  <c r="C48" i="17"/>
  <c r="C45" i="17"/>
  <c r="C42" i="17"/>
  <c r="C39" i="17"/>
  <c r="C36" i="17"/>
  <c r="C33" i="17"/>
  <c r="C30" i="17"/>
  <c r="C27" i="17"/>
  <c r="C24" i="17"/>
  <c r="C21" i="17"/>
  <c r="C18" i="17"/>
  <c r="C15" i="17"/>
  <c r="C12" i="17"/>
  <c r="C9" i="17"/>
  <c r="C6" i="17"/>
  <c r="G6" i="21"/>
  <c r="F6" i="21"/>
  <c r="C13" i="20"/>
  <c r="C9" i="20"/>
  <c r="B3" i="20"/>
  <c r="C38" i="18"/>
  <c r="C32" i="18"/>
  <c r="C27" i="18"/>
  <c r="E6" i="21"/>
  <c r="C13" i="18"/>
  <c r="C8" i="18"/>
  <c r="B4" i="18"/>
  <c r="B3" i="17"/>
  <c r="C61" i="16"/>
  <c r="C58" i="16"/>
  <c r="C55" i="16"/>
  <c r="C52" i="16"/>
  <c r="C49" i="16"/>
  <c r="C46" i="16"/>
  <c r="C43" i="16"/>
  <c r="C40" i="16"/>
  <c r="C37" i="16"/>
  <c r="C34" i="16"/>
  <c r="C31" i="16"/>
  <c r="C28" i="16"/>
  <c r="C25" i="16"/>
  <c r="C22" i="16"/>
  <c r="C19" i="16"/>
  <c r="C16" i="16"/>
  <c r="C13" i="16"/>
  <c r="C10" i="16"/>
  <c r="C7" i="16"/>
  <c r="D6" i="21"/>
  <c r="C37" i="18"/>
  <c r="C31" i="18"/>
  <c r="C26" i="18"/>
  <c r="C21" i="18"/>
  <c r="C17" i="18"/>
  <c r="B3" i="18"/>
  <c r="C56" i="17"/>
  <c r="C53" i="17"/>
  <c r="C50" i="17"/>
  <c r="C47" i="17"/>
  <c r="C44" i="17"/>
  <c r="C41" i="17"/>
  <c r="C38" i="17"/>
  <c r="C35" i="17"/>
  <c r="C32" i="17"/>
  <c r="C29" i="17"/>
  <c r="C26" i="17"/>
  <c r="C23" i="17"/>
  <c r="C20" i="17"/>
  <c r="C17" i="17"/>
  <c r="C14" i="17"/>
  <c r="C11" i="17"/>
  <c r="C8" i="17"/>
  <c r="F6" i="16"/>
  <c r="C6" i="21"/>
  <c r="C12" i="20"/>
  <c r="C8" i="20"/>
  <c r="B6" i="21"/>
  <c r="B4" i="20"/>
  <c r="C18" i="18"/>
  <c r="C11" i="18"/>
  <c r="B6" i="18"/>
  <c r="C34" i="17"/>
  <c r="C57" i="16"/>
  <c r="C123" i="15"/>
  <c r="C119" i="15"/>
  <c r="C108" i="15"/>
  <c r="C75" i="15"/>
  <c r="C71" i="15"/>
  <c r="C64" i="15"/>
  <c r="C54" i="15"/>
  <c r="C47" i="15"/>
  <c r="C24" i="15"/>
  <c r="C14" i="15"/>
  <c r="C126" i="14"/>
  <c r="C123" i="14"/>
  <c r="C120" i="14"/>
  <c r="C117" i="14"/>
  <c r="C114" i="14"/>
  <c r="C111" i="14"/>
  <c r="C108" i="14"/>
  <c r="C105" i="14"/>
  <c r="C102" i="14"/>
  <c r="C99" i="14"/>
  <c r="C96" i="14"/>
  <c r="C93" i="14"/>
  <c r="C90" i="14"/>
  <c r="C87" i="14"/>
  <c r="B4" i="21"/>
  <c r="C40" i="18"/>
  <c r="C24" i="18"/>
  <c r="C16" i="18"/>
  <c r="C43" i="17"/>
  <c r="C7" i="17"/>
  <c r="C51" i="16"/>
  <c r="C42" i="16"/>
  <c r="C33" i="16"/>
  <c r="C24" i="16"/>
  <c r="C15" i="16"/>
  <c r="C6" i="16"/>
  <c r="C122" i="15"/>
  <c r="C107" i="15"/>
  <c r="C100" i="15"/>
  <c r="C85" i="15"/>
  <c r="C74" i="15"/>
  <c r="C63" i="15"/>
  <c r="C53" i="15"/>
  <c r="C43" i="15"/>
  <c r="C33" i="15"/>
  <c r="C23" i="15"/>
  <c r="C10" i="15"/>
  <c r="C7" i="15"/>
  <c r="C9" i="18"/>
  <c r="C58" i="17"/>
  <c r="C22" i="17"/>
  <c r="E6" i="17"/>
  <c r="C60" i="16"/>
  <c r="B6" i="16"/>
  <c r="C126" i="15"/>
  <c r="C118" i="15"/>
  <c r="C96" i="15"/>
  <c r="C92" i="15"/>
  <c r="C81" i="15"/>
  <c r="C70" i="15"/>
  <c r="C56" i="15"/>
  <c r="C46" i="15"/>
  <c r="C11" i="20"/>
  <c r="C30" i="18"/>
  <c r="C22" i="18"/>
  <c r="C52" i="17"/>
  <c r="C16" i="17"/>
  <c r="B4" i="17"/>
  <c r="C131" i="15"/>
  <c r="C125" i="15"/>
  <c r="C99" i="15"/>
  <c r="C36" i="18"/>
  <c r="C20" i="18"/>
  <c r="C12" i="18"/>
  <c r="H6" i="18"/>
  <c r="C25" i="17"/>
  <c r="C63" i="16"/>
  <c r="C129" i="15"/>
  <c r="C124" i="15"/>
  <c r="C120" i="15"/>
  <c r="C109" i="15"/>
  <c r="C98" i="15"/>
  <c r="C83" i="15"/>
  <c r="C76" i="15"/>
  <c r="C58" i="15"/>
  <c r="C38" i="15"/>
  <c r="C28" i="15"/>
  <c r="B3" i="21"/>
  <c r="C31" i="17"/>
  <c r="C10" i="17"/>
  <c r="E6" i="16"/>
  <c r="C102" i="15"/>
  <c r="C97" i="15"/>
  <c r="C82" i="15"/>
  <c r="C67" i="15"/>
  <c r="C62" i="15"/>
  <c r="C40" i="15"/>
  <c r="C12" i="15"/>
  <c r="C130" i="14"/>
  <c r="C125" i="14"/>
  <c r="C118" i="14"/>
  <c r="C107" i="14"/>
  <c r="C100" i="14"/>
  <c r="C76" i="14"/>
  <c r="C63" i="14"/>
  <c r="C53" i="14"/>
  <c r="C40" i="14"/>
  <c r="C27" i="14"/>
  <c r="B6" i="14"/>
  <c r="C35" i="18"/>
  <c r="C25" i="18"/>
  <c r="D6" i="16"/>
  <c r="C117" i="15"/>
  <c r="C77" i="15"/>
  <c r="C72" i="15"/>
  <c r="C49" i="15"/>
  <c r="C35" i="15"/>
  <c r="C31" i="15"/>
  <c r="C8" i="15"/>
  <c r="C79" i="14"/>
  <c r="C66" i="14"/>
  <c r="C56" i="14"/>
  <c r="C43" i="14"/>
  <c r="C30" i="14"/>
  <c r="B4" i="14"/>
  <c r="C37" i="17"/>
  <c r="C45" i="16"/>
  <c r="C39" i="16"/>
  <c r="C12" i="16"/>
  <c r="B3" i="16"/>
  <c r="C112" i="15"/>
  <c r="C91" i="15"/>
  <c r="C86" i="15"/>
  <c r="C66" i="15"/>
  <c r="C44" i="15"/>
  <c r="C39" i="15"/>
  <c r="C27" i="15"/>
  <c r="C19" i="15"/>
  <c r="C129" i="14"/>
  <c r="C121" i="14"/>
  <c r="C110" i="14"/>
  <c r="C103" i="14"/>
  <c r="C82" i="14"/>
  <c r="C69" i="14"/>
  <c r="C59" i="14"/>
  <c r="C46" i="14"/>
  <c r="C33" i="14"/>
  <c r="B3" i="14"/>
  <c r="F182" i="13"/>
  <c r="F180" i="13"/>
  <c r="F178" i="13"/>
  <c r="F176" i="13"/>
  <c r="F174" i="13"/>
  <c r="F172" i="13"/>
  <c r="F170" i="13"/>
  <c r="F168" i="13"/>
  <c r="F166" i="13"/>
  <c r="F164" i="13"/>
  <c r="F162" i="13"/>
  <c r="F160" i="13"/>
  <c r="F158" i="13"/>
  <c r="F156" i="13"/>
  <c r="F154" i="13"/>
  <c r="F152" i="13"/>
  <c r="F150" i="13"/>
  <c r="F148" i="13"/>
  <c r="F146" i="13"/>
  <c r="F144" i="13"/>
  <c r="F142" i="13"/>
  <c r="C34" i="18"/>
  <c r="C18" i="16"/>
  <c r="C116" i="15"/>
  <c r="C106" i="15"/>
  <c r="C101" i="15"/>
  <c r="C95" i="15"/>
  <c r="C61" i="15"/>
  <c r="C57" i="15"/>
  <c r="C52" i="15"/>
  <c r="C15" i="15"/>
  <c r="C11" i="15"/>
  <c r="C89" i="14"/>
  <c r="C85" i="14"/>
  <c r="C72" i="14"/>
  <c r="C62" i="14"/>
  <c r="C49" i="14"/>
  <c r="C36" i="14"/>
  <c r="C26" i="14"/>
  <c r="C23" i="14"/>
  <c r="C20" i="14"/>
  <c r="C17" i="14"/>
  <c r="C14" i="14"/>
  <c r="C11" i="14"/>
  <c r="C8" i="14"/>
  <c r="C49" i="17"/>
  <c r="C90" i="15"/>
  <c r="C80" i="15"/>
  <c r="C48" i="15"/>
  <c r="C26" i="15"/>
  <c r="C22" i="15"/>
  <c r="F6" i="15"/>
  <c r="C124" i="14"/>
  <c r="C113" i="14"/>
  <c r="C106" i="14"/>
  <c r="C92" i="14"/>
  <c r="C75" i="14"/>
  <c r="C65" i="14"/>
  <c r="C52" i="14"/>
  <c r="C39" i="14"/>
  <c r="C29" i="14"/>
  <c r="C7" i="20"/>
  <c r="B6" i="17"/>
  <c r="C111" i="15"/>
  <c r="C105" i="15"/>
  <c r="C89" i="15"/>
  <c r="C65" i="15"/>
  <c r="C34" i="15"/>
  <c r="C30" i="15"/>
  <c r="E6" i="15"/>
  <c r="C95" i="14"/>
  <c r="C78" i="14"/>
  <c r="C68" i="14"/>
  <c r="C55" i="14"/>
  <c r="C42" i="14"/>
  <c r="C32" i="14"/>
  <c r="D6" i="20"/>
  <c r="C55" i="17"/>
  <c r="C28" i="17"/>
  <c r="C13" i="17"/>
  <c r="C30" i="16"/>
  <c r="C121" i="15"/>
  <c r="C18" i="15"/>
  <c r="D6" i="15"/>
  <c r="C127" i="14"/>
  <c r="C116" i="14"/>
  <c r="C109" i="14"/>
  <c r="C98" i="14"/>
  <c r="C81" i="14"/>
  <c r="C71" i="14"/>
  <c r="C58" i="14"/>
  <c r="C41" i="18"/>
  <c r="C19" i="18"/>
  <c r="C36" i="16"/>
  <c r="C9" i="16"/>
  <c r="C115" i="15"/>
  <c r="C110" i="15"/>
  <c r="C104" i="15"/>
  <c r="C94" i="15"/>
  <c r="C84" i="15"/>
  <c r="C69" i="15"/>
  <c r="C60" i="15"/>
  <c r="C51" i="15"/>
  <c r="C42" i="15"/>
  <c r="C37" i="15"/>
  <c r="C6" i="15"/>
  <c r="C88" i="14"/>
  <c r="C84" i="14"/>
  <c r="C74" i="14"/>
  <c r="C61" i="14"/>
  <c r="C48" i="14"/>
  <c r="C38" i="14"/>
  <c r="C25" i="14"/>
  <c r="C22" i="14"/>
  <c r="C19" i="14"/>
  <c r="C16" i="14"/>
  <c r="C13" i="14"/>
  <c r="C10" i="14"/>
  <c r="C7" i="14"/>
  <c r="I6" i="18"/>
  <c r="C40" i="17"/>
  <c r="C19" i="17"/>
  <c r="C48" i="16"/>
  <c r="C7" i="18"/>
  <c r="C36" i="15"/>
  <c r="B6" i="15"/>
  <c r="C122" i="14"/>
  <c r="C101" i="14"/>
  <c r="C73" i="14"/>
  <c r="C12" i="14"/>
  <c r="C6" i="14"/>
  <c r="F161" i="13"/>
  <c r="F6" i="18"/>
  <c r="C46" i="17"/>
  <c r="C54" i="16"/>
  <c r="C114" i="15"/>
  <c r="C87" i="15"/>
  <c r="C13" i="15"/>
  <c r="B4" i="15"/>
  <c r="C115" i="14"/>
  <c r="C94" i="14"/>
  <c r="C64" i="14"/>
  <c r="F175" i="13"/>
  <c r="F163" i="13"/>
  <c r="C6" i="18"/>
  <c r="C113" i="15"/>
  <c r="C78" i="15"/>
  <c r="C20" i="15"/>
  <c r="B3" i="15"/>
  <c r="C51" i="14"/>
  <c r="C45" i="14"/>
  <c r="F141" i="13"/>
  <c r="F139" i="13"/>
  <c r="F137" i="13"/>
  <c r="F135" i="13"/>
  <c r="F133" i="13"/>
  <c r="F131" i="13"/>
  <c r="F129" i="13"/>
  <c r="F127" i="13"/>
  <c r="F125" i="13"/>
  <c r="F123" i="13"/>
  <c r="F121" i="13"/>
  <c r="F119" i="13"/>
  <c r="F117" i="13"/>
  <c r="F115" i="13"/>
  <c r="F113" i="13"/>
  <c r="F111" i="13"/>
  <c r="F109" i="13"/>
  <c r="F107" i="13"/>
  <c r="F105" i="13"/>
  <c r="F103" i="13"/>
  <c r="F101" i="13"/>
  <c r="F99" i="13"/>
  <c r="F97" i="13"/>
  <c r="F95" i="13"/>
  <c r="F93" i="13"/>
  <c r="F91" i="13"/>
  <c r="F89" i="13"/>
  <c r="F87" i="13"/>
  <c r="F85" i="13"/>
  <c r="F83" i="13"/>
  <c r="F81" i="13"/>
  <c r="F79" i="13"/>
  <c r="F77" i="13"/>
  <c r="F75" i="13"/>
  <c r="F73" i="13"/>
  <c r="F71" i="13"/>
  <c r="F69" i="13"/>
  <c r="F67" i="13"/>
  <c r="F65" i="13"/>
  <c r="F63" i="13"/>
  <c r="F61" i="13"/>
  <c r="C21" i="16"/>
  <c r="C68" i="15"/>
  <c r="C59" i="15"/>
  <c r="C77" i="14"/>
  <c r="C57" i="14"/>
  <c r="F183" i="13"/>
  <c r="C103" i="15"/>
  <c r="C50" i="15"/>
  <c r="C41" i="15"/>
  <c r="C70" i="14"/>
  <c r="C44" i="14"/>
  <c r="C21" i="14"/>
  <c r="C32" i="15"/>
  <c r="C25" i="15"/>
  <c r="C119" i="14"/>
  <c r="C91" i="14"/>
  <c r="C50" i="14"/>
  <c r="C15" i="14"/>
  <c r="F179" i="13"/>
  <c r="F167" i="13"/>
  <c r="C15" i="18"/>
  <c r="C17" i="15"/>
  <c r="C112" i="14"/>
  <c r="C83" i="14"/>
  <c r="C37" i="14"/>
  <c r="C31" i="14"/>
  <c r="F149" i="13"/>
  <c r="C55" i="15"/>
  <c r="C35" i="14"/>
  <c r="F153" i="13"/>
  <c r="F140" i="13"/>
  <c r="F138" i="13"/>
  <c r="F136" i="13"/>
  <c r="F134" i="13"/>
  <c r="F132" i="13"/>
  <c r="F130" i="13"/>
  <c r="F128" i="13"/>
  <c r="F126" i="13"/>
  <c r="F124" i="13"/>
  <c r="F122" i="13"/>
  <c r="F120" i="13"/>
  <c r="F118" i="13"/>
  <c r="F116" i="13"/>
  <c r="F114" i="13"/>
  <c r="F112" i="13"/>
  <c r="F110" i="13"/>
  <c r="F108" i="13"/>
  <c r="F106" i="13"/>
  <c r="F104" i="13"/>
  <c r="F102" i="13"/>
  <c r="F100" i="13"/>
  <c r="F98" i="13"/>
  <c r="F96" i="13"/>
  <c r="F94" i="13"/>
  <c r="F92" i="13"/>
  <c r="F90" i="13"/>
  <c r="F88" i="13"/>
  <c r="F86" i="13"/>
  <c r="F84" i="13"/>
  <c r="F82" i="13"/>
  <c r="F80" i="13"/>
  <c r="F78" i="13"/>
  <c r="F76" i="13"/>
  <c r="F74" i="13"/>
  <c r="F72" i="13"/>
  <c r="F70" i="13"/>
  <c r="F68" i="13"/>
  <c r="F66" i="13"/>
  <c r="F64" i="13"/>
  <c r="F62" i="13"/>
  <c r="F60" i="13"/>
  <c r="F58" i="13"/>
  <c r="F56" i="13"/>
  <c r="F54" i="13"/>
  <c r="F52" i="13"/>
  <c r="F50" i="13"/>
  <c r="F48" i="13"/>
  <c r="F46" i="13"/>
  <c r="F44" i="13"/>
  <c r="F42" i="13"/>
  <c r="F40" i="13"/>
  <c r="F38" i="13"/>
  <c r="F36" i="13"/>
  <c r="F34" i="13"/>
  <c r="F32" i="13"/>
  <c r="F30" i="13"/>
  <c r="C27" i="16"/>
  <c r="C127" i="15"/>
  <c r="C16" i="15"/>
  <c r="C9" i="15"/>
  <c r="C67" i="14"/>
  <c r="C54" i="14"/>
  <c r="C24" i="14"/>
  <c r="F6" i="14"/>
  <c r="F171" i="13"/>
  <c r="F155" i="13"/>
  <c r="F147" i="13"/>
  <c r="C73" i="15"/>
  <c r="C41" i="14"/>
  <c r="F181" i="13"/>
  <c r="F177" i="13"/>
  <c r="F173" i="13"/>
  <c r="F169" i="13"/>
  <c r="F165" i="13"/>
  <c r="F53" i="13"/>
  <c r="F29" i="13"/>
  <c r="F27" i="13"/>
  <c r="F25" i="13"/>
  <c r="F23" i="13"/>
  <c r="F21" i="13"/>
  <c r="F19" i="13"/>
  <c r="F17" i="13"/>
  <c r="F15" i="13"/>
  <c r="F13" i="13"/>
  <c r="F11" i="13"/>
  <c r="F9" i="13"/>
  <c r="F7" i="13"/>
  <c r="B3" i="13"/>
  <c r="F157" i="13"/>
  <c r="F55" i="13"/>
  <c r="C9" i="14"/>
  <c r="F143" i="13"/>
  <c r="F57" i="13"/>
  <c r="F33" i="13"/>
  <c r="J6" i="13"/>
  <c r="D6" i="12"/>
  <c r="I6" i="10"/>
  <c r="F6" i="9"/>
  <c r="E6" i="8"/>
  <c r="D6" i="7"/>
  <c r="M6" i="6"/>
  <c r="B4" i="6"/>
  <c r="D174" i="5"/>
  <c r="D163" i="5"/>
  <c r="D141" i="5"/>
  <c r="D131" i="5"/>
  <c r="D121" i="5"/>
  <c r="D110" i="5"/>
  <c r="D99" i="5"/>
  <c r="D89" i="5"/>
  <c r="D79" i="5"/>
  <c r="D69" i="5"/>
  <c r="D59" i="5"/>
  <c r="D48" i="5"/>
  <c r="D39" i="5"/>
  <c r="D28" i="5"/>
  <c r="C45" i="15"/>
  <c r="C97" i="14"/>
  <c r="C60" i="14"/>
  <c r="C28" i="14"/>
  <c r="E6" i="14"/>
  <c r="F59" i="13"/>
  <c r="F35" i="13"/>
  <c r="I6" i="13"/>
  <c r="C6" i="12"/>
  <c r="F6" i="11"/>
  <c r="H6" i="10"/>
  <c r="E6" i="9"/>
  <c r="D6" i="8"/>
  <c r="C79" i="15"/>
  <c r="C21" i="15"/>
  <c r="C47" i="14"/>
  <c r="C18" i="14"/>
  <c r="D6" i="14"/>
  <c r="F37" i="13"/>
  <c r="H6" i="13"/>
  <c r="C93" i="15"/>
  <c r="F39" i="13"/>
  <c r="G6" i="13"/>
  <c r="M6" i="12"/>
  <c r="D6" i="11"/>
  <c r="F6" i="10"/>
  <c r="C6" i="9"/>
  <c r="B6" i="8"/>
  <c r="B4" i="7"/>
  <c r="J6" i="6"/>
  <c r="D182" i="5"/>
  <c r="D171" i="5"/>
  <c r="D160" i="5"/>
  <c r="D149" i="5"/>
  <c r="D138" i="5"/>
  <c r="D118" i="5"/>
  <c r="D107" i="5"/>
  <c r="D96" i="5"/>
  <c r="D87" i="5"/>
  <c r="D77" i="5"/>
  <c r="D67" i="5"/>
  <c r="D57" i="5"/>
  <c r="D46" i="5"/>
  <c r="D36" i="5"/>
  <c r="D25" i="5"/>
  <c r="D15" i="5"/>
  <c r="D6" i="5"/>
  <c r="D168" i="4"/>
  <c r="D164" i="4"/>
  <c r="D152" i="4"/>
  <c r="C88" i="15"/>
  <c r="C80" i="14"/>
  <c r="C34" i="14"/>
  <c r="F159" i="13"/>
  <c r="F43" i="13"/>
  <c r="E6" i="13"/>
  <c r="K6" i="12"/>
  <c r="B4" i="12"/>
  <c r="B6" i="11"/>
  <c r="D6" i="10"/>
  <c r="B4" i="9"/>
  <c r="C104" i="14"/>
  <c r="F145" i="13"/>
  <c r="F45" i="13"/>
  <c r="D6" i="13"/>
  <c r="J6" i="12"/>
  <c r="B3" i="12"/>
  <c r="B4" i="11"/>
  <c r="C6" i="10"/>
  <c r="B3" i="9"/>
  <c r="J6" i="7"/>
  <c r="S6" i="6"/>
  <c r="G6" i="6"/>
  <c r="D168" i="5"/>
  <c r="D157" i="5"/>
  <c r="D146" i="5"/>
  <c r="D136" i="5"/>
  <c r="D126" i="5"/>
  <c r="D115" i="5"/>
  <c r="D104" i="5"/>
  <c r="B4" i="3"/>
  <c r="M6" i="3"/>
  <c r="D13" i="4"/>
  <c r="D17" i="4"/>
  <c r="D33" i="4"/>
  <c r="D37" i="4"/>
  <c r="D45" i="4"/>
  <c r="D49" i="4"/>
  <c r="D77" i="4"/>
  <c r="D81" i="4"/>
  <c r="D85" i="4"/>
  <c r="D89" i="4"/>
  <c r="D93" i="4"/>
  <c r="D97" i="4"/>
  <c r="D101" i="4"/>
  <c r="D117" i="4"/>
  <c r="D149" i="4"/>
  <c r="D154" i="4"/>
  <c r="D172" i="4"/>
  <c r="D10" i="5"/>
  <c r="D22" i="5"/>
  <c r="D35" i="5"/>
  <c r="D47" i="5"/>
  <c r="D60" i="5"/>
  <c r="E113" i="15"/>
  <c r="E71" i="14"/>
  <c r="E130" i="14"/>
  <c r="E125" i="15"/>
  <c r="E83" i="14"/>
  <c r="D94" i="5"/>
  <c r="D109" i="5"/>
  <c r="D124" i="5"/>
  <c r="D135" i="5"/>
  <c r="D150" i="5"/>
  <c r="D164" i="5"/>
  <c r="D178" i="5"/>
  <c r="H6" i="6"/>
  <c r="N7" i="6"/>
  <c r="S7" i="6" s="1"/>
  <c r="N16" i="6"/>
  <c r="S16" i="6" s="1"/>
  <c r="C6" i="8"/>
  <c r="B6" i="10"/>
  <c r="H57" i="13"/>
  <c r="H67" i="13"/>
  <c r="I151" i="13"/>
  <c r="J152" i="13"/>
  <c r="J151" i="13" s="1"/>
  <c r="E67" i="15"/>
  <c r="E67" i="14"/>
  <c r="D150" i="4"/>
  <c r="D155" i="4"/>
  <c r="D173" i="4"/>
  <c r="D11" i="5"/>
  <c r="D23" i="5"/>
  <c r="E35" i="15"/>
  <c r="E35" i="14"/>
  <c r="E47" i="15"/>
  <c r="E47" i="14"/>
  <c r="D61" i="5"/>
  <c r="D72" i="5"/>
  <c r="D84" i="5"/>
  <c r="D95" i="5"/>
  <c r="E71" i="15"/>
  <c r="E110" i="14"/>
  <c r="E124" i="14"/>
  <c r="E85" i="15"/>
  <c r="D137" i="5"/>
  <c r="D151" i="5"/>
  <c r="E53" i="16"/>
  <c r="E48" i="17"/>
  <c r="D179" i="5"/>
  <c r="I6" i="6"/>
  <c r="F6" i="8"/>
  <c r="E6" i="10"/>
  <c r="F16" i="13"/>
  <c r="F20" i="13"/>
  <c r="F31" i="13"/>
  <c r="F47" i="13"/>
  <c r="D19" i="4"/>
  <c r="D35" i="4"/>
  <c r="D39" i="4"/>
  <c r="D47" i="4"/>
  <c r="D51" i="4"/>
  <c r="D83" i="4"/>
  <c r="D87" i="4"/>
  <c r="D91" i="4"/>
  <c r="D99" i="4"/>
  <c r="D103" i="4"/>
  <c r="D119" i="4"/>
  <c r="D151" i="4"/>
  <c r="D156" i="4"/>
  <c r="D174" i="4"/>
  <c r="B3" i="5"/>
  <c r="D12" i="5"/>
  <c r="D24" i="5"/>
  <c r="D37" i="5"/>
  <c r="D49" i="5"/>
  <c r="D62" i="5"/>
  <c r="D73" i="5"/>
  <c r="D85" i="5"/>
  <c r="D97" i="5"/>
  <c r="D111" i="5"/>
  <c r="D125" i="5"/>
  <c r="D165" i="5"/>
  <c r="K6" i="6"/>
  <c r="N11" i="6"/>
  <c r="S11" i="6" s="1"/>
  <c r="N20" i="6"/>
  <c r="S20" i="6" s="1"/>
  <c r="B3" i="7"/>
  <c r="G6" i="8"/>
  <c r="G6" i="10"/>
  <c r="E8" i="20"/>
  <c r="E32" i="1" s="1"/>
  <c r="H8" i="13"/>
  <c r="J9" i="13"/>
  <c r="F51" i="13"/>
  <c r="J67" i="13"/>
  <c r="E185" i="4"/>
  <c r="D9" i="20" s="1"/>
  <c r="E9" i="20" s="1"/>
  <c r="E33" i="1" s="1"/>
  <c r="D52" i="4"/>
  <c r="D88" i="4"/>
  <c r="D92" i="4"/>
  <c r="D104" i="4"/>
  <c r="D120" i="4"/>
  <c r="D132" i="4"/>
  <c r="D157" i="4"/>
  <c r="D175" i="4"/>
  <c r="B4" i="5"/>
  <c r="D13" i="5"/>
  <c r="E24" i="15"/>
  <c r="E24" i="14"/>
  <c r="D38" i="5"/>
  <c r="D50" i="5"/>
  <c r="D63" i="5"/>
  <c r="D74" i="5"/>
  <c r="D86" i="5"/>
  <c r="D98" i="5"/>
  <c r="D112" i="5"/>
  <c r="D127" i="5"/>
  <c r="D139" i="5"/>
  <c r="D152" i="5"/>
  <c r="D166" i="5"/>
  <c r="D180" i="5"/>
  <c r="L6" i="6"/>
  <c r="B6" i="7"/>
  <c r="H6" i="8"/>
  <c r="J6" i="10"/>
  <c r="B4" i="13"/>
  <c r="I8" i="13"/>
  <c r="F24" i="13"/>
  <c r="F28" i="13"/>
  <c r="I67" i="13"/>
  <c r="H93" i="13"/>
  <c r="J94" i="13"/>
  <c r="H92" i="13"/>
  <c r="I92" i="13"/>
  <c r="E129" i="14"/>
  <c r="E7" i="15"/>
  <c r="E7" i="14"/>
  <c r="Q185" i="4"/>
  <c r="D21" i="4"/>
  <c r="D25" i="4"/>
  <c r="D53" i="4"/>
  <c r="D105" i="4"/>
  <c r="D121" i="4"/>
  <c r="D125" i="4"/>
  <c r="D129" i="4"/>
  <c r="D133" i="4"/>
  <c r="D158" i="4"/>
  <c r="D176" i="4"/>
  <c r="D180" i="4"/>
  <c r="B6" i="5"/>
  <c r="D14" i="5"/>
  <c r="D26" i="5"/>
  <c r="E39" i="15"/>
  <c r="E39" i="14"/>
  <c r="D51" i="5"/>
  <c r="D64" i="5"/>
  <c r="D75" i="5"/>
  <c r="D88" i="5"/>
  <c r="E92" i="15"/>
  <c r="E99" i="14"/>
  <c r="D113" i="5"/>
  <c r="D128" i="5"/>
  <c r="D140" i="5"/>
  <c r="D153" i="5"/>
  <c r="D167" i="5"/>
  <c r="D181" i="5"/>
  <c r="N6" i="6"/>
  <c r="C6" i="7"/>
  <c r="I6" i="8"/>
  <c r="K6" i="10"/>
  <c r="B6" i="12"/>
  <c r="B6" i="13"/>
  <c r="F10" i="13"/>
  <c r="J13" i="13"/>
  <c r="H16" i="13"/>
  <c r="J17" i="13"/>
  <c r="J47" i="13"/>
  <c r="J113" i="13"/>
  <c r="I110" i="13"/>
  <c r="J122" i="13"/>
  <c r="J110" i="13" s="1"/>
  <c r="G86" i="13"/>
  <c r="K86" i="13" s="1"/>
  <c r="D26" i="4"/>
  <c r="D54" i="4"/>
  <c r="D58" i="4"/>
  <c r="D106" i="4"/>
  <c r="D122" i="4"/>
  <c r="D126" i="4"/>
  <c r="D130" i="4"/>
  <c r="D134" i="4"/>
  <c r="D138" i="4"/>
  <c r="D159" i="4"/>
  <c r="D177" i="4"/>
  <c r="D181" i="4"/>
  <c r="C6" i="5"/>
  <c r="D16" i="5"/>
  <c r="D27" i="5"/>
  <c r="D40" i="5"/>
  <c r="D52" i="5"/>
  <c r="E64" i="15"/>
  <c r="E64" i="14"/>
  <c r="D76" i="5"/>
  <c r="E88" i="14"/>
  <c r="E109" i="15"/>
  <c r="D100" i="5"/>
  <c r="D114" i="5"/>
  <c r="D142" i="5"/>
  <c r="D154" i="5"/>
  <c r="D169" i="5"/>
  <c r="D183" i="5"/>
  <c r="O6" i="6"/>
  <c r="P13" i="6"/>
  <c r="E6" i="7"/>
  <c r="L6" i="10"/>
  <c r="E6" i="12"/>
  <c r="C6" i="13"/>
  <c r="I16" i="13"/>
  <c r="H71" i="13"/>
  <c r="H99" i="13"/>
  <c r="H128" i="13"/>
  <c r="D13" i="20"/>
  <c r="E13" i="20" s="1"/>
  <c r="E37" i="1" s="1"/>
  <c r="E4" i="4"/>
  <c r="D23" i="4"/>
  <c r="D27" i="4"/>
  <c r="D55" i="4"/>
  <c r="D59" i="4"/>
  <c r="D107" i="4"/>
  <c r="D111" i="4"/>
  <c r="D123" i="4"/>
  <c r="D127" i="4"/>
  <c r="D131" i="4"/>
  <c r="D135" i="4"/>
  <c r="D139" i="4"/>
  <c r="D160" i="4"/>
  <c r="D165" i="4"/>
  <c r="D178" i="4"/>
  <c r="D182" i="4"/>
  <c r="E6" i="5"/>
  <c r="E16" i="15"/>
  <c r="E16" i="14"/>
  <c r="D29" i="5"/>
  <c r="E40" i="15"/>
  <c r="E40" i="14"/>
  <c r="D53" i="5"/>
  <c r="D65" i="5"/>
  <c r="D78" i="5"/>
  <c r="D90" i="5"/>
  <c r="D101" i="5"/>
  <c r="D116" i="5"/>
  <c r="D129" i="5"/>
  <c r="D143" i="5"/>
  <c r="D155" i="5"/>
  <c r="D170" i="5"/>
  <c r="B3" i="6"/>
  <c r="P6" i="6"/>
  <c r="N8" i="6"/>
  <c r="S8" i="6" s="1"/>
  <c r="N17" i="6"/>
  <c r="S17" i="6" s="1"/>
  <c r="F6" i="7"/>
  <c r="B6" i="9"/>
  <c r="M6" i="10"/>
  <c r="F6" i="12"/>
  <c r="F6" i="13"/>
  <c r="F14" i="13"/>
  <c r="F18" i="13"/>
  <c r="J21" i="13"/>
  <c r="H24" i="13"/>
  <c r="J25" i="13"/>
  <c r="J24" i="13" s="1"/>
  <c r="F41" i="13"/>
  <c r="F49" i="13"/>
  <c r="I71" i="13"/>
  <c r="J74" i="13"/>
  <c r="H78" i="13"/>
  <c r="J79" i="13"/>
  <c r="J78" i="13" s="1"/>
  <c r="I99" i="13"/>
  <c r="I128" i="13"/>
  <c r="J129" i="13"/>
  <c r="J128" i="13" s="1"/>
  <c r="I143" i="13"/>
  <c r="J144" i="13"/>
  <c r="J143" i="13" s="1"/>
  <c r="C29" i="15"/>
  <c r="D24" i="4"/>
  <c r="D28" i="4"/>
  <c r="D56" i="4"/>
  <c r="D60" i="4"/>
  <c r="D68" i="4"/>
  <c r="D72" i="4"/>
  <c r="D108" i="4"/>
  <c r="D112" i="4"/>
  <c r="D124" i="4"/>
  <c r="D128" i="4"/>
  <c r="D136" i="4"/>
  <c r="D140" i="4"/>
  <c r="D144" i="4"/>
  <c r="D161" i="4"/>
  <c r="D166" i="4"/>
  <c r="D179" i="4"/>
  <c r="D183" i="4"/>
  <c r="D7" i="5"/>
  <c r="D17" i="5"/>
  <c r="D30" i="5"/>
  <c r="D41" i="5"/>
  <c r="D54" i="5"/>
  <c r="D66" i="5"/>
  <c r="E120" i="15"/>
  <c r="E78" i="14"/>
  <c r="D91" i="5"/>
  <c r="D102" i="5"/>
  <c r="D117" i="5"/>
  <c r="D130" i="5"/>
  <c r="D156" i="5"/>
  <c r="D172" i="5"/>
  <c r="B6" i="6"/>
  <c r="Q6" i="6"/>
  <c r="G6" i="7"/>
  <c r="D6" i="9"/>
  <c r="G6" i="12"/>
  <c r="K6" i="13"/>
  <c r="I24" i="13"/>
  <c r="J39" i="13"/>
  <c r="J40" i="13"/>
  <c r="J65" i="13"/>
  <c r="J64" i="13" s="1"/>
  <c r="I88" i="13"/>
  <c r="J89" i="13"/>
  <c r="J88" i="13" s="1"/>
  <c r="J99" i="13"/>
  <c r="J137" i="13"/>
  <c r="H137" i="13"/>
  <c r="J161" i="13"/>
  <c r="E103" i="15"/>
  <c r="E93" i="14"/>
  <c r="J98" i="13"/>
  <c r="J132" i="13"/>
  <c r="J131" i="13" s="1"/>
  <c r="J158" i="13"/>
  <c r="J91" i="13"/>
  <c r="E9" i="17"/>
  <c r="E14" i="17" s="1"/>
  <c r="E30" i="16"/>
  <c r="E55" i="16" s="1"/>
  <c r="E60" i="16" s="1"/>
  <c r="E62" i="16" s="1"/>
  <c r="E9" i="16"/>
  <c r="H39" i="13"/>
  <c r="J163" i="13"/>
  <c r="E54" i="16"/>
  <c r="E43" i="16"/>
  <c r="E38" i="17"/>
  <c r="E49" i="17" s="1"/>
  <c r="J149" i="13"/>
  <c r="H164" i="13"/>
  <c r="J168" i="13"/>
  <c r="I35" i="13"/>
  <c r="J150" i="13"/>
  <c r="H179" i="13"/>
  <c r="H39" i="18"/>
  <c r="H41" i="18" s="1"/>
  <c r="E18" i="17"/>
  <c r="E14" i="20"/>
  <c r="E38" i="1" s="1"/>
  <c r="E91" i="15" l="1"/>
  <c r="D58" i="17"/>
  <c r="F58" i="17" s="1"/>
  <c r="D63" i="16"/>
  <c r="F63" i="16" s="1"/>
  <c r="E25" i="17"/>
  <c r="E50" i="17" s="1"/>
  <c r="E55" i="17" s="1"/>
  <c r="E57" i="17" s="1"/>
  <c r="J92" i="13"/>
  <c r="J93" i="13"/>
  <c r="J71" i="13"/>
  <c r="J8" i="13"/>
  <c r="J7" i="13"/>
  <c r="G182" i="13"/>
  <c r="K182" i="13" s="1"/>
  <c r="D16" i="17" s="1"/>
  <c r="F16" i="17" s="1"/>
  <c r="G180" i="13"/>
  <c r="G178" i="13"/>
  <c r="K178" i="13" s="1"/>
  <c r="G176" i="13"/>
  <c r="K176" i="13" s="1"/>
  <c r="G174" i="13"/>
  <c r="K174" i="13" s="1"/>
  <c r="G172" i="13"/>
  <c r="K172" i="13" s="1"/>
  <c r="G170" i="13"/>
  <c r="K170" i="13" s="1"/>
  <c r="G168" i="13"/>
  <c r="K168" i="13" s="1"/>
  <c r="G166" i="13"/>
  <c r="K166" i="13" s="1"/>
  <c r="G183" i="13"/>
  <c r="K183" i="13" s="1"/>
  <c r="D17" i="17" s="1"/>
  <c r="F17" i="17" s="1"/>
  <c r="G181" i="13"/>
  <c r="K181" i="13" s="1"/>
  <c r="D15" i="17" s="1"/>
  <c r="G175" i="13"/>
  <c r="K175" i="13" s="1"/>
  <c r="G163" i="13"/>
  <c r="K163" i="13" s="1"/>
  <c r="G150" i="13"/>
  <c r="K150" i="13" s="1"/>
  <c r="G152" i="13"/>
  <c r="G141" i="13"/>
  <c r="K141" i="13" s="1"/>
  <c r="G139" i="13"/>
  <c r="K139" i="13" s="1"/>
  <c r="D17" i="16" s="1"/>
  <c r="F17" i="16" s="1"/>
  <c r="G135" i="13"/>
  <c r="K135" i="13" s="1"/>
  <c r="G133" i="13"/>
  <c r="K133" i="13" s="1"/>
  <c r="D11" i="16" s="1"/>
  <c r="F11" i="16" s="1"/>
  <c r="G177" i="13"/>
  <c r="K177" i="13" s="1"/>
  <c r="G165" i="13"/>
  <c r="G154" i="13"/>
  <c r="K154" i="13" s="1"/>
  <c r="G167" i="13"/>
  <c r="K167" i="13" s="1"/>
  <c r="G158" i="13"/>
  <c r="K158" i="13" s="1"/>
  <c r="G169" i="13"/>
  <c r="K169" i="13" s="1"/>
  <c r="G162" i="13"/>
  <c r="K162" i="13" s="1"/>
  <c r="G171" i="13"/>
  <c r="K171" i="13" s="1"/>
  <c r="G155" i="13"/>
  <c r="K155" i="13" s="1"/>
  <c r="G142" i="13"/>
  <c r="K142" i="13" s="1"/>
  <c r="G157" i="13"/>
  <c r="K157" i="13" s="1"/>
  <c r="G144" i="13"/>
  <c r="G173" i="13"/>
  <c r="K173" i="13" s="1"/>
  <c r="G161" i="13"/>
  <c r="K161" i="13" s="1"/>
  <c r="G132" i="13"/>
  <c r="G122" i="13"/>
  <c r="K122" i="13" s="1"/>
  <c r="G98" i="13"/>
  <c r="K98" i="13" s="1"/>
  <c r="G74" i="13"/>
  <c r="K74" i="13" s="1"/>
  <c r="G62" i="13"/>
  <c r="K62" i="13" s="1"/>
  <c r="G129" i="13"/>
  <c r="G117" i="13"/>
  <c r="K117" i="13" s="1"/>
  <c r="G105" i="13"/>
  <c r="K105" i="13" s="1"/>
  <c r="G81" i="13"/>
  <c r="G69" i="13"/>
  <c r="K69" i="13" s="1"/>
  <c r="G55" i="13"/>
  <c r="K55" i="13" s="1"/>
  <c r="G42" i="13"/>
  <c r="K42" i="13" s="1"/>
  <c r="G31" i="13"/>
  <c r="K31" i="13" s="1"/>
  <c r="G112" i="13"/>
  <c r="K112" i="13" s="1"/>
  <c r="G100" i="13"/>
  <c r="G76" i="13"/>
  <c r="K76" i="13" s="1"/>
  <c r="G44" i="13"/>
  <c r="K44" i="13" s="1"/>
  <c r="G33" i="13"/>
  <c r="K33" i="13" s="1"/>
  <c r="G160" i="13"/>
  <c r="K160" i="13" s="1"/>
  <c r="G140" i="13"/>
  <c r="K140" i="13" s="1"/>
  <c r="D18" i="16" s="1"/>
  <c r="F18" i="16" s="1"/>
  <c r="G134" i="13"/>
  <c r="K134" i="13" s="1"/>
  <c r="G119" i="13"/>
  <c r="K119" i="13" s="1"/>
  <c r="G107" i="13"/>
  <c r="K107" i="13" s="1"/>
  <c r="G95" i="13"/>
  <c r="K95" i="13" s="1"/>
  <c r="G59" i="13"/>
  <c r="K59" i="13" s="1"/>
  <c r="G46" i="13"/>
  <c r="K46" i="13" s="1"/>
  <c r="G149" i="13"/>
  <c r="K149" i="13" s="1"/>
  <c r="G146" i="13"/>
  <c r="K146" i="13" s="1"/>
  <c r="D24" i="16" s="1"/>
  <c r="F24" i="16" s="1"/>
  <c r="G126" i="13"/>
  <c r="K126" i="13" s="1"/>
  <c r="G114" i="13"/>
  <c r="K114" i="13" s="1"/>
  <c r="G102" i="13"/>
  <c r="K102" i="13" s="1"/>
  <c r="G90" i="13"/>
  <c r="K90" i="13" s="1"/>
  <c r="G66" i="13"/>
  <c r="K66" i="13" s="1"/>
  <c r="G48" i="13"/>
  <c r="G37" i="13"/>
  <c r="K37" i="13" s="1"/>
  <c r="G153" i="13"/>
  <c r="K153" i="13" s="1"/>
  <c r="G121" i="13"/>
  <c r="K121" i="13" s="1"/>
  <c r="G109" i="13"/>
  <c r="K109" i="13" s="1"/>
  <c r="G97" i="13"/>
  <c r="K97" i="13" s="1"/>
  <c r="G85" i="13"/>
  <c r="K85" i="13" s="1"/>
  <c r="G73" i="13"/>
  <c r="K73" i="13" s="1"/>
  <c r="G61" i="13"/>
  <c r="K61" i="13" s="1"/>
  <c r="G50" i="13"/>
  <c r="K50" i="13" s="1"/>
  <c r="G156" i="13"/>
  <c r="K156" i="13" s="1"/>
  <c r="G136" i="13"/>
  <c r="K136" i="13" s="1"/>
  <c r="G116" i="13"/>
  <c r="K116" i="13" s="1"/>
  <c r="G104" i="13"/>
  <c r="K104" i="13" s="1"/>
  <c r="G80" i="13"/>
  <c r="K80" i="13" s="1"/>
  <c r="G68" i="13"/>
  <c r="G52" i="13"/>
  <c r="K52" i="13" s="1"/>
  <c r="G41" i="13"/>
  <c r="G28" i="13"/>
  <c r="K28" i="13" s="1"/>
  <c r="G26" i="13"/>
  <c r="K26" i="13" s="1"/>
  <c r="G22" i="13"/>
  <c r="K22" i="13" s="1"/>
  <c r="G20" i="13"/>
  <c r="K20" i="13" s="1"/>
  <c r="G18" i="13"/>
  <c r="K18" i="13" s="1"/>
  <c r="G14" i="13"/>
  <c r="K14" i="13" s="1"/>
  <c r="G12" i="13"/>
  <c r="K12" i="13" s="1"/>
  <c r="G10" i="13"/>
  <c r="K10" i="13" s="1"/>
  <c r="G148" i="13"/>
  <c r="K148" i="13" s="1"/>
  <c r="G145" i="13"/>
  <c r="K145" i="13" s="1"/>
  <c r="D23" i="16" s="1"/>
  <c r="F23" i="16" s="1"/>
  <c r="G130" i="13"/>
  <c r="K130" i="13" s="1"/>
  <c r="G118" i="13"/>
  <c r="K118" i="13" s="1"/>
  <c r="G106" i="13"/>
  <c r="K106" i="13" s="1"/>
  <c r="G94" i="13"/>
  <c r="G82" i="13"/>
  <c r="K82" i="13" s="1"/>
  <c r="G70" i="13"/>
  <c r="K70" i="13" s="1"/>
  <c r="G56" i="13"/>
  <c r="K56" i="13" s="1"/>
  <c r="G45" i="13"/>
  <c r="K45" i="13" s="1"/>
  <c r="G32" i="13"/>
  <c r="K32" i="13" s="1"/>
  <c r="G125" i="13"/>
  <c r="G113" i="13"/>
  <c r="K113" i="13" s="1"/>
  <c r="G101" i="13"/>
  <c r="K101" i="13" s="1"/>
  <c r="G89" i="13"/>
  <c r="G77" i="13"/>
  <c r="K77" i="13" s="1"/>
  <c r="G65" i="13"/>
  <c r="G58" i="13"/>
  <c r="G34" i="13"/>
  <c r="K34" i="13" s="1"/>
  <c r="G120" i="13"/>
  <c r="K120" i="13" s="1"/>
  <c r="G108" i="13"/>
  <c r="K108" i="13" s="1"/>
  <c r="G96" i="13"/>
  <c r="K96" i="13" s="1"/>
  <c r="G84" i="13"/>
  <c r="G115" i="13"/>
  <c r="K115" i="13" s="1"/>
  <c r="G75" i="13"/>
  <c r="K75" i="13" s="1"/>
  <c r="G49" i="13"/>
  <c r="K49" i="13" s="1"/>
  <c r="G29" i="13"/>
  <c r="K29" i="13" s="1"/>
  <c r="G123" i="13"/>
  <c r="K123" i="13" s="1"/>
  <c r="G79" i="13"/>
  <c r="G25" i="13"/>
  <c r="G21" i="13"/>
  <c r="K21" i="13" s="1"/>
  <c r="G159" i="13"/>
  <c r="K159" i="13" s="1"/>
  <c r="G60" i="13"/>
  <c r="K60" i="13" s="1"/>
  <c r="G36" i="13"/>
  <c r="G51" i="13"/>
  <c r="K51" i="13" s="1"/>
  <c r="G17" i="13"/>
  <c r="G13" i="13"/>
  <c r="K13" i="13" s="1"/>
  <c r="G11" i="13"/>
  <c r="K11" i="13" s="1"/>
  <c r="G87" i="13"/>
  <c r="K87" i="13" s="1"/>
  <c r="G138" i="13"/>
  <c r="G127" i="13"/>
  <c r="K127" i="13" s="1"/>
  <c r="G63" i="13"/>
  <c r="K63" i="13" s="1"/>
  <c r="G9" i="13"/>
  <c r="G147" i="13"/>
  <c r="K147" i="13" s="1"/>
  <c r="G103" i="13"/>
  <c r="K103" i="13" s="1"/>
  <c r="G54" i="13"/>
  <c r="K54" i="13" s="1"/>
  <c r="G43" i="13"/>
  <c r="K43" i="13" s="1"/>
  <c r="G27" i="13"/>
  <c r="K27" i="13" s="1"/>
  <c r="G23" i="13"/>
  <c r="K23" i="13" s="1"/>
  <c r="G53" i="13"/>
  <c r="K53" i="13" s="1"/>
  <c r="G38" i="13"/>
  <c r="K38" i="13" s="1"/>
  <c r="G91" i="13"/>
  <c r="K91" i="13" s="1"/>
  <c r="G72" i="13"/>
  <c r="G30" i="13"/>
  <c r="K30" i="13" s="1"/>
  <c r="G19" i="13"/>
  <c r="K19" i="13" s="1"/>
  <c r="G15" i="13"/>
  <c r="K15" i="13" s="1"/>
  <c r="G111" i="13"/>
  <c r="E89" i="15"/>
  <c r="E90" i="15" s="1"/>
  <c r="E131" i="15" s="1"/>
  <c r="O14" i="6"/>
  <c r="N14" i="6"/>
  <c r="S14" i="6" s="1"/>
  <c r="J16" i="13"/>
  <c r="D115" i="15" l="1"/>
  <c r="F115" i="15" s="1"/>
  <c r="D73" i="14"/>
  <c r="F73" i="14" s="1"/>
  <c r="G179" i="13"/>
  <c r="K180" i="13"/>
  <c r="D106" i="14"/>
  <c r="F106" i="14" s="1"/>
  <c r="D99" i="15"/>
  <c r="F99" i="15" s="1"/>
  <c r="D37" i="17"/>
  <c r="F37" i="17" s="1"/>
  <c r="D42" i="16"/>
  <c r="F42" i="16" s="1"/>
  <c r="D112" i="15"/>
  <c r="F112" i="15" s="1"/>
  <c r="D91" i="14"/>
  <c r="F91" i="14" s="1"/>
  <c r="G137" i="13"/>
  <c r="K138" i="13"/>
  <c r="D84" i="15"/>
  <c r="F84" i="15" s="1"/>
  <c r="D123" i="14"/>
  <c r="F123" i="14" s="1"/>
  <c r="D77" i="14"/>
  <c r="F77" i="14" s="1"/>
  <c r="D119" i="15"/>
  <c r="F119" i="15" s="1"/>
  <c r="D79" i="15"/>
  <c r="F79" i="15" s="1"/>
  <c r="D118" i="14"/>
  <c r="F118" i="14" s="1"/>
  <c r="K41" i="13"/>
  <c r="G39" i="13"/>
  <c r="G40" i="13"/>
  <c r="D107" i="15"/>
  <c r="F107" i="15" s="1"/>
  <c r="D97" i="14"/>
  <c r="F97" i="14" s="1"/>
  <c r="D23" i="17"/>
  <c r="F23" i="17" s="1"/>
  <c r="D28" i="16"/>
  <c r="F28" i="16" s="1"/>
  <c r="K100" i="13"/>
  <c r="G99" i="13"/>
  <c r="D98" i="14"/>
  <c r="F98" i="14" s="1"/>
  <c r="D108" i="15"/>
  <c r="F108" i="15" s="1"/>
  <c r="D32" i="17"/>
  <c r="F32" i="17" s="1"/>
  <c r="D37" i="16"/>
  <c r="F37" i="16" s="1"/>
  <c r="D54" i="17"/>
  <c r="F54" i="17" s="1"/>
  <c r="D59" i="16"/>
  <c r="F59" i="16" s="1"/>
  <c r="G57" i="13"/>
  <c r="K58" i="13"/>
  <c r="D44" i="14"/>
  <c r="F44" i="14" s="1"/>
  <c r="D44" i="15"/>
  <c r="F44" i="15" s="1"/>
  <c r="D88" i="15"/>
  <c r="F88" i="15" s="1"/>
  <c r="D127" i="14"/>
  <c r="F127" i="14" s="1"/>
  <c r="D127" i="15"/>
  <c r="F127" i="15" s="1"/>
  <c r="D85" i="14"/>
  <c r="F85" i="14" s="1"/>
  <c r="D118" i="15"/>
  <c r="F118" i="15" s="1"/>
  <c r="D76" i="14"/>
  <c r="F76" i="14" s="1"/>
  <c r="D38" i="14"/>
  <c r="F38" i="14" s="1"/>
  <c r="D38" i="15"/>
  <c r="F38" i="15" s="1"/>
  <c r="D8" i="17"/>
  <c r="F8" i="17" s="1"/>
  <c r="D8" i="16"/>
  <c r="F8" i="16" s="1"/>
  <c r="F15" i="17"/>
  <c r="D18" i="17"/>
  <c r="F18" i="17" s="1"/>
  <c r="D13" i="15"/>
  <c r="F13" i="15" s="1"/>
  <c r="D13" i="14"/>
  <c r="F13" i="14" s="1"/>
  <c r="D80" i="14"/>
  <c r="F80" i="14" s="1"/>
  <c r="D122" i="15"/>
  <c r="F122" i="15" s="1"/>
  <c r="D27" i="17"/>
  <c r="F27" i="17" s="1"/>
  <c r="D32" i="16"/>
  <c r="F32" i="16" s="1"/>
  <c r="D105" i="15"/>
  <c r="F105" i="15" s="1"/>
  <c r="D95" i="14"/>
  <c r="F95" i="14" s="1"/>
  <c r="D42" i="14"/>
  <c r="F42" i="14" s="1"/>
  <c r="D42" i="15"/>
  <c r="F42" i="15" s="1"/>
  <c r="D35" i="17"/>
  <c r="F35" i="17" s="1"/>
  <c r="D40" i="16"/>
  <c r="F40" i="16" s="1"/>
  <c r="G164" i="13"/>
  <c r="K165" i="13"/>
  <c r="D45" i="16"/>
  <c r="F45" i="16" s="1"/>
  <c r="D40" i="17"/>
  <c r="F40" i="17" s="1"/>
  <c r="D30" i="14"/>
  <c r="F30" i="14" s="1"/>
  <c r="D30" i="15"/>
  <c r="F30" i="15" s="1"/>
  <c r="G93" i="13"/>
  <c r="K94" i="13"/>
  <c r="G92" i="13"/>
  <c r="D62" i="14"/>
  <c r="F62" i="14" s="1"/>
  <c r="D62" i="15"/>
  <c r="F62" i="15" s="1"/>
  <c r="G71" i="13"/>
  <c r="K72" i="13"/>
  <c r="D28" i="14"/>
  <c r="F28" i="14" s="1"/>
  <c r="D28" i="15"/>
  <c r="F28" i="15" s="1"/>
  <c r="D113" i="14"/>
  <c r="F113" i="14" s="1"/>
  <c r="D74" i="15"/>
  <c r="F74" i="15" s="1"/>
  <c r="D27" i="15"/>
  <c r="F27" i="15" s="1"/>
  <c r="D27" i="14"/>
  <c r="F27" i="14" s="1"/>
  <c r="G124" i="13"/>
  <c r="K125" i="13"/>
  <c r="D37" i="15"/>
  <c r="F37" i="15" s="1"/>
  <c r="D37" i="14"/>
  <c r="F37" i="14" s="1"/>
  <c r="D53" i="17"/>
  <c r="F53" i="17" s="1"/>
  <c r="D58" i="16"/>
  <c r="F58" i="16" s="1"/>
  <c r="D42" i="17"/>
  <c r="F42" i="17" s="1"/>
  <c r="D47" i="16"/>
  <c r="F47" i="16" s="1"/>
  <c r="D117" i="15"/>
  <c r="F117" i="15" s="1"/>
  <c r="D75" i="14"/>
  <c r="F75" i="14" s="1"/>
  <c r="G16" i="13"/>
  <c r="K17" i="13"/>
  <c r="D10" i="15"/>
  <c r="F10" i="15" s="1"/>
  <c r="D10" i="14"/>
  <c r="F10" i="14" s="1"/>
  <c r="D107" i="14"/>
  <c r="F107" i="14" s="1"/>
  <c r="D100" i="15"/>
  <c r="F100" i="15" s="1"/>
  <c r="D55" i="14"/>
  <c r="F55" i="14" s="1"/>
  <c r="D55" i="15"/>
  <c r="F55" i="15" s="1"/>
  <c r="D43" i="14"/>
  <c r="F43" i="14" s="1"/>
  <c r="D43" i="15"/>
  <c r="F43" i="15" s="1"/>
  <c r="D51" i="15"/>
  <c r="F51" i="15" s="1"/>
  <c r="D51" i="14"/>
  <c r="F51" i="14" s="1"/>
  <c r="G83" i="13"/>
  <c r="K84" i="13"/>
  <c r="D32" i="14"/>
  <c r="F32" i="14" s="1"/>
  <c r="D32" i="15"/>
  <c r="F32" i="15" s="1"/>
  <c r="D12" i="15"/>
  <c r="F12" i="15" s="1"/>
  <c r="D12" i="14"/>
  <c r="F12" i="14" s="1"/>
  <c r="D116" i="14"/>
  <c r="F116" i="14" s="1"/>
  <c r="D77" i="15"/>
  <c r="F77" i="15" s="1"/>
  <c r="E16" i="18"/>
  <c r="G16" i="18" s="1"/>
  <c r="G47" i="13"/>
  <c r="K48" i="13"/>
  <c r="D119" i="14"/>
  <c r="F119" i="14" s="1"/>
  <c r="D80" i="15"/>
  <c r="F80" i="15" s="1"/>
  <c r="D69" i="14"/>
  <c r="F69" i="14" s="1"/>
  <c r="D69" i="15"/>
  <c r="F69" i="15" s="1"/>
  <c r="G143" i="13"/>
  <c r="K144" i="13"/>
  <c r="D44" i="17"/>
  <c r="F44" i="17" s="1"/>
  <c r="D49" i="16"/>
  <c r="F49" i="16" s="1"/>
  <c r="D26" i="14"/>
  <c r="F26" i="14" s="1"/>
  <c r="D26" i="15"/>
  <c r="F26" i="15" s="1"/>
  <c r="D24" i="17"/>
  <c r="F24" i="17" s="1"/>
  <c r="D29" i="16"/>
  <c r="F29" i="16" s="1"/>
  <c r="G64" i="13"/>
  <c r="K65" i="13"/>
  <c r="G88" i="13"/>
  <c r="K89" i="13"/>
  <c r="D46" i="15"/>
  <c r="F46" i="15" s="1"/>
  <c r="D46" i="14"/>
  <c r="F46" i="14" s="1"/>
  <c r="D41" i="17"/>
  <c r="F41" i="17" s="1"/>
  <c r="D46" i="16"/>
  <c r="F46" i="16" s="1"/>
  <c r="D49" i="15"/>
  <c r="F49" i="15" s="1"/>
  <c r="D49" i="14"/>
  <c r="F49" i="14" s="1"/>
  <c r="K68" i="13"/>
  <c r="G67" i="13"/>
  <c r="G131" i="13"/>
  <c r="K132" i="13"/>
  <c r="D33" i="16"/>
  <c r="F33" i="16" s="1"/>
  <c r="D28" i="17"/>
  <c r="F28" i="17" s="1"/>
  <c r="D23" i="15"/>
  <c r="F23" i="15" s="1"/>
  <c r="D23" i="14"/>
  <c r="F23" i="14" s="1"/>
  <c r="D22" i="17"/>
  <c r="F22" i="17" s="1"/>
  <c r="D27" i="16"/>
  <c r="F27" i="16" s="1"/>
  <c r="E15" i="18"/>
  <c r="G15" i="18" s="1"/>
  <c r="D76" i="15"/>
  <c r="F76" i="15" s="1"/>
  <c r="D115" i="14"/>
  <c r="F115" i="14" s="1"/>
  <c r="D97" i="15"/>
  <c r="F97" i="15" s="1"/>
  <c r="D104" i="14"/>
  <c r="F104" i="14" s="1"/>
  <c r="D47" i="17"/>
  <c r="F47" i="17" s="1"/>
  <c r="D52" i="16"/>
  <c r="F52" i="16" s="1"/>
  <c r="D54" i="14"/>
  <c r="F54" i="14" s="1"/>
  <c r="D54" i="15"/>
  <c r="F54" i="15" s="1"/>
  <c r="G35" i="13"/>
  <c r="K36" i="13"/>
  <c r="D106" i="15"/>
  <c r="F106" i="15" s="1"/>
  <c r="D96" i="14"/>
  <c r="F96" i="14" s="1"/>
  <c r="D45" i="14"/>
  <c r="F45" i="14" s="1"/>
  <c r="D45" i="15"/>
  <c r="F45" i="15" s="1"/>
  <c r="D14" i="14"/>
  <c r="F14" i="14" s="1"/>
  <c r="D14" i="15"/>
  <c r="F14" i="15" s="1"/>
  <c r="D21" i="17"/>
  <c r="F21" i="17" s="1"/>
  <c r="D15" i="16"/>
  <c r="F15" i="16" s="1"/>
  <c r="D66" i="15"/>
  <c r="F66" i="15" s="1"/>
  <c r="D66" i="14"/>
  <c r="F66" i="14" s="1"/>
  <c r="D13" i="16"/>
  <c r="F13" i="16" s="1"/>
  <c r="D19" i="17"/>
  <c r="F19" i="17" s="1"/>
  <c r="D31" i="17"/>
  <c r="F31" i="17" s="1"/>
  <c r="D36" i="16"/>
  <c r="F36" i="16" s="1"/>
  <c r="D20" i="17"/>
  <c r="F20" i="17" s="1"/>
  <c r="D14" i="16"/>
  <c r="F14" i="16" s="1"/>
  <c r="D51" i="16"/>
  <c r="F51" i="16" s="1"/>
  <c r="D46" i="17"/>
  <c r="F46" i="17" s="1"/>
  <c r="D11" i="15"/>
  <c r="F11" i="15" s="1"/>
  <c r="D11" i="14"/>
  <c r="F11" i="14" s="1"/>
  <c r="D82" i="15"/>
  <c r="F82" i="15" s="1"/>
  <c r="D121" i="14"/>
  <c r="F121" i="14" s="1"/>
  <c r="G110" i="13"/>
  <c r="K111" i="13"/>
  <c r="D96" i="15"/>
  <c r="F96" i="15" s="1"/>
  <c r="D103" i="14"/>
  <c r="F103" i="14" s="1"/>
  <c r="D60" i="15"/>
  <c r="F60" i="15" s="1"/>
  <c r="D60" i="14"/>
  <c r="F60" i="14" s="1"/>
  <c r="D101" i="15"/>
  <c r="F101" i="15" s="1"/>
  <c r="D108" i="14"/>
  <c r="F108" i="14" s="1"/>
  <c r="D56" i="14"/>
  <c r="F56" i="14" s="1"/>
  <c r="D56" i="15"/>
  <c r="F56" i="15" s="1"/>
  <c r="D18" i="15"/>
  <c r="F18" i="15" s="1"/>
  <c r="D18" i="14"/>
  <c r="F18" i="14" s="1"/>
  <c r="D30" i="17"/>
  <c r="F30" i="17" s="1"/>
  <c r="D35" i="16"/>
  <c r="F35" i="16" s="1"/>
  <c r="D111" i="15"/>
  <c r="F111" i="15" s="1"/>
  <c r="D90" i="14"/>
  <c r="F90" i="14" s="1"/>
  <c r="D105" i="14"/>
  <c r="F105" i="14" s="1"/>
  <c r="D98" i="15"/>
  <c r="F98" i="15" s="1"/>
  <c r="D12" i="17"/>
  <c r="F12" i="17" s="1"/>
  <c r="D20" i="16"/>
  <c r="F20" i="16" s="1"/>
  <c r="D51" i="17"/>
  <c r="F51" i="17" s="1"/>
  <c r="E21" i="18"/>
  <c r="G21" i="18" s="1"/>
  <c r="D56" i="16"/>
  <c r="F56" i="16" s="1"/>
  <c r="G24" i="13"/>
  <c r="K25" i="13"/>
  <c r="D87" i="15"/>
  <c r="F87" i="15" s="1"/>
  <c r="D126" i="14"/>
  <c r="F126" i="14" s="1"/>
  <c r="D43" i="17"/>
  <c r="F43" i="17" s="1"/>
  <c r="D48" i="16"/>
  <c r="F48" i="16" s="1"/>
  <c r="D29" i="14"/>
  <c r="F29" i="14" s="1"/>
  <c r="D29" i="15"/>
  <c r="F29" i="15" s="1"/>
  <c r="D52" i="15"/>
  <c r="F52" i="15" s="1"/>
  <c r="D52" i="14"/>
  <c r="F52" i="14" s="1"/>
  <c r="D112" i="14"/>
  <c r="F112" i="14" s="1"/>
  <c r="D73" i="15"/>
  <c r="F73" i="15" s="1"/>
  <c r="D101" i="14"/>
  <c r="F101" i="14" s="1"/>
  <c r="D94" i="15"/>
  <c r="F94" i="15" s="1"/>
  <c r="D31" i="15"/>
  <c r="F31" i="15" s="1"/>
  <c r="D31" i="14"/>
  <c r="F31" i="14" s="1"/>
  <c r="D15" i="15"/>
  <c r="F15" i="15" s="1"/>
  <c r="D15" i="14"/>
  <c r="F15" i="14" s="1"/>
  <c r="D26" i="16"/>
  <c r="F26" i="16" s="1"/>
  <c r="E11" i="18"/>
  <c r="G11" i="18" s="1"/>
  <c r="D33" i="17"/>
  <c r="F33" i="17" s="1"/>
  <c r="D38" i="16"/>
  <c r="F38" i="16" s="1"/>
  <c r="D81" i="15"/>
  <c r="F81" i="15" s="1"/>
  <c r="D120" i="14"/>
  <c r="F120" i="14" s="1"/>
  <c r="D70" i="15"/>
  <c r="F70" i="15" s="1"/>
  <c r="D70" i="14"/>
  <c r="F70" i="14" s="1"/>
  <c r="D20" i="14"/>
  <c r="F20" i="14" s="1"/>
  <c r="D20" i="15"/>
  <c r="F20" i="15" s="1"/>
  <c r="D50" i="14"/>
  <c r="F50" i="14" s="1"/>
  <c r="D50" i="15"/>
  <c r="F50" i="15" s="1"/>
  <c r="D95" i="15"/>
  <c r="F95" i="15" s="1"/>
  <c r="D102" i="14"/>
  <c r="F102" i="14" s="1"/>
  <c r="D39" i="16"/>
  <c r="F39" i="16" s="1"/>
  <c r="D34" i="17"/>
  <c r="F34" i="17" s="1"/>
  <c r="D117" i="14"/>
  <c r="F117" i="14" s="1"/>
  <c r="D78" i="15"/>
  <c r="F78" i="15" s="1"/>
  <c r="D29" i="17"/>
  <c r="F29" i="17" s="1"/>
  <c r="D34" i="16"/>
  <c r="F34" i="16" s="1"/>
  <c r="D11" i="17"/>
  <c r="F11" i="17" s="1"/>
  <c r="D19" i="16"/>
  <c r="F19" i="16" s="1"/>
  <c r="D57" i="16"/>
  <c r="F57" i="16" s="1"/>
  <c r="D52" i="17"/>
  <c r="F52" i="17" s="1"/>
  <c r="D63" i="14"/>
  <c r="F63" i="14" s="1"/>
  <c r="D63" i="15"/>
  <c r="F63" i="15" s="1"/>
  <c r="D36" i="17"/>
  <c r="F36" i="17" s="1"/>
  <c r="D41" i="16"/>
  <c r="F41" i="16" s="1"/>
  <c r="G78" i="13"/>
  <c r="K79" i="13"/>
  <c r="D74" i="14"/>
  <c r="F74" i="14" s="1"/>
  <c r="D116" i="15"/>
  <c r="F116" i="15" s="1"/>
  <c r="D129" i="15"/>
  <c r="F129" i="15" s="1"/>
  <c r="D87" i="14"/>
  <c r="F87" i="14" s="1"/>
  <c r="D109" i="14"/>
  <c r="F109" i="14" s="1"/>
  <c r="D102" i="15"/>
  <c r="F102" i="15" s="1"/>
  <c r="D122" i="14"/>
  <c r="F122" i="14" s="1"/>
  <c r="D83" i="15"/>
  <c r="F83" i="15" s="1"/>
  <c r="D53" i="14"/>
  <c r="F53" i="14" s="1"/>
  <c r="D53" i="15"/>
  <c r="F53" i="15" s="1"/>
  <c r="D59" i="14"/>
  <c r="F59" i="14" s="1"/>
  <c r="D59" i="15"/>
  <c r="F59" i="15" s="1"/>
  <c r="D19" i="15"/>
  <c r="F19" i="15" s="1"/>
  <c r="D19" i="14"/>
  <c r="F19" i="14" s="1"/>
  <c r="G8" i="13"/>
  <c r="K9" i="13"/>
  <c r="G7" i="13"/>
  <c r="D21" i="15"/>
  <c r="F21" i="15" s="1"/>
  <c r="D21" i="14"/>
  <c r="F21" i="14" s="1"/>
  <c r="D34" i="15"/>
  <c r="F34" i="15" s="1"/>
  <c r="D34" i="14"/>
  <c r="F34" i="14" s="1"/>
  <c r="D124" i="15"/>
  <c r="F124" i="15" s="1"/>
  <c r="D82" i="14"/>
  <c r="F82" i="14" s="1"/>
  <c r="D22" i="15"/>
  <c r="F22" i="15" s="1"/>
  <c r="D22" i="14"/>
  <c r="F22" i="14" s="1"/>
  <c r="D61" i="15"/>
  <c r="F61" i="15" s="1"/>
  <c r="D61" i="14"/>
  <c r="F61" i="14" s="1"/>
  <c r="D114" i="14"/>
  <c r="F114" i="14" s="1"/>
  <c r="D75" i="15"/>
  <c r="F75" i="15" s="1"/>
  <c r="D33" i="14"/>
  <c r="F33" i="14" s="1"/>
  <c r="D33" i="15"/>
  <c r="F33" i="15" s="1"/>
  <c r="G128" i="13"/>
  <c r="D10" i="20" s="1"/>
  <c r="E10" i="20" s="1"/>
  <c r="E34" i="1" s="1"/>
  <c r="K129" i="13"/>
  <c r="D45" i="17"/>
  <c r="F45" i="17" s="1"/>
  <c r="D50" i="16"/>
  <c r="F50" i="16" s="1"/>
  <c r="G151" i="13"/>
  <c r="K152" i="13"/>
  <c r="D56" i="17"/>
  <c r="F56" i="17" s="1"/>
  <c r="D61" i="16"/>
  <c r="F61" i="16" s="1"/>
  <c r="D25" i="15" l="1"/>
  <c r="F25" i="15" s="1"/>
  <c r="D25" i="14"/>
  <c r="F25" i="14" s="1"/>
  <c r="K24" i="13"/>
  <c r="D36" i="14"/>
  <c r="F36" i="14" s="1"/>
  <c r="D36" i="15"/>
  <c r="F36" i="15" s="1"/>
  <c r="K35" i="13"/>
  <c r="E28" i="18"/>
  <c r="G28" i="18" s="1"/>
  <c r="G29" i="18" s="1"/>
  <c r="D26" i="17"/>
  <c r="F26" i="17" s="1"/>
  <c r="D31" i="16"/>
  <c r="F31" i="16" s="1"/>
  <c r="K151" i="13"/>
  <c r="D121" i="15"/>
  <c r="F121" i="15" s="1"/>
  <c r="D79" i="14"/>
  <c r="F79" i="14" s="1"/>
  <c r="K78" i="13"/>
  <c r="D125" i="14"/>
  <c r="F125" i="14" s="1"/>
  <c r="D86" i="15"/>
  <c r="F86" i="15" s="1"/>
  <c r="K124" i="13"/>
  <c r="D58" i="15"/>
  <c r="F58" i="15" s="1"/>
  <c r="D58" i="14"/>
  <c r="F58" i="14" s="1"/>
  <c r="K57" i="13"/>
  <c r="D110" i="15"/>
  <c r="F110" i="15" s="1"/>
  <c r="D89" i="14"/>
  <c r="F89" i="14" s="1"/>
  <c r="K88" i="13"/>
  <c r="D126" i="15"/>
  <c r="F126" i="15" s="1"/>
  <c r="D84" i="14"/>
  <c r="F84" i="14" s="1"/>
  <c r="K83" i="13"/>
  <c r="D17" i="15"/>
  <c r="F17" i="15" s="1"/>
  <c r="D17" i="14"/>
  <c r="F17" i="14" s="1"/>
  <c r="K16" i="13"/>
  <c r="D16" i="16"/>
  <c r="F16" i="16" s="1"/>
  <c r="K137" i="13"/>
  <c r="D21" i="16" s="1"/>
  <c r="F21" i="16" s="1"/>
  <c r="D22" i="16"/>
  <c r="F22" i="16" s="1"/>
  <c r="K143" i="13"/>
  <c r="D25" i="16" s="1"/>
  <c r="F25" i="16" s="1"/>
  <c r="D7" i="16"/>
  <c r="F7" i="16" s="1"/>
  <c r="D7" i="17"/>
  <c r="F7" i="17" s="1"/>
  <c r="K128" i="13"/>
  <c r="D10" i="16"/>
  <c r="F10" i="16" s="1"/>
  <c r="K131" i="13"/>
  <c r="D12" i="16" s="1"/>
  <c r="F12" i="16" s="1"/>
  <c r="D65" i="14"/>
  <c r="F65" i="14" s="1"/>
  <c r="D65" i="15"/>
  <c r="F65" i="15" s="1"/>
  <c r="K64" i="13"/>
  <c r="D41" i="14"/>
  <c r="F41" i="14" s="1"/>
  <c r="D41" i="15"/>
  <c r="F41" i="15" s="1"/>
  <c r="K39" i="13"/>
  <c r="K40" i="13"/>
  <c r="D104" i="15"/>
  <c r="F104" i="15" s="1"/>
  <c r="D94" i="14"/>
  <c r="F94" i="14" s="1"/>
  <c r="K92" i="13"/>
  <c r="D92" i="14" s="1"/>
  <c r="F92" i="14" s="1"/>
  <c r="K93" i="13"/>
  <c r="E18" i="18"/>
  <c r="G18" i="18" s="1"/>
  <c r="D48" i="15"/>
  <c r="F48" i="15" s="1"/>
  <c r="D48" i="14"/>
  <c r="F48" i="14" s="1"/>
  <c r="K47" i="13"/>
  <c r="D68" i="14"/>
  <c r="F68" i="14" s="1"/>
  <c r="D68" i="15"/>
  <c r="F68" i="15" s="1"/>
  <c r="K67" i="13"/>
  <c r="K179" i="13"/>
  <c r="D12" i="20" s="1"/>
  <c r="E12" i="20" s="1"/>
  <c r="E36" i="1" s="1"/>
  <c r="D10" i="17"/>
  <c r="D9" i="14"/>
  <c r="F9" i="14" s="1"/>
  <c r="D9" i="15"/>
  <c r="F9" i="15" s="1"/>
  <c r="K7" i="13"/>
  <c r="K8" i="13"/>
  <c r="D114" i="15"/>
  <c r="F114" i="15" s="1"/>
  <c r="D72" i="14"/>
  <c r="F72" i="14" s="1"/>
  <c r="D100" i="14"/>
  <c r="F100" i="14" s="1"/>
  <c r="D93" i="15"/>
  <c r="F93" i="15" s="1"/>
  <c r="K99" i="13"/>
  <c r="D39" i="17"/>
  <c r="F39" i="17" s="1"/>
  <c r="D44" i="16"/>
  <c r="F44" i="16" s="1"/>
  <c r="K164" i="13"/>
  <c r="D72" i="15"/>
  <c r="F72" i="15" s="1"/>
  <c r="D111" i="14"/>
  <c r="F111" i="14" s="1"/>
  <c r="K110" i="13"/>
  <c r="D48" i="17" l="1"/>
  <c r="F48" i="17" s="1"/>
  <c r="D53" i="16"/>
  <c r="F53" i="16" s="1"/>
  <c r="E13" i="18"/>
  <c r="G13" i="18" s="1"/>
  <c r="D88" i="14"/>
  <c r="F88" i="14" s="1"/>
  <c r="D109" i="15"/>
  <c r="F109" i="15" s="1"/>
  <c r="D38" i="17"/>
  <c r="D43" i="16"/>
  <c r="F43" i="16" s="1"/>
  <c r="D54" i="16"/>
  <c r="F54" i="16" s="1"/>
  <c r="D13" i="17"/>
  <c r="F13" i="17" s="1"/>
  <c r="F10" i="17"/>
  <c r="D110" i="14"/>
  <c r="F110" i="14" s="1"/>
  <c r="D71" i="15"/>
  <c r="F71" i="15" s="1"/>
  <c r="D9" i="17"/>
  <c r="D9" i="16"/>
  <c r="F9" i="16" s="1"/>
  <c r="D30" i="16"/>
  <c r="K81" i="13"/>
  <c r="E19" i="18"/>
  <c r="G19" i="18" s="1"/>
  <c r="D40" i="14"/>
  <c r="F40" i="14" s="1"/>
  <c r="D40" i="15"/>
  <c r="F40" i="15" s="1"/>
  <c r="D103" i="15"/>
  <c r="F103" i="15" s="1"/>
  <c r="D93" i="14"/>
  <c r="F93" i="14" s="1"/>
  <c r="E20" i="18"/>
  <c r="G20" i="18" s="1"/>
  <c r="D67" i="15"/>
  <c r="F67" i="15" s="1"/>
  <c r="D67" i="14"/>
  <c r="F67" i="14" s="1"/>
  <c r="D129" i="14"/>
  <c r="D7" i="15"/>
  <c r="D7" i="14"/>
  <c r="F7" i="14" s="1"/>
  <c r="D92" i="15"/>
  <c r="D99" i="14"/>
  <c r="F99" i="14" s="1"/>
  <c r="D39" i="15"/>
  <c r="D39" i="14"/>
  <c r="F39" i="14" s="1"/>
  <c r="D57" i="15"/>
  <c r="F57" i="15" s="1"/>
  <c r="D57" i="14"/>
  <c r="F57" i="14" s="1"/>
  <c r="D35" i="14"/>
  <c r="F35" i="14" s="1"/>
  <c r="D35" i="15"/>
  <c r="F35" i="15" s="1"/>
  <c r="D47" i="14"/>
  <c r="F47" i="14" s="1"/>
  <c r="D47" i="15"/>
  <c r="F47" i="15" s="1"/>
  <c r="D16" i="14"/>
  <c r="F16" i="14" s="1"/>
  <c r="D16" i="15"/>
  <c r="F16" i="15" s="1"/>
  <c r="G43" i="18"/>
  <c r="D64" i="15"/>
  <c r="F64" i="15" s="1"/>
  <c r="D64" i="14"/>
  <c r="F64" i="14" s="1"/>
  <c r="E17" i="18"/>
  <c r="G17" i="18" s="1"/>
  <c r="D124" i="14"/>
  <c r="F124" i="14" s="1"/>
  <c r="D85" i="15"/>
  <c r="F85" i="15" s="1"/>
  <c r="D24" i="14"/>
  <c r="F24" i="14" s="1"/>
  <c r="D24" i="15"/>
  <c r="F24" i="15" s="1"/>
  <c r="D8" i="15"/>
  <c r="F8" i="15" s="1"/>
  <c r="D8" i="14"/>
  <c r="F8" i="14" s="1"/>
  <c r="D83" i="14"/>
  <c r="F83" i="14" s="1"/>
  <c r="D125" i="15"/>
  <c r="F125" i="15" s="1"/>
  <c r="D78" i="14"/>
  <c r="F78" i="14" s="1"/>
  <c r="D120" i="15"/>
  <c r="F120" i="15" s="1"/>
  <c r="F7" i="15" l="1"/>
  <c r="F9" i="17"/>
  <c r="D14" i="17"/>
  <c r="D89" i="15"/>
  <c r="F89" i="15" s="1"/>
  <c r="F39" i="15"/>
  <c r="D49" i="17"/>
  <c r="F49" i="17" s="1"/>
  <c r="F38" i="17"/>
  <c r="F92" i="15"/>
  <c r="D91" i="15"/>
  <c r="F91" i="15" s="1"/>
  <c r="D123" i="15"/>
  <c r="F123" i="15" s="1"/>
  <c r="D81" i="14"/>
  <c r="F81" i="14" s="1"/>
  <c r="K71" i="13"/>
  <c r="F30" i="16"/>
  <c r="D55" i="16"/>
  <c r="D130" i="14" l="1"/>
  <c r="D7" i="20" s="1"/>
  <c r="E7" i="20" s="1"/>
  <c r="E31" i="1" s="1"/>
  <c r="D71" i="14"/>
  <c r="F71" i="14" s="1"/>
  <c r="D113" i="15"/>
  <c r="F113" i="15" s="1"/>
  <c r="F55" i="16"/>
  <c r="D60" i="16"/>
  <c r="E7" i="18"/>
  <c r="G7" i="18" s="1"/>
  <c r="G10" i="18" s="1"/>
  <c r="G23" i="18" s="1"/>
  <c r="G39" i="18" s="1"/>
  <c r="G41" i="18" s="1"/>
  <c r="D11" i="20" s="1"/>
  <c r="E11" i="20" s="1"/>
  <c r="E35" i="1" s="1"/>
  <c r="D90" i="15"/>
  <c r="F14" i="17"/>
  <c r="D25" i="17"/>
  <c r="D50" i="17" l="1"/>
  <c r="F25" i="17"/>
  <c r="F90" i="15"/>
  <c r="D131" i="15"/>
  <c r="F60" i="16"/>
  <c r="D62" i="16"/>
  <c r="F62" i="16" s="1"/>
  <c r="F50" i="17" l="1"/>
  <c r="D55" i="17"/>
  <c r="D57" i="17" l="1"/>
  <c r="F57" i="17" s="1"/>
  <c r="F55" i="17"/>
</calcChain>
</file>

<file path=xl/sharedStrings.xml><?xml version="1.0" encoding="utf-8"?>
<sst xmlns="http://schemas.openxmlformats.org/spreadsheetml/2006/main" count="4083" uniqueCount="1642">
  <si>
    <t>Minta Holding Zrt.</t>
  </si>
  <si>
    <t>12345678-2-44</t>
  </si>
  <si>
    <t>2025.12.31.</t>
  </si>
  <si>
    <t>Magyar</t>
  </si>
  <si>
    <t>HUF</t>
  </si>
  <si>
    <t>eFt</t>
  </si>
  <si>
    <t>Könyv szerinti érték módszere</t>
  </si>
  <si>
    <t>„A” változat</t>
  </si>
  <si>
    <t>Összköltség eljárás</t>
  </si>
  <si>
    <t>Cégjegyzékszám</t>
  </si>
  <si>
    <t>Statisztikai számjel (KSH)</t>
  </si>
  <si>
    <t>Beszámolási időszak kezdete</t>
  </si>
  <si>
    <t>A nyelv átállításakor az egész munkafüzet felirata átvált. / Switching the language changes all captions in the workbook.</t>
  </si>
  <si>
    <t>A00</t>
  </si>
  <si>
    <t>Anyavállalat</t>
  </si>
  <si>
    <t>L01</t>
  </si>
  <si>
    <t>Minta Leány Kft.</t>
  </si>
  <si>
    <t>23456789-2-13</t>
  </si>
  <si>
    <t>Teljes körű (leányvállalat)</t>
  </si>
  <si>
    <t>L02</t>
  </si>
  <si>
    <t>Minta Közös Kft.</t>
  </si>
  <si>
    <t>34567890-2-13</t>
  </si>
  <si>
    <t>Kvótás (közös vezetésű)</t>
  </si>
  <si>
    <t>T01</t>
  </si>
  <si>
    <t>Minta Társult Kft.</t>
  </si>
  <si>
    <t>45678901-2-13</t>
  </si>
  <si>
    <t>Equity (társult)</t>
  </si>
  <si>
    <t>Példasorok – írja felül a saját cégeivel. A cégkód legyen egyedi, mert a konszolidációs napló erre hivatkozik.</t>
  </si>
  <si>
    <t>E.A</t>
  </si>
  <si>
    <t>S</t>
  </si>
  <si>
    <t>E.A.I</t>
  </si>
  <si>
    <t>E.A.I.01</t>
  </si>
  <si>
    <t>D</t>
  </si>
  <si>
    <t>E.A.I.02</t>
  </si>
  <si>
    <t>E.A.I.03</t>
  </si>
  <si>
    <t>E.A.I.04</t>
  </si>
  <si>
    <t>E.A.I.05</t>
  </si>
  <si>
    <t>E.A.I.06</t>
  </si>
  <si>
    <t>E.A.I.07</t>
  </si>
  <si>
    <t>E.A.II</t>
  </si>
  <si>
    <t>E.A.II.01</t>
  </si>
  <si>
    <t>E.A.II.02</t>
  </si>
  <si>
    <t>E.A.II.03</t>
  </si>
  <si>
    <t>E.A.II.04</t>
  </si>
  <si>
    <t>E.A.II.05</t>
  </si>
  <si>
    <t>E.A.II.06</t>
  </si>
  <si>
    <t>E.A.II.07</t>
  </si>
  <si>
    <t>E.A.III</t>
  </si>
  <si>
    <t>E.A.III.01</t>
  </si>
  <si>
    <t>E.A.III.02</t>
  </si>
  <si>
    <t>E.A.III.03</t>
  </si>
  <si>
    <t>E.A.III.04</t>
  </si>
  <si>
    <t>E.A.III.05</t>
  </si>
  <si>
    <t>E.A.III.06</t>
  </si>
  <si>
    <t>E.A.III.07</t>
  </si>
  <si>
    <t>E.A.III.08</t>
  </si>
  <si>
    <t>E.A.III.09</t>
  </si>
  <si>
    <t>E.A.III.10</t>
  </si>
  <si>
    <t>E.A.III.11</t>
  </si>
  <si>
    <t>E.A.III.11.a</t>
  </si>
  <si>
    <t>E.A.III.11.b</t>
  </si>
  <si>
    <t>E.A.IV</t>
  </si>
  <si>
    <t>E.B</t>
  </si>
  <si>
    <t>E.B.I</t>
  </si>
  <si>
    <t>E.B.I.01</t>
  </si>
  <si>
    <t>E.B.I.02</t>
  </si>
  <si>
    <t>E.B.I.03</t>
  </si>
  <si>
    <t>E.B.I.04</t>
  </si>
  <si>
    <t>E.B.I.05</t>
  </si>
  <si>
    <t>E.B.I.06</t>
  </si>
  <si>
    <t>E.B.II</t>
  </si>
  <si>
    <t>E.B.II.01</t>
  </si>
  <si>
    <t>E.B.II.02</t>
  </si>
  <si>
    <t>E.B.II.03</t>
  </si>
  <si>
    <t>E.B.II.04</t>
  </si>
  <si>
    <t>E.B.II.05</t>
  </si>
  <si>
    <t>E.B.II.06</t>
  </si>
  <si>
    <t>E.B.II.07</t>
  </si>
  <si>
    <t>E.B.II.08</t>
  </si>
  <si>
    <t>E.B.II.09</t>
  </si>
  <si>
    <t>E.B.III</t>
  </si>
  <si>
    <t>E.B.III.01</t>
  </si>
  <si>
    <t>E.B.III.02</t>
  </si>
  <si>
    <t>E.B.III.03</t>
  </si>
  <si>
    <t>E.B.III.04</t>
  </si>
  <si>
    <t>E.B.III.05</t>
  </si>
  <si>
    <t>E.B.III.06</t>
  </si>
  <si>
    <t>E.B.IV</t>
  </si>
  <si>
    <t>E.B.IV.01</t>
  </si>
  <si>
    <t>E.B.IV.02</t>
  </si>
  <si>
    <t>E.C</t>
  </si>
  <si>
    <t>E.C.01</t>
  </si>
  <si>
    <t>E.C.02</t>
  </si>
  <si>
    <t>E.C.03</t>
  </si>
  <si>
    <t>F.D</t>
  </si>
  <si>
    <t>F.D.I</t>
  </si>
  <si>
    <t>F.D.I.eb</t>
  </si>
  <si>
    <t>T</t>
  </si>
  <si>
    <t>F.D.II</t>
  </si>
  <si>
    <t>F.D.III</t>
  </si>
  <si>
    <t>F.D.IV</t>
  </si>
  <si>
    <t>F.D.V</t>
  </si>
  <si>
    <t>F.D.VI</t>
  </si>
  <si>
    <t>F.D.VI.01</t>
  </si>
  <si>
    <t>F.D.VI.02</t>
  </si>
  <si>
    <t>F.D.VII</t>
  </si>
  <si>
    <t>F.D.VIII</t>
  </si>
  <si>
    <t>F.D.IX</t>
  </si>
  <si>
    <t>F.D.IX.01</t>
  </si>
  <si>
    <t>F.D.IX.02</t>
  </si>
  <si>
    <t>R.DEV</t>
  </si>
  <si>
    <t>F.D.X</t>
  </si>
  <si>
    <t>F.E</t>
  </si>
  <si>
    <t>F.E.01</t>
  </si>
  <si>
    <t>F.E.02</t>
  </si>
  <si>
    <t>F.E.03</t>
  </si>
  <si>
    <t>F.F</t>
  </si>
  <si>
    <t>F.F.I</t>
  </si>
  <si>
    <t>F.F.I.01</t>
  </si>
  <si>
    <t>F.F.I.02</t>
  </si>
  <si>
    <t>F.F.I.03</t>
  </si>
  <si>
    <t>F.F.I.04</t>
  </si>
  <si>
    <t>F.F.I.05</t>
  </si>
  <si>
    <t>F.F.II</t>
  </si>
  <si>
    <t>F.F.II.01</t>
  </si>
  <si>
    <t>F.F.II.02</t>
  </si>
  <si>
    <t>F.F.II.03</t>
  </si>
  <si>
    <t>F.F.II.04</t>
  </si>
  <si>
    <t>F.F.II.05</t>
  </si>
  <si>
    <t>F.F.II.06</t>
  </si>
  <si>
    <t>F.F.II.07</t>
  </si>
  <si>
    <t>F.F.II.08</t>
  </si>
  <si>
    <t>F.F.II.09</t>
  </si>
  <si>
    <t>F.F.II.10</t>
  </si>
  <si>
    <t>F.F.III</t>
  </si>
  <si>
    <t>F.F.III.01</t>
  </si>
  <si>
    <t>F.F.III.01.eb</t>
  </si>
  <si>
    <t>F.F.III.02</t>
  </si>
  <si>
    <t>F.F.III.03</t>
  </si>
  <si>
    <t>F.F.III.04</t>
  </si>
  <si>
    <t>F.F.III.05</t>
  </si>
  <si>
    <t>F.F.III.06</t>
  </si>
  <si>
    <t>F.F.III.07</t>
  </si>
  <si>
    <t>F.F.III.08</t>
  </si>
  <si>
    <t>F.F.III.09</t>
  </si>
  <si>
    <t>F.F.III.10</t>
  </si>
  <si>
    <t>F.F.III.11</t>
  </si>
  <si>
    <t>F.F.III.12</t>
  </si>
  <si>
    <t>F.G</t>
  </si>
  <si>
    <t>F.G.01</t>
  </si>
  <si>
    <t>F.G.02</t>
  </si>
  <si>
    <t>F.G.03</t>
  </si>
  <si>
    <t>R.I</t>
  </si>
  <si>
    <t>R.I.01</t>
  </si>
  <si>
    <t>R.I.02</t>
  </si>
  <si>
    <t>R.II</t>
  </si>
  <si>
    <t>R.II.03</t>
  </si>
  <si>
    <t>R.II.04</t>
  </si>
  <si>
    <t>R.III</t>
  </si>
  <si>
    <t>R.III.eb</t>
  </si>
  <si>
    <t>R.IIIA</t>
  </si>
  <si>
    <t>R.IV</t>
  </si>
  <si>
    <t>R.IV.05</t>
  </si>
  <si>
    <t>R.IV.06</t>
  </si>
  <si>
    <t>R.IV.07</t>
  </si>
  <si>
    <t>R.IV.08</t>
  </si>
  <si>
    <t>R.IV.09</t>
  </si>
  <si>
    <t>R.V</t>
  </si>
  <si>
    <t>R.V.10</t>
  </si>
  <si>
    <t>R.V.11</t>
  </si>
  <si>
    <t>R.V.12</t>
  </si>
  <si>
    <t>R.VI</t>
  </si>
  <si>
    <t>R.VII</t>
  </si>
  <si>
    <t>R.VII.eb</t>
  </si>
  <si>
    <t>R.VIIA</t>
  </si>
  <si>
    <t>R.VIII</t>
  </si>
  <si>
    <t>R.VIII.13a</t>
  </si>
  <si>
    <t>R.VIII.13a.eb</t>
  </si>
  <si>
    <t>R.VIII.13b</t>
  </si>
  <si>
    <t>R.VIII.13b.eb</t>
  </si>
  <si>
    <t>R.VIII.14</t>
  </si>
  <si>
    <t>R.VIII.14.eb</t>
  </si>
  <si>
    <t>R.VIII.15</t>
  </si>
  <si>
    <t>R.VIII.15.eb</t>
  </si>
  <si>
    <t>R.VIII.16</t>
  </si>
  <si>
    <t>R.VIII.16.eb</t>
  </si>
  <si>
    <t>R.VIII.17</t>
  </si>
  <si>
    <t>R.VIII.17.eb</t>
  </si>
  <si>
    <t>R.IX</t>
  </si>
  <si>
    <t>R.IX.18</t>
  </si>
  <si>
    <t>R.IX.18.eb</t>
  </si>
  <si>
    <t>R.IX.19</t>
  </si>
  <si>
    <t>R.IX.19.eb</t>
  </si>
  <si>
    <t>R.IX.20</t>
  </si>
  <si>
    <t>R.IX.20.eb</t>
  </si>
  <si>
    <t>R.IX.21</t>
  </si>
  <si>
    <t>R.IX.22</t>
  </si>
  <si>
    <t>R.IX.22.eb</t>
  </si>
  <si>
    <t>R.X</t>
  </si>
  <si>
    <t>R.XP1</t>
  </si>
  <si>
    <t>R.XPA</t>
  </si>
  <si>
    <t>R.XPB</t>
  </si>
  <si>
    <t>R.KT</t>
  </si>
  <si>
    <t>R.FK</t>
  </si>
  <si>
    <t>R.FK.03</t>
  </si>
  <si>
    <t>R.FK.06</t>
  </si>
  <si>
    <t>R.FK.07</t>
  </si>
  <si>
    <t>R.FK.08</t>
  </si>
  <si>
    <t>Eszközök – Források (cégenként 0 kell legyen / must be 0 per company)</t>
  </si>
  <si>
    <t>Az előző évi KONSZOLIDÁLT adatokat kell megadni (nem cégenként). Évváltáskor az „Előző évi adatok átvétele” makró átmásolja ide a tárgyévi konszolidált értékeket.</t>
  </si>
  <si>
    <t>Szt. 121–122. §: a részesedés könyv szerinti értékét a leányvállalat saját tőkéjéből az anyavállalatot megillető résszel szemben kell elhagyni. A bevonáskori saját tőkét tételesen bontsa meg (F–J oszlop) – a naplózás ezekre a sorokra vezeti át. Aktív különbözet → A/III/11 („leányvállalatokból”), passzív különbözet → F/I/5, külső tagok → D/X. [Szt. 6. sz. melléklet I/1., I/4., I/5.]</t>
  </si>
  <si>
    <t>A számított összegeket a 10_NAPLO lapra kell rögzíteni (Tartozik / Követel, séma kóddal).</t>
  </si>
  <si>
    <t>Szt. 123. §: a konszolidálásba bevont vállalkozások egymással szembeni követeléseit és kötelezettségeit el kell hagyni. Ha az összegük eltér, a különbözetet a kiegészítő mellékletben be kell mutatni.</t>
  </si>
  <si>
    <t>Szt. 124. §: a csoporton belüli szállításból a záró állományban maradt közbenső eredményt ki kell szűrni.</t>
  </si>
  <si>
    <t>Szt. 125. §: a belső árbevételt és a hozzá tartozó ráfordítást, valamint a csoporton belül fizetett osztalékot ki kell szűrni.</t>
  </si>
  <si>
    <t>Szt. 128–131. §: a társult vállalkozásokat tőkerészesedési (equity) módszerrel kell értékelni. FIGYELEM: a Szt. 6. sz. melléklete NEM ír elő külön eredménysort az equity-részesedésre, ezért a célsorok (L, M oszlop) szabadon átállíthatók – a beállítást egyeztesse a könyvvizsgálóval.</t>
  </si>
  <si>
    <t>Szt. 126. §: a konszolidálás miatti eredménykülönbözetre számított adókülönbözetet el kell számolni (céltartalék F.E.K1, ráfordítás R.X.K1 sor).</t>
  </si>
  <si>
    <t>Összesen / Total</t>
  </si>
  <si>
    <t>ME</t>
  </si>
  <si>
    <t>MF</t>
  </si>
  <si>
    <t>K</t>
  </si>
  <si>
    <t>ER</t>
  </si>
  <si>
    <t>EF</t>
  </si>
  <si>
    <t>F.</t>
  </si>
  <si>
    <t>G.</t>
  </si>
  <si>
    <t>H.</t>
  </si>
  <si>
    <t>A.</t>
  </si>
  <si>
    <t>B.</t>
  </si>
  <si>
    <t>C.</t>
  </si>
  <si>
    <t>D.</t>
  </si>
  <si>
    <t>E.</t>
  </si>
  <si>
    <t>II.</t>
  </si>
  <si>
    <t>III.</t>
  </si>
  <si>
    <t>IV.</t>
  </si>
  <si>
    <t>CF.1a</t>
  </si>
  <si>
    <t>+</t>
  </si>
  <si>
    <t>A választott eredménykimutatás-változat C. sora</t>
  </si>
  <si>
    <t>CF.1a1</t>
  </si>
  <si>
    <t>Tájékoztató adat – nem összegződik</t>
  </si>
  <si>
    <t>CF.1b</t>
  </si>
  <si>
    <t>Kézi: kapott osztalék, apport eredménye, fejlesztési célú pénzeszközök stb.</t>
  </si>
  <si>
    <t>CF.1</t>
  </si>
  <si>
    <t>1a + 1b</t>
  </si>
  <si>
    <t>CF.2</t>
  </si>
  <si>
    <t>Eredménykimutatás VI. sora (tartalmazza a tőkekonsz. különbözet leírását is). Forgalmi költséges változatnál nincs ilyen sor – kézzel adja meg.</t>
  </si>
  <si>
    <t>CF.3</t>
  </si>
  <si>
    <t>Kézi: nincs önálló sémasor; a visszaírást negatív előjellel</t>
  </si>
  <si>
    <t>CF.4</t>
  </si>
  <si>
    <t>Mérleg E. Céltartalékok állományváltozása</t>
  </si>
  <si>
    <t>CF.5</t>
  </si>
  <si>
    <t>Kézi: nyereség negatív, veszteség pozitív előjellel</t>
  </si>
  <si>
    <t>CF.6</t>
  </si>
  <si>
    <t>Mérleg F/III/4. állományváltozása</t>
  </si>
  <si>
    <t>CF.7</t>
  </si>
  <si>
    <t>Mérleg F/III/5–12. állományváltozása</t>
  </si>
  <si>
    <t>CF.8</t>
  </si>
  <si>
    <t>Mérleg G. állományváltozása</t>
  </si>
  <si>
    <t>CF.9</t>
  </si>
  <si>
    <t>Mérleg B/II/1. (ellenkező előjellel) és F/III/3. vevőktől kapott előlegek</t>
  </si>
  <si>
    <t>CF.10</t>
  </si>
  <si>
    <t>Mérleg B/I + B/II – B/II/1 + B/III, ellenkező előjellel</t>
  </si>
  <si>
    <t>CF.11</t>
  </si>
  <si>
    <t>Mérleg C. állományváltozása, ellenkező előjellel</t>
  </si>
  <si>
    <t>CF.12</t>
  </si>
  <si>
    <t>–</t>
  </si>
  <si>
    <t>Eredménykimutatás X. sora (a halasztott adókülönbözetek nélkül); a ténylegesen fizetett adótól való eltérést a 7. soron kell korrigálni</t>
  </si>
  <si>
    <t>CF.13</t>
  </si>
  <si>
    <t>Kézi, negatív előjellel</t>
  </si>
  <si>
    <t>CF.I</t>
  </si>
  <si>
    <t>CF.14</t>
  </si>
  <si>
    <t>CF.15</t>
  </si>
  <si>
    <t>Kézi</t>
  </si>
  <si>
    <t>CF.16</t>
  </si>
  <si>
    <t>CF.17</t>
  </si>
  <si>
    <t>CF.18</t>
  </si>
  <si>
    <t>Eredménykimutatás 13/a. és 13/b. sora – csak a pénzügyileg rendezett résszel</t>
  </si>
  <si>
    <t>CF.II</t>
  </si>
  <si>
    <t>CF.19</t>
  </si>
  <si>
    <t>CF.20</t>
  </si>
  <si>
    <t>CF.21</t>
  </si>
  <si>
    <t>CF.22</t>
  </si>
  <si>
    <t>CF.23</t>
  </si>
  <si>
    <t>CF.24</t>
  </si>
  <si>
    <t>CF.25</t>
  </si>
  <si>
    <t>CF.26</t>
  </si>
  <si>
    <t>CF.III</t>
  </si>
  <si>
    <t>CF.IV</t>
  </si>
  <si>
    <t>CF.27</t>
  </si>
  <si>
    <t>CF.V</t>
  </si>
  <si>
    <t>Ellenőrzés: az V. sor egyezzen a mérleg B/IV. Pénzeszközök állományváltozásával.</t>
  </si>
  <si>
    <t>Szt. 7. sz. melléklet: „A 14–26. sorokban kizárólag azokkal a vállalkozásokkal szembeni gazdasági eseményekből eredő adatokat kell feltüntetni, amely vállalkozások nem tartoznak a konszolidálásba bevont vállalkozások közé.” A 14–26. sorok ezért kézi kitöltésűek.</t>
  </si>
  <si>
    <t>15. Konszolidált kiegészítő melléklet – kötelező tartalmi elemek</t>
  </si>
  <si>
    <t>Consolidated notes to the financial statements – mandatory content</t>
  </si>
  <si>
    <t>Minta / vázlat a 2000. évi C. törvény (Szt.) hivatkozott szakaszai alapján. A sárga cellákba írja a saját szövegét. A lap nem része az OBR-adatszolgáltatásnak: a kész kiegészítő mellékletet PDF-ként kell csatolni.</t>
  </si>
  <si>
    <t>Szt. hivatkozás</t>
  </si>
  <si>
    <t>Megnevezés (magyar)</t>
  </si>
  <si>
    <t>Caption (English)</t>
  </si>
  <si>
    <t>Kitöltendő szöveg / Your text</t>
  </si>
  <si>
    <t>A) ÁLTALÁNOS RÉSZ – ÉRTÉKELÉS ÉS MÓDSZEREK</t>
  </si>
  <si>
    <t>A) GENERAL – VALUATION AND METHODS</t>
  </si>
  <si>
    <t>133.§(1)a</t>
  </si>
  <si>
    <t>A konszolidált mérleg és eredménykimutatás összeállításánál alkalmazott mérlegértékelési eljárások</t>
  </si>
  <si>
    <t>Valuation methods applied in preparing the consolidated balance sheet and income statement</t>
  </si>
  <si>
    <t>133.§(1)b</t>
  </si>
  <si>
    <t>A forintra, illetve devizára történő átszámítás során alkalmazott módszer (ha a bevont vállalkozások más pénznemben készítették beszámolójukat)</t>
  </si>
  <si>
    <t>Method of translation into HUF or foreign currency (where consolidated entities reported in another currency)</t>
  </si>
  <si>
    <t>133.§(1)c</t>
  </si>
  <si>
    <t>Az előző üzleti évhez képest megváltozott értékelési és konszolidálási módszerek, a változás indokolása és hatása a vagyoni, pénzügyi, jövedelmi helyzetre</t>
  </si>
  <si>
    <t>Changes in valuation and consolidation methods vs. prior year, reasons and effect on financial position and performance</t>
  </si>
  <si>
    <t>120.§(6)</t>
  </si>
  <si>
    <t>Az előző üzleti évtől való eltérések felsorolása és indokolása (tagolás, részletezés)</t>
  </si>
  <si>
    <t>List and justification of departures from the prior year (structure, level of detail)</t>
  </si>
  <si>
    <t>123.§(5)</t>
  </si>
  <si>
    <t>Az egységes értékeléstől való eltérések bemutatása és indokolása</t>
  </si>
  <si>
    <t>Presentation and justification of departures from uniform valuation</t>
  </si>
  <si>
    <t>B) A KONSZOLIDÁCIÓS KÖR</t>
  </si>
  <si>
    <t>B) SCOPE OF CONSOLIDATION</t>
  </si>
  <si>
    <t>133.§(2)a</t>
  </si>
  <si>
    <t>A konszolidálásba bevont leányvállalatok neve és székhelye; az anyavállalat és a bevont vállalkozások részesedésének mértéke és összege</t>
  </si>
  <si>
    <t>Name and registered office of consolidated subsidiaries; extent and amount of the parent's and other consolidated entities' holdings</t>
  </si>
  <si>
    <t>133.§(2)b</t>
  </si>
  <si>
    <t>A közös vezetésű vállalkozások neve és székhelye; a részesedés mértéke és összege</t>
  </si>
  <si>
    <t>Name and registered office of joint ventures; extent and amount of holdings</t>
  </si>
  <si>
    <t>133.§(2)c</t>
  </si>
  <si>
    <t>A társult vállalkozások neve és székhelye; a részesedés mértéke és összege. A 129. § (2) bekezdés alkalmazását minden esetben be kell mutatni és indokolni</t>
  </si>
  <si>
    <t>Name and registered office of associates; extent and amount of holdings. Any application of s.129(2) must always be disclosed and justified</t>
  </si>
  <si>
    <t>133.§(2)d</t>
  </si>
  <si>
    <t>A 115. § (2)–(3) bekezdése szerinti jogosultságok külön kiemelése, a jogosultság jogcímének feltüntetésével</t>
  </si>
  <si>
    <t>Separate disclosure of rights under s.115(2)-(3), stating the legal title of the right</t>
  </si>
  <si>
    <t>119.§(4)</t>
  </si>
  <si>
    <t>A konszolidálásba be nem vont leányvállalatok, közös vezetésű vállalkozások – a mentesítés indokolása</t>
  </si>
  <si>
    <t>Subsidiaries and joint ventures excluded from consolidation – justification of the exemption</t>
  </si>
  <si>
    <t>133.§(3)</t>
  </si>
  <si>
    <t>Ha a (2) bekezdés szerinti adatszolgáltatás mellőzésre került (hátrány miatt): az alkalmazás indokainak ismertetése</t>
  </si>
  <si>
    <t>Where the disclosures under (2) are omitted (due to prejudice): explanation of the reasons</t>
  </si>
  <si>
    <t>116.§(3)</t>
  </si>
  <si>
    <t>Mentesítés esetén: a konszolidált beszámolót készítő fölérendelt anyavállalat neve és székhelye, utalás a mentesítésre</t>
  </si>
  <si>
    <t>In case of exemption: name and registered office of the superior parent preparing the consolidated report, reference to the exemption</t>
  </si>
  <si>
    <t>C) KONSZOLIDÁCIÓS MÓDSZEREK</t>
  </si>
  <si>
    <t>C) CONSOLIDATION METHODS</t>
  </si>
  <si>
    <t>124.§(5)</t>
  </si>
  <si>
    <t>A tőkekonszolidációnál alkalmazott módszer és annak jelentős változása az előző évhez képest</t>
  </si>
  <si>
    <t>Method applied in capital consolidation and any significant change vs. prior year</t>
  </si>
  <si>
    <t>124.§(7)</t>
  </si>
  <si>
    <t>A tőkekonszolidációhoz választott viszonyítási időpont megjelölése</t>
  </si>
  <si>
    <t>The reference date chosen for capital consolidation</t>
  </si>
  <si>
    <t>130.§(1)</t>
  </si>
  <si>
    <t>A társult vállalkozásban lévő részesedés kimutatásának választott módszere</t>
  </si>
  <si>
    <t>Method chosen for presenting investments in associates</t>
  </si>
  <si>
    <t>130.§(4)</t>
  </si>
  <si>
    <t>A társult vállalkozásnál választott viszonyítási időpont megjelölése</t>
  </si>
  <si>
    <t>The reference date chosen for associates</t>
  </si>
  <si>
    <t>130.§(2)</t>
  </si>
  <si>
    <t>A részesedés könyv szerinti értéke és a saját tőkéből jutó összeg különbözete (elkülönítetten)</t>
  </si>
  <si>
    <t>Difference between the carrying amount of the investment and the share of equity (separately disclosed)</t>
  </si>
  <si>
    <t>D) MÉRLEGHEZ KAPCSOLÓDÓ KÖZZÉTÉTELEK</t>
  </si>
  <si>
    <t>D) BALANCE SHEET DISCLOSURES</t>
  </si>
  <si>
    <t>133.§(4)a</t>
  </si>
  <si>
    <t>Az öt évnél hosszabb futamidejű kötelezettségek teljes összege; a zálogjoggal vagy hasonló joggal biztosított kötelezettségek összege, a biztosíték fajtájának és formájának feltüntetésével</t>
  </si>
  <si>
    <t>Total liabilities with a maturity over five years; liabilities secured by pledge or similar rights, stating the type and form of security</t>
  </si>
  <si>
    <t>133.§(4)b</t>
  </si>
  <si>
    <t>A pénzügyi helyzet értékelése szempontjából jelentős, de a mérlegben meg nem jelenő pénzügyi kötelezettségek teljes összege; ezen belül külön a konszolidálásba teljeskörűen be nem vont leányvállalatokkal szembeni kötelezettségek</t>
  </si>
  <si>
    <t>Total financial commitments not shown in the balance sheet but significant for assessing the financial position; within this, separately, commitments to subsidiaries not fully consolidated</t>
  </si>
  <si>
    <t>133.§(4)i</t>
  </si>
  <si>
    <t>A mérlegen kívüli tételek és a mérlegben nem szereplő megállapodások jellege, üzleti célja és pénzügyi kihatása (ha a kockázatok vagy előnyök lényegesek)</t>
  </si>
  <si>
    <t>Nature, business purpose and financial impact of off-balance-sheet items and arrangements (where risks or benefits are material)</t>
  </si>
  <si>
    <t>133.§(5)</t>
  </si>
  <si>
    <t>Az anyavállalat minden olyan részvényének, üzletrészének névértéke, amelyet az anyavállalat, leányvállalata vagy harmadik személy ezek javára birtokol</t>
  </si>
  <si>
    <t>Nominal value of all parent shares/quotas held by the parent, its subsidiaries or by a third party on their behalf</t>
  </si>
  <si>
    <t>124.§(2)</t>
  </si>
  <si>
    <t>A saját részvény, saját üzletrész elkülönített kimutatása a forgóeszközök között</t>
  </si>
  <si>
    <t>Separate presentation of treasury shares/own quotas within current assets</t>
  </si>
  <si>
    <t>E) EREDMÉNYHEZ ÉS MŰKÖDÉSHEZ KAPCSOLÓDÓ KÖZZÉTÉTELEK</t>
  </si>
  <si>
    <t>E) INCOME STATEMENT AND OPERATIONAL DISCLOSURES</t>
  </si>
  <si>
    <t>133.§(4)f</t>
  </si>
  <si>
    <t>Az értékesítés árbevételének megbontása fontosabb tevékenységek szerint, továbbá az exportárbevétel EU-s és EU-n kívüli, illetve földrajzi piacok szerinti megbontása</t>
  </si>
  <si>
    <t>Breakdown of net sales by main activities, and of export sales by EU / non-EU and by geographical markets</t>
  </si>
  <si>
    <t>133.§(4)c</t>
  </si>
  <si>
    <t>A tárgyévben foglalkoztatott munkavállalók átlagos statisztikai állományi létszáma, bérköltsége és személyi jellegű egyéb kifizetései – állománycsoportonkénti bontásban</t>
  </si>
  <si>
    <t>Average statistical headcount, wage costs and other personnel expenses for the year – broken down by staff category</t>
  </si>
  <si>
    <t>133.§(4)d</t>
  </si>
  <si>
    <t>Az anyavállalat igazgatósága, ügyvezetése és felügyelőbizottsága tagjainak az üzleti év után járó járandósága, csoportonként összevontan (a leányvállalatoknál végzett tevékenységért járó összeggel együtt)</t>
  </si>
  <si>
    <t>Remuneration of the parent's board, management and supervisory board members for the financial year, aggregated by group (including amounts for services at subsidiaries)</t>
  </si>
  <si>
    <t>133.§(4)e</t>
  </si>
  <si>
    <t>A vezető tisztségviselőknek folyósított kölcsönök és előlegek időpontja, összege, lejárata, kamata, lényeges feltételei és a tárgyévi visszafizetések; a nevükben vállalt garanciák</t>
  </si>
  <si>
    <t>Date, amount, maturity, interest rate, material terms and repayments of loans and advances granted to executives; guarantees assumed on their behalf</t>
  </si>
  <si>
    <t>133.§(4)h</t>
  </si>
  <si>
    <t>A tárgyévi konszolidált beszámoló könyvvizsgálatáért felszámított díj, valamint az egyéb bizonyosságot nyújtó, adótanácsadói és egyéb nem könyvvizsgálói szolgáltatások díja – külön-külön összesítve</t>
  </si>
  <si>
    <t>Audit fee for the consolidated financial statements, and fees for other assurance, tax advisory and other non-audit services – each aggregated separately</t>
  </si>
  <si>
    <t>133.§(4)j</t>
  </si>
  <si>
    <t>A kapcsolt felekkel lebonyolított, nem szokásos piaci feltételek között megvalósult lényeges ügyletek (a csoporton belüli ügyletek kivételével): érték, a kapcsolat jellege és egyéb szükséges információk</t>
  </si>
  <si>
    <t>Material transactions with related parties not concluded at arm's length (excluding intra-group transactions): value, nature of the relationship and other necessary information</t>
  </si>
  <si>
    <t>133.§(4)g</t>
  </si>
  <si>
    <t>A 90. § (7) bekezdésében előírt információk a vállalatcsoport egészére vonatkozóan</t>
  </si>
  <si>
    <t>Information required by s.90(7) for the group as a whole</t>
  </si>
  <si>
    <t>F) TOVÁBBI, A KONSZOLIDÁCIÓBÓL ADÓDÓ KÖZZÉTÉTELEK</t>
  </si>
  <si>
    <t>F) FURTHER CONSOLIDATION-RELATED DISCLOSURES</t>
  </si>
  <si>
    <t>118.§(2)</t>
  </si>
  <si>
    <t>A konszolidációs kör lényeges változása esetén az összehasonlíthatóságot biztosító adatok vagy részletes tájékoztatás</t>
  </si>
  <si>
    <t>Where the scope of consolidation changed materially: comparative data or detailed information ensuring comparability</t>
  </si>
  <si>
    <t>124.§(10)</t>
  </si>
  <si>
    <t>A passzív tőkekonszolidációs különbözet eredmény javára történő elszámolásának indokolása (ha volt ilyen)</t>
  </si>
  <si>
    <t>Justification of releasing negative capital consolidation difference to profit or loss (if applicable)</t>
  </si>
  <si>
    <t>123.§(10)</t>
  </si>
  <si>
    <t>Ha a törvényben meghatározottaktól eltérő árfolyamot alkalmaztak: az alkalmazott árfolyam és az eltérés indokai</t>
  </si>
  <si>
    <t>Where an exchange rate other than the statutory one was applied: the rate used and the reasons for the departure</t>
  </si>
  <si>
    <t>132.§(1)</t>
  </si>
  <si>
    <t>A konszolidálás miatti társasági adókülönbözet bemutatása</t>
  </si>
  <si>
    <t>Presentation of the corporate tax difference arising from consolidation</t>
  </si>
  <si>
    <t>117.§(6)</t>
  </si>
  <si>
    <t>Ha az anyavállalat felmentési lehetőséggel élt: annak megjelölése, melyiket alkalmazta</t>
  </si>
  <si>
    <t>Where the parent applied an exemption: indication of which one was applied</t>
  </si>
  <si>
    <t>A. Befektetett eszközök</t>
  </si>
  <si>
    <t>A. Fixed assets</t>
  </si>
  <si>
    <t>I. IMMATERIÁLIS JAVAK</t>
  </si>
  <si>
    <t>I. INTANGIBLE ASSETS</t>
  </si>
  <si>
    <t>1. Alapítás-átszervezés aktivált értéke</t>
  </si>
  <si>
    <t>1. Capitalised value of formation and restructuring</t>
  </si>
  <si>
    <t>2. Kísérleti fejlesztés aktivált értéke</t>
  </si>
  <si>
    <t>2. Capitalised value of experimental development</t>
  </si>
  <si>
    <t>3. Vagyoni értékű jogok</t>
  </si>
  <si>
    <t>3. Concessions and similar rights</t>
  </si>
  <si>
    <t>4. Szellemi termékek</t>
  </si>
  <si>
    <t>4. Intellectual property</t>
  </si>
  <si>
    <t>5. Üzleti vagy cégérték</t>
  </si>
  <si>
    <t>5. Goodwill</t>
  </si>
  <si>
    <t>6. Immateriális javakra adott előlegek</t>
  </si>
  <si>
    <t>6. Advances for intangible assets</t>
  </si>
  <si>
    <t>7. Immateriális javak értékhelyesbítése</t>
  </si>
  <si>
    <t>7. Revaluation of intangible assets</t>
  </si>
  <si>
    <t>II. TÁRGYI ESZKÖZÖK</t>
  </si>
  <si>
    <t>II. TANGIBLE ASSETS</t>
  </si>
  <si>
    <t>1. Ingatlanok és a kapcsolódó vagyoni értékű jogok</t>
  </si>
  <si>
    <t>1. Real estate and related rights</t>
  </si>
  <si>
    <t>2. Műszaki berendezések, gépek, járművek</t>
  </si>
  <si>
    <t>2. Technical equipment, machinery, vehicles</t>
  </si>
  <si>
    <t>3. Egyéb berendezések, felszerelések, járművek</t>
  </si>
  <si>
    <t>3. Other equipment, fixtures, vehicles</t>
  </si>
  <si>
    <t>4. Tenyészállatok</t>
  </si>
  <si>
    <t>4. Breeding stock</t>
  </si>
  <si>
    <t>5. Beruházások, felújítások</t>
  </si>
  <si>
    <t>5. Assets under construction, renovations</t>
  </si>
  <si>
    <t>6. Beruházásokra adott előlegek</t>
  </si>
  <si>
    <t>6. Advances for assets under construction</t>
  </si>
  <si>
    <t>7. Tárgyi eszközök értékhelyesbítése</t>
  </si>
  <si>
    <t>7. Revaluation of tangible assets</t>
  </si>
  <si>
    <t>III. BEFEKTETETT PÉNZÜGYI ESZKÖZÖK</t>
  </si>
  <si>
    <t>III. FINANCIAL INVESTMENTS</t>
  </si>
  <si>
    <t>1. Tartós részesedés kapcsolt vállalkozásban</t>
  </si>
  <si>
    <t>1. Long-term participation in affiliated undertakings</t>
  </si>
  <si>
    <t>2. Tartósan adott kölcsön kapcsolt vállalkozásban</t>
  </si>
  <si>
    <t>2. Long-term loans to affiliated undertakings</t>
  </si>
  <si>
    <t>3. Tartós jelentős tulajdoni részesedés</t>
  </si>
  <si>
    <t>3. Long-term significant participation</t>
  </si>
  <si>
    <t>4. Tartósan adott kölcsön jelentős tulajdoni részesedési viszonyban álló vállalkozásban</t>
  </si>
  <si>
    <t>4. Long-term loans to undertakings with significant participation</t>
  </si>
  <si>
    <t>5. Egyéb tartós részesedés</t>
  </si>
  <si>
    <t>5. Other long-term participations</t>
  </si>
  <si>
    <t>6. Tartósan adott kölcsön egyéb részesedési viszonyban álló vállalkozásban</t>
  </si>
  <si>
    <t>6. Long-term loans to other participating undertakings</t>
  </si>
  <si>
    <t>7. Egyéb tartósan adott kölcsön</t>
  </si>
  <si>
    <t>7. Other long-term loans</t>
  </si>
  <si>
    <t>8. Tartós hitelviszonyt megtestesítő értékpapír</t>
  </si>
  <si>
    <t>8. Long-term debt securities</t>
  </si>
  <si>
    <t>9. Befektetett pénzügyi eszközök értékhelyesbítése</t>
  </si>
  <si>
    <t>9. Revaluation of financial investments</t>
  </si>
  <si>
    <t>10. Befektetett pénzügyi eszközök értékelési különbözete</t>
  </si>
  <si>
    <t>10. Valuation difference of financial investments</t>
  </si>
  <si>
    <t>11. Tőkekonszolidációs különbözet</t>
  </si>
  <si>
    <t>11. Capital consolidation difference</t>
  </si>
  <si>
    <t xml:space="preserve">     – leányvállalatokból</t>
  </si>
  <si>
    <t xml:space="preserve">     – from subsidiaries</t>
  </si>
  <si>
    <t xml:space="preserve">     – társult vállalkozásokból</t>
  </si>
  <si>
    <t xml:space="preserve">     – from associates</t>
  </si>
  <si>
    <t>IV. HALASZTOTT ADÓKÖVETELÉS</t>
  </si>
  <si>
    <t>IV. DEFERRED TAX ASSET</t>
  </si>
  <si>
    <t>B. Forgóeszközök</t>
  </si>
  <si>
    <t>B. Current assets</t>
  </si>
  <si>
    <t>I. KÉSZLETEK</t>
  </si>
  <si>
    <t>I. INVENTORIES</t>
  </si>
  <si>
    <t>1. Anyagok</t>
  </si>
  <si>
    <t>1. Raw materials and consumables</t>
  </si>
  <si>
    <t>2. Befejezetlen termelés és félkész termékek</t>
  </si>
  <si>
    <t>2. Work in progress and semi-finished goods</t>
  </si>
  <si>
    <t>3. Növendék-, hízó- és egyéb állatok</t>
  </si>
  <si>
    <t>3. Young, fattening and other livestock</t>
  </si>
  <si>
    <t>4. Késztermékek</t>
  </si>
  <si>
    <t>4. Finished goods</t>
  </si>
  <si>
    <t>5. Áruk</t>
  </si>
  <si>
    <t>5. Goods</t>
  </si>
  <si>
    <t>6. Készletekre adott előlegek</t>
  </si>
  <si>
    <t>6. Advances for inventories</t>
  </si>
  <si>
    <t>II. KÖVETELÉSEK</t>
  </si>
  <si>
    <t>II. RECEIVABLES</t>
  </si>
  <si>
    <t>1. Követelések áruszállításból és szolgáltatásból (vevők)</t>
  </si>
  <si>
    <t>1. Trade receivables</t>
  </si>
  <si>
    <t>2. Követelések kapcsolt vállalkozással szemben</t>
  </si>
  <si>
    <t>2. Receivables from affiliated undertakings</t>
  </si>
  <si>
    <t>3. Követelések jelentős tulajdoni részesedési viszonyban lévő vállalkozással szemben</t>
  </si>
  <si>
    <t>3. Receivables from undertakings with significant participation</t>
  </si>
  <si>
    <t>4. Követelések egyéb részesedési viszonyban lévő vállalkozással szemben</t>
  </si>
  <si>
    <t>4. Receivables from other participating undertakings</t>
  </si>
  <si>
    <t>5. Váltókövetelések</t>
  </si>
  <si>
    <t>5. Bills of exchange receivable</t>
  </si>
  <si>
    <t>6. Egyéb követelések</t>
  </si>
  <si>
    <t>6. Other receivables</t>
  </si>
  <si>
    <t>7. Követelések értékelési különbözete</t>
  </si>
  <si>
    <t>7. Valuation difference of receivables</t>
  </si>
  <si>
    <t>8. Származékos ügyletek pozitív értékelési különbözete</t>
  </si>
  <si>
    <t>8. Positive valuation difference of derivatives</t>
  </si>
  <si>
    <t>9. Konszolidációból adódó (számított) társasági adó követelés</t>
  </si>
  <si>
    <t>9. Deferred corporate tax receivable arising from consolidation</t>
  </si>
  <si>
    <t>III. ÉRTÉKPAPÍROK</t>
  </si>
  <si>
    <t>III. SECURITIES</t>
  </si>
  <si>
    <t>1. Részesedés kapcsolt vállalkozásban</t>
  </si>
  <si>
    <t>1. Participation in affiliated undertakings</t>
  </si>
  <si>
    <t>2. Jelentős tulajdoni részesedés</t>
  </si>
  <si>
    <t>2. Significant participation</t>
  </si>
  <si>
    <t>3. Egyéb részesedés</t>
  </si>
  <si>
    <t>3. Other participations</t>
  </si>
  <si>
    <t>4. Saját részvények, saját üzletrészek</t>
  </si>
  <si>
    <t>4. Treasury shares and own business shares</t>
  </si>
  <si>
    <t>5. Forgatási célú hitelviszonyt megtestesítő értékpapírok</t>
  </si>
  <si>
    <t>5. Debt securities held for trading</t>
  </si>
  <si>
    <t>6. Értékpapírok értékelési különbözete</t>
  </si>
  <si>
    <t>6. Valuation difference of securities</t>
  </si>
  <si>
    <t>IV. PÉNZESZKÖZÖK</t>
  </si>
  <si>
    <t>IV. LIQUID ASSETS</t>
  </si>
  <si>
    <t>1. Pénztár, csekkek</t>
  </si>
  <si>
    <t>1. Cash on hand, cheques</t>
  </si>
  <si>
    <t>2. Bankbetétek</t>
  </si>
  <si>
    <t>2. Bank deposits</t>
  </si>
  <si>
    <t>C. Aktív időbeli elhatárolások</t>
  </si>
  <si>
    <t>C. Prepaid expenses and accrued income</t>
  </si>
  <si>
    <t>1. Bevételek aktív időbeli elhatárolása</t>
  </si>
  <si>
    <t>1. Accrued income</t>
  </si>
  <si>
    <t>2. Költségek, ráfordítások aktív időbeli elhatárolása</t>
  </si>
  <si>
    <t>2. Prepaid expenses</t>
  </si>
  <si>
    <t>3. Halasztott ráfordítások</t>
  </si>
  <si>
    <t>3. Deferred expenses</t>
  </si>
  <si>
    <t>D. Saját tőke</t>
  </si>
  <si>
    <t>D. Equity</t>
  </si>
  <si>
    <t>I. JEGYZETT TŐKE</t>
  </si>
  <si>
    <t>I. SUBSCRIBED CAPITAL</t>
  </si>
  <si>
    <t xml:space="preserve">     Ebből: visszavásárolt tulajdoni részesedés névértéken</t>
  </si>
  <si>
    <t xml:space="preserve">     of which: repurchased ownership interest at face value</t>
  </si>
  <si>
    <t>II. JEGYZETT, DE MÉG BE NEM FIZETETT TŐKE (-)</t>
  </si>
  <si>
    <t>II. SUBSCRIBED CAPITAL UNPAID (-)</t>
  </si>
  <si>
    <t>III. TŐKETARTALÉK</t>
  </si>
  <si>
    <t>III. CAPITAL RESERVE</t>
  </si>
  <si>
    <t>IV. EREDMÉNYTARTALÉK</t>
  </si>
  <si>
    <t>IV. RETAINED EARNINGS</t>
  </si>
  <si>
    <t>V. LEKÖTÖTT TARTALÉK</t>
  </si>
  <si>
    <t>V. TIED-UP RESERVE</t>
  </si>
  <si>
    <t>VI. ÉRTÉKELÉSI TARTALÉK</t>
  </si>
  <si>
    <t>VI. REVALUATION RESERVE</t>
  </si>
  <si>
    <t>1. Értékhelyesbítés értékelési tartaléka</t>
  </si>
  <si>
    <t>1. Revaluation reserve of value adjustment</t>
  </si>
  <si>
    <t>2. Valós értékelés értékelési tartaléka</t>
  </si>
  <si>
    <t>2. Revaluation reserve of fair valuation</t>
  </si>
  <si>
    <t>VII. Korrigált adózott eredmény</t>
  </si>
  <si>
    <t>VII. Adjusted profit after tax</t>
  </si>
  <si>
    <t>VIII. Leányvállalati saját tőke változás (±)</t>
  </si>
  <si>
    <t>VIII. Change in subsidiaries' equity (±)</t>
  </si>
  <si>
    <t>IX. Konszolidáció miatti változások (±)</t>
  </si>
  <si>
    <t>IX. Changes due to consolidation (±)</t>
  </si>
  <si>
    <t xml:space="preserve">     – adósságkonszolidálás különbözetéből</t>
  </si>
  <si>
    <t xml:space="preserve">     – from debt consolidation difference</t>
  </si>
  <si>
    <t xml:space="preserve">     – közbenső eredmény különbözetéből</t>
  </si>
  <si>
    <t xml:space="preserve">     – from interim profit difference</t>
  </si>
  <si>
    <t>Devizás átszámítás különbözete [Szt. 123. § (9)]</t>
  </si>
  <si>
    <t>Currency translation difference [Accounting Act s.123(9)]</t>
  </si>
  <si>
    <t>U</t>
  </si>
  <si>
    <t>X. Külső tagok (más tulajdonosok) részesedése</t>
  </si>
  <si>
    <t>X. Minority (non-controlling) interest</t>
  </si>
  <si>
    <t>E. Céltartalékok</t>
  </si>
  <si>
    <t>E. Provisions</t>
  </si>
  <si>
    <t>1. Céltartalék a várható kötelezettségekre</t>
  </si>
  <si>
    <t>1. Provisions for expected liabilities</t>
  </si>
  <si>
    <t>2. Céltartalék a jövőbeni költségekre</t>
  </si>
  <si>
    <t>2. Provisions for future expenses</t>
  </si>
  <si>
    <t>3. Egyéb céltartalék</t>
  </si>
  <si>
    <t>3. Other provisions</t>
  </si>
  <si>
    <t>F. Kötelezettségek</t>
  </si>
  <si>
    <t>F. Liabilities</t>
  </si>
  <si>
    <t>I. HÁTRASOROLT KÖTELEZETTSÉGEK</t>
  </si>
  <si>
    <t>I. SUBORDINATED LIABILITIES</t>
  </si>
  <si>
    <t>1. Hátrasorolt kötelezettségek kapcsolt vállalkozással szemben</t>
  </si>
  <si>
    <t>1. Subordinated liabilities to affiliated undertakings</t>
  </si>
  <si>
    <t>2. Hátrasorolt kötelezettségek jelentős tulajdoni részesedési viszonyban lévő vállalkozással szemben</t>
  </si>
  <si>
    <t>2. Subordinated liabilities to undertakings with significant participation</t>
  </si>
  <si>
    <t>3. Hátrasorolt kötelezettségek egyéb részesedési viszonyban lévő vállalkozással szemben</t>
  </si>
  <si>
    <t>3. Subordinated liabilities to other participating undertakings</t>
  </si>
  <si>
    <t>4. Hátrasorolt kötelezettségek egyéb gazdálkodóval szemben</t>
  </si>
  <si>
    <t>4. Subordinated liabilities to other entities</t>
  </si>
  <si>
    <t>5. Tőkekonszolidációs különbözet leányvállalatokból</t>
  </si>
  <si>
    <t>5. Capital consolidation difference from subsidiaries</t>
  </si>
  <si>
    <t>II. HOSSZÚ LEJÁRATÚ KÖTELEZETTSÉGEK</t>
  </si>
  <si>
    <t>II. LONG-TERM LIABILITIES</t>
  </si>
  <si>
    <t>1. Hosszú lejáratra kapott kölcsönök</t>
  </si>
  <si>
    <t>1. Long-term loans received</t>
  </si>
  <si>
    <t>2. Átváltoztatható és átváltozó kötvények</t>
  </si>
  <si>
    <t>2. Convertible bonds</t>
  </si>
  <si>
    <t>3. Tartozások kötvénykibocsátásból</t>
  </si>
  <si>
    <t>3. Liabilities from bond issues</t>
  </si>
  <si>
    <t>4. Beruházási és fejlesztési hitelek</t>
  </si>
  <si>
    <t>4. Investment and development loans</t>
  </si>
  <si>
    <t>5. Egyéb hosszú lejáratú hitelek</t>
  </si>
  <si>
    <t>5. Other long-term loans</t>
  </si>
  <si>
    <t>6. Tartós kötelezettségek kapcsolt vállalkozással szemben</t>
  </si>
  <si>
    <t>6. Long-term liabilities to affiliated undertakings</t>
  </si>
  <si>
    <t>7. Tartós kötelezettségek jelentős tulajdoni részesedési viszonyban lévő vállalkozásokkal szemben</t>
  </si>
  <si>
    <t>7. Long-term liabilities to undertakings with significant participation</t>
  </si>
  <si>
    <t>8. Tartós kötelezettségek egyéb részesedési viszonyban lévő vállalkozással szemben</t>
  </si>
  <si>
    <t>8. Long-term liabilities to other participating undertakings</t>
  </si>
  <si>
    <t>9. Egyéb hosszú lejáratú kötelezettségek</t>
  </si>
  <si>
    <t>9. Other long-term liabilities</t>
  </si>
  <si>
    <t>10. Halasztott adókötelezettség</t>
  </si>
  <si>
    <t>10. Deferred tax liability</t>
  </si>
  <si>
    <t>III. RÖVID LEJÁRATÚ KÖTELEZETTSÉGEK</t>
  </si>
  <si>
    <t>III. SHORT-TERM LIABILITIES</t>
  </si>
  <si>
    <t>1. Rövid lejáratú kölcsönök</t>
  </si>
  <si>
    <t>1. Short-term loans</t>
  </si>
  <si>
    <t xml:space="preserve">     – ebből: az átváltoztatható és átváltozó kötvények</t>
  </si>
  <si>
    <t xml:space="preserve">     – of which: convertible and exchangeable bonds</t>
  </si>
  <si>
    <t>2. Rövid lejáratú hitelek</t>
  </si>
  <si>
    <t>2. Short-term bank loans</t>
  </si>
  <si>
    <t>3. Vevőktől kapott előlegek</t>
  </si>
  <si>
    <t>3. Advances from customers</t>
  </si>
  <si>
    <t>4. Kötelezettségek áruszállításból és szolgáltatásból (szállítók)</t>
  </si>
  <si>
    <t>4. Trade payables</t>
  </si>
  <si>
    <t>5. Váltótartozások</t>
  </si>
  <si>
    <t>5. Bills of exchange payable</t>
  </si>
  <si>
    <t>6. Rövid lejáratú kötelezettségek kapcsolt vállalkozással szemben</t>
  </si>
  <si>
    <t>6. Short-term liabilities to affiliated undertakings</t>
  </si>
  <si>
    <t>7. Rövid lejáratú kötelezettségek jelentős tulajdoni részesedési viszonyban lévő vállalkozásokkal szemben</t>
  </si>
  <si>
    <t>7. Short-term liabilities to undertakings with significant participation</t>
  </si>
  <si>
    <t>8. Rövid lejáratú kötelezettségek egyéb részesedési viszonyban lévő vállalkozással szemben</t>
  </si>
  <si>
    <t>8. Short-term liabilities to other participating undertakings</t>
  </si>
  <si>
    <t>9. Egyéb rövid lejáratú kötelezettségek</t>
  </si>
  <si>
    <t>9. Other short-term liabilities</t>
  </si>
  <si>
    <t>10. Kötelezettségek értékelési különbözete</t>
  </si>
  <si>
    <t>10. Valuation difference of liabilities</t>
  </si>
  <si>
    <t>11. Származékos ügyletek negatív értékelési különbözete</t>
  </si>
  <si>
    <t>11. Negative valuation difference of derivatives</t>
  </si>
  <si>
    <t>12. Konszolidációból adódó (számított) társasági adó tartozás</t>
  </si>
  <si>
    <t>12. Deferred corporate tax payable arising from consolidation</t>
  </si>
  <si>
    <t>G. Passzív időbeli elhatárolások</t>
  </si>
  <si>
    <t>G. Accrued expenses and deferred income</t>
  </si>
  <si>
    <t>1. Bevételek passzív időbeli elhatárolása</t>
  </si>
  <si>
    <t>1. Deferred income</t>
  </si>
  <si>
    <t>2. Költségek, ráfordítások passzív időbeli elhatárolása</t>
  </si>
  <si>
    <t>2. Accrued expenses</t>
  </si>
  <si>
    <t>3. Halasztott bevételek</t>
  </si>
  <si>
    <t>3. Deferred revenues</t>
  </si>
  <si>
    <t>I. Értékesítés nettó árbevétele</t>
  </si>
  <si>
    <t>I. Net sales revenue</t>
  </si>
  <si>
    <t>01. Belföldi értékesítés nettó árbevétele</t>
  </si>
  <si>
    <t>01. Domestic net sales revenue</t>
  </si>
  <si>
    <t>02. Exportértékesítés nettó árbevétele</t>
  </si>
  <si>
    <t>02. Export net sales revenue</t>
  </si>
  <si>
    <t>II. Aktivált saját teljesítmények értéke</t>
  </si>
  <si>
    <t>II. Capitalised value of own performance</t>
  </si>
  <si>
    <t>03. Saját termelésű készletek állományváltozása</t>
  </si>
  <si>
    <t>03. Change in self-manufactured inventories</t>
  </si>
  <si>
    <t>04. Saját előállítású eszközök aktivált értéke</t>
  </si>
  <si>
    <t>04. Capitalised value of self-manufactured assets</t>
  </si>
  <si>
    <t>III. Egyéb bevételek</t>
  </si>
  <si>
    <t>III. Other income</t>
  </si>
  <si>
    <t xml:space="preserve">     Ebből: visszaírt értékvesztés</t>
  </si>
  <si>
    <t xml:space="preserve">     of which: reversed impairment</t>
  </si>
  <si>
    <t>III/A. Adósságkonszolidálás miatt keletkező – eredményt növelő – konszolidációs különbözet</t>
  </si>
  <si>
    <t>III/A. Consolidation difference increasing profit from debt consolidation</t>
  </si>
  <si>
    <t>IV. Anyagjellegű ráfordítások</t>
  </si>
  <si>
    <t>IV. Material-type expenses</t>
  </si>
  <si>
    <t>05. Anyagköltség</t>
  </si>
  <si>
    <t>05. Cost of raw materials</t>
  </si>
  <si>
    <t>06. Igénybe vett szolgáltatások értéke</t>
  </si>
  <si>
    <t>06. Value of services used</t>
  </si>
  <si>
    <t>07. Egyéb szolgáltatások értéke</t>
  </si>
  <si>
    <t>07. Value of other services</t>
  </si>
  <si>
    <t>08. Eladott áruk beszerzési értéke</t>
  </si>
  <si>
    <t>08. Cost of goods sold</t>
  </si>
  <si>
    <t>09. Eladott (közvetített) szolgáltatások értéke</t>
  </si>
  <si>
    <t>09. Value of services sold (mediated)</t>
  </si>
  <si>
    <t>V. Személyi jellegű ráfordítások</t>
  </si>
  <si>
    <t>V. Personnel expenses</t>
  </si>
  <si>
    <t>10. Bérköltség</t>
  </si>
  <si>
    <t>10. Wages and salaries</t>
  </si>
  <si>
    <t>11. Személyi jellegű egyéb kifizetések</t>
  </si>
  <si>
    <t>11. Other personnel payments</t>
  </si>
  <si>
    <t>12. Bérjárulékok</t>
  </si>
  <si>
    <t>12. Payroll contributions</t>
  </si>
  <si>
    <t>VI. Értékcsökkenési leírás</t>
  </si>
  <si>
    <t>VI. Depreciation and amortisation</t>
  </si>
  <si>
    <t>VII. Egyéb ráfordítások</t>
  </si>
  <si>
    <t>VII. Other expenses</t>
  </si>
  <si>
    <t xml:space="preserve">     Ebből: értékvesztés</t>
  </si>
  <si>
    <t xml:space="preserve">     of which: impairment</t>
  </si>
  <si>
    <t>VII/A. Adósságkonszolidálás miatt keletkező – eredményt csökkentő – konszolidációs különbözet</t>
  </si>
  <si>
    <t>VII/A. Consolidation difference decreasing profit from debt consolidation</t>
  </si>
  <si>
    <t>VIII. Pénzügyi műveletek bevételei</t>
  </si>
  <si>
    <t>VIII. Financial income</t>
  </si>
  <si>
    <t>13/a. Kapott osztalékok társult vállalkozástól</t>
  </si>
  <si>
    <t>13/a. Dividends received from associates</t>
  </si>
  <si>
    <t xml:space="preserve">     Ebből: kapcsolt vállalkozástól kapott</t>
  </si>
  <si>
    <t xml:space="preserve">     of which: received from affiliated undertakings</t>
  </si>
  <si>
    <t>13/b. Kapott osztalékok egyéb részesedési viszonyban lévő vállalkozástól</t>
  </si>
  <si>
    <t>13/b. Dividends received from other participating undertakings</t>
  </si>
  <si>
    <t>14. Részesedésekből származó bevételek, árfolyamnyereségek</t>
  </si>
  <si>
    <t>14. Income from participations, exchange gains</t>
  </si>
  <si>
    <t>15. Befektetett pénzügyi eszközökből (értékpapírokból, kölcsönökből) származó bevételek, árfolyamnyereségek</t>
  </si>
  <si>
    <t>15. Income from financial investments (securities, loans), exchange gains</t>
  </si>
  <si>
    <t>16. Egyéb kapott (járó) kamatok és kamatjellegű bevételek</t>
  </si>
  <si>
    <t>16. Other interest received and similar income</t>
  </si>
  <si>
    <t>17. Pénzügyi műveletek egyéb bevételei</t>
  </si>
  <si>
    <t>17. Other financial income</t>
  </si>
  <si>
    <t xml:space="preserve">     Ebből: értékelési különbözet</t>
  </si>
  <si>
    <t xml:space="preserve">     of which: valuation difference</t>
  </si>
  <si>
    <t>IX. Pénzügyi műveletek ráfordításai</t>
  </si>
  <si>
    <t>IX. Financial expenses</t>
  </si>
  <si>
    <t>18. Részesedésekből származó ráfordítások, árfolyamveszteségek</t>
  </si>
  <si>
    <t>18. Expenses on participations, exchange losses</t>
  </si>
  <si>
    <t xml:space="preserve">     Ebből: kapcsolt vállalkozásnak adott</t>
  </si>
  <si>
    <t xml:space="preserve">     of which: given to affiliated undertakings</t>
  </si>
  <si>
    <t>19. Befektetett pénzügyi eszközökből (értékpapírokból, kölcsönökből) származó ráfordítások, árfolyamveszteségek</t>
  </si>
  <si>
    <t>19. Expenses on financial investments (securities, loans), exchange losses</t>
  </si>
  <si>
    <t>20. Fizetendő (fizetett) kamatok és kamatjellegű ráfordítások</t>
  </si>
  <si>
    <t>20. Interest payable and similar expenses</t>
  </si>
  <si>
    <t>21. Részesedések, értékpapírok, tartósan adott kölcsönök, bankbetétek értékvesztése</t>
  </si>
  <si>
    <t>21. Impairment of participations, securities, long-term loans, bank deposits</t>
  </si>
  <si>
    <t>22. Pénzügyi műveletek egyéb ráfordításai</t>
  </si>
  <si>
    <t>22. Other financial expenses</t>
  </si>
  <si>
    <t>X. Adófizetési kötelezettség</t>
  </si>
  <si>
    <t>X. Tax liability</t>
  </si>
  <si>
    <t>X/1. Halasztott adókülönbözet (±)</t>
  </si>
  <si>
    <t>X/1. Deferred tax difference (±)</t>
  </si>
  <si>
    <t>X/A. Konszolidálásból adódó (számított) társasági adókülönbözet (±)</t>
  </si>
  <si>
    <t>X/A. Deferred corporate tax difference from consolidation (±)</t>
  </si>
  <si>
    <t>X/B. Halasztott adókülönbözet (±) [6. sz. mell.; tartalmilag az X/1. sorral egyezik]</t>
  </si>
  <si>
    <t>X/B. Deferred tax difference (±) [Annex 6; same content as line X/1]</t>
  </si>
  <si>
    <t>Leányvállalatok adózott eredményéből külső tagok (más tulajdonosok) részesedése</t>
  </si>
  <si>
    <t>Minority interest in subsidiaries' profit after tax</t>
  </si>
  <si>
    <t>Forgalmi költséges eljárás saját sorai</t>
  </si>
  <si>
    <t>Own lines of the cost-of-sales method</t>
  </si>
  <si>
    <t>F</t>
  </si>
  <si>
    <t>03. Értékesítés elszámolt közvetlen önköltsége</t>
  </si>
  <si>
    <t>03. Direct cost of sales</t>
  </si>
  <si>
    <t>06. Értékesítési, forgalmazási költségek</t>
  </si>
  <si>
    <t>06. Selling and distribution costs</t>
  </si>
  <si>
    <t>07. Igazgatási költségek</t>
  </si>
  <si>
    <t>07. Administrative costs</t>
  </si>
  <si>
    <t>08. Egyéb általános költségek</t>
  </si>
  <si>
    <t>08. Other general costs</t>
  </si>
  <si>
    <t>Jelölés:  K = konszolidáció-specifikus sor  |  V = a törvényi sémával összevetendő sor.</t>
  </si>
  <si>
    <t>Nyelvi szótár / Language dictionary</t>
  </si>
  <si>
    <t>A C és D oszlop szabadon átírható. / Columns C and D may be edited freely.</t>
  </si>
  <si>
    <t>Kulcs / Key</t>
  </si>
  <si>
    <t>English</t>
  </si>
  <si>
    <t>app</t>
  </si>
  <si>
    <t>XLNT Számviteli Konszolidáló</t>
  </si>
  <si>
    <t>XLNT Consolidation Tool</t>
  </si>
  <si>
    <t>sub</t>
  </si>
  <si>
    <t>Magyar számviteli törvény szerinti összevont (konszolidált) éves beszámoló</t>
  </si>
  <si>
    <t>Consolidated annual accounts under the Hungarian Accounting Act</t>
  </si>
  <si>
    <t>steps</t>
  </si>
  <si>
    <t>A konszolidálás lépései</t>
  </si>
  <si>
    <t>Steps of the consolidation</t>
  </si>
  <si>
    <t>goto</t>
  </si>
  <si>
    <t>Ugrás »</t>
  </si>
  <si>
    <t>Open »</t>
  </si>
  <si>
    <t>status</t>
  </si>
  <si>
    <t>Állapot</t>
  </si>
  <si>
    <t>Status</t>
  </si>
  <si>
    <t>ok</t>
  </si>
  <si>
    <t>RENDBEN</t>
  </si>
  <si>
    <t>OK</t>
  </si>
  <si>
    <t>nok</t>
  </si>
  <si>
    <t>ELTÉRÉS</t>
  </si>
  <si>
    <t>MISMATCH</t>
  </si>
  <si>
    <t>blue</t>
  </si>
  <si>
    <t>A sárga hátterű, kék betűs cellák a kitöltendő adatok. A szürke cellák képletet tartalmaznak.</t>
  </si>
  <si>
    <t>Yellow cells with blue text are for your input. Grey cells contain formulas.</t>
  </si>
  <si>
    <t>s1n</t>
  </si>
  <si>
    <t>1. Alapbeállítások</t>
  </si>
  <si>
    <t>1. Basic settings</t>
  </si>
  <si>
    <t>s1d</t>
  </si>
  <si>
    <t>Anyavállalat adatai, üzleti év, pénznem, adókulcs, nyelv.</t>
  </si>
  <si>
    <t>Parent company data, financial year, currency, tax rate, language.</t>
  </si>
  <si>
    <t>s2n</t>
  </si>
  <si>
    <t>2. Konszolidációs kör</t>
  </si>
  <si>
    <t>2. Scope of consolidation</t>
  </si>
  <si>
    <t>s2d</t>
  </si>
  <si>
    <t>Cégek felvétele, bevonás módja (teljes / kvótás / equity / kivont), tulajdoni hányad.</t>
  </si>
  <si>
    <t>Companies, method (full / proportional / equity / excluded), ownership share.</t>
  </si>
  <si>
    <t>s3n</t>
  </si>
  <si>
    <t>3. Egyedi beszámolók bevitele</t>
  </si>
  <si>
    <t>3. Individual financial statements</t>
  </si>
  <si>
    <t>s3d</t>
  </si>
  <si>
    <t>Cégenkénti, már egységesített mérleg- és eredménykimutatás-adatok.</t>
  </si>
  <si>
    <t>Harmonised balance sheet and P&amp;L data per company.</t>
  </si>
  <si>
    <t>s4n</t>
  </si>
  <si>
    <t>4. Tőkekonszolidáció</t>
  </si>
  <si>
    <t>4. Capital consolidation</t>
  </si>
  <si>
    <t>s4d</t>
  </si>
  <si>
    <t>Részesedés könyv szerinti értéke a megillető saját tőkével szemben; különbözet, külső tagok.</t>
  </si>
  <si>
    <t>Book value of participation vs. share of equity; difference, minority interest.</t>
  </si>
  <si>
    <t>s5n</t>
  </si>
  <si>
    <t>5. Adósságkonszolidálás</t>
  </si>
  <si>
    <t>5. Debt consolidation</t>
  </si>
  <si>
    <t>s5d</t>
  </si>
  <si>
    <t>A csoporton belüli követelések és kötelezettségek kiszűrése.</t>
  </si>
  <si>
    <t>Elimination of intra-group receivables and payables.</t>
  </si>
  <si>
    <t>s6n</t>
  </si>
  <si>
    <t>6. Közbenső eredmény kiszűrése</t>
  </si>
  <si>
    <t>6. Elimination of interim profit</t>
  </si>
  <si>
    <t>s6d</t>
  </si>
  <si>
    <t>A záró készletben / eszközben maradt csoporton belüli eredmény kiszűrése.</t>
  </si>
  <si>
    <t>Elimination of unrealised profit remaining in closing stock / assets.</t>
  </si>
  <si>
    <t>s7n</t>
  </si>
  <si>
    <t>7. Bevételek és ráfordítások konszolidálása</t>
  </si>
  <si>
    <t>7. Consolidation of income and expenses</t>
  </si>
  <si>
    <t>s7d</t>
  </si>
  <si>
    <t>Belső árbevétel-ráfordítás párok és a csoporton belüli osztalék kiszűrése.</t>
  </si>
  <si>
    <t>Elimination of intra-group revenue/expense pairs and dividends.</t>
  </si>
  <si>
    <t>s8n</t>
  </si>
  <si>
    <t>8. Társult vállalkozások (equity)</t>
  </si>
  <si>
    <t>8. Associates (equity method)</t>
  </si>
  <si>
    <t>s8d</t>
  </si>
  <si>
    <t>Társult vállalkozások értékelése tőkerészesedési módszerrel.</t>
  </si>
  <si>
    <t>Valuation of associates using the equity method.</t>
  </si>
  <si>
    <t>s9n</t>
  </si>
  <si>
    <t>9. Adókülönbözet</t>
  </si>
  <si>
    <t>9. Deferred tax</t>
  </si>
  <si>
    <t>s9d</t>
  </si>
  <si>
    <t>A konszolidálás miatti eredménykülönbözetre jutó számított társasági adó.</t>
  </si>
  <si>
    <t>Computed corporate tax on result differences caused by consolidation.</t>
  </si>
  <si>
    <t>s10n</t>
  </si>
  <si>
    <t>10. Konszolidációs napló</t>
  </si>
  <si>
    <t>10. Consolidation journal</t>
  </si>
  <si>
    <t>s10d</t>
  </si>
  <si>
    <t>Minden korrekció egy helyen, tartozik/követel bontásban. Ez hajtja a munkatáblát.</t>
  </si>
  <si>
    <t>All adjustments in one place, debit/credit. This drives the worksheet.</t>
  </si>
  <si>
    <t>s11n</t>
  </si>
  <si>
    <t>11. Konszolidációs munkatábla</t>
  </si>
  <si>
    <t>11. Consolidation worksheet</t>
  </si>
  <si>
    <t>s11d</t>
  </si>
  <si>
    <t>Egyedi adatok összege + korrekciók = konszolidált érték, soronként.</t>
  </si>
  <si>
    <t>Sum of individual data + adjustments = consolidated amount, line by line.</t>
  </si>
  <si>
    <t>s12n</t>
  </si>
  <si>
    <t>12. Konszolidált mérleg</t>
  </si>
  <si>
    <t>12. Consolidated balance sheet</t>
  </si>
  <si>
    <t>s12d</t>
  </si>
  <si>
    <t>Az összevont (konszolidált) mérleg tárgyév / előző év bontásban.</t>
  </si>
  <si>
    <t>The consolidated balance sheet, current vs. previous year.</t>
  </si>
  <si>
    <t>s13n</t>
  </si>
  <si>
    <t>13. Konszolidált eredménykimutatás</t>
  </si>
  <si>
    <t>13. Consolidated income statement</t>
  </si>
  <si>
    <t>s13d</t>
  </si>
  <si>
    <t>Összköltség eljárású összevont eredménykimutatás.</t>
  </si>
  <si>
    <t>Consolidated income statement, total cost method.</t>
  </si>
  <si>
    <t>s14n</t>
  </si>
  <si>
    <t>14. Ellenőrzések</t>
  </si>
  <si>
    <t>14. Checks</t>
  </si>
  <si>
    <t>s14d</t>
  </si>
  <si>
    <t>Egyezőségi próbák: mérlegfőösszeg, napló T=K, eredményegyezőség.</t>
  </si>
  <si>
    <t>Reconciliation tests: balance total, journal D=C, result agreement.</t>
  </si>
  <si>
    <t>s15n</t>
  </si>
  <si>
    <t>15. Sorséma (szerkeszthető)</t>
  </si>
  <si>
    <t>15. Line schema (editable)</t>
  </si>
  <si>
    <t>s15d</t>
  </si>
  <si>
    <t>A mérleg- és eredménysorok listája; itt lehet átnevezni vagy bővíteni.</t>
  </si>
  <si>
    <t>List of balance sheet and P&amp;L lines; rename or extend here.</t>
  </si>
  <si>
    <t>s16n</t>
  </si>
  <si>
    <t>16. Súgó és jogszabályi háttér</t>
  </si>
  <si>
    <t>16. Help and legal background</t>
  </si>
  <si>
    <t>s16d</t>
  </si>
  <si>
    <t>Lépésenkénti útmutató és a vonatkozó törvényhelyek.</t>
  </si>
  <si>
    <t>Step-by-step guide and relevant legal references.</t>
  </si>
  <si>
    <t>h_set</t>
  </si>
  <si>
    <t>h_kor</t>
  </si>
  <si>
    <t>h_adat</t>
  </si>
  <si>
    <t>3. Egyedi beszámolók (egységesített adatok)</t>
  </si>
  <si>
    <t>3. Individual statements (harmonised data)</t>
  </si>
  <si>
    <t>h_tk</t>
  </si>
  <si>
    <t>h_ad</t>
  </si>
  <si>
    <t>h_ko</t>
  </si>
  <si>
    <t>h_bev</t>
  </si>
  <si>
    <t>h_eq</t>
  </si>
  <si>
    <t>8. Társult vállalkozások (equity módszer)</t>
  </si>
  <si>
    <t>h_tao2</t>
  </si>
  <si>
    <t>9. Konszolidálásból adódó adókülönbözet</t>
  </si>
  <si>
    <t>9. Deferred tax arising from consolidation</t>
  </si>
  <si>
    <t>h_nap</t>
  </si>
  <si>
    <t>h_mt</t>
  </si>
  <si>
    <t>h_mer</t>
  </si>
  <si>
    <t>h_ere</t>
  </si>
  <si>
    <t>h_ell</t>
  </si>
  <si>
    <t>h_sem</t>
  </si>
  <si>
    <t>15. Sorséma</t>
  </si>
  <si>
    <t>15. Line schema</t>
  </si>
  <si>
    <t>h_sug</t>
  </si>
  <si>
    <t>16. Súgó</t>
  </si>
  <si>
    <t>16. Help</t>
  </si>
  <si>
    <t>f_anya</t>
  </si>
  <si>
    <t>Anyavállalat neve</t>
  </si>
  <si>
    <t>Name of the parent company</t>
  </si>
  <si>
    <t>f_ado</t>
  </si>
  <si>
    <t>Anyavállalat adószáma</t>
  </si>
  <si>
    <t>Tax number of the parent</t>
  </si>
  <si>
    <t>f_ev</t>
  </si>
  <si>
    <t>Üzleti év (mérlegfordulónap)</t>
  </si>
  <si>
    <t>Financial year (balance sheet date)</t>
  </si>
  <si>
    <t>f_nyelv</t>
  </si>
  <si>
    <t>Nyelv / Language</t>
  </si>
  <si>
    <t>f_penz</t>
  </si>
  <si>
    <t>Pénznem</t>
  </si>
  <si>
    <t>Currency</t>
  </si>
  <si>
    <t>f_egys</t>
  </si>
  <si>
    <t>Adatok egysége</t>
  </si>
  <si>
    <t>Unit of amounts</t>
  </si>
  <si>
    <t>f_tao</t>
  </si>
  <si>
    <t>Társasági adó kulcsa</t>
  </si>
  <si>
    <t>Corporate tax rate</t>
  </si>
  <si>
    <t>f_tkev</t>
  </si>
  <si>
    <t>Tőkekonsz. különbözet leírási ideje (év)</t>
  </si>
  <si>
    <t>Amortisation period of consolidation difference (years)</t>
  </si>
  <si>
    <t>f_tkmod</t>
  </si>
  <si>
    <t>Tőkekonszolidáció módszere</t>
  </si>
  <si>
    <t>Capital consolidation method</t>
  </si>
  <si>
    <t>f_kesz</t>
  </si>
  <si>
    <t>Készítette</t>
  </si>
  <si>
    <t>Prepared by</t>
  </si>
  <si>
    <t>f_datum</t>
  </si>
  <si>
    <t>Készítés dátuma</t>
  </si>
  <si>
    <t>Date of preparation</t>
  </si>
  <si>
    <t>c_sorsz</t>
  </si>
  <si>
    <t>Ssz.</t>
  </si>
  <si>
    <t>No.</t>
  </si>
  <si>
    <t>c_kod</t>
  </si>
  <si>
    <t>Cégkód</t>
  </si>
  <si>
    <t>Code</t>
  </si>
  <si>
    <t>c_nev</t>
  </si>
  <si>
    <t>Cég neve</t>
  </si>
  <si>
    <t>Company name</t>
  </si>
  <si>
    <t>c_ado</t>
  </si>
  <si>
    <t>Adószám</t>
  </si>
  <si>
    <t>Tax number</t>
  </si>
  <si>
    <t>c_mod</t>
  </si>
  <si>
    <t>Bevonás módja</t>
  </si>
  <si>
    <t>Consolidation method</t>
  </si>
  <si>
    <t>c_tul</t>
  </si>
  <si>
    <t>Tulajdoni hányad %</t>
  </si>
  <si>
    <t>Ownership %</t>
  </si>
  <si>
    <t>c_szav</t>
  </si>
  <si>
    <t>Szavazati hányad %</t>
  </si>
  <si>
    <t>Voting rights %</t>
  </si>
  <si>
    <t>c_szerz</t>
  </si>
  <si>
    <t>Szerzés időpontja</t>
  </si>
  <si>
    <t>Date of acquisition</t>
  </si>
  <si>
    <t>c_elso</t>
  </si>
  <si>
    <t>Első bevonás éve</t>
  </si>
  <si>
    <t>Year of first inclusion</t>
  </si>
  <si>
    <t>c_dev</t>
  </si>
  <si>
    <t>c_arfz</t>
  </si>
  <si>
    <t>Záró árfolyam (mérleg)</t>
  </si>
  <si>
    <t>Closing rate (BS)</t>
  </si>
  <si>
    <t>c_arfa</t>
  </si>
  <si>
    <t>Átlagárfolyam (eredmény)</t>
  </si>
  <si>
    <t>Average rate (P&amp;L)</t>
  </si>
  <si>
    <t>c_kvota</t>
  </si>
  <si>
    <t>Kvóta (számított)</t>
  </si>
  <si>
    <t>Quota (calculated)</t>
  </si>
  <si>
    <t>c_megj</t>
  </si>
  <si>
    <t>Megjegyzés</t>
  </si>
  <si>
    <t>Note</t>
  </si>
  <si>
    <t>a_kod</t>
  </si>
  <si>
    <t>Kód</t>
  </si>
  <si>
    <t>a_nev</t>
  </si>
  <si>
    <t>Megnevezés</t>
  </si>
  <si>
    <t>Description</t>
  </si>
  <si>
    <t>a_agg</t>
  </si>
  <si>
    <t>A/Ö</t>
  </si>
  <si>
    <t>D/S</t>
  </si>
  <si>
    <t>a_kvota</t>
  </si>
  <si>
    <t>Kvóta →</t>
  </si>
  <si>
    <t>Quota →</t>
  </si>
  <si>
    <t>t_leany</t>
  </si>
  <si>
    <t>Leányvállalat</t>
  </si>
  <si>
    <t>Subsidiary</t>
  </si>
  <si>
    <t>t_resz</t>
  </si>
  <si>
    <t>Részesedés könyv szerinti értéke</t>
  </si>
  <si>
    <t>Book value of participation</t>
  </si>
  <si>
    <t>t_stoke</t>
  </si>
  <si>
    <t>Saját tőke a bevonáskor (számított)</t>
  </si>
  <si>
    <t>Equity at inclusion (calculated)</t>
  </si>
  <si>
    <t>t_jt</t>
  </si>
  <si>
    <t>ebből: Jegyzett tőke</t>
  </si>
  <si>
    <t>of which: Subscribed capital</t>
  </si>
  <si>
    <t>t_tt</t>
  </si>
  <si>
    <t>ebből: Tőketartalék</t>
  </si>
  <si>
    <t>of which: Capital reserve</t>
  </si>
  <si>
    <t>t_et</t>
  </si>
  <si>
    <t>ebből: Eredménytartalék</t>
  </si>
  <si>
    <t>of which: Retained earnings</t>
  </si>
  <si>
    <t>t_lt</t>
  </si>
  <si>
    <t>ebből: Lekötött tartalék</t>
  </si>
  <si>
    <t>of which: Tied-up reserve</t>
  </si>
  <si>
    <t>t_ert</t>
  </si>
  <si>
    <t>ebből: Értékelési tartalék</t>
  </si>
  <si>
    <t>of which: Revaluation reserve</t>
  </si>
  <si>
    <t>t_ered</t>
  </si>
  <si>
    <t>Leányvállalat tárgyévi adózott eredménye</t>
  </si>
  <si>
    <t>Subsidiary profit after tax for the year</t>
  </si>
  <si>
    <t>t_kered</t>
  </si>
  <si>
    <t>Külső tagok részesedése a tárgyévi eredményből</t>
  </si>
  <si>
    <t>Minority interest in the year's profit</t>
  </si>
  <si>
    <t>t_dviii</t>
  </si>
  <si>
    <t>D.VIII-ba átsorolandó saját tőke változás</t>
  </si>
  <si>
    <t>Equity change to reclassify to D.VIII</t>
  </si>
  <si>
    <t>t_hanyad</t>
  </si>
  <si>
    <t>Tulajdoni hányad</t>
  </si>
  <si>
    <t>Ownership share</t>
  </si>
  <si>
    <t>t_megillet</t>
  </si>
  <si>
    <t>Anyavállalatot megillető saját tőke</t>
  </si>
  <si>
    <t>Parent's share of equity</t>
  </si>
  <si>
    <t>t_kul</t>
  </si>
  <si>
    <t>Tőkekonszolidációs különbözet</t>
  </si>
  <si>
    <t>Capital consolidation difference</t>
  </si>
  <si>
    <t>t_akt</t>
  </si>
  <si>
    <t>ebből aktív (eszköz)</t>
  </si>
  <si>
    <t>of which active (asset)</t>
  </si>
  <si>
    <t>t_pass</t>
  </si>
  <si>
    <t>ebből passzív (forrás)</t>
  </si>
  <si>
    <t>of which passive (liability)</t>
  </si>
  <si>
    <t>t_stoke_zaro</t>
  </si>
  <si>
    <t>Leányvállalat saját tőkéje a fordulónapon</t>
  </si>
  <si>
    <t>Subsidiary equity at year-end</t>
  </si>
  <si>
    <t>t_kulso</t>
  </si>
  <si>
    <t>Külső tagok részesedése</t>
  </si>
  <si>
    <t>Minority interest</t>
  </si>
  <si>
    <t>t_leiras</t>
  </si>
  <si>
    <t>Tárgyévi különbözet-leírás</t>
  </si>
  <si>
    <t>Amortisation in the year</t>
  </si>
  <si>
    <t>d_hit</t>
  </si>
  <si>
    <t>Hitelező cég (követelés)</t>
  </si>
  <si>
    <t>Creditor company (receivable)</t>
  </si>
  <si>
    <t>d_ados</t>
  </si>
  <si>
    <t>Adós cég (kötelezettség)</t>
  </si>
  <si>
    <t>Debtor company (payable)</t>
  </si>
  <si>
    <t>d_kovsor</t>
  </si>
  <si>
    <t>Követelés mérlegsora</t>
  </si>
  <si>
    <t>BS line of receivable</t>
  </si>
  <si>
    <t>d_kotsor</t>
  </si>
  <si>
    <t>Kötelezettség mérlegsora</t>
  </si>
  <si>
    <t>BS line of payable</t>
  </si>
  <si>
    <t>d_kov</t>
  </si>
  <si>
    <t>Követelés összege</t>
  </si>
  <si>
    <t>Receivable amount</t>
  </si>
  <si>
    <t>d_kot</t>
  </si>
  <si>
    <t>Kötelezettség összege</t>
  </si>
  <si>
    <t>Payable amount</t>
  </si>
  <si>
    <t>d_elt</t>
  </si>
  <si>
    <t>Eltérés</t>
  </si>
  <si>
    <t>Difference</t>
  </si>
  <si>
    <t>d_kiszur</t>
  </si>
  <si>
    <t>Kiszűrendő összeg</t>
  </si>
  <si>
    <t>Amount to eliminate</t>
  </si>
  <si>
    <t>k_szall</t>
  </si>
  <si>
    <t>Szállító cég</t>
  </si>
  <si>
    <t>Supplying company</t>
  </si>
  <si>
    <t>k_vevo</t>
  </si>
  <si>
    <t>Vevő cég</t>
  </si>
  <si>
    <t>Receiving company</t>
  </si>
  <si>
    <t>k_eszkoz</t>
  </si>
  <si>
    <t>Érintett eszköz mérlegsora</t>
  </si>
  <si>
    <t>BS line of the asset</t>
  </si>
  <si>
    <t>k_ered</t>
  </si>
  <si>
    <t>Ellentétel eredménysora</t>
  </si>
  <si>
    <t>Offsetting P&amp;L line</t>
  </si>
  <si>
    <t>k_zaro</t>
  </si>
  <si>
    <t>Záró állomány csoportáron</t>
  </si>
  <si>
    <t>Closing stock at group price</t>
  </si>
  <si>
    <t>k_bek</t>
  </si>
  <si>
    <t>Ugyanez csoportszintű bekerülési értéken</t>
  </si>
  <si>
    <t>Same at group cost</t>
  </si>
  <si>
    <t>k_koz</t>
  </si>
  <si>
    <t>Közbenső eredmény (kiszűrendő)</t>
  </si>
  <si>
    <t>Interim profit (to eliminate)</t>
  </si>
  <si>
    <t>b_bev</t>
  </si>
  <si>
    <t>Bevételt elszámoló cég</t>
  </si>
  <si>
    <t>Company recognising income</t>
  </si>
  <si>
    <t>b_raf</t>
  </si>
  <si>
    <t>Ráfordítást elszámoló cég</t>
  </si>
  <si>
    <t>Company recognising expense</t>
  </si>
  <si>
    <t>b_jog</t>
  </si>
  <si>
    <t>Jogcím</t>
  </si>
  <si>
    <t>Title</t>
  </si>
  <si>
    <t>b_bevsor</t>
  </si>
  <si>
    <t>Bevétel sora</t>
  </si>
  <si>
    <t>Income line</t>
  </si>
  <si>
    <t>b_rafsor</t>
  </si>
  <si>
    <t>Ráfordítás sora</t>
  </si>
  <si>
    <t>Expense line</t>
  </si>
  <si>
    <t>b_ossz</t>
  </si>
  <si>
    <t>Összeg</t>
  </si>
  <si>
    <t>Amount</t>
  </si>
  <si>
    <t>e_tars</t>
  </si>
  <si>
    <t>Társult vállalkozás</t>
  </si>
  <si>
    <t>Associate</t>
  </si>
  <si>
    <t>e_kv</t>
  </si>
  <si>
    <t>e_st</t>
  </si>
  <si>
    <t>Társult saját tőkéje</t>
  </si>
  <si>
    <t>Equity of the associate</t>
  </si>
  <si>
    <t>e_han</t>
  </si>
  <si>
    <t>e_ered</t>
  </si>
  <si>
    <t>Tárgyévi eredmény</t>
  </si>
  <si>
    <t>Result of the year</t>
  </si>
  <si>
    <t>e_resz</t>
  </si>
  <si>
    <t>Ebből a részesedésre jutó</t>
  </si>
  <si>
    <t>Share of the result</t>
  </si>
  <si>
    <t>e_uj</t>
  </si>
  <si>
    <t>Equity szerinti érték</t>
  </si>
  <si>
    <t>Equity-method value</t>
  </si>
  <si>
    <t>e_kul</t>
  </si>
  <si>
    <t>Teljes különbözet</t>
  </si>
  <si>
    <t>Total difference</t>
  </si>
  <si>
    <t>e_targy</t>
  </si>
  <si>
    <t>ebből tárgyévi eredményre jutó</t>
  </si>
  <si>
    <t>of which attributable to the year's result</t>
  </si>
  <si>
    <t>e_korabbi</t>
  </si>
  <si>
    <t>ebből korábbi évekre jutó</t>
  </si>
  <si>
    <t>of which attributable to prior years</t>
  </si>
  <si>
    <t>e_cel1</t>
  </si>
  <si>
    <t>Tárgyévi rész célsora</t>
  </si>
  <si>
    <t>Target line for the year's part</t>
  </si>
  <si>
    <t>e_cel2</t>
  </si>
  <si>
    <t>Korábbi évek célsora</t>
  </si>
  <si>
    <t>Target line for the prior years' part</t>
  </si>
  <si>
    <t>a_zaro</t>
  </si>
  <si>
    <t>Záró árfolyam →</t>
  </si>
  <si>
    <t>Closing rate →</t>
  </si>
  <si>
    <t>a_atlag</t>
  </si>
  <si>
    <t>Átlagárfolyam →</t>
  </si>
  <si>
    <t>Average rate →</t>
  </si>
  <si>
    <t>x_alap</t>
  </si>
  <si>
    <t>Adóalap-különbözet</t>
  </si>
  <si>
    <t>Tax base difference</t>
  </si>
  <si>
    <t>x_kulcs</t>
  </si>
  <si>
    <t>Adókulcs</t>
  </si>
  <si>
    <t>Tax rate</t>
  </si>
  <si>
    <t>x_ado</t>
  </si>
  <si>
    <t>Számított adókülönbözet</t>
  </si>
  <si>
    <t>Computed tax difference</t>
  </si>
  <si>
    <t>n_ssz</t>
  </si>
  <si>
    <t>n_ev</t>
  </si>
  <si>
    <t>Év</t>
  </si>
  <si>
    <t>Year</t>
  </si>
  <si>
    <t>n_tip</t>
  </si>
  <si>
    <t>Tétel típusa</t>
  </si>
  <si>
    <t>Entry type</t>
  </si>
  <si>
    <t>n_hiv</t>
  </si>
  <si>
    <t>Hivatkozás</t>
  </si>
  <si>
    <t>Reference</t>
  </si>
  <si>
    <t>n_ceg</t>
  </si>
  <si>
    <t>Company code</t>
  </si>
  <si>
    <t>n_kod</t>
  </si>
  <si>
    <t>Séma kód</t>
  </si>
  <si>
    <t>Schema code</t>
  </si>
  <si>
    <t>n_nev</t>
  </si>
  <si>
    <t>Sor megnevezése</t>
  </si>
  <si>
    <t>Line description</t>
  </si>
  <si>
    <t>n_t</t>
  </si>
  <si>
    <t>Tartozik</t>
  </si>
  <si>
    <t>Debit</t>
  </si>
  <si>
    <t>n_k</t>
  </si>
  <si>
    <t>Követel</t>
  </si>
  <si>
    <t>Credit</t>
  </si>
  <si>
    <t>n_leir</t>
  </si>
  <si>
    <t>Leírás</t>
  </si>
  <si>
    <t>n_atv</t>
  </si>
  <si>
    <t>Átvihető?</t>
  </si>
  <si>
    <t>Carry forward?</t>
  </si>
  <si>
    <t>n_forr</t>
  </si>
  <si>
    <t>Forrás</t>
  </si>
  <si>
    <t>Source</t>
  </si>
  <si>
    <t>m_oldal</t>
  </si>
  <si>
    <t>Oldal</t>
  </si>
  <si>
    <t>Side</t>
  </si>
  <si>
    <t>m_egyedi</t>
  </si>
  <si>
    <t>Egyedi adatok összege</t>
  </si>
  <si>
    <t>Sum of individual data</t>
  </si>
  <si>
    <t>m_kt</t>
  </si>
  <si>
    <t>Korrekció Tartozik</t>
  </si>
  <si>
    <t>Adjustment Debit</t>
  </si>
  <si>
    <t>m_kk</t>
  </si>
  <si>
    <t>Korrekció Követel</t>
  </si>
  <si>
    <t>Adjustment Credit</t>
  </si>
  <si>
    <t>m_net</t>
  </si>
  <si>
    <t>Nettó korrekció</t>
  </si>
  <si>
    <t>Net adjustment</t>
  </si>
  <si>
    <t>m_konsz</t>
  </si>
  <si>
    <t>Konszolidált érték</t>
  </si>
  <si>
    <t>Consolidated amount</t>
  </si>
  <si>
    <t>p_targy</t>
  </si>
  <si>
    <t>Tárgyév</t>
  </si>
  <si>
    <t>Current year</t>
  </si>
  <si>
    <t>p_elozo</t>
  </si>
  <si>
    <t>Előző év</t>
  </si>
  <si>
    <t>Previous year</t>
  </si>
  <si>
    <t>p_valt</t>
  </si>
  <si>
    <t>Változás</t>
  </si>
  <si>
    <t>Change</t>
  </si>
  <si>
    <t>l_megn</t>
  </si>
  <si>
    <t>Ellenőrzés</t>
  </si>
  <si>
    <t>Check</t>
  </si>
  <si>
    <t>l_ert</t>
  </si>
  <si>
    <t>l_erd</t>
  </si>
  <si>
    <t>Eredmény</t>
  </si>
  <si>
    <t>Result</t>
  </si>
  <si>
    <t>l_e1</t>
  </si>
  <si>
    <t>Konszolidált eszközök = konszolidált források</t>
  </si>
  <si>
    <t>Consolidated assets = consolidated equity and liabilities</t>
  </si>
  <si>
    <t>l_e2</t>
  </si>
  <si>
    <t>Konszolidációs napló: Tartozik = Követel</t>
  </si>
  <si>
    <t>Consolidation journal: Debit = Credit</t>
  </si>
  <si>
    <t>l_e3</t>
  </si>
  <si>
    <t>Egyedi beszámolók: eszközök = források (mind)</t>
  </si>
  <si>
    <t>Individual statements: assets = liabilities (all)</t>
  </si>
  <si>
    <t>l_e4</t>
  </si>
  <si>
    <t>Egyedi beszámolók: eredmény = mérleg D.VII + devizaátszámítási különbözet</t>
  </si>
  <si>
    <t>Individual statements: P&amp;L result = BS line D.VII + translation difference</t>
  </si>
  <si>
    <t>l_e5</t>
  </si>
  <si>
    <t>A napló minden séma-kódja létezik a sorsémában</t>
  </si>
  <si>
    <t>Every schema code in the journal exists in the schema</t>
  </si>
  <si>
    <t>l_e6</t>
  </si>
  <si>
    <t>Minden bevont cégnél meg van adva a záró és az átlagárfolyam</t>
  </si>
  <si>
    <t>Closing and average rates are given for every consolidated company</t>
  </si>
  <si>
    <t>y_kod</t>
  </si>
  <si>
    <t>y_szint</t>
  </si>
  <si>
    <t>Szint</t>
  </si>
  <si>
    <t>Level</t>
  </si>
  <si>
    <t>y_tip</t>
  </si>
  <si>
    <t>Típus</t>
  </si>
  <si>
    <t>Type</t>
  </si>
  <si>
    <t>y_oldal</t>
  </si>
  <si>
    <t>Oldal (T/K)</t>
  </si>
  <si>
    <t>Side (D/C)</t>
  </si>
  <si>
    <t>y_agg</t>
  </si>
  <si>
    <t>Adat/Összeg</t>
  </si>
  <si>
    <t>Data/Sum</t>
  </si>
  <si>
    <t>y_hu</t>
  </si>
  <si>
    <t>Description (Hungarian)</t>
  </si>
  <si>
    <t>y_en</t>
  </si>
  <si>
    <t>Megnevezés (angol)</t>
  </si>
  <si>
    <t>Description (English)</t>
  </si>
  <si>
    <t>y_forr</t>
  </si>
  <si>
    <t>Jelölés</t>
  </si>
  <si>
    <t>Flag</t>
  </si>
  <si>
    <t>h_nyito</t>
  </si>
  <si>
    <t>3/B. Előző évi (nyitó) konszolidált adatok</t>
  </si>
  <si>
    <t>3/B. Prior-year (opening) consolidated data</t>
  </si>
  <si>
    <t>h_cf</t>
  </si>
  <si>
    <t>14. Konszolidált cash flow-kimutatás [Szt. 7. sz. melléklet]</t>
  </si>
  <si>
    <t>14. Consolidated cash flow statement [Annex 7]</t>
  </si>
  <si>
    <t>n_elozo</t>
  </si>
  <si>
    <t>Előző évi konszolidált érték</t>
  </si>
  <si>
    <t>Prior-year consolidated amount</t>
  </si>
  <si>
    <t>cf_jel</t>
  </si>
  <si>
    <t>±</t>
  </si>
  <si>
    <t>cf_auto</t>
  </si>
  <si>
    <t>Automatikus levezetés</t>
  </si>
  <si>
    <t>Automatic derivation</t>
  </si>
  <si>
    <t>cf_kezi</t>
  </si>
  <si>
    <t>Kézi adat / korrekció</t>
  </si>
  <si>
    <t>Manual data / adjustment</t>
  </si>
  <si>
    <t>cf_targy</t>
  </si>
  <si>
    <t>Tárgyév összesen</t>
  </si>
  <si>
    <t>Current year total</t>
  </si>
  <si>
    <t>cf_forras</t>
  </si>
  <si>
    <t>A levezetés alapja</t>
  </si>
  <si>
    <t>Basis of the derivation</t>
  </si>
  <si>
    <t>s17n</t>
  </si>
  <si>
    <t>17. Előző évi (nyitó) adatok</t>
  </si>
  <si>
    <t>17. Prior-year (opening) data</t>
  </si>
  <si>
    <t>s17d</t>
  </si>
  <si>
    <t>Az előző évi konszolidált mérleg és eredménykimutatás – ebből számol a cash flow.</t>
  </si>
  <si>
    <t>Prior-year consolidated balance sheet and P&amp;L – the cash flow is derived from these.</t>
  </si>
  <si>
    <t>s18n</t>
  </si>
  <si>
    <t>18. Konszolidált cash flow-kimutatás</t>
  </si>
  <si>
    <t>18. Consolidated cash flow statement</t>
  </si>
  <si>
    <t>s18d</t>
  </si>
  <si>
    <t>A Szt. 7. sz. melléklete szerinti szerkezetben, a konszolidált adatokból levezetve.</t>
  </si>
  <si>
    <t>In the structure of Annex 7, derived from the consolidated figures.</t>
  </si>
  <si>
    <t>l_e7</t>
  </si>
  <si>
    <t>Cash flow V. sora = a pénzeszközök mérleg szerinti változása</t>
  </si>
  <si>
    <t>Cash flow line V = change in liquid assets per the balance sheet</t>
  </si>
  <si>
    <t>mer_esz</t>
  </si>
  <si>
    <t>ESZKÖZÖK ÖSSZESEN</t>
  </si>
  <si>
    <t>TOTAL ASSETS</t>
  </si>
  <si>
    <t>mer_for</t>
  </si>
  <si>
    <t>FORRÁSOK ÖSSZESEN</t>
  </si>
  <si>
    <t>TOTAL EQUITY AND LIABILITIES</t>
  </si>
  <si>
    <t>vb_cim</t>
  </si>
  <si>
    <t>XLNT Konszolidáló</t>
  </si>
  <si>
    <t>vb_kesz</t>
  </si>
  <si>
    <t>Kész.</t>
  </si>
  <si>
    <t>Done.</t>
  </si>
  <si>
    <t>vb_nincslogo</t>
  </si>
  <si>
    <t>Nem található a sajat_logo.png vagy sajat_logo.jpg a munkafüzet mappájában.</t>
  </si>
  <si>
    <t>sajat_logo.png or sajat_logo.jpg was not found in the workbook folder.</t>
  </si>
  <si>
    <t>vb_logokesz</t>
  </si>
  <si>
    <t>A logó és a honlaphivatkozás minden fő lapra felkerült.</t>
  </si>
  <si>
    <t>The logo and the website link have been placed on every main sheet.</t>
  </si>
  <si>
    <t>vb_nincsadat</t>
  </si>
  <si>
    <t>Ezen a lapon nincs feldolgozható adat.</t>
  </si>
  <si>
    <t>There is no data to process on this sheet.</t>
  </si>
  <si>
    <t>vb_generalva</t>
  </si>
  <si>
    <t xml:space="preserve">Generált naplótételek száma: </t>
  </si>
  <si>
    <t xml:space="preserve">Number of journal entries generated: </t>
  </si>
  <si>
    <t>vb_torolve</t>
  </si>
  <si>
    <t xml:space="preserve">Törölt naplótételek száma: </t>
  </si>
  <si>
    <t xml:space="preserve">Number of journal entries deleted: </t>
  </si>
  <si>
    <t>vb_betoltve</t>
  </si>
  <si>
    <t xml:space="preserve">Betöltött leányvállalatok száma: </t>
  </si>
  <si>
    <t xml:space="preserve">Number of subsidiaries loaded: </t>
  </si>
  <si>
    <t>vb_nyitokerd</t>
  </si>
  <si>
    <t>Az évváltás felülírja a 03B_NYITO lap adatait a mostani tárgyévi konszolidált értékekkel. Folytatja?</t>
  </si>
  <si>
    <t>The rollover overwrites the 03B_NYITO sheet with the current consolidated figures. Continue?</t>
  </si>
  <si>
    <t>vb_nyitokesz</t>
  </si>
  <si>
    <t xml:space="preserve">Átvett sorok száma: </t>
  </si>
  <si>
    <t xml:space="preserve">Number of rows carried forward: </t>
  </si>
  <si>
    <t>vb_sorelteres</t>
  </si>
  <si>
    <t xml:space="preserve">A munkatábla és a nyitó lap sorrendje eltér a következő sornál: </t>
  </si>
  <si>
    <t xml:space="preserve">The worksheet and the opening sheet differ in row order at row: </t>
  </si>
  <si>
    <t>vb_torolkerd</t>
  </si>
  <si>
    <t>Biztosan törli az automatikusan generált naplótételeket erről a lapról?</t>
  </si>
  <si>
    <t>Do you really want to delete the automatically generated journal entries of this sheet?</t>
  </si>
  <si>
    <t>vb_nincshely</t>
  </si>
  <si>
    <t>Betelt a konszolidációs napló. Szúrjon be további sorokat.</t>
  </si>
  <si>
    <t>The consolidation journal is full. Please insert more rows.</t>
  </si>
  <si>
    <t>vb_ellok</t>
  </si>
  <si>
    <t>Minden ellenőrzés rendben.</t>
  </si>
  <si>
    <t>All checks passed.</t>
  </si>
  <si>
    <t>vb_ellhiba</t>
  </si>
  <si>
    <t>Eltérés van az ellenőrzéseknél. Nyissa meg a 20_ELLENORZES lapot.</t>
  </si>
  <si>
    <t>There are differences. Please open the 20_ELLENORZES sheet.</t>
  </si>
  <si>
    <t>vb_hianykod</t>
  </si>
  <si>
    <t xml:space="preserve">Hiányzó vagy ismeretlen séma kód a(z) alábbi sorban: </t>
  </si>
  <si>
    <t xml:space="preserve">Missing or unknown schema code in row: </t>
  </si>
  <si>
    <t>vb_hianyceg</t>
  </si>
  <si>
    <t xml:space="preserve">Hiányzó cégkód a(z) alábbi sorban: </t>
  </si>
  <si>
    <t xml:space="preserve">Missing company code in row: </t>
  </si>
  <si>
    <t>cat_A</t>
  </si>
  <si>
    <t>A. ÜZEMI (ÜZLETI) TEVÉKENYSÉG EREDMÉNYE</t>
  </si>
  <si>
    <t>A. OPERATING PROFIT OR LOSS</t>
  </si>
  <si>
    <t>cat_B</t>
  </si>
  <si>
    <t>B. PÉNZÜGYI MŰVELETEK EREDMÉNYE</t>
  </si>
  <si>
    <t>B. FINANCIAL PROFIT OR LOSS</t>
  </si>
  <si>
    <t>cat_C</t>
  </si>
  <si>
    <t>C. ADÓZÁS ELŐTTI EREDMÉNY</t>
  </si>
  <si>
    <t>C. PROFIT OR LOSS BEFORE TAX</t>
  </si>
  <si>
    <t>cat_D</t>
  </si>
  <si>
    <t>D. ADÓZOTT EREDMÉNY</t>
  </si>
  <si>
    <t>D. PROFIT OR LOSS AFTER TAX</t>
  </si>
  <si>
    <t>cat_E</t>
  </si>
  <si>
    <t>E. KORRIGÁLT ADÓZOTT EREDMÉNY</t>
  </si>
  <si>
    <t>E. ADJUSTED PROFIT AFTER TAX</t>
  </si>
  <si>
    <t>cfx_CF.1a</t>
  </si>
  <si>
    <t>1a. Adózás előtti eredmény</t>
  </si>
  <si>
    <t>1a. Profit before tax</t>
  </si>
  <si>
    <t>cfx_CF.1a1</t>
  </si>
  <si>
    <t xml:space="preserve">        ebből: működésre kapott, pénzügyileg rendezett támogatás</t>
  </si>
  <si>
    <t xml:space="preserve">        of which: subsidy received for operations, settled in cash</t>
  </si>
  <si>
    <t>cfx_CF.1b</t>
  </si>
  <si>
    <t>1b. Korrekciók az adózás előtti eredményben</t>
  </si>
  <si>
    <t>1b. Adjustments to profit before tax</t>
  </si>
  <si>
    <t>cfx_CF.1</t>
  </si>
  <si>
    <t>1. Korrigált adózás előtti eredmény (1a+1b)</t>
  </si>
  <si>
    <t>1. Adjusted profit before tax (1a+1b)</t>
  </si>
  <si>
    <t>cfx_CF.2</t>
  </si>
  <si>
    <t>2. Elszámolt amortizáció</t>
  </si>
  <si>
    <t>2. Depreciation and amortisation</t>
  </si>
  <si>
    <t>cfx_CF.3</t>
  </si>
  <si>
    <t>3. Elszámolt értékvesztés és visszaírás</t>
  </si>
  <si>
    <t>3. Impairment and its reversal</t>
  </si>
  <si>
    <t>cfx_CF.4</t>
  </si>
  <si>
    <t>4. Céltartalék képzés és felhasználás különbözete</t>
  </si>
  <si>
    <t>4. Change in provisions</t>
  </si>
  <si>
    <t>cfx_CF.5</t>
  </si>
  <si>
    <t>5. Befektetett eszközök értékesítésének eredménye</t>
  </si>
  <si>
    <t>5. Result on sale of fixed assets</t>
  </si>
  <si>
    <t>cfx_CF.6</t>
  </si>
  <si>
    <t>6. Szállítói kötelezettség változása</t>
  </si>
  <si>
    <t>6. Change in trade payables</t>
  </si>
  <si>
    <t>cfx_CF.7</t>
  </si>
  <si>
    <t>7. Egyéb rövid lejáratú kötelezettség változása</t>
  </si>
  <si>
    <t>7. Change in other short-term liabilities</t>
  </si>
  <si>
    <t>cfx_CF.8</t>
  </si>
  <si>
    <t>8. Passzív időbeli elhatárolások változása</t>
  </si>
  <si>
    <t>8. Change in accrued expenses and deferred income</t>
  </si>
  <si>
    <t>cfx_CF.9</t>
  </si>
  <si>
    <t>9. Vevőkövetelés változása</t>
  </si>
  <si>
    <t>9. Change in trade receivables</t>
  </si>
  <si>
    <t>cfx_CF.10</t>
  </si>
  <si>
    <t>10. Forgóeszközök (vevőkövetelés és pénzeszköz nélkül) változása</t>
  </si>
  <si>
    <t>10. Change in current assets (excl. trade receivables and cash)</t>
  </si>
  <si>
    <t>cfx_CF.11</t>
  </si>
  <si>
    <t>11. Aktív időbeli elhatárolások változása</t>
  </si>
  <si>
    <t>11. Change in prepaid expenses and accrued income</t>
  </si>
  <si>
    <t>cfx_CF.12</t>
  </si>
  <si>
    <t>12. Fizetett adó (nyereség után)</t>
  </si>
  <si>
    <t>12. Tax paid (on profit)</t>
  </si>
  <si>
    <t>cfx_CF.13</t>
  </si>
  <si>
    <t>13. Fizetett osztalék, részesedés</t>
  </si>
  <si>
    <t>13. Dividends and profit-sharing paid</t>
  </si>
  <si>
    <t>cfx_CF.I</t>
  </si>
  <si>
    <t>I. MŰKÖDÉSI CASH FLOW (1–13. sorok)</t>
  </si>
  <si>
    <t>I. OPERATING CASH FLOW (lines 1–13)</t>
  </si>
  <si>
    <t>cfx_CF.14</t>
  </si>
  <si>
    <t>14. Befektetett eszközök beszerzése</t>
  </si>
  <si>
    <t>14. Purchase of fixed assets</t>
  </si>
  <si>
    <t>cfx_CF.15</t>
  </si>
  <si>
    <t>15. Befektetett eszközök eladása</t>
  </si>
  <si>
    <t>15. Sale of fixed assets</t>
  </si>
  <si>
    <t>cfx_CF.16</t>
  </si>
  <si>
    <t>16. Hosszú lejáratra nyújtott kölcsönök és elhelyezett bankbetétek törlesztése, megszüntetése, beváltása</t>
  </si>
  <si>
    <t>16. Repayment of long-term loans granted and deposits placed</t>
  </si>
  <si>
    <t>cfx_CF.17</t>
  </si>
  <si>
    <t>17. Hosszú lejáratra nyújtott kölcsönök és elhelyezett bankbetétek</t>
  </si>
  <si>
    <t>17. Long-term loans granted and deposits placed</t>
  </si>
  <si>
    <t>cfx_CF.18</t>
  </si>
  <si>
    <t>18. Kapott osztalék, részesedés</t>
  </si>
  <si>
    <t>18. Dividends and profit-sharing received</t>
  </si>
  <si>
    <t>cfx_CF.II</t>
  </si>
  <si>
    <t>II. BEFEKTETÉSI CASH FLOW (14–18. sorok)</t>
  </si>
  <si>
    <t>II. INVESTING CASH FLOW (lines 14–18)</t>
  </si>
  <si>
    <t>cfx_CF.19</t>
  </si>
  <si>
    <t>19. Részvénykibocsátás, tőkebevonás (tőkeemelés) bevétele</t>
  </si>
  <si>
    <t>19. Proceeds from share issue / capital increase</t>
  </si>
  <si>
    <t>cfx_CF.20</t>
  </si>
  <si>
    <t>20. Kötvény és hitelviszonyt megtestesítő értékpapír kibocsátásának bevétele</t>
  </si>
  <si>
    <t>20. Proceeds from issue of bonds and debt securities</t>
  </si>
  <si>
    <t>cfx_CF.21</t>
  </si>
  <si>
    <t>21. Hitel és kölcsön felvétele</t>
  </si>
  <si>
    <t>21. Loans and credits received</t>
  </si>
  <si>
    <t>cfx_CF.22</t>
  </si>
  <si>
    <t>22. Véglegesen kapott pénzeszköz</t>
  </si>
  <si>
    <t>22. Funds received permanently</t>
  </si>
  <si>
    <t>cfx_CF.23</t>
  </si>
  <si>
    <t>23. Részvénybevonás, tőkekivonás (tőkeleszállítás)</t>
  </si>
  <si>
    <t>23. Share redemption / capital decrease</t>
  </si>
  <si>
    <t>cfx_CF.24</t>
  </si>
  <si>
    <t>24. Kötvény és hitelviszonyt megtestesítő értékpapír visszafizetése</t>
  </si>
  <si>
    <t>24. Repayment of bonds and debt securities</t>
  </si>
  <si>
    <t>cfx_CF.25</t>
  </si>
  <si>
    <t>25. Hitel és kölcsön törlesztése, visszafizetése</t>
  </si>
  <si>
    <t>25. Repayment of loans and credits</t>
  </si>
  <si>
    <t>cfx_CF.26</t>
  </si>
  <si>
    <t>26. Véglegesen átadott pénzeszköz</t>
  </si>
  <si>
    <t>26. Funds transferred permanently</t>
  </si>
  <si>
    <t>cfx_CF.III</t>
  </si>
  <si>
    <t>III. FINANSZÍROZÁSI CASH FLOW (19–26. sorok)</t>
  </si>
  <si>
    <t>III. FINANCING CASH FLOW (lines 19–26)</t>
  </si>
  <si>
    <t>cfx_CF.IV</t>
  </si>
  <si>
    <t>IV. PÉNZESZKÖZÖK VÁLTOZÁSA (I+II+III. sorok)</t>
  </si>
  <si>
    <t>IV. CHANGE IN LIQUID ASSETS (I+II+III)</t>
  </si>
  <si>
    <t>cfx_CF.27</t>
  </si>
  <si>
    <t>27. Devizás pénzeszközök átértékelése</t>
  </si>
  <si>
    <t>27. Revaluation of foreign currency cash</t>
  </si>
  <si>
    <t>cfx_CF.V</t>
  </si>
  <si>
    <t>V. PÉNZESZKÖZÖK MÉRLEG SZERINTI VÁLTOZÁSA (IV+27. sorok)</t>
  </si>
  <si>
    <t>V. CHANGE IN LIQUID ASSETS PER THE BALANCE SHEET (IV+27)</t>
  </si>
  <si>
    <t>h_merb</t>
  </si>
  <si>
    <t>12/B. Konszolidált mérleg – „B” változat [1. sz. melléklet]</t>
  </si>
  <si>
    <t>12/B. Consolidated balance sheet – variant B [Annex 1]</t>
  </si>
  <si>
    <t>h_erefk</t>
  </si>
  <si>
    <t>13/B. Konszolidált eredménykimutatás – forgalmi költség eljárással [3. sz. melléklet]</t>
  </si>
  <si>
    <t>13/B. Consolidated income statement – cost-of-sales method [Annex 3]</t>
  </si>
  <si>
    <t>f_mvalt</t>
  </si>
  <si>
    <t>Mérleg változata</t>
  </si>
  <si>
    <t>Balance sheet variant</t>
  </si>
  <si>
    <t>f_ekvalt</t>
  </si>
  <si>
    <t>Eredménykimutatás változata</t>
  </si>
  <si>
    <t>Income statement variant</t>
  </si>
  <si>
    <t>s19n</t>
  </si>
  <si>
    <t>19. Konszolidált mérleg – „B” változat</t>
  </si>
  <si>
    <t>19. Consolidated balance sheet – variant B</t>
  </si>
  <si>
    <t>s19d</t>
  </si>
  <si>
    <t>Ugyanazok az adatok, a „B” változat szerinti tagolásban.</t>
  </si>
  <si>
    <t>The same figures, arranged according to variant B.</t>
  </si>
  <si>
    <t>s20n</t>
  </si>
  <si>
    <t>20. Eredménykimutatás – forgalmi költség</t>
  </si>
  <si>
    <t>20. Income statement – cost of sales</t>
  </si>
  <si>
    <t>s20d</t>
  </si>
  <si>
    <t>A 3. sz. melléklet szerinti tagolás. Saját adatsorai vannak (közvetlen önköltség, közvetett költségek).</t>
  </si>
  <si>
    <t>Structure per Annex 3. It has its own data lines (direct cost of sales, indirect costs).</t>
  </si>
  <si>
    <t>l_e8</t>
  </si>
  <si>
    <t>Csak a választott eredménykimutatás-változat sorai vannak kitöltve</t>
  </si>
  <si>
    <t>Only the lines of the selected income statement variant are filled in</t>
  </si>
  <si>
    <t>mb_ell</t>
  </si>
  <si>
    <t>Egyezőség: G = H + I + J</t>
  </si>
  <si>
    <t>Reconciliation: G = H + I + J</t>
  </si>
  <si>
    <t>mb_D</t>
  </si>
  <si>
    <t>D. Egy éven belül esedékes kötelezettségek</t>
  </si>
  <si>
    <t>D. Liabilities due within one year</t>
  </si>
  <si>
    <t>mb_E</t>
  </si>
  <si>
    <t>E. Passzív időbeli elhatárolások</t>
  </si>
  <si>
    <t>E. Accrued expenses and deferred income</t>
  </si>
  <si>
    <t>mb_F</t>
  </si>
  <si>
    <t>F. Forgóeszközök – rövid lejáratú kötelezettségek különbözete (B+C–D–E)</t>
  </si>
  <si>
    <t>F. Current assets less liabilities due within one year (B+C-D-E)</t>
  </si>
  <si>
    <t>mb_G</t>
  </si>
  <si>
    <t>G. Az eszközök összértéke az egy éven belül esedékes kötelezettségek levonása után (A+F)</t>
  </si>
  <si>
    <t>G. Total assets less liabilities due within one year (A+F)</t>
  </si>
  <si>
    <t>mb_H</t>
  </si>
  <si>
    <t>H. Egy évnél hosszabb lejáratú kötelezettségek</t>
  </si>
  <si>
    <t>H. Liabilities due after more than one year</t>
  </si>
  <si>
    <t>mb_HI</t>
  </si>
  <si>
    <t>I. Hosszú lejáratú kötelezettségek</t>
  </si>
  <si>
    <t>I. Long-term liabilities</t>
  </si>
  <si>
    <t>mb_HII</t>
  </si>
  <si>
    <t>II. Hátrasorolt kötelezettségek</t>
  </si>
  <si>
    <t>II. Subordinated liabilities</t>
  </si>
  <si>
    <t>mb_I</t>
  </si>
  <si>
    <t>I. Céltartalékok</t>
  </si>
  <si>
    <t>I. Provisions</t>
  </si>
  <si>
    <t>mb_J</t>
  </si>
  <si>
    <t>J. Saját tőke</t>
  </si>
  <si>
    <t>J. Equity</t>
  </si>
  <si>
    <t>fk_04</t>
  </si>
  <si>
    <t>04. Eladott áruk beszerzési értéke</t>
  </si>
  <si>
    <t>04. Cost of goods sold</t>
  </si>
  <si>
    <t>fk_05</t>
  </si>
  <si>
    <t>05. Eladott (közvetített) szolgáltatások értéke</t>
  </si>
  <si>
    <t>05. Value of services sold (mediated)</t>
  </si>
  <si>
    <t>fk_II</t>
  </si>
  <si>
    <t>II. Értékesítés közvetlen költségei (03+04+05)</t>
  </si>
  <si>
    <t>II. Direct costs of sales (03+04+05)</t>
  </si>
  <si>
    <t>fk_III</t>
  </si>
  <si>
    <t>III. Értékesítés bruttó eredménye (I–II)</t>
  </si>
  <si>
    <t>III. Gross profit on sales (I-II)</t>
  </si>
  <si>
    <t>fk_IV</t>
  </si>
  <si>
    <t>IV. Értékesítés közvetett költségei (06+07+08)</t>
  </si>
  <si>
    <t>IV. Indirect costs of sales (06+07+08)</t>
  </si>
  <si>
    <t>fk_V</t>
  </si>
  <si>
    <t>V. Egyéb bevételek</t>
  </si>
  <si>
    <t>V. Other income</t>
  </si>
  <si>
    <t>fk_VI</t>
  </si>
  <si>
    <t>VI. Egyéb ráfordítások</t>
  </si>
  <si>
    <t>VI. Other expenses</t>
  </si>
  <si>
    <t>fk_A</t>
  </si>
  <si>
    <t>A. Üzemi (üzleti) tevékenység eredménye (+III–IV+V–VI)</t>
  </si>
  <si>
    <t>A. Operating profit or loss (+III-IV+V-VI)</t>
  </si>
  <si>
    <t>fk_B</t>
  </si>
  <si>
    <t>B. Pénzügyi műveletek eredménye (VIII–IX)</t>
  </si>
  <si>
    <t>B. Financial profit or loss (VIII-IX)</t>
  </si>
  <si>
    <t>fk_C</t>
  </si>
  <si>
    <t>C. Adózás előtti eredmény (+A+B)</t>
  </si>
  <si>
    <t>C. Profit or loss before tax (+A+B)</t>
  </si>
  <si>
    <t>fk_D</t>
  </si>
  <si>
    <t>D. Adózott eredmény</t>
  </si>
  <si>
    <t>D. Profit or loss after tax</t>
  </si>
  <si>
    <t>fk_E</t>
  </si>
  <si>
    <t>E. Korrigált adózott eredmény</t>
  </si>
  <si>
    <t>E. Adjusted profit after tax</t>
  </si>
  <si>
    <t>gomb_home</t>
  </si>
  <si>
    <t>Kezdőlap</t>
  </si>
  <si>
    <t>Home</t>
  </si>
  <si>
    <t>gomb_naplo</t>
  </si>
  <si>
    <t>Naplózás</t>
  </si>
  <si>
    <t>Post entries</t>
  </si>
  <si>
    <t>gomb_betolt</t>
  </si>
  <si>
    <t>Saját tőke betöltése</t>
  </si>
  <si>
    <t>Load equity</t>
  </si>
  <si>
    <t>gomb_minden</t>
  </si>
  <si>
    <t>Összes naplózás + ellenőrzés</t>
  </si>
  <si>
    <t>Post all + check</t>
  </si>
  <si>
    <t>gomb_ell</t>
  </si>
  <si>
    <t>gomb_nyit</t>
  </si>
  <si>
    <t>Évváltás: adatok átvétele</t>
  </si>
  <si>
    <t>Year rollover: carry data</t>
  </si>
  <si>
    <t>msg_esemeny</t>
  </si>
  <si>
    <t>A gombfeliratok nyelvváltáskori automatikus frissítéséhez engedélyezze a Fájl &gt; Beállítások &gt; Adatvédelmi központ &gt; Adatvédelmi központ beállításai &gt; Makróbeállítások pontban a „Hozzáférés megbízhatósága a VBA-projekt objektummodelljéhez” jelölőt, majd futtassa újra az XLNT_Telepit makrót. Enélkül a gombfelirat csak az XLNT_Gombok újbóli futtatásakor vált nyelvet.</t>
  </si>
  <si>
    <t>To auto-refresh button captions on language switch, enable File &gt; Options &gt; Trust Center &gt; Trust Center Settings &gt; Macro Settings &gt; “Trust access to the VBA project object model”, then run XLNT_Telepit again. Without it, captions change only when you re-run XLNT_Gombok.</t>
  </si>
  <si>
    <t>title_vedelem</t>
  </si>
  <si>
    <t>Lapvédelem</t>
  </si>
  <si>
    <t>Sheet protection</t>
  </si>
  <si>
    <t>msg_jelszo_be</t>
  </si>
  <si>
    <t>Adja meg a jelszót, amellyel a program az ÖSSZES lapot levédi. A sárga (kitöltendő) cellák továbbra is szerkeszthetők maradnak.</t>
  </si>
  <si>
    <t>Enter the password to protect ALL sheets. The yellow (input) cells stay editable.</t>
  </si>
  <si>
    <t>msg_jelszo_fel</t>
  </si>
  <si>
    <t>Adja meg a jelszót az összes lap védelmének feloldásához.</t>
  </si>
  <si>
    <t>Enter the password to unprotect all sheets.</t>
  </si>
  <si>
    <t>msg_jelszo_ures</t>
  </si>
  <si>
    <t>Nem adott meg jelszót. A muvelet megszakadt.</t>
  </si>
  <si>
    <t>No password entered. The operation was cancelled.</t>
  </si>
  <si>
    <t>msg_jelszo_rossz</t>
  </si>
  <si>
    <t>Hibás jelszó, vagy nem minden lap védelmét sikerült feloldani.</t>
  </si>
  <si>
    <t>Wrong password, or not all sheets could be unprotected.</t>
  </si>
  <si>
    <t>msg_vedelem_kesz</t>
  </si>
  <si>
    <t>A munkafüzet összes lapja levédve. A sárga cellák szerkeszthetők maradtak.</t>
  </si>
  <si>
    <t>All sheets are protected. The yellow input cells remain editable.</t>
  </si>
  <si>
    <t>msg_vedelem_fel</t>
  </si>
  <si>
    <t>A védelem minden lapon feloldva.</t>
  </si>
  <si>
    <t>Protection removed from all sheets.</t>
  </si>
  <si>
    <t>Munkamenet / Workflow</t>
  </si>
  <si>
    <t>1. Alapbeállítások (01) – anyavállalat, üzleti év, pénznem, adókulcs, nyelv.</t>
  </si>
  <si>
    <t>2. Konszolidációs kör (02) – vegye fel a cégeket. A cégkód egyedi legyen: a napló erre hivatkozik.</t>
  </si>
  <si>
    <t xml:space="preserve">   Bevonás módja: Anyavállalat / Teljes körű / Kvótás / Equity / Nem bevont – a kvóta ebből számolódik.</t>
  </si>
  <si>
    <t>3. Egyedi beszámolók (03) – cégenként a már egységesített (előkészítő) mérleg és eredménykimutatás.</t>
  </si>
  <si>
    <t xml:space="preserve">   Csak a részletsorokba (sárga cellák) írjon; az összegző sorok képlettel számolódnak.</t>
  </si>
  <si>
    <t>4–9. Részfeladatok – a lapok kiszámolják a konszolidációs tételek összegét.</t>
  </si>
  <si>
    <t>10. Konszolidációs napló – MINDEN korrekció ide kerül, Tartozik/Követel bontásban, séma kóddal.</t>
  </si>
  <si>
    <t xml:space="preserve">    A napló hajtja a munkatáblát; a részlapok csak a számítást segítik.</t>
  </si>
  <si>
    <t>11. Munkatábla – Egyedi adatok összege + korrekciók = konszolidált érték.</t>
  </si>
  <si>
    <t>12–13. Konszolidált mérleg és eredménykimutatás.</t>
  </si>
  <si>
    <t>14. Ellenőrzések – amíg nincs mindenhol RENDBEN, a beszámoló nem tekinthető lezártnak.</t>
  </si>
  <si>
    <t>Előjelszabály / Sign convention</t>
  </si>
  <si>
    <t>Minden sorhoz tartozik egy normál egyenlegoldal (T vagy K) a 90_SEMA lapon.</t>
  </si>
  <si>
    <t>Konszolidált érték = egyedi összeg + (Tartozik – Követel),  ha az oldal T;</t>
  </si>
  <si>
    <t xml:space="preserve">                     egyedi összeg + (Követel – Tartozik),  ha az oldal K.</t>
  </si>
  <si>
    <t>Így minden sor a beszámoló szerinti, pozitív előjellel jelenik meg.</t>
  </si>
  <si>
    <t>Jogszabályi háttér – 2000. évi C. törvény (Szt.) VI. fejezet</t>
  </si>
  <si>
    <t>Szt. 10. §            – összevont (konszolidált) éves beszámoló készítési kötelezettség</t>
  </si>
  <si>
    <t>Szt. 115–119. §       – konszolidálási kötelezettség, mentesítések, számítási eljárás</t>
  </si>
  <si>
    <t>Szt. 120–123. §       – az összevont éves beszámoló formája és tartalma; tőkeösszevonás (tőkekonszolidáció)</t>
  </si>
  <si>
    <t>Szt. 123–125. §       – adósságkonszolidálás, közbenső eredmények kiszűrése, ráfordítások/bevételek konszolidálása</t>
  </si>
  <si>
    <t>Szt. 126. §           – konszolidálásból adódó társasági adókülönbözet</t>
  </si>
  <si>
    <t>Szt. 128–129. §       – társult vállalkozások (tőkerészesedési / equity módszer)</t>
  </si>
  <si>
    <t>Szt. 1. sz. melléklet – a mérleg előírt tagolása („A” változat)</t>
  </si>
  <si>
    <t>Szt. 2. sz. melléklet – az eredménykimutatás előírt tagolása (összköltség eljárás)</t>
  </si>
  <si>
    <t>Szt. 6. sz. melléklet – az összevont (konszolidált) mérleg és eredménykimutatás eltérő tagolása</t>
  </si>
  <si>
    <t>FIGYELEM – ellenőrizendő sorok</t>
  </si>
  <si>
    <t>A 90_SEMA lapon sárgával jelölt sorok:  K = konszolidáció-specifikus,  V = ellenőrizendő.</t>
  </si>
  <si>
    <t>Éles használat előtt vesse össze őket a Szt. 6. sz. mellékletével és a saját könyvelőprogramja</t>
  </si>
  <si>
    <t>mérlegsémájával. A sorséma szabadon szerkeszthető (átnevezés, új sor), de sor beszúrása után a</t>
  </si>
  <si>
    <t>03, 11, 12 és 13 lapokat újra kell generálni – ehhez használja a mellékelt VBA modul makróját.</t>
  </si>
  <si>
    <t>Verzió</t>
  </si>
  <si>
    <t>XLNT Számviteli Konszolidáló v2.0 – magyar számviteli törvény (2000. évi C. tv.) szerinti változat.</t>
  </si>
  <si>
    <t>Tartalmazza az OBR (e-beszámoló) fájlgenerátort. Az IFRS változat külön modulként készül.</t>
  </si>
  <si>
    <t>EXCELlent Business Intelligence – xlntbi.hu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</si>
</sst>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;\(#,##0\);\-"/>
  </numFmts>
  <fonts count="37" x14ac:knownFonts="1">
    <font>
      <sz val="11"/>
      <color theme="1"/>
      <name val="Calibri"/>
      <family val="2"/>
      <charset val="1"/>
    </font>
    <font>
      <b/>
      <sz val="22"/>
      <color rgb="FF1F3864"/>
      <name val="Arial"/>
      <family val="2"/>
      <charset val="238"/>
    </font>
    <font>
      <i/>
      <sz val="11"/>
      <color rgb="FF2E75B6"/>
      <name val="Arial"/>
      <family val="2"/>
      <charset val="238"/>
    </font>
    <font>
      <b/>
      <sz val="14"/>
      <color rgb="FF1F3864"/>
      <name val="Arial"/>
      <family val="2"/>
      <charset val="238"/>
    </font>
    <font>
      <b/>
      <sz val="11"/>
      <color rgb="FF1F3864"/>
      <name val="Arial"/>
      <family val="2"/>
      <charset val="238"/>
    </font>
    <font>
      <sz val="9"/>
      <name val="Arial"/>
      <family val="2"/>
      <charset val="238"/>
    </font>
    <font>
      <b/>
      <sz val="10"/>
      <color rgb="FF2E75B6"/>
      <name val="Arial"/>
      <family val="2"/>
      <charset val="238"/>
    </font>
    <font>
      <b/>
      <sz val="13"/>
      <color rgb="FF1F3864"/>
      <name val="Arial"/>
      <family val="2"/>
      <charset val="238"/>
    </font>
    <font>
      <b/>
      <sz val="10"/>
      <name val="Arial"/>
      <family val="2"/>
      <charset val="238"/>
    </font>
    <font>
      <b/>
      <sz val="16"/>
      <color rgb="FF1F3864"/>
      <name val="Arial"/>
      <family val="2"/>
      <charset val="238"/>
    </font>
    <font>
      <i/>
      <sz val="8"/>
      <color rgb="FF808080"/>
      <name val="Arial"/>
      <family val="2"/>
      <charset val="238"/>
    </font>
    <font>
      <sz val="10"/>
      <color rgb="FF0000FF"/>
      <name val="Arial"/>
      <family val="2"/>
      <charset val="238"/>
    </font>
    <font>
      <sz val="9"/>
      <color rgb="FFC0C0C0"/>
      <name val="Arial"/>
      <family val="2"/>
      <charset val="238"/>
    </font>
    <font>
      <i/>
      <sz val="9"/>
      <color rgb="FF808080"/>
      <name val="Arial"/>
      <family val="2"/>
      <charset val="238"/>
    </font>
    <font>
      <b/>
      <sz val="9"/>
      <color rgb="FFFFFFFF"/>
      <name val="Arial"/>
      <family val="2"/>
      <charset val="238"/>
    </font>
    <font>
      <sz val="10"/>
      <name val="Arial"/>
      <family val="2"/>
      <charset val="238"/>
    </font>
    <font>
      <b/>
      <sz val="9"/>
      <color rgb="FFC00000"/>
      <name val="Arial"/>
      <family val="2"/>
      <charset val="238"/>
    </font>
    <font>
      <sz val="8"/>
      <color rgb="FF808080"/>
      <name val="Arial"/>
      <family val="2"/>
      <charset val="238"/>
    </font>
    <font>
      <b/>
      <sz val="8"/>
      <color rgb="FFFFFFFF"/>
      <name val="Arial"/>
      <family val="2"/>
      <charset val="238"/>
    </font>
    <font>
      <b/>
      <sz val="9"/>
      <name val="Arial"/>
      <family val="2"/>
      <charset val="238"/>
    </font>
    <font>
      <i/>
      <sz val="9"/>
      <name val="Arial"/>
      <family val="2"/>
      <charset val="238"/>
    </font>
    <font>
      <b/>
      <sz val="10"/>
      <color rgb="FF1F3864"/>
      <name val="Arial"/>
      <family val="2"/>
      <charset val="238"/>
    </font>
    <font>
      <i/>
      <sz val="9"/>
      <color rgb="FFC00000"/>
      <name val="Arial"/>
      <family val="2"/>
      <charset val="238"/>
    </font>
    <font>
      <i/>
      <sz val="8"/>
      <name val="Arial"/>
      <family val="2"/>
      <charset val="238"/>
    </font>
    <font>
      <sz val="9"/>
      <color rgb="FF808080"/>
      <name val="Arial"/>
      <family val="2"/>
      <charset val="238"/>
    </font>
    <font>
      <b/>
      <sz val="12"/>
      <color rgb="FF1F3864"/>
      <name val="Arial"/>
      <family val="2"/>
      <charset val="238"/>
    </font>
    <font>
      <b/>
      <sz val="10"/>
      <color rgb="FFC00000"/>
      <name val="Arial"/>
      <family val="2"/>
      <charset val="238"/>
    </font>
    <font>
      <b/>
      <sz val="14"/>
      <color rgb="FF1F3864"/>
      <name val="Arial"/>
      <family val="2"/>
      <charset val="238"/>
    </font>
    <font>
      <i/>
      <sz val="11"/>
      <color rgb="FF2E75B6"/>
      <name val="Arial"/>
      <family val="2"/>
      <charset val="238"/>
    </font>
    <font>
      <i/>
      <sz val="9"/>
      <color rgb="FF666666"/>
      <name val="Arial"/>
      <family val="2"/>
      <charset val="238"/>
    </font>
    <font>
      <b/>
      <sz val="10"/>
      <color rgb="FFFFFFFF"/>
      <name val="Arial"/>
      <family val="2"/>
      <charset val="238"/>
    </font>
    <font>
      <b/>
      <sz val="10"/>
      <color rgb="FF1F3864"/>
      <name val="Arial"/>
      <family val="2"/>
      <charset val="238"/>
    </font>
    <font>
      <b/>
      <i/>
      <sz val="9"/>
      <color rgb="FF2E75B6"/>
      <name val="Arial"/>
      <family val="2"/>
      <charset val="238"/>
    </font>
    <font>
      <sz val="9"/>
      <color rgb="FF2E75B6"/>
      <name val="Consolas"/>
      <family val="3"/>
      <charset val="238"/>
    </font>
    <font>
      <sz val="9.5"/>
      <color rgb="FF222A38"/>
      <name val="Arial"/>
      <family val="2"/>
      <charset val="238"/>
    </font>
    <font>
      <i/>
      <sz val="9"/>
      <color rgb="FF55606E"/>
      <name val="Arial"/>
      <family val="2"/>
      <charset val="238"/>
    </font>
    <font>
      <sz val="9.5"/>
      <color rgb="FF0000FF"/>
      <name val="Arial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rgb="FFF2F2F2"/>
        <bgColor rgb="FFE2EFDA"/>
      </patternFill>
    </fill>
    <fill>
      <patternFill patternType="solid">
        <fgColor rgb="FFD9E1F2"/>
        <bgColor rgb="FFE2EFDA"/>
      </patternFill>
    </fill>
    <fill>
      <patternFill patternType="solid">
        <fgColor rgb="FFFFF2CC"/>
        <bgColor rgb="FFF2F2F2"/>
      </patternFill>
    </fill>
    <fill>
      <patternFill patternType="solid">
        <fgColor rgb="FF1F3864"/>
        <bgColor rgb="FF333333"/>
      </patternFill>
    </fill>
    <fill>
      <patternFill patternType="solid">
        <fgColor rgb="FFE2EFDA"/>
        <bgColor rgb="FFF2F2F2"/>
      </patternFill>
    </fill>
    <fill>
      <patternFill patternType="solid">
        <fgColor rgb="FF1F3864"/>
      </patternFill>
    </fill>
    <fill>
      <patternFill patternType="solid">
        <fgColor rgb="FFD9E1F2"/>
      </patternFill>
    </fill>
    <fill>
      <patternFill patternType="solid">
        <fgColor rgb="FFFFF2CC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6DEE8"/>
      </left>
      <right style="thin">
        <color rgb="FFD6DEE8"/>
      </right>
      <top style="thin">
        <color rgb="FFD6DEE8"/>
      </top>
      <bottom style="thin">
        <color rgb="FFD6DEE8"/>
      </bottom>
      <diagonal/>
    </border>
    <border>
      <left/>
      <right style="thin">
        <color rgb="FFD6DEE8"/>
      </right>
      <top style="thin">
        <color rgb="FFD6DEE8"/>
      </top>
      <bottom style="thin">
        <color rgb="FFD6DEE8"/>
      </bottom>
      <diagonal/>
    </border>
  </borders>
  <cellStyleXfs count="1">
    <xf numFmtId="0" fontId="0" fillId="0" borderId="0"/>
  </cellStyleXfs>
  <cellXfs count="77">
    <xf numFmtId="0" fontId="0" fillId="0" borderId="0" xfId="0" applyAlignment="1"/>
    <xf numFmtId="0" fontId="0" fillId="0" borderId="0" xfId="0" applyAlignment="1"/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2" borderId="1" xfId="0" applyFont="1" applyFill="1" applyBorder="1" applyAlignment="1"/>
    <xf numFmtId="0" fontId="5" fillId="0" borderId="1" xfId="0" applyFont="1" applyBorder="1" applyAlignment="1"/>
    <xf numFmtId="0" fontId="6" fillId="3" borderId="1" xfId="0" applyFont="1" applyFill="1" applyBorder="1" applyAlignment="1">
      <alignment horizontal="center"/>
    </xf>
    <xf numFmtId="0" fontId="7" fillId="0" borderId="0" xfId="0" applyFont="1" applyAlignment="1"/>
    <xf numFmtId="0" fontId="5" fillId="0" borderId="0" xfId="0" applyFont="1" applyAlignment="1"/>
    <xf numFmtId="0" fontId="8" fillId="2" borderId="1" xfId="0" applyFont="1" applyFill="1" applyBorder="1" applyAlignment="1">
      <alignment horizontal="center"/>
    </xf>
    <xf numFmtId="0" fontId="9" fillId="0" borderId="0" xfId="0" applyFont="1" applyAlignment="1"/>
    <xf numFmtId="0" fontId="10" fillId="0" borderId="0" xfId="0" applyFont="1" applyAlignment="1"/>
    <xf numFmtId="0" fontId="8" fillId="0" borderId="0" xfId="0" applyFont="1" applyAlignment="1"/>
    <xf numFmtId="0" fontId="11" fillId="4" borderId="1" xfId="0" applyFont="1" applyFill="1" applyBorder="1" applyAlignment="1" applyProtection="1">
      <protection locked="0"/>
    </xf>
    <xf numFmtId="1" fontId="12" fillId="0" borderId="0" xfId="0" applyNumberFormat="1" applyFont="1" applyAlignment="1"/>
    <xf numFmtId="10" fontId="11" fillId="4" borderId="1" xfId="0" applyNumberFormat="1" applyFont="1" applyFill="1" applyBorder="1" applyAlignment="1" applyProtection="1">
      <protection locked="0"/>
    </xf>
    <xf numFmtId="1" fontId="11" fillId="4" borderId="1" xfId="0" applyNumberFormat="1" applyFont="1" applyFill="1" applyBorder="1" applyAlignment="1" applyProtection="1">
      <protection locked="0"/>
    </xf>
    <xf numFmtId="0" fontId="13" fillId="0" borderId="0" xfId="0" applyFont="1" applyAlignment="1"/>
    <xf numFmtId="0" fontId="14" fillId="5" borderId="1" xfId="0" applyFont="1" applyFill="1" applyBorder="1" applyAlignment="1">
      <alignment horizontal="center" vertical="center" wrapText="1"/>
    </xf>
    <xf numFmtId="1" fontId="15" fillId="2" borderId="1" xfId="0" applyNumberFormat="1" applyFont="1" applyFill="1" applyBorder="1" applyAlignment="1"/>
    <xf numFmtId="164" fontId="11" fillId="4" borderId="1" xfId="0" applyNumberFormat="1" applyFont="1" applyFill="1" applyBorder="1" applyAlignment="1" applyProtection="1">
      <protection locked="0"/>
    </xf>
    <xf numFmtId="10" fontId="15" fillId="2" borderId="1" xfId="0" applyNumberFormat="1" applyFont="1" applyFill="1" applyBorder="1" applyAlignment="1"/>
    <xf numFmtId="0" fontId="16" fillId="0" borderId="0" xfId="0" applyFont="1" applyAlignment="1"/>
    <xf numFmtId="0" fontId="10" fillId="0" borderId="0" xfId="0" applyFont="1" applyAlignment="1">
      <alignment horizontal="right"/>
    </xf>
    <xf numFmtId="164" fontId="17" fillId="0" borderId="0" xfId="0" applyNumberFormat="1" applyFont="1" applyAlignment="1">
      <alignment horizontal="center"/>
    </xf>
    <xf numFmtId="10" fontId="17" fillId="0" borderId="0" xfId="0" applyNumberFormat="1" applyFont="1" applyAlignment="1">
      <alignment horizontal="center"/>
    </xf>
    <xf numFmtId="0" fontId="18" fillId="5" borderId="1" xfId="0" applyFont="1" applyFill="1" applyBorder="1" applyAlignment="1">
      <alignment horizontal="center" vertical="center" wrapText="1"/>
    </xf>
    <xf numFmtId="0" fontId="17" fillId="0" borderId="1" xfId="0" applyFont="1" applyBorder="1" applyAlignment="1"/>
    <xf numFmtId="0" fontId="19" fillId="6" borderId="1" xfId="0" applyFont="1" applyFill="1" applyBorder="1" applyAlignment="1"/>
    <xf numFmtId="165" fontId="8" fillId="2" borderId="1" xfId="0" applyNumberFormat="1" applyFont="1" applyFill="1" applyBorder="1" applyAlignment="1"/>
    <xf numFmtId="0" fontId="19" fillId="2" borderId="1" xfId="0" applyFont="1" applyFill="1" applyBorder="1" applyAlignment="1"/>
    <xf numFmtId="165" fontId="11" fillId="4" borderId="1" xfId="0" applyNumberFormat="1" applyFont="1" applyFill="1" applyBorder="1" applyAlignment="1" applyProtection="1">
      <protection locked="0"/>
    </xf>
    <xf numFmtId="0" fontId="10" fillId="0" borderId="1" xfId="0" applyFont="1" applyBorder="1" applyAlignment="1"/>
    <xf numFmtId="0" fontId="19" fillId="0" borderId="0" xfId="0" applyFont="1" applyAlignment="1">
      <alignment horizontal="right"/>
    </xf>
    <xf numFmtId="165" fontId="8" fillId="6" borderId="1" xfId="0" applyNumberFormat="1" applyFont="1" applyFill="1" applyBorder="1" applyAlignment="1"/>
    <xf numFmtId="165" fontId="15" fillId="2" borderId="1" xfId="0" applyNumberFormat="1" applyFont="1" applyFill="1" applyBorder="1" applyAlignment="1"/>
    <xf numFmtId="0" fontId="20" fillId="0" borderId="0" xfId="0" applyFont="1" applyAlignment="1"/>
    <xf numFmtId="0" fontId="5" fillId="2" borderId="1" xfId="0" applyFont="1" applyFill="1" applyBorder="1" applyAlignment="1"/>
    <xf numFmtId="0" fontId="8" fillId="6" borderId="1" xfId="0" applyFont="1" applyFill="1" applyBorder="1" applyAlignment="1"/>
    <xf numFmtId="0" fontId="8" fillId="2" borderId="1" xfId="0" applyFont="1" applyFill="1" applyBorder="1" applyAlignment="1"/>
    <xf numFmtId="0" fontId="15" fillId="0" borderId="1" xfId="0" applyFont="1" applyBorder="1" applyAlignment="1"/>
    <xf numFmtId="0" fontId="4" fillId="0" borderId="0" xfId="0" applyFont="1" applyAlignment="1"/>
    <xf numFmtId="165" fontId="8" fillId="3" borderId="1" xfId="0" applyNumberFormat="1" applyFont="1" applyFill="1" applyBorder="1" applyAlignment="1"/>
    <xf numFmtId="0" fontId="4" fillId="3" borderId="1" xfId="0" applyFont="1" applyFill="1" applyBorder="1" applyAlignment="1"/>
    <xf numFmtId="0" fontId="21" fillId="0" borderId="0" xfId="0" applyFont="1" applyAlignment="1"/>
    <xf numFmtId="0" fontId="21" fillId="3" borderId="1" xfId="0" applyFont="1" applyFill="1" applyBorder="1" applyAlignment="1"/>
    <xf numFmtId="0" fontId="21" fillId="2" borderId="1" xfId="0" applyFont="1" applyFill="1" applyBorder="1" applyAlignment="1"/>
    <xf numFmtId="0" fontId="22" fillId="0" borderId="0" xfId="0" applyFont="1" applyAlignment="1"/>
    <xf numFmtId="0" fontId="16" fillId="0" borderId="1" xfId="0" applyFont="1" applyBorder="1" applyAlignment="1">
      <alignment horizontal="center"/>
    </xf>
    <xf numFmtId="0" fontId="13" fillId="0" borderId="1" xfId="0" applyFont="1" applyBorder="1" applyAlignment="1"/>
    <xf numFmtId="0" fontId="8" fillId="3" borderId="1" xfId="0" applyFont="1" applyFill="1" applyBorder="1" applyAlignment="1"/>
    <xf numFmtId="165" fontId="15" fillId="3" borderId="1" xfId="0" applyNumberFormat="1" applyFont="1" applyFill="1" applyBorder="1" applyAlignment="1"/>
    <xf numFmtId="0" fontId="19" fillId="0" borderId="0" xfId="0" applyFont="1" applyAlignment="1"/>
    <xf numFmtId="0" fontId="5" fillId="4" borderId="1" xfId="0" applyFont="1" applyFill="1" applyBorder="1" applyAlignment="1" applyProtection="1">
      <protection locked="0"/>
    </xf>
    <xf numFmtId="0" fontId="19" fillId="4" borderId="1" xfId="0" applyFont="1" applyFill="1" applyBorder="1" applyAlignment="1" applyProtection="1">
      <protection locked="0"/>
    </xf>
    <xf numFmtId="0" fontId="23" fillId="0" borderId="0" xfId="0" applyFont="1" applyAlignment="1"/>
    <xf numFmtId="0" fontId="14" fillId="5" borderId="0" xfId="0" applyFont="1" applyFill="1" applyAlignment="1"/>
    <xf numFmtId="0" fontId="24" fillId="0" borderId="0" xfId="0" applyFont="1" applyAlignment="1"/>
    <xf numFmtId="0" fontId="15" fillId="0" borderId="0" xfId="0" applyFont="1" applyAlignment="1"/>
    <xf numFmtId="0" fontId="25" fillId="0" borderId="0" xfId="0" applyFont="1" applyAlignment="1"/>
    <xf numFmtId="0" fontId="26" fillId="0" borderId="0" xfId="0" applyFont="1" applyAlignment="1"/>
    <xf numFmtId="165" fontId="11" fillId="2" borderId="1" xfId="0" applyNumberFormat="1" applyFont="1" applyFill="1" applyBorder="1" applyAlignment="1"/>
    <xf numFmtId="165" fontId="11" fillId="4" borderId="0" xfId="0" applyNumberFormat="1" applyFont="1" applyFill="1" applyProtection="1">
      <protection locked="0"/>
    </xf>
    <xf numFmtId="0" fontId="27" fillId="0" borderId="0" xfId="0" applyFont="1"/>
    <xf numFmtId="0" fontId="28" fillId="0" borderId="0" xfId="0" applyFont="1"/>
    <xf numFmtId="0" fontId="30" fillId="7" borderId="2" xfId="0" applyFont="1" applyFill="1" applyBorder="1" applyAlignment="1">
      <alignment horizontal="center" vertical="center" wrapText="1"/>
    </xf>
    <xf numFmtId="0" fontId="33" fillId="0" borderId="2" xfId="0" applyFont="1" applyBorder="1" applyAlignment="1">
      <alignment horizontal="left" vertical="top"/>
    </xf>
    <xf numFmtId="0" fontId="34" fillId="0" borderId="2" xfId="0" applyFont="1" applyBorder="1" applyAlignment="1">
      <alignment vertical="top" wrapText="1"/>
    </xf>
    <xf numFmtId="0" fontId="35" fillId="0" borderId="2" xfId="0" applyFont="1" applyBorder="1" applyAlignment="1">
      <alignment vertical="top" wrapText="1"/>
    </xf>
    <xf numFmtId="0" fontId="36" fillId="9" borderId="2" xfId="0" applyFont="1" applyFill="1" applyBorder="1" applyAlignment="1" applyProtection="1">
      <alignment vertical="top" wrapText="1"/>
      <protection locked="0"/>
    </xf>
    <xf numFmtId="0" fontId="31" fillId="8" borderId="2" xfId="0" applyFont="1" applyFill="1" applyBorder="1" applyAlignment="1">
      <alignment vertical="center"/>
    </xf>
    <xf numFmtId="0" fontId="0" fillId="0" borderId="3" xfId="0" applyBorder="1"/>
    <xf numFmtId="0" fontId="32" fillId="8" borderId="2" xfId="0" applyFont="1" applyFill="1" applyBorder="1" applyAlignment="1">
      <alignment vertical="center"/>
    </xf>
    <xf numFmtId="0" fontId="29" fillId="0" borderId="0" xfId="0" applyFont="1" applyAlignment="1">
      <alignment vertical="top" wrapText="1"/>
    </xf>
    <xf numFmtId="0" fontId="0" fillId="0" borderId="0" xfId="0"/>
  </cellXfs>
  <cellStyles count="1">
    <cellStyle name="Normál" xfId="0" builtinId="0"/>
  </cellStyles>
  <dxfs count="3"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E2EFDA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C6EFCE"/>
      <rgbColor rgb="FFFFFF99"/>
      <rgbColor rgb="FFBFBFBF"/>
      <rgbColor rgb="FFFF99CC"/>
      <rgbColor rgb="FFCC99FF"/>
      <rgbColor rgb="FFFFC7CE"/>
      <rgbColor rgb="FF2E75B6"/>
      <rgbColor rgb="FF33CCCC"/>
      <rgbColor rgb="FF99CC00"/>
      <rgbColor rgb="FFFFCC00"/>
      <rgbColor rgb="FFFF9900"/>
      <rgbColor rgb="FFFF6600"/>
      <rgbColor rgb="FF66669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4" name="XLNT_LINK">
          <a:extLst>
            <a:ext uri="{FF2B5EF4-FFF2-40B4-BE49-F238E27FC236}">
              <a16:creationId xmlns:a16="http://schemas.microsoft.com/office/drawing/2014/main" id="{1EF7C449-0649-3490-A71D-407F2E6881E4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2</xdr:col>
      <xdr:colOff>78741</xdr:colOff>
      <xdr:row>0</xdr:row>
      <xdr:rowOff>63500</xdr:rowOff>
    </xdr:from>
    <xdr:to>
      <xdr:col>2</xdr:col>
      <xdr:colOff>940350</xdr:colOff>
      <xdr:row>0</xdr:row>
      <xdr:rowOff>850900</xdr:rowOff>
    </xdr:to>
    <xdr:pic macro="XLNT_NyitHiHello">
      <xdr:nvPicPr>
        <xdr:cNvPr id="6" name="XLNT_LOGO">
          <a:extLst>
            <a:ext uri="{FF2B5EF4-FFF2-40B4-BE49-F238E27FC236}">
              <a16:creationId xmlns:a16="http://schemas.microsoft.com/office/drawing/2014/main" id="{296A6742-CE0F-651A-77F5-51C0DC997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2</xdr:col>
      <xdr:colOff>2872740</xdr:colOff>
      <xdr:row>0</xdr:row>
      <xdr:rowOff>101600</xdr:rowOff>
    </xdr:from>
    <xdr:to>
      <xdr:col>3</xdr:col>
      <xdr:colOff>2395220</xdr:colOff>
      <xdr:row>0</xdr:row>
      <xdr:rowOff>381000</xdr:rowOff>
    </xdr:to>
    <xdr:sp macro="XLNT_MindenNaplo" textlink="">
      <xdr:nvSpPr>
        <xdr:cNvPr id="7" name="XLNT_G_ALL">
          <a:extLst>
            <a:ext uri="{FF2B5EF4-FFF2-40B4-BE49-F238E27FC236}">
              <a16:creationId xmlns:a16="http://schemas.microsoft.com/office/drawing/2014/main" id="{57FE4312-4745-0827-3441-AC650B9289A3}"/>
            </a:ext>
          </a:extLst>
        </xdr:cNvPr>
        <xdr:cNvSpPr/>
      </xdr:nvSpPr>
      <xdr:spPr>
        <a:xfrm>
          <a:off x="3810000" y="101600"/>
          <a:ext cx="2540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Összes naplózás + ellenőrzés</a:t>
          </a:r>
        </a:p>
      </xdr:txBody>
    </xdr:sp>
    <xdr:clientData/>
  </xdr:twoCellAnchor>
  <xdr:twoCellAnchor>
    <xdr:from>
      <xdr:col>3</xdr:col>
      <xdr:colOff>2522220</xdr:colOff>
      <xdr:row>0</xdr:row>
      <xdr:rowOff>101600</xdr:rowOff>
    </xdr:from>
    <xdr:to>
      <xdr:col>3</xdr:col>
      <xdr:colOff>3919220</xdr:colOff>
      <xdr:row>0</xdr:row>
      <xdr:rowOff>381000</xdr:rowOff>
    </xdr:to>
    <xdr:sp macro="XLNT_Ellenorzes" textlink="">
      <xdr:nvSpPr>
        <xdr:cNvPr id="8" name="XLNT_G_ELL">
          <a:extLst>
            <a:ext uri="{FF2B5EF4-FFF2-40B4-BE49-F238E27FC236}">
              <a16:creationId xmlns:a16="http://schemas.microsoft.com/office/drawing/2014/main" id="{57F8A2BD-5ECF-A241-4AE6-8693A3D1AAAA}"/>
            </a:ext>
          </a:extLst>
        </xdr:cNvPr>
        <xdr:cNvSpPr/>
      </xdr:nvSpPr>
      <xdr:spPr>
        <a:xfrm>
          <a:off x="6477000" y="101600"/>
          <a:ext cx="1397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Ellenőrzés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3" name="XLNT_LINK">
          <a:extLst>
            <a:ext uri="{FF2B5EF4-FFF2-40B4-BE49-F238E27FC236}">
              <a16:creationId xmlns:a16="http://schemas.microsoft.com/office/drawing/2014/main" id="{D80C7F62-8F6F-2058-C86B-98458CD4F008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1</xdr:col>
      <xdr:colOff>421641</xdr:colOff>
      <xdr:row>0</xdr:row>
      <xdr:rowOff>63500</xdr:rowOff>
    </xdr:from>
    <xdr:to>
      <xdr:col>1</xdr:col>
      <xdr:colOff>1283250</xdr:colOff>
      <xdr:row>0</xdr:row>
      <xdr:rowOff>850900</xdr:rowOff>
    </xdr:to>
    <xdr:pic macro="XLNT_NyitHiHello">
      <xdr:nvPicPr>
        <xdr:cNvPr id="5" name="XLNT_LOGO">
          <a:extLst>
            <a:ext uri="{FF2B5EF4-FFF2-40B4-BE49-F238E27FC236}">
              <a16:creationId xmlns:a16="http://schemas.microsoft.com/office/drawing/2014/main" id="{4A96D14C-0CE1-AF40-84A7-2680150A2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1</xdr:col>
      <xdr:colOff>3215640</xdr:colOff>
      <xdr:row>0</xdr:row>
      <xdr:rowOff>101600</xdr:rowOff>
    </xdr:from>
    <xdr:to>
      <xdr:col>2</xdr:col>
      <xdr:colOff>1066800</xdr:colOff>
      <xdr:row>0</xdr:row>
      <xdr:rowOff>381000</xdr:rowOff>
    </xdr:to>
    <xdr:sp macro="XLNT_Kezdolap" textlink="">
      <xdr:nvSpPr>
        <xdr:cNvPr id="6" name="XLNT_G_HOME">
          <a:extLst>
            <a:ext uri="{FF2B5EF4-FFF2-40B4-BE49-F238E27FC236}">
              <a16:creationId xmlns:a16="http://schemas.microsoft.com/office/drawing/2014/main" id="{A4C83A24-7AD3-EE82-2E5F-999C208DD83B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3" name="XLNT_LINK">
          <a:extLst>
            <a:ext uri="{FF2B5EF4-FFF2-40B4-BE49-F238E27FC236}">
              <a16:creationId xmlns:a16="http://schemas.microsoft.com/office/drawing/2014/main" id="{93835F5B-2F1C-2176-11B9-C5D534D48427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2</xdr:col>
      <xdr:colOff>10161</xdr:colOff>
      <xdr:row>0</xdr:row>
      <xdr:rowOff>63500</xdr:rowOff>
    </xdr:from>
    <xdr:to>
      <xdr:col>3</xdr:col>
      <xdr:colOff>48810</xdr:colOff>
      <xdr:row>0</xdr:row>
      <xdr:rowOff>850900</xdr:rowOff>
    </xdr:to>
    <xdr:pic macro="XLNT_NyitHiHello">
      <xdr:nvPicPr>
        <xdr:cNvPr id="5" name="XLNT_LOGO">
          <a:extLst>
            <a:ext uri="{FF2B5EF4-FFF2-40B4-BE49-F238E27FC236}">
              <a16:creationId xmlns:a16="http://schemas.microsoft.com/office/drawing/2014/main" id="{9B346DC5-1AB2-DF65-41D3-4D96579D8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3</xdr:col>
      <xdr:colOff>1981200</xdr:colOff>
      <xdr:row>0</xdr:row>
      <xdr:rowOff>101600</xdr:rowOff>
    </xdr:from>
    <xdr:to>
      <xdr:col>4</xdr:col>
      <xdr:colOff>792480</xdr:colOff>
      <xdr:row>0</xdr:row>
      <xdr:rowOff>381000</xdr:rowOff>
    </xdr:to>
    <xdr:sp macro="XLNT_Kezdolap" textlink="">
      <xdr:nvSpPr>
        <xdr:cNvPr id="6" name="XLNT_G_HOME">
          <a:extLst>
            <a:ext uri="{FF2B5EF4-FFF2-40B4-BE49-F238E27FC236}">
              <a16:creationId xmlns:a16="http://schemas.microsoft.com/office/drawing/2014/main" id="{8D1F97C1-C422-6E51-7B43-4231259016B9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3" name="XLNT_LINK">
          <a:extLst>
            <a:ext uri="{FF2B5EF4-FFF2-40B4-BE49-F238E27FC236}">
              <a16:creationId xmlns:a16="http://schemas.microsoft.com/office/drawing/2014/main" id="{E71442F7-3063-88BC-FED3-016D9C5F6BD8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1</xdr:col>
      <xdr:colOff>421641</xdr:colOff>
      <xdr:row>0</xdr:row>
      <xdr:rowOff>63500</xdr:rowOff>
    </xdr:from>
    <xdr:to>
      <xdr:col>2</xdr:col>
      <xdr:colOff>254550</xdr:colOff>
      <xdr:row>0</xdr:row>
      <xdr:rowOff>850900</xdr:rowOff>
    </xdr:to>
    <xdr:pic macro="XLNT_NyitHiHello">
      <xdr:nvPicPr>
        <xdr:cNvPr id="5" name="XLNT_LOGO">
          <a:extLst>
            <a:ext uri="{FF2B5EF4-FFF2-40B4-BE49-F238E27FC236}">
              <a16:creationId xmlns:a16="http://schemas.microsoft.com/office/drawing/2014/main" id="{937ACC6D-3811-EB9E-CA76-4C2318C4F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3</xdr:col>
      <xdr:colOff>1775460</xdr:colOff>
      <xdr:row>0</xdr:row>
      <xdr:rowOff>101600</xdr:rowOff>
    </xdr:from>
    <xdr:to>
      <xdr:col>3</xdr:col>
      <xdr:colOff>2918460</xdr:colOff>
      <xdr:row>0</xdr:row>
      <xdr:rowOff>381000</xdr:rowOff>
    </xdr:to>
    <xdr:sp macro="XLNT_Kezdolap" textlink="">
      <xdr:nvSpPr>
        <xdr:cNvPr id="6" name="XLNT_G_HOME">
          <a:extLst>
            <a:ext uri="{FF2B5EF4-FFF2-40B4-BE49-F238E27FC236}">
              <a16:creationId xmlns:a16="http://schemas.microsoft.com/office/drawing/2014/main" id="{7FC104B6-BCE9-F2CC-47E5-6926F750E185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4" name="XLNT_LINK">
          <a:extLst>
            <a:ext uri="{FF2B5EF4-FFF2-40B4-BE49-F238E27FC236}">
              <a16:creationId xmlns:a16="http://schemas.microsoft.com/office/drawing/2014/main" id="{F86AD3B5-8111-DBA5-901E-63EF085F4443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1</xdr:col>
      <xdr:colOff>421641</xdr:colOff>
      <xdr:row>0</xdr:row>
      <xdr:rowOff>63500</xdr:rowOff>
    </xdr:from>
    <xdr:to>
      <xdr:col>2</xdr:col>
      <xdr:colOff>254550</xdr:colOff>
      <xdr:row>0</xdr:row>
      <xdr:rowOff>850900</xdr:rowOff>
    </xdr:to>
    <xdr:pic macro="XLNT_NyitHiHello">
      <xdr:nvPicPr>
        <xdr:cNvPr id="6" name="XLNT_LOGO">
          <a:extLst>
            <a:ext uri="{FF2B5EF4-FFF2-40B4-BE49-F238E27FC236}">
              <a16:creationId xmlns:a16="http://schemas.microsoft.com/office/drawing/2014/main" id="{E24CA5C8-A15B-12BC-9FAC-ACEDE8F79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3</xdr:col>
      <xdr:colOff>1775460</xdr:colOff>
      <xdr:row>0</xdr:row>
      <xdr:rowOff>101600</xdr:rowOff>
    </xdr:from>
    <xdr:to>
      <xdr:col>3</xdr:col>
      <xdr:colOff>2918460</xdr:colOff>
      <xdr:row>0</xdr:row>
      <xdr:rowOff>381000</xdr:rowOff>
    </xdr:to>
    <xdr:sp macro="XLNT_Kezdolap" textlink="">
      <xdr:nvSpPr>
        <xdr:cNvPr id="7" name="XLNT_G_HOME">
          <a:extLst>
            <a:ext uri="{FF2B5EF4-FFF2-40B4-BE49-F238E27FC236}">
              <a16:creationId xmlns:a16="http://schemas.microsoft.com/office/drawing/2014/main" id="{05202DD2-6945-C03F-3979-9BF5A643EB42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  <xdr:twoCellAnchor>
    <xdr:from>
      <xdr:col>3</xdr:col>
      <xdr:colOff>3045460</xdr:colOff>
      <xdr:row>0</xdr:row>
      <xdr:rowOff>101600</xdr:rowOff>
    </xdr:from>
    <xdr:to>
      <xdr:col>4</xdr:col>
      <xdr:colOff>541020</xdr:colOff>
      <xdr:row>0</xdr:row>
      <xdr:rowOff>381000</xdr:rowOff>
    </xdr:to>
    <xdr:sp macro="XLNT_NyitoAtvesz" textlink="">
      <xdr:nvSpPr>
        <xdr:cNvPr id="8" name="XLNT_G_NYIT">
          <a:extLst>
            <a:ext uri="{FF2B5EF4-FFF2-40B4-BE49-F238E27FC236}">
              <a16:creationId xmlns:a16="http://schemas.microsoft.com/office/drawing/2014/main" id="{E1A810D7-B9DD-C3DD-DAE1-EC95D5423A93}"/>
            </a:ext>
          </a:extLst>
        </xdr:cNvPr>
        <xdr:cNvSpPr/>
      </xdr:nvSpPr>
      <xdr:spPr>
        <a:xfrm>
          <a:off x="5080000" y="101600"/>
          <a:ext cx="2159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Évváltás: adatok átvétele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5" name="XLNT_LINK">
          <a:extLst>
            <a:ext uri="{FF2B5EF4-FFF2-40B4-BE49-F238E27FC236}">
              <a16:creationId xmlns:a16="http://schemas.microsoft.com/office/drawing/2014/main" id="{B2202D4A-89D5-3030-828D-CD6D693E1FA9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2</xdr:col>
      <xdr:colOff>10161</xdr:colOff>
      <xdr:row>0</xdr:row>
      <xdr:rowOff>63500</xdr:rowOff>
    </xdr:from>
    <xdr:to>
      <xdr:col>2</xdr:col>
      <xdr:colOff>871770</xdr:colOff>
      <xdr:row>0</xdr:row>
      <xdr:rowOff>850900</xdr:rowOff>
    </xdr:to>
    <xdr:pic macro="XLNT_NyitHiHello">
      <xdr:nvPicPr>
        <xdr:cNvPr id="7" name="XLNT_LOGO">
          <a:extLst>
            <a:ext uri="{FF2B5EF4-FFF2-40B4-BE49-F238E27FC236}">
              <a16:creationId xmlns:a16="http://schemas.microsoft.com/office/drawing/2014/main" id="{90B50747-EDC6-B124-4920-AF5AC10FF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4</xdr:col>
      <xdr:colOff>335280</xdr:colOff>
      <xdr:row>0</xdr:row>
      <xdr:rowOff>101600</xdr:rowOff>
    </xdr:from>
    <xdr:to>
      <xdr:col>5</xdr:col>
      <xdr:colOff>106680</xdr:colOff>
      <xdr:row>0</xdr:row>
      <xdr:rowOff>381000</xdr:rowOff>
    </xdr:to>
    <xdr:sp macro="XLNT_Kezdolap" textlink="">
      <xdr:nvSpPr>
        <xdr:cNvPr id="8" name="XLNT_G_HOME">
          <a:extLst>
            <a:ext uri="{FF2B5EF4-FFF2-40B4-BE49-F238E27FC236}">
              <a16:creationId xmlns:a16="http://schemas.microsoft.com/office/drawing/2014/main" id="{A3AA48B5-613E-2A7C-DCA8-BBDBD749962C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  <xdr:twoCellAnchor>
    <xdr:from>
      <xdr:col>5</xdr:col>
      <xdr:colOff>233680</xdr:colOff>
      <xdr:row>0</xdr:row>
      <xdr:rowOff>101600</xdr:rowOff>
    </xdr:from>
    <xdr:to>
      <xdr:col>6</xdr:col>
      <xdr:colOff>259080</xdr:colOff>
      <xdr:row>0</xdr:row>
      <xdr:rowOff>381000</xdr:rowOff>
    </xdr:to>
    <xdr:sp macro="XLNT_TokeNaplo" textlink="">
      <xdr:nvSpPr>
        <xdr:cNvPr id="9" name="XLNT_G_GEN">
          <a:extLst>
            <a:ext uri="{FF2B5EF4-FFF2-40B4-BE49-F238E27FC236}">
              <a16:creationId xmlns:a16="http://schemas.microsoft.com/office/drawing/2014/main" id="{E7096F39-B188-6DB5-EF5A-25E086729CAB}"/>
            </a:ext>
          </a:extLst>
        </xdr:cNvPr>
        <xdr:cNvSpPr/>
      </xdr:nvSpPr>
      <xdr:spPr>
        <a:xfrm>
          <a:off x="5080000" y="101600"/>
          <a:ext cx="1397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Naplózás</a:t>
          </a:r>
        </a:p>
      </xdr:txBody>
    </xdr:sp>
    <xdr:clientData/>
  </xdr:twoCellAnchor>
  <xdr:twoCellAnchor>
    <xdr:from>
      <xdr:col>6</xdr:col>
      <xdr:colOff>386080</xdr:colOff>
      <xdr:row>0</xdr:row>
      <xdr:rowOff>101600</xdr:rowOff>
    </xdr:from>
    <xdr:to>
      <xdr:col>7</xdr:col>
      <xdr:colOff>919480</xdr:colOff>
      <xdr:row>0</xdr:row>
      <xdr:rowOff>381000</xdr:rowOff>
    </xdr:to>
    <xdr:sp macro="XLNT_TokeBetolt" textlink="">
      <xdr:nvSpPr>
        <xdr:cNvPr id="10" name="XLNT_G_BET">
          <a:extLst>
            <a:ext uri="{FF2B5EF4-FFF2-40B4-BE49-F238E27FC236}">
              <a16:creationId xmlns:a16="http://schemas.microsoft.com/office/drawing/2014/main" id="{6C790ED3-34F5-EFDA-7D44-43F54BDBD4B0}"/>
            </a:ext>
          </a:extLst>
        </xdr:cNvPr>
        <xdr:cNvSpPr/>
      </xdr:nvSpPr>
      <xdr:spPr>
        <a:xfrm>
          <a:off x="6604000" y="101600"/>
          <a:ext cx="1905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Saját tőke betöltése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4" name="XLNT_LINK">
          <a:extLst>
            <a:ext uri="{FF2B5EF4-FFF2-40B4-BE49-F238E27FC236}">
              <a16:creationId xmlns:a16="http://schemas.microsoft.com/office/drawing/2014/main" id="{22CC2868-9E74-1C7A-5777-31971CEDE512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2</xdr:col>
      <xdr:colOff>10161</xdr:colOff>
      <xdr:row>0</xdr:row>
      <xdr:rowOff>63500</xdr:rowOff>
    </xdr:from>
    <xdr:to>
      <xdr:col>2</xdr:col>
      <xdr:colOff>871770</xdr:colOff>
      <xdr:row>0</xdr:row>
      <xdr:rowOff>850900</xdr:rowOff>
    </xdr:to>
    <xdr:pic macro="XLNT_NyitHiHello">
      <xdr:nvPicPr>
        <xdr:cNvPr id="6" name="XLNT_LOGO">
          <a:extLst>
            <a:ext uri="{FF2B5EF4-FFF2-40B4-BE49-F238E27FC236}">
              <a16:creationId xmlns:a16="http://schemas.microsoft.com/office/drawing/2014/main" id="{2709B96E-4CD7-F67F-F8B9-BE14B60ED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3</xdr:col>
      <xdr:colOff>1158240</xdr:colOff>
      <xdr:row>0</xdr:row>
      <xdr:rowOff>101600</xdr:rowOff>
    </xdr:from>
    <xdr:to>
      <xdr:col>4</xdr:col>
      <xdr:colOff>655320</xdr:colOff>
      <xdr:row>0</xdr:row>
      <xdr:rowOff>381000</xdr:rowOff>
    </xdr:to>
    <xdr:sp macro="XLNT_Kezdolap" textlink="">
      <xdr:nvSpPr>
        <xdr:cNvPr id="7" name="XLNT_G_HOME">
          <a:extLst>
            <a:ext uri="{FF2B5EF4-FFF2-40B4-BE49-F238E27FC236}">
              <a16:creationId xmlns:a16="http://schemas.microsoft.com/office/drawing/2014/main" id="{F39DEA96-F3BE-7E67-8240-FCF314F526EE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  <xdr:twoCellAnchor>
    <xdr:from>
      <xdr:col>4</xdr:col>
      <xdr:colOff>782320</xdr:colOff>
      <xdr:row>0</xdr:row>
      <xdr:rowOff>101600</xdr:rowOff>
    </xdr:from>
    <xdr:to>
      <xdr:col>5</xdr:col>
      <xdr:colOff>533400</xdr:colOff>
      <xdr:row>0</xdr:row>
      <xdr:rowOff>381000</xdr:rowOff>
    </xdr:to>
    <xdr:sp macro="XLNT_AdossagNaplo" textlink="">
      <xdr:nvSpPr>
        <xdr:cNvPr id="8" name="XLNT_G_GEN">
          <a:extLst>
            <a:ext uri="{FF2B5EF4-FFF2-40B4-BE49-F238E27FC236}">
              <a16:creationId xmlns:a16="http://schemas.microsoft.com/office/drawing/2014/main" id="{9D82BB32-DC00-170F-776E-E50A459B09E6}"/>
            </a:ext>
          </a:extLst>
        </xdr:cNvPr>
        <xdr:cNvSpPr/>
      </xdr:nvSpPr>
      <xdr:spPr>
        <a:xfrm>
          <a:off x="5080000" y="101600"/>
          <a:ext cx="1397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Naplózás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4" name="XLNT_LINK">
          <a:extLst>
            <a:ext uri="{FF2B5EF4-FFF2-40B4-BE49-F238E27FC236}">
              <a16:creationId xmlns:a16="http://schemas.microsoft.com/office/drawing/2014/main" id="{540D1E05-D810-0D36-61EE-049986F20D77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2</xdr:col>
      <xdr:colOff>10161</xdr:colOff>
      <xdr:row>0</xdr:row>
      <xdr:rowOff>63500</xdr:rowOff>
    </xdr:from>
    <xdr:to>
      <xdr:col>2</xdr:col>
      <xdr:colOff>871770</xdr:colOff>
      <xdr:row>0</xdr:row>
      <xdr:rowOff>850900</xdr:rowOff>
    </xdr:to>
    <xdr:pic macro="XLNT_NyitHiHello">
      <xdr:nvPicPr>
        <xdr:cNvPr id="6" name="XLNT_LOGO">
          <a:extLst>
            <a:ext uri="{FF2B5EF4-FFF2-40B4-BE49-F238E27FC236}">
              <a16:creationId xmlns:a16="http://schemas.microsoft.com/office/drawing/2014/main" id="{7DD8C606-409C-98A1-92C7-ED7FC4F8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3</xdr:col>
      <xdr:colOff>1158240</xdr:colOff>
      <xdr:row>0</xdr:row>
      <xdr:rowOff>101600</xdr:rowOff>
    </xdr:from>
    <xdr:to>
      <xdr:col>4</xdr:col>
      <xdr:colOff>655320</xdr:colOff>
      <xdr:row>0</xdr:row>
      <xdr:rowOff>381000</xdr:rowOff>
    </xdr:to>
    <xdr:sp macro="XLNT_Kezdolap" textlink="">
      <xdr:nvSpPr>
        <xdr:cNvPr id="7" name="XLNT_G_HOME">
          <a:extLst>
            <a:ext uri="{FF2B5EF4-FFF2-40B4-BE49-F238E27FC236}">
              <a16:creationId xmlns:a16="http://schemas.microsoft.com/office/drawing/2014/main" id="{1C4CED56-E03B-4B12-6038-8017B1D5D3B1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  <xdr:twoCellAnchor>
    <xdr:from>
      <xdr:col>4</xdr:col>
      <xdr:colOff>782320</xdr:colOff>
      <xdr:row>0</xdr:row>
      <xdr:rowOff>101600</xdr:rowOff>
    </xdr:from>
    <xdr:to>
      <xdr:col>5</xdr:col>
      <xdr:colOff>533400</xdr:colOff>
      <xdr:row>0</xdr:row>
      <xdr:rowOff>381000</xdr:rowOff>
    </xdr:to>
    <xdr:sp macro="XLNT_KozbensoNaplo" textlink="">
      <xdr:nvSpPr>
        <xdr:cNvPr id="8" name="XLNT_G_GEN">
          <a:extLst>
            <a:ext uri="{FF2B5EF4-FFF2-40B4-BE49-F238E27FC236}">
              <a16:creationId xmlns:a16="http://schemas.microsoft.com/office/drawing/2014/main" id="{2A65EC8E-0B5F-5F8C-D0E3-A40F3AD9ED7E}"/>
            </a:ext>
          </a:extLst>
        </xdr:cNvPr>
        <xdr:cNvSpPr/>
      </xdr:nvSpPr>
      <xdr:spPr>
        <a:xfrm>
          <a:off x="5080000" y="101600"/>
          <a:ext cx="1397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Naplózás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4" name="XLNT_LINK">
          <a:extLst>
            <a:ext uri="{FF2B5EF4-FFF2-40B4-BE49-F238E27FC236}">
              <a16:creationId xmlns:a16="http://schemas.microsoft.com/office/drawing/2014/main" id="{AAA716BC-4AD0-7241-64F3-FB5FA47E5A1C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2</xdr:col>
      <xdr:colOff>10161</xdr:colOff>
      <xdr:row>0</xdr:row>
      <xdr:rowOff>63500</xdr:rowOff>
    </xdr:from>
    <xdr:to>
      <xdr:col>2</xdr:col>
      <xdr:colOff>871770</xdr:colOff>
      <xdr:row>0</xdr:row>
      <xdr:rowOff>850900</xdr:rowOff>
    </xdr:to>
    <xdr:pic macro="XLNT_NyitHiHello">
      <xdr:nvPicPr>
        <xdr:cNvPr id="6" name="XLNT_LOGO">
          <a:extLst>
            <a:ext uri="{FF2B5EF4-FFF2-40B4-BE49-F238E27FC236}">
              <a16:creationId xmlns:a16="http://schemas.microsoft.com/office/drawing/2014/main" id="{C933760F-E2FC-3DAE-5AE5-501870DF2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3</xdr:col>
      <xdr:colOff>1158240</xdr:colOff>
      <xdr:row>0</xdr:row>
      <xdr:rowOff>101600</xdr:rowOff>
    </xdr:from>
    <xdr:to>
      <xdr:col>4</xdr:col>
      <xdr:colOff>655320</xdr:colOff>
      <xdr:row>0</xdr:row>
      <xdr:rowOff>381000</xdr:rowOff>
    </xdr:to>
    <xdr:sp macro="XLNT_Kezdolap" textlink="">
      <xdr:nvSpPr>
        <xdr:cNvPr id="7" name="XLNT_G_HOME">
          <a:extLst>
            <a:ext uri="{FF2B5EF4-FFF2-40B4-BE49-F238E27FC236}">
              <a16:creationId xmlns:a16="http://schemas.microsoft.com/office/drawing/2014/main" id="{DB9BADED-2E1F-960A-D2C1-8174E04FC938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  <xdr:twoCellAnchor>
    <xdr:from>
      <xdr:col>4</xdr:col>
      <xdr:colOff>782320</xdr:colOff>
      <xdr:row>0</xdr:row>
      <xdr:rowOff>101600</xdr:rowOff>
    </xdr:from>
    <xdr:to>
      <xdr:col>5</xdr:col>
      <xdr:colOff>396240</xdr:colOff>
      <xdr:row>0</xdr:row>
      <xdr:rowOff>381000</xdr:rowOff>
    </xdr:to>
    <xdr:sp macro="XLNT_BevRafNaplo" textlink="">
      <xdr:nvSpPr>
        <xdr:cNvPr id="8" name="XLNT_G_GEN">
          <a:extLst>
            <a:ext uri="{FF2B5EF4-FFF2-40B4-BE49-F238E27FC236}">
              <a16:creationId xmlns:a16="http://schemas.microsoft.com/office/drawing/2014/main" id="{C0D30971-8C1E-B41E-37F9-F9B42DB97D87}"/>
            </a:ext>
          </a:extLst>
        </xdr:cNvPr>
        <xdr:cNvSpPr/>
      </xdr:nvSpPr>
      <xdr:spPr>
        <a:xfrm>
          <a:off x="5080000" y="101600"/>
          <a:ext cx="1397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Naplózás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4" name="XLNT_LINK">
          <a:extLst>
            <a:ext uri="{FF2B5EF4-FFF2-40B4-BE49-F238E27FC236}">
              <a16:creationId xmlns:a16="http://schemas.microsoft.com/office/drawing/2014/main" id="{29B03676-F442-FDE6-F4CD-A87CE7364981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2</xdr:col>
      <xdr:colOff>10161</xdr:colOff>
      <xdr:row>0</xdr:row>
      <xdr:rowOff>63500</xdr:rowOff>
    </xdr:from>
    <xdr:to>
      <xdr:col>2</xdr:col>
      <xdr:colOff>871770</xdr:colOff>
      <xdr:row>0</xdr:row>
      <xdr:rowOff>850900</xdr:rowOff>
    </xdr:to>
    <xdr:pic macro="XLNT_NyitHiHello">
      <xdr:nvPicPr>
        <xdr:cNvPr id="6" name="XLNT_LOGO">
          <a:extLst>
            <a:ext uri="{FF2B5EF4-FFF2-40B4-BE49-F238E27FC236}">
              <a16:creationId xmlns:a16="http://schemas.microsoft.com/office/drawing/2014/main" id="{BF9410BF-0AD9-74B0-E2C4-89CEBA8C9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3</xdr:col>
      <xdr:colOff>1158240</xdr:colOff>
      <xdr:row>0</xdr:row>
      <xdr:rowOff>101600</xdr:rowOff>
    </xdr:from>
    <xdr:to>
      <xdr:col>4</xdr:col>
      <xdr:colOff>929640</xdr:colOff>
      <xdr:row>0</xdr:row>
      <xdr:rowOff>381000</xdr:rowOff>
    </xdr:to>
    <xdr:sp macro="XLNT_Kezdolap" textlink="">
      <xdr:nvSpPr>
        <xdr:cNvPr id="7" name="XLNT_G_HOME">
          <a:extLst>
            <a:ext uri="{FF2B5EF4-FFF2-40B4-BE49-F238E27FC236}">
              <a16:creationId xmlns:a16="http://schemas.microsoft.com/office/drawing/2014/main" id="{5FEB8C94-4558-B915-218B-68B8401D11E7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  <xdr:twoCellAnchor>
    <xdr:from>
      <xdr:col>4</xdr:col>
      <xdr:colOff>1056640</xdr:colOff>
      <xdr:row>0</xdr:row>
      <xdr:rowOff>101600</xdr:rowOff>
    </xdr:from>
    <xdr:to>
      <xdr:col>5</xdr:col>
      <xdr:colOff>1082040</xdr:colOff>
      <xdr:row>0</xdr:row>
      <xdr:rowOff>381000</xdr:rowOff>
    </xdr:to>
    <xdr:sp macro="XLNT_EquityNaplo" textlink="">
      <xdr:nvSpPr>
        <xdr:cNvPr id="8" name="XLNT_G_GEN">
          <a:extLst>
            <a:ext uri="{FF2B5EF4-FFF2-40B4-BE49-F238E27FC236}">
              <a16:creationId xmlns:a16="http://schemas.microsoft.com/office/drawing/2014/main" id="{CBC2F4C5-0215-AC79-5D0A-C669FB3FDFB4}"/>
            </a:ext>
          </a:extLst>
        </xdr:cNvPr>
        <xdr:cNvSpPr/>
      </xdr:nvSpPr>
      <xdr:spPr>
        <a:xfrm>
          <a:off x="5080000" y="101600"/>
          <a:ext cx="1397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Naplózás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4" name="XLNT_LINK">
          <a:extLst>
            <a:ext uri="{FF2B5EF4-FFF2-40B4-BE49-F238E27FC236}">
              <a16:creationId xmlns:a16="http://schemas.microsoft.com/office/drawing/2014/main" id="{D642F2B1-4DE8-CBBA-AF4F-1E917B4DA779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2</xdr:col>
      <xdr:colOff>10161</xdr:colOff>
      <xdr:row>0</xdr:row>
      <xdr:rowOff>63500</xdr:rowOff>
    </xdr:from>
    <xdr:to>
      <xdr:col>2</xdr:col>
      <xdr:colOff>871770</xdr:colOff>
      <xdr:row>0</xdr:row>
      <xdr:rowOff>850900</xdr:rowOff>
    </xdr:to>
    <xdr:pic macro="XLNT_NyitHiHello">
      <xdr:nvPicPr>
        <xdr:cNvPr id="6" name="XLNT_LOGO">
          <a:extLst>
            <a:ext uri="{FF2B5EF4-FFF2-40B4-BE49-F238E27FC236}">
              <a16:creationId xmlns:a16="http://schemas.microsoft.com/office/drawing/2014/main" id="{E43CC5C8-B485-6F95-DD11-DAC60E2B3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2</xdr:col>
      <xdr:colOff>2804160</xdr:colOff>
      <xdr:row>0</xdr:row>
      <xdr:rowOff>101600</xdr:rowOff>
    </xdr:from>
    <xdr:to>
      <xdr:col>3</xdr:col>
      <xdr:colOff>792480</xdr:colOff>
      <xdr:row>0</xdr:row>
      <xdr:rowOff>381000</xdr:rowOff>
    </xdr:to>
    <xdr:sp macro="XLNT_Kezdolap" textlink="">
      <xdr:nvSpPr>
        <xdr:cNvPr id="7" name="XLNT_G_HOME">
          <a:extLst>
            <a:ext uri="{FF2B5EF4-FFF2-40B4-BE49-F238E27FC236}">
              <a16:creationId xmlns:a16="http://schemas.microsoft.com/office/drawing/2014/main" id="{E22AA4FC-05AE-CB72-F46B-B2C928207F89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  <xdr:twoCellAnchor>
    <xdr:from>
      <xdr:col>3</xdr:col>
      <xdr:colOff>919480</xdr:colOff>
      <xdr:row>0</xdr:row>
      <xdr:rowOff>101600</xdr:rowOff>
    </xdr:from>
    <xdr:to>
      <xdr:col>4</xdr:col>
      <xdr:colOff>944880</xdr:colOff>
      <xdr:row>0</xdr:row>
      <xdr:rowOff>381000</xdr:rowOff>
    </xdr:to>
    <xdr:sp macro="XLNT_AdoNaplo" textlink="">
      <xdr:nvSpPr>
        <xdr:cNvPr id="8" name="XLNT_G_GEN">
          <a:extLst>
            <a:ext uri="{FF2B5EF4-FFF2-40B4-BE49-F238E27FC236}">
              <a16:creationId xmlns:a16="http://schemas.microsoft.com/office/drawing/2014/main" id="{B62C206F-C385-D479-96BB-4DEE64843D12}"/>
            </a:ext>
          </a:extLst>
        </xdr:cNvPr>
        <xdr:cNvSpPr/>
      </xdr:nvSpPr>
      <xdr:spPr>
        <a:xfrm>
          <a:off x="5080000" y="101600"/>
          <a:ext cx="1397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Naplózás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3" name="XLNT_LINK">
          <a:extLst>
            <a:ext uri="{FF2B5EF4-FFF2-40B4-BE49-F238E27FC236}">
              <a16:creationId xmlns:a16="http://schemas.microsoft.com/office/drawing/2014/main" id="{7375AF8A-FC40-FB9E-22B4-3AD724B30155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2</xdr:col>
      <xdr:colOff>10161</xdr:colOff>
      <xdr:row>0</xdr:row>
      <xdr:rowOff>63500</xdr:rowOff>
    </xdr:from>
    <xdr:to>
      <xdr:col>3</xdr:col>
      <xdr:colOff>323130</xdr:colOff>
      <xdr:row>0</xdr:row>
      <xdr:rowOff>850900</xdr:rowOff>
    </xdr:to>
    <xdr:pic macro="XLNT_NyitHiHello">
      <xdr:nvPicPr>
        <xdr:cNvPr id="5" name="XLNT_LOGO">
          <a:extLst>
            <a:ext uri="{FF2B5EF4-FFF2-40B4-BE49-F238E27FC236}">
              <a16:creationId xmlns:a16="http://schemas.microsoft.com/office/drawing/2014/main" id="{1F4E884B-03E7-179C-9C41-3FC302E7B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4</xdr:col>
      <xdr:colOff>198120</xdr:colOff>
      <xdr:row>0</xdr:row>
      <xdr:rowOff>101600</xdr:rowOff>
    </xdr:from>
    <xdr:to>
      <xdr:col>5</xdr:col>
      <xdr:colOff>106680</xdr:colOff>
      <xdr:row>0</xdr:row>
      <xdr:rowOff>381000</xdr:rowOff>
    </xdr:to>
    <xdr:sp macro="XLNT_Kezdolap" textlink="">
      <xdr:nvSpPr>
        <xdr:cNvPr id="6" name="XLNT_G_HOME">
          <a:extLst>
            <a:ext uri="{FF2B5EF4-FFF2-40B4-BE49-F238E27FC236}">
              <a16:creationId xmlns:a16="http://schemas.microsoft.com/office/drawing/2014/main" id="{ECBC460C-5937-ADF4-E7B1-69034B9DA707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3" name="XLNT_LINK">
          <a:extLst>
            <a:ext uri="{FF2B5EF4-FFF2-40B4-BE49-F238E27FC236}">
              <a16:creationId xmlns:a16="http://schemas.microsoft.com/office/drawing/2014/main" id="{5B7C4D96-846A-2544-2584-C3B03CEC5A23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1</xdr:col>
      <xdr:colOff>421641</xdr:colOff>
      <xdr:row>0</xdr:row>
      <xdr:rowOff>63500</xdr:rowOff>
    </xdr:from>
    <xdr:to>
      <xdr:col>2</xdr:col>
      <xdr:colOff>254550</xdr:colOff>
      <xdr:row>0</xdr:row>
      <xdr:rowOff>850900</xdr:rowOff>
    </xdr:to>
    <xdr:pic macro="XLNT_NyitHiHello">
      <xdr:nvPicPr>
        <xdr:cNvPr id="5" name="XLNT_LOGO">
          <a:extLst>
            <a:ext uri="{FF2B5EF4-FFF2-40B4-BE49-F238E27FC236}">
              <a16:creationId xmlns:a16="http://schemas.microsoft.com/office/drawing/2014/main" id="{C05806E0-1EEB-1CC0-714E-74DB1F622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5</xdr:col>
      <xdr:colOff>883920</xdr:colOff>
      <xdr:row>0</xdr:row>
      <xdr:rowOff>101600</xdr:rowOff>
    </xdr:from>
    <xdr:to>
      <xdr:col>5</xdr:col>
      <xdr:colOff>2026920</xdr:colOff>
      <xdr:row>0</xdr:row>
      <xdr:rowOff>381000</xdr:rowOff>
    </xdr:to>
    <xdr:sp macro="XLNT_Kezdolap" textlink="">
      <xdr:nvSpPr>
        <xdr:cNvPr id="6" name="XLNT_G_HOME">
          <a:extLst>
            <a:ext uri="{FF2B5EF4-FFF2-40B4-BE49-F238E27FC236}">
              <a16:creationId xmlns:a16="http://schemas.microsoft.com/office/drawing/2014/main" id="{E307A0E2-E78A-EA89-1668-93A390ADE931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3" name="XLNT_LINK">
          <a:extLst>
            <a:ext uri="{FF2B5EF4-FFF2-40B4-BE49-F238E27FC236}">
              <a16:creationId xmlns:a16="http://schemas.microsoft.com/office/drawing/2014/main" id="{6118328B-5EE1-3B8F-AC0F-6286BB3F685C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1</xdr:col>
      <xdr:colOff>421641</xdr:colOff>
      <xdr:row>0</xdr:row>
      <xdr:rowOff>63500</xdr:rowOff>
    </xdr:from>
    <xdr:to>
      <xdr:col>2</xdr:col>
      <xdr:colOff>254550</xdr:colOff>
      <xdr:row>0</xdr:row>
      <xdr:rowOff>850900</xdr:rowOff>
    </xdr:to>
    <xdr:pic macro="XLNT_NyitHiHello">
      <xdr:nvPicPr>
        <xdr:cNvPr id="5" name="XLNT_LOGO">
          <a:extLst>
            <a:ext uri="{FF2B5EF4-FFF2-40B4-BE49-F238E27FC236}">
              <a16:creationId xmlns:a16="http://schemas.microsoft.com/office/drawing/2014/main" id="{F6794094-6EC1-8AB4-DC0A-9B5AF3EB0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2</xdr:col>
      <xdr:colOff>2186940</xdr:colOff>
      <xdr:row>0</xdr:row>
      <xdr:rowOff>101600</xdr:rowOff>
    </xdr:from>
    <xdr:to>
      <xdr:col>2</xdr:col>
      <xdr:colOff>3329940</xdr:colOff>
      <xdr:row>0</xdr:row>
      <xdr:rowOff>381000</xdr:rowOff>
    </xdr:to>
    <xdr:sp macro="XLNT_Kezdolap" textlink="">
      <xdr:nvSpPr>
        <xdr:cNvPr id="6" name="XLNT_G_HOME">
          <a:extLst>
            <a:ext uri="{FF2B5EF4-FFF2-40B4-BE49-F238E27FC236}">
              <a16:creationId xmlns:a16="http://schemas.microsoft.com/office/drawing/2014/main" id="{6A967EC6-8C83-E773-E6B3-F5A9D4F78CA1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3" name="XLNT_LINK">
          <a:extLst>
            <a:ext uri="{FF2B5EF4-FFF2-40B4-BE49-F238E27FC236}">
              <a16:creationId xmlns:a16="http://schemas.microsoft.com/office/drawing/2014/main" id="{C155110C-FF94-AB0A-1472-F6EE768F96C1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1</xdr:col>
      <xdr:colOff>421641</xdr:colOff>
      <xdr:row>0</xdr:row>
      <xdr:rowOff>63500</xdr:rowOff>
    </xdr:from>
    <xdr:to>
      <xdr:col>2</xdr:col>
      <xdr:colOff>323130</xdr:colOff>
      <xdr:row>0</xdr:row>
      <xdr:rowOff>850900</xdr:rowOff>
    </xdr:to>
    <xdr:pic macro="XLNT_NyitHiHello">
      <xdr:nvPicPr>
        <xdr:cNvPr id="5" name="XLNT_LOGO">
          <a:extLst>
            <a:ext uri="{FF2B5EF4-FFF2-40B4-BE49-F238E27FC236}">
              <a16:creationId xmlns:a16="http://schemas.microsoft.com/office/drawing/2014/main" id="{1753B406-659B-65F8-29DC-DF3068483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2</xdr:col>
      <xdr:colOff>2255520</xdr:colOff>
      <xdr:row>0</xdr:row>
      <xdr:rowOff>101600</xdr:rowOff>
    </xdr:from>
    <xdr:to>
      <xdr:col>2</xdr:col>
      <xdr:colOff>3398520</xdr:colOff>
      <xdr:row>0</xdr:row>
      <xdr:rowOff>381000</xdr:rowOff>
    </xdr:to>
    <xdr:sp macro="XLNT_Kezdolap" textlink="">
      <xdr:nvSpPr>
        <xdr:cNvPr id="6" name="XLNT_G_HOME">
          <a:extLst>
            <a:ext uri="{FF2B5EF4-FFF2-40B4-BE49-F238E27FC236}">
              <a16:creationId xmlns:a16="http://schemas.microsoft.com/office/drawing/2014/main" id="{7806A4FF-F203-F088-1A8C-DF3DE806B8B2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3" name="XLNT_LINK">
          <a:extLst>
            <a:ext uri="{FF2B5EF4-FFF2-40B4-BE49-F238E27FC236}">
              <a16:creationId xmlns:a16="http://schemas.microsoft.com/office/drawing/2014/main" id="{46EBA953-FF70-E54A-7D27-1E56EF5F3623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1</xdr:col>
      <xdr:colOff>421641</xdr:colOff>
      <xdr:row>0</xdr:row>
      <xdr:rowOff>63500</xdr:rowOff>
    </xdr:from>
    <xdr:to>
      <xdr:col>2</xdr:col>
      <xdr:colOff>254550</xdr:colOff>
      <xdr:row>0</xdr:row>
      <xdr:rowOff>850900</xdr:rowOff>
    </xdr:to>
    <xdr:pic macro="XLNT_NyitHiHello">
      <xdr:nvPicPr>
        <xdr:cNvPr id="5" name="XLNT_LOGO">
          <a:extLst>
            <a:ext uri="{FF2B5EF4-FFF2-40B4-BE49-F238E27FC236}">
              <a16:creationId xmlns:a16="http://schemas.microsoft.com/office/drawing/2014/main" id="{5170BBBF-CE8E-75AD-4136-7BEA10AD4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2</xdr:col>
      <xdr:colOff>2186940</xdr:colOff>
      <xdr:row>0</xdr:row>
      <xdr:rowOff>101600</xdr:rowOff>
    </xdr:from>
    <xdr:to>
      <xdr:col>2</xdr:col>
      <xdr:colOff>3329940</xdr:colOff>
      <xdr:row>0</xdr:row>
      <xdr:rowOff>381000</xdr:rowOff>
    </xdr:to>
    <xdr:sp macro="XLNT_Kezdolap" textlink="">
      <xdr:nvSpPr>
        <xdr:cNvPr id="6" name="XLNT_G_HOME">
          <a:extLst>
            <a:ext uri="{FF2B5EF4-FFF2-40B4-BE49-F238E27FC236}">
              <a16:creationId xmlns:a16="http://schemas.microsoft.com/office/drawing/2014/main" id="{F667B74B-7678-6075-421D-FE6B9DEB0F0A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3" name="XLNT_LINK">
          <a:extLst>
            <a:ext uri="{FF2B5EF4-FFF2-40B4-BE49-F238E27FC236}">
              <a16:creationId xmlns:a16="http://schemas.microsoft.com/office/drawing/2014/main" id="{8BB45F68-81BD-819E-EA22-882609D4DAC9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1</xdr:col>
      <xdr:colOff>421641</xdr:colOff>
      <xdr:row>0</xdr:row>
      <xdr:rowOff>63500</xdr:rowOff>
    </xdr:from>
    <xdr:to>
      <xdr:col>2</xdr:col>
      <xdr:colOff>323130</xdr:colOff>
      <xdr:row>0</xdr:row>
      <xdr:rowOff>850900</xdr:rowOff>
    </xdr:to>
    <xdr:pic macro="XLNT_NyitHiHello">
      <xdr:nvPicPr>
        <xdr:cNvPr id="5" name="XLNT_LOGO">
          <a:extLst>
            <a:ext uri="{FF2B5EF4-FFF2-40B4-BE49-F238E27FC236}">
              <a16:creationId xmlns:a16="http://schemas.microsoft.com/office/drawing/2014/main" id="{561D8C11-D449-1D49-BE3E-F47B6C2DF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2</xdr:col>
      <xdr:colOff>2255520</xdr:colOff>
      <xdr:row>0</xdr:row>
      <xdr:rowOff>101600</xdr:rowOff>
    </xdr:from>
    <xdr:to>
      <xdr:col>2</xdr:col>
      <xdr:colOff>3398520</xdr:colOff>
      <xdr:row>0</xdr:row>
      <xdr:rowOff>381000</xdr:rowOff>
    </xdr:to>
    <xdr:sp macro="XLNT_Kezdolap" textlink="">
      <xdr:nvSpPr>
        <xdr:cNvPr id="6" name="XLNT_G_HOME">
          <a:extLst>
            <a:ext uri="{FF2B5EF4-FFF2-40B4-BE49-F238E27FC236}">
              <a16:creationId xmlns:a16="http://schemas.microsoft.com/office/drawing/2014/main" id="{58F3002E-9DEC-7277-204F-F3300BF6FF12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3" name="XLNT_LINK">
          <a:extLst>
            <a:ext uri="{FF2B5EF4-FFF2-40B4-BE49-F238E27FC236}">
              <a16:creationId xmlns:a16="http://schemas.microsoft.com/office/drawing/2014/main" id="{B6F7728B-605A-721F-7D3E-70B8E25B8213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1</xdr:col>
      <xdr:colOff>421641</xdr:colOff>
      <xdr:row>0</xdr:row>
      <xdr:rowOff>63500</xdr:rowOff>
    </xdr:from>
    <xdr:to>
      <xdr:col>2</xdr:col>
      <xdr:colOff>528870</xdr:colOff>
      <xdr:row>0</xdr:row>
      <xdr:rowOff>850900</xdr:rowOff>
    </xdr:to>
    <xdr:pic macro="XLNT_NyitHiHello">
      <xdr:nvPicPr>
        <xdr:cNvPr id="5" name="XLNT_LOGO">
          <a:extLst>
            <a:ext uri="{FF2B5EF4-FFF2-40B4-BE49-F238E27FC236}">
              <a16:creationId xmlns:a16="http://schemas.microsoft.com/office/drawing/2014/main" id="{588B97A6-A2B5-9A3E-8876-97A0B7D9C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2</xdr:col>
      <xdr:colOff>2461260</xdr:colOff>
      <xdr:row>0</xdr:row>
      <xdr:rowOff>101600</xdr:rowOff>
    </xdr:from>
    <xdr:to>
      <xdr:col>2</xdr:col>
      <xdr:colOff>3604260</xdr:colOff>
      <xdr:row>0</xdr:row>
      <xdr:rowOff>381000</xdr:rowOff>
    </xdr:to>
    <xdr:sp macro="XLNT_Kezdolap" textlink="">
      <xdr:nvSpPr>
        <xdr:cNvPr id="6" name="XLNT_G_HOME">
          <a:extLst>
            <a:ext uri="{FF2B5EF4-FFF2-40B4-BE49-F238E27FC236}">
              <a16:creationId xmlns:a16="http://schemas.microsoft.com/office/drawing/2014/main" id="{1932A432-F3CF-CB37-0A90-CF3632F818A1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777240</xdr:colOff>
      <xdr:row>0</xdr:row>
      <xdr:rowOff>571500</xdr:rowOff>
    </xdr:to>
    <xdr:sp macro="XLNT_NyitHonlap" textlink="">
      <xdr:nvSpPr>
        <xdr:cNvPr id="3" name="XLNT_LINK">
          <a:extLst>
            <a:ext uri="{FF2B5EF4-FFF2-40B4-BE49-F238E27FC236}">
              <a16:creationId xmlns:a16="http://schemas.microsoft.com/office/drawing/2014/main" id="{E5DAAD1D-C9C9-262F-6680-2F418A28C2A8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1</xdr:col>
      <xdr:colOff>878841</xdr:colOff>
      <xdr:row>0</xdr:row>
      <xdr:rowOff>63500</xdr:rowOff>
    </xdr:from>
    <xdr:to>
      <xdr:col>2</xdr:col>
      <xdr:colOff>848910</xdr:colOff>
      <xdr:row>0</xdr:row>
      <xdr:rowOff>850900</xdr:rowOff>
    </xdr:to>
    <xdr:pic macro="XLNT_NyitHiHello">
      <xdr:nvPicPr>
        <xdr:cNvPr id="5" name="XLNT_LOGO">
          <a:extLst>
            <a:ext uri="{FF2B5EF4-FFF2-40B4-BE49-F238E27FC236}">
              <a16:creationId xmlns:a16="http://schemas.microsoft.com/office/drawing/2014/main" id="{3210FA01-F01E-9CA0-7BAF-5ECE404F5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2</xdr:col>
      <xdr:colOff>2781300</xdr:colOff>
      <xdr:row>0</xdr:row>
      <xdr:rowOff>101600</xdr:rowOff>
    </xdr:from>
    <xdr:to>
      <xdr:col>2</xdr:col>
      <xdr:colOff>3924300</xdr:colOff>
      <xdr:row>0</xdr:row>
      <xdr:rowOff>381000</xdr:rowOff>
    </xdr:to>
    <xdr:sp macro="XLNT_Kezdolap" textlink="">
      <xdr:nvSpPr>
        <xdr:cNvPr id="6" name="XLNT_G_HOME">
          <a:extLst>
            <a:ext uri="{FF2B5EF4-FFF2-40B4-BE49-F238E27FC236}">
              <a16:creationId xmlns:a16="http://schemas.microsoft.com/office/drawing/2014/main" id="{099F6519-9C19-521E-4406-9D990EE6F1CB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3" name="XLNT_LINK">
          <a:extLst>
            <a:ext uri="{FF2B5EF4-FFF2-40B4-BE49-F238E27FC236}">
              <a16:creationId xmlns:a16="http://schemas.microsoft.com/office/drawing/2014/main" id="{24359A3C-9442-5CC1-A757-A572C8AF7633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2</xdr:col>
      <xdr:colOff>10161</xdr:colOff>
      <xdr:row>0</xdr:row>
      <xdr:rowOff>63500</xdr:rowOff>
    </xdr:from>
    <xdr:to>
      <xdr:col>2</xdr:col>
      <xdr:colOff>871770</xdr:colOff>
      <xdr:row>0</xdr:row>
      <xdr:rowOff>850900</xdr:rowOff>
    </xdr:to>
    <xdr:pic macro="XLNT_NyitHiHello">
      <xdr:nvPicPr>
        <xdr:cNvPr id="5" name="XLNT_LOGO">
          <a:extLst>
            <a:ext uri="{FF2B5EF4-FFF2-40B4-BE49-F238E27FC236}">
              <a16:creationId xmlns:a16="http://schemas.microsoft.com/office/drawing/2014/main" id="{986A5A59-230D-18C1-8C3F-A9C24EF9F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2</xdr:col>
      <xdr:colOff>2804160</xdr:colOff>
      <xdr:row>0</xdr:row>
      <xdr:rowOff>101600</xdr:rowOff>
    </xdr:from>
    <xdr:to>
      <xdr:col>2</xdr:col>
      <xdr:colOff>3947160</xdr:colOff>
      <xdr:row>0</xdr:row>
      <xdr:rowOff>381000</xdr:rowOff>
    </xdr:to>
    <xdr:sp macro="XLNT_Kezdolap" textlink="">
      <xdr:nvSpPr>
        <xdr:cNvPr id="6" name="XLNT_G_HOME">
          <a:extLst>
            <a:ext uri="{FF2B5EF4-FFF2-40B4-BE49-F238E27FC236}">
              <a16:creationId xmlns:a16="http://schemas.microsoft.com/office/drawing/2014/main" id="{DC2ED06C-8B3E-4FFF-5D07-D7ADF2FC1581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3" name="XLNT_LINK">
          <a:extLst>
            <a:ext uri="{FF2B5EF4-FFF2-40B4-BE49-F238E27FC236}">
              <a16:creationId xmlns:a16="http://schemas.microsoft.com/office/drawing/2014/main" id="{56B59B91-F2BA-1581-8BC4-D830694748D8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1</xdr:col>
      <xdr:colOff>421641</xdr:colOff>
      <xdr:row>0</xdr:row>
      <xdr:rowOff>63500</xdr:rowOff>
    </xdr:from>
    <xdr:to>
      <xdr:col>2</xdr:col>
      <xdr:colOff>254550</xdr:colOff>
      <xdr:row>0</xdr:row>
      <xdr:rowOff>850900</xdr:rowOff>
    </xdr:to>
    <xdr:pic macro="XLNT_NyitHiHello">
      <xdr:nvPicPr>
        <xdr:cNvPr id="5" name="XLNT_LOGO">
          <a:extLst>
            <a:ext uri="{FF2B5EF4-FFF2-40B4-BE49-F238E27FC236}">
              <a16:creationId xmlns:a16="http://schemas.microsoft.com/office/drawing/2014/main" id="{4C58FACE-0730-2AD6-F2D0-9B179E47A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5</xdr:col>
      <xdr:colOff>541020</xdr:colOff>
      <xdr:row>0</xdr:row>
      <xdr:rowOff>101600</xdr:rowOff>
    </xdr:from>
    <xdr:to>
      <xdr:col>6</xdr:col>
      <xdr:colOff>929640</xdr:colOff>
      <xdr:row>0</xdr:row>
      <xdr:rowOff>381000</xdr:rowOff>
    </xdr:to>
    <xdr:sp macro="XLNT_Kezdolap" textlink="">
      <xdr:nvSpPr>
        <xdr:cNvPr id="6" name="XLNT_G_HOME">
          <a:extLst>
            <a:ext uri="{FF2B5EF4-FFF2-40B4-BE49-F238E27FC236}">
              <a16:creationId xmlns:a16="http://schemas.microsoft.com/office/drawing/2014/main" id="{A811B1DC-E053-825A-F7B5-13C7F35BC439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317500</xdr:rowOff>
    </xdr:from>
    <xdr:to>
      <xdr:col>1</xdr:col>
      <xdr:colOff>320040</xdr:colOff>
      <xdr:row>0</xdr:row>
      <xdr:rowOff>571500</xdr:rowOff>
    </xdr:to>
    <xdr:sp macro="XLNT_NyitHonlap" textlink="">
      <xdr:nvSpPr>
        <xdr:cNvPr id="3" name="XLNT_LINK">
          <a:extLst>
            <a:ext uri="{FF2B5EF4-FFF2-40B4-BE49-F238E27FC236}">
              <a16:creationId xmlns:a16="http://schemas.microsoft.com/office/drawing/2014/main" id="{FF1E3012-B463-2352-5FA2-BAC9259C3267}"/>
            </a:ext>
          </a:extLst>
        </xdr:cNvPr>
        <xdr:cNvSpPr txBox="1"/>
      </xdr:nvSpPr>
      <xdr:spPr>
        <a:xfrm>
          <a:off x="76200" y="317500"/>
          <a:ext cx="8382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hu-HU" sz="1100" b="1" u="none">
              <a:solidFill>
                <a:srgbClr val="1F3864"/>
              </a:solidFill>
              <a:latin typeface="Arial" panose="020B0604020202020204" pitchFamily="34" charset="0"/>
            </a:rPr>
            <a:t>xlntbi.hu</a:t>
          </a:r>
        </a:p>
      </xdr:txBody>
    </xdr:sp>
    <xdr:clientData/>
  </xdr:twoCellAnchor>
  <xdr:twoCellAnchor editAs="absolute">
    <xdr:from>
      <xdr:col>2</xdr:col>
      <xdr:colOff>78741</xdr:colOff>
      <xdr:row>0</xdr:row>
      <xdr:rowOff>63500</xdr:rowOff>
    </xdr:from>
    <xdr:to>
      <xdr:col>2</xdr:col>
      <xdr:colOff>940350</xdr:colOff>
      <xdr:row>0</xdr:row>
      <xdr:rowOff>850900</xdr:rowOff>
    </xdr:to>
    <xdr:pic macro="XLNT_NyitHiHello">
      <xdr:nvPicPr>
        <xdr:cNvPr id="5" name="XLNT_LOGO">
          <a:extLst>
            <a:ext uri="{FF2B5EF4-FFF2-40B4-BE49-F238E27FC236}">
              <a16:creationId xmlns:a16="http://schemas.microsoft.com/office/drawing/2014/main" id="{BEC914B2-9D4D-46EA-0948-C487ABC88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1" y="63500"/>
          <a:ext cx="861609" cy="787400"/>
        </a:xfrm>
        <a:prstGeom prst="rect">
          <a:avLst/>
        </a:prstGeom>
      </xdr:spPr>
    </xdr:pic>
    <xdr:clientData/>
  </xdr:twoCellAnchor>
  <xdr:twoCellAnchor>
    <xdr:from>
      <xdr:col>2</xdr:col>
      <xdr:colOff>2872740</xdr:colOff>
      <xdr:row>0</xdr:row>
      <xdr:rowOff>101600</xdr:rowOff>
    </xdr:from>
    <xdr:to>
      <xdr:col>2</xdr:col>
      <xdr:colOff>4015740</xdr:colOff>
      <xdr:row>0</xdr:row>
      <xdr:rowOff>381000</xdr:rowOff>
    </xdr:to>
    <xdr:sp macro="XLNT_Kezdolap" textlink="">
      <xdr:nvSpPr>
        <xdr:cNvPr id="6" name="XLNT_G_HOME">
          <a:extLst>
            <a:ext uri="{FF2B5EF4-FFF2-40B4-BE49-F238E27FC236}">
              <a16:creationId xmlns:a16="http://schemas.microsoft.com/office/drawing/2014/main" id="{1D9EF66C-8022-877E-52C8-8383F79F5359}"/>
            </a:ext>
          </a:extLst>
        </xdr:cNvPr>
        <xdr:cNvSpPr/>
      </xdr:nvSpPr>
      <xdr:spPr>
        <a:xfrm>
          <a:off x="3810000" y="101600"/>
          <a:ext cx="1143000" cy="279400"/>
        </a:xfrm>
        <a:prstGeom prst="roundRect">
          <a:avLst/>
        </a:prstGeom>
        <a:solidFill>
          <a:srgbClr val="2E75B6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900" b="1">
              <a:solidFill>
                <a:srgbClr val="FFFFFF"/>
              </a:solidFill>
              <a:latin typeface="Arial" panose="020B0604020202020204" pitchFamily="34" charset="0"/>
            </a:rPr>
            <a:t>Kezdőlap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XLNT_Konszolidalo_v1.5.xlsx" TargetMode="External"/><Relationship Id="rId13" Type="http://schemas.openxmlformats.org/officeDocument/2006/relationships/hyperlink" Target="XLNT_Konszolidalo_v1.5.xlsx" TargetMode="External"/><Relationship Id="rId18" Type="http://schemas.openxmlformats.org/officeDocument/2006/relationships/hyperlink" Target="XLNT_Konszolidalo_v1.5.xlsx" TargetMode="External"/><Relationship Id="rId3" Type="http://schemas.openxmlformats.org/officeDocument/2006/relationships/hyperlink" Target="XLNT_Konszolidalo_v1.5.xlsx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XLNT_Konszolidalo_v1.5.xlsx" TargetMode="External"/><Relationship Id="rId12" Type="http://schemas.openxmlformats.org/officeDocument/2006/relationships/hyperlink" Target="XLNT_Konszolidalo_v1.5.xlsx" TargetMode="External"/><Relationship Id="rId17" Type="http://schemas.openxmlformats.org/officeDocument/2006/relationships/hyperlink" Target="XLNT_Konszolidalo_v1.5.xlsx" TargetMode="External"/><Relationship Id="rId2" Type="http://schemas.openxmlformats.org/officeDocument/2006/relationships/hyperlink" Target="XLNT_Konszolidalo_v1.5.xlsx" TargetMode="External"/><Relationship Id="rId16" Type="http://schemas.openxmlformats.org/officeDocument/2006/relationships/hyperlink" Target="XLNT_Konszolidalo_v1.5.xlsx" TargetMode="External"/><Relationship Id="rId20" Type="http://schemas.openxmlformats.org/officeDocument/2006/relationships/hyperlink" Target="XLNT_Konszolidalo_v1.5.xlsx" TargetMode="External"/><Relationship Id="rId1" Type="http://schemas.openxmlformats.org/officeDocument/2006/relationships/hyperlink" Target="XLNT_Konszolidalo_v1.5.xlsx" TargetMode="External"/><Relationship Id="rId6" Type="http://schemas.openxmlformats.org/officeDocument/2006/relationships/hyperlink" Target="XLNT_Konszolidalo_v1.5.xlsx" TargetMode="External"/><Relationship Id="rId11" Type="http://schemas.openxmlformats.org/officeDocument/2006/relationships/hyperlink" Target="XLNT_Konszolidalo_v1.5.xlsx" TargetMode="External"/><Relationship Id="rId5" Type="http://schemas.openxmlformats.org/officeDocument/2006/relationships/hyperlink" Target="XLNT_Konszolidalo_v1.5.xlsx" TargetMode="External"/><Relationship Id="rId15" Type="http://schemas.openxmlformats.org/officeDocument/2006/relationships/hyperlink" Target="XLNT_Konszolidalo_v1.5.xlsx" TargetMode="External"/><Relationship Id="rId10" Type="http://schemas.openxmlformats.org/officeDocument/2006/relationships/hyperlink" Target="XLNT_Konszolidalo_v1.5.xlsx" TargetMode="External"/><Relationship Id="rId19" Type="http://schemas.openxmlformats.org/officeDocument/2006/relationships/hyperlink" Target="XLNT_Konszolidalo_v1.5.xlsx" TargetMode="External"/><Relationship Id="rId4" Type="http://schemas.openxmlformats.org/officeDocument/2006/relationships/hyperlink" Target="XLNT_Konszolidalo_v1.5.xlsx" TargetMode="External"/><Relationship Id="rId9" Type="http://schemas.openxmlformats.org/officeDocument/2006/relationships/hyperlink" Target="XLNT_Konszolidalo_v1.5.xlsx" TargetMode="External"/><Relationship Id="rId14" Type="http://schemas.openxmlformats.org/officeDocument/2006/relationships/hyperlink" Target="XLNT_Konszolidalo_v1.5.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B1:F38"/>
  <sheetViews>
    <sheetView showGridLines="0" tabSelected="1" zoomScaleNormal="100" workbookViewId="0">
      <selection activeCell="A2" sqref="A2"/>
    </sheetView>
  </sheetViews>
  <sheetFormatPr defaultColWidth="8.6640625" defaultRowHeight="14.4" x14ac:dyDescent="0.3"/>
  <cols>
    <col min="2" max="2" width="5" style="1" customWidth="1"/>
    <col min="3" max="3" width="44" style="1" customWidth="1"/>
    <col min="4" max="4" width="92" style="1" customWidth="1"/>
    <col min="5" max="5" width="14" style="1" customWidth="1"/>
    <col min="6" max="6" width="16" style="1" customWidth="1"/>
  </cols>
  <sheetData>
    <row r="1" spans="2:5" ht="79.5" customHeight="1" x14ac:dyDescent="0.3"/>
    <row r="3" spans="2:5" ht="26.25" customHeight="1" x14ac:dyDescent="0.5">
      <c r="B3" s="3" t="str">
        <f>INDEX('91_NYELV'!$C$7:$D$303,1,NYELV_IDX)</f>
        <v>XLNT Számviteli Konszolidáló</v>
      </c>
    </row>
    <row r="4" spans="2:5" ht="15" customHeight="1" x14ac:dyDescent="0.3">
      <c r="B4" s="4" t="str">
        <f>INDEX('91_NYELV'!$C$7:$D$303,2,NYELV_IDX)</f>
        <v>Magyar számviteli törvény szerinti összevont (konszolidált) éves beszámoló</v>
      </c>
    </row>
    <row r="6" spans="2:5" ht="17.25" customHeight="1" x14ac:dyDescent="0.3">
      <c r="B6" s="5" t="str">
        <f>INDEX('91_NYELV'!$C$7:$D$303,3,NYELV_IDX)</f>
        <v>A konszolidálás lépései</v>
      </c>
    </row>
    <row r="8" spans="2:5" ht="21" customHeight="1" x14ac:dyDescent="0.3">
      <c r="C8" s="6" t="str">
        <f>INDEX('91_NYELV'!$C$7:$D$303,9,NYELV_IDX)</f>
        <v>1. Alapbeállítások</v>
      </c>
      <c r="D8" s="7" t="str">
        <f>INDEX('91_NYELV'!$C$7:$D$303,10,NYELV_IDX)</f>
        <v>Anyavállalat adatai, üzleti év, pénznem, adókulcs, nyelv.</v>
      </c>
      <c r="E8" s="8" t="str">
        <f>INDEX('91_NYELV'!$C$7:$D$303,4,NYELV_IDX)</f>
        <v>Ugrás »</v>
      </c>
    </row>
    <row r="9" spans="2:5" ht="21" customHeight="1" x14ac:dyDescent="0.3">
      <c r="C9" s="6" t="str">
        <f>INDEX('91_NYELV'!$C$7:$D$303,11,NYELV_IDX)</f>
        <v>2. Konszolidációs kör</v>
      </c>
      <c r="D9" s="7" t="str">
        <f>INDEX('91_NYELV'!$C$7:$D$303,12,NYELV_IDX)</f>
        <v>Cégek felvétele, bevonás módja (teljes / kvótás / equity / kivont), tulajdoni hányad.</v>
      </c>
      <c r="E9" s="8" t="str">
        <f>INDEX('91_NYELV'!$C$7:$D$303,4,NYELV_IDX)</f>
        <v>Ugrás »</v>
      </c>
    </row>
    <row r="10" spans="2:5" ht="21" customHeight="1" x14ac:dyDescent="0.3">
      <c r="C10" s="6" t="str">
        <f>INDEX('91_NYELV'!$C$7:$D$303,13,NYELV_IDX)</f>
        <v>3. Egyedi beszámolók bevitele</v>
      </c>
      <c r="D10" s="7" t="str">
        <f>INDEX('91_NYELV'!$C$7:$D$303,14,NYELV_IDX)</f>
        <v>Cégenkénti, már egységesített mérleg- és eredménykimutatás-adatok.</v>
      </c>
      <c r="E10" s="8" t="str">
        <f>INDEX('91_NYELV'!$C$7:$D$303,4,NYELV_IDX)</f>
        <v>Ugrás »</v>
      </c>
    </row>
    <row r="11" spans="2:5" ht="21" customHeight="1" x14ac:dyDescent="0.3">
      <c r="C11" s="6" t="str">
        <f>INDEX('91_NYELV'!$C$7:$D$303,15,NYELV_IDX)</f>
        <v>4. Tőkekonszolidáció</v>
      </c>
      <c r="D11" s="7" t="str">
        <f>INDEX('91_NYELV'!$C$7:$D$303,16,NYELV_IDX)</f>
        <v>Részesedés könyv szerinti értéke a megillető saját tőkével szemben; különbözet, külső tagok.</v>
      </c>
      <c r="E11" s="8" t="str">
        <f>INDEX('91_NYELV'!$C$7:$D$303,4,NYELV_IDX)</f>
        <v>Ugrás »</v>
      </c>
    </row>
    <row r="12" spans="2:5" ht="21" customHeight="1" x14ac:dyDescent="0.3">
      <c r="C12" s="6" t="str">
        <f>INDEX('91_NYELV'!$C$7:$D$303,17,NYELV_IDX)</f>
        <v>5. Adósságkonszolidálás</v>
      </c>
      <c r="D12" s="7" t="str">
        <f>INDEX('91_NYELV'!$C$7:$D$303,18,NYELV_IDX)</f>
        <v>A csoporton belüli követelések és kötelezettségek kiszűrése.</v>
      </c>
      <c r="E12" s="8" t="str">
        <f>INDEX('91_NYELV'!$C$7:$D$303,4,NYELV_IDX)</f>
        <v>Ugrás »</v>
      </c>
    </row>
    <row r="13" spans="2:5" ht="21" customHeight="1" x14ac:dyDescent="0.3">
      <c r="C13" s="6" t="str">
        <f>INDEX('91_NYELV'!$C$7:$D$303,19,NYELV_IDX)</f>
        <v>6. Közbenső eredmény kiszűrése</v>
      </c>
      <c r="D13" s="7" t="str">
        <f>INDEX('91_NYELV'!$C$7:$D$303,20,NYELV_IDX)</f>
        <v>A záró készletben / eszközben maradt csoporton belüli eredmény kiszűrése.</v>
      </c>
      <c r="E13" s="8" t="str">
        <f>INDEX('91_NYELV'!$C$7:$D$303,4,NYELV_IDX)</f>
        <v>Ugrás »</v>
      </c>
    </row>
    <row r="14" spans="2:5" ht="21" customHeight="1" x14ac:dyDescent="0.3">
      <c r="C14" s="6" t="str">
        <f>INDEX('91_NYELV'!$C$7:$D$303,21,NYELV_IDX)</f>
        <v>7. Bevételek és ráfordítások konszolidálása</v>
      </c>
      <c r="D14" s="7" t="str">
        <f>INDEX('91_NYELV'!$C$7:$D$303,22,NYELV_IDX)</f>
        <v>Belső árbevétel-ráfordítás párok és a csoporton belüli osztalék kiszűrése.</v>
      </c>
      <c r="E14" s="8" t="str">
        <f>INDEX('91_NYELV'!$C$7:$D$303,4,NYELV_IDX)</f>
        <v>Ugrás »</v>
      </c>
    </row>
    <row r="15" spans="2:5" ht="21" customHeight="1" x14ac:dyDescent="0.3">
      <c r="C15" s="6" t="str">
        <f>INDEX('91_NYELV'!$C$7:$D$303,23,NYELV_IDX)</f>
        <v>8. Társult vállalkozások (equity)</v>
      </c>
      <c r="D15" s="7" t="str">
        <f>INDEX('91_NYELV'!$C$7:$D$303,24,NYELV_IDX)</f>
        <v>Társult vállalkozások értékelése tőkerészesedési módszerrel.</v>
      </c>
      <c r="E15" s="8" t="str">
        <f>INDEX('91_NYELV'!$C$7:$D$303,4,NYELV_IDX)</f>
        <v>Ugrás »</v>
      </c>
    </row>
    <row r="16" spans="2:5" ht="21" customHeight="1" x14ac:dyDescent="0.3">
      <c r="C16" s="6" t="str">
        <f>INDEX('91_NYELV'!$C$7:$D$303,25,NYELV_IDX)</f>
        <v>9. Adókülönbözet</v>
      </c>
      <c r="D16" s="7" t="str">
        <f>INDEX('91_NYELV'!$C$7:$D$303,26,NYELV_IDX)</f>
        <v>A konszolidálás miatti eredménykülönbözetre jutó számított társasági adó.</v>
      </c>
      <c r="E16" s="8" t="str">
        <f>INDEX('91_NYELV'!$C$7:$D$303,4,NYELV_IDX)</f>
        <v>Ugrás »</v>
      </c>
    </row>
    <row r="17" spans="3:5" ht="21" customHeight="1" x14ac:dyDescent="0.3">
      <c r="C17" s="6" t="str">
        <f>INDEX('91_NYELV'!$C$7:$D$303,27,NYELV_IDX)</f>
        <v>10. Konszolidációs napló</v>
      </c>
      <c r="D17" s="7" t="str">
        <f>INDEX('91_NYELV'!$C$7:$D$303,28,NYELV_IDX)</f>
        <v>Minden korrekció egy helyen, tartozik/követel bontásban. Ez hajtja a munkatáblát.</v>
      </c>
      <c r="E17" s="8" t="str">
        <f>INDEX('91_NYELV'!$C$7:$D$303,4,NYELV_IDX)</f>
        <v>Ugrás »</v>
      </c>
    </row>
    <row r="18" spans="3:5" ht="21" customHeight="1" x14ac:dyDescent="0.3">
      <c r="C18" s="6" t="str">
        <f>INDEX('91_NYELV'!$C$7:$D$303,29,NYELV_IDX)</f>
        <v>11. Konszolidációs munkatábla</v>
      </c>
      <c r="D18" s="7" t="str">
        <f>INDEX('91_NYELV'!$C$7:$D$303,30,NYELV_IDX)</f>
        <v>Egyedi adatok összege + korrekciók = konszolidált érték, soronként.</v>
      </c>
      <c r="E18" s="8" t="str">
        <f>INDEX('91_NYELV'!$C$7:$D$303,4,NYELV_IDX)</f>
        <v>Ugrás »</v>
      </c>
    </row>
    <row r="19" spans="3:5" ht="21" customHeight="1" x14ac:dyDescent="0.3">
      <c r="C19" s="6" t="str">
        <f>INDEX('91_NYELV'!$C$7:$D$303,31,NYELV_IDX)</f>
        <v>12. Konszolidált mérleg</v>
      </c>
      <c r="D19" s="7" t="str">
        <f>INDEX('91_NYELV'!$C$7:$D$303,32,NYELV_IDX)</f>
        <v>Az összevont (konszolidált) mérleg tárgyév / előző év bontásban.</v>
      </c>
      <c r="E19" s="8" t="str">
        <f>INDEX('91_NYELV'!$C$7:$D$303,4,NYELV_IDX)</f>
        <v>Ugrás »</v>
      </c>
    </row>
    <row r="20" spans="3:5" ht="21" customHeight="1" x14ac:dyDescent="0.3">
      <c r="C20" s="6" t="str">
        <f>INDEX('91_NYELV'!$C$7:$D$303,33,NYELV_IDX)</f>
        <v>13. Konszolidált eredménykimutatás</v>
      </c>
      <c r="D20" s="7" t="str">
        <f>INDEX('91_NYELV'!$C$7:$D$303,34,NYELV_IDX)</f>
        <v>Összköltség eljárású összevont eredménykimutatás.</v>
      </c>
      <c r="E20" s="8" t="str">
        <f>INDEX('91_NYELV'!$C$7:$D$303,4,NYELV_IDX)</f>
        <v>Ugrás »</v>
      </c>
    </row>
    <row r="21" spans="3:5" ht="21" customHeight="1" x14ac:dyDescent="0.3">
      <c r="C21" s="6" t="str">
        <f>INDEX('91_NYELV'!$C$7:$D$303,35,NYELV_IDX)</f>
        <v>14. Ellenőrzések</v>
      </c>
      <c r="D21" s="7" t="str">
        <f>INDEX('91_NYELV'!$C$7:$D$303,36,NYELV_IDX)</f>
        <v>Egyezőségi próbák: mérlegfőösszeg, napló T=K, eredményegyezőség.</v>
      </c>
      <c r="E21" s="8" t="str">
        <f>INDEX('91_NYELV'!$C$7:$D$303,4,NYELV_IDX)</f>
        <v>Ugrás »</v>
      </c>
    </row>
    <row r="22" spans="3:5" ht="21" customHeight="1" x14ac:dyDescent="0.3">
      <c r="C22" s="6" t="str">
        <f>INDEX('91_NYELV'!$C$7:$D$303,37,NYELV_IDX)</f>
        <v>15. Sorséma (szerkeszthető)</v>
      </c>
      <c r="D22" s="7" t="str">
        <f>INDEX('91_NYELV'!$C$7:$D$303,38,NYELV_IDX)</f>
        <v>A mérleg- és eredménysorok listája; itt lehet átnevezni vagy bővíteni.</v>
      </c>
      <c r="E22" s="8" t="str">
        <f>INDEX('91_NYELV'!$C$7:$D$303,4,NYELV_IDX)</f>
        <v>Ugrás »</v>
      </c>
    </row>
    <row r="23" spans="3:5" ht="21" customHeight="1" x14ac:dyDescent="0.3">
      <c r="C23" s="6" t="str">
        <f>INDEX('91_NYELV'!$C$7:$D$303,39,NYELV_IDX)</f>
        <v>16. Súgó és jogszabályi háttér</v>
      </c>
      <c r="D23" s="7" t="str">
        <f>INDEX('91_NYELV'!$C$7:$D$303,40,NYELV_IDX)</f>
        <v>Lépésenkénti útmutató és a vonatkozó törvényhelyek.</v>
      </c>
      <c r="E23" s="8" t="str">
        <f>INDEX('91_NYELV'!$C$7:$D$303,4,NYELV_IDX)</f>
        <v>Ugrás »</v>
      </c>
    </row>
    <row r="24" spans="3:5" ht="21" customHeight="1" x14ac:dyDescent="0.3">
      <c r="C24" s="6" t="str">
        <f>INDEX('91_NYELV'!$C$7:$D$303,189,NYELV_IDX)</f>
        <v>17. Előző évi (nyitó) adatok</v>
      </c>
      <c r="D24" s="7" t="str">
        <f>INDEX('91_NYELV'!$C$7:$D$303,190,NYELV_IDX)</f>
        <v>Az előző évi konszolidált mérleg és eredménykimutatás – ebből számol a cash flow.</v>
      </c>
      <c r="E24" s="8" t="str">
        <f>INDEX('91_NYELV'!$C$7:$D$303,4,NYELV_IDX)</f>
        <v>Ugrás »</v>
      </c>
    </row>
    <row r="25" spans="3:5" ht="21" customHeight="1" x14ac:dyDescent="0.3">
      <c r="C25" s="6" t="str">
        <f>INDEX('91_NYELV'!$C$7:$D$303,191,NYELV_IDX)</f>
        <v>18. Konszolidált cash flow-kimutatás</v>
      </c>
      <c r="D25" s="7" t="str">
        <f>INDEX('91_NYELV'!$C$7:$D$303,192,NYELV_IDX)</f>
        <v>A Szt. 7. sz. melléklete szerinti szerkezetben, a konszolidált adatokból levezetve.</v>
      </c>
      <c r="E25" s="8" t="str">
        <f>INDEX('91_NYELV'!$C$7:$D$303,4,NYELV_IDX)</f>
        <v>Ugrás »</v>
      </c>
    </row>
    <row r="26" spans="3:5" ht="21" customHeight="1" x14ac:dyDescent="0.3">
      <c r="C26" s="6" t="str">
        <f>INDEX('91_NYELV'!$C$7:$D$303,257,NYELV_IDX)</f>
        <v>19. Konszolidált mérleg – „B” változat</v>
      </c>
      <c r="D26" s="7" t="str">
        <f>INDEX('91_NYELV'!$C$7:$D$303,258,NYELV_IDX)</f>
        <v>Ugyanazok az adatok, a „B” változat szerinti tagolásban.</v>
      </c>
      <c r="E26" s="8" t="str">
        <f>INDEX('91_NYELV'!$C$7:$D$303,4,NYELV_IDX)</f>
        <v>Ugrás »</v>
      </c>
    </row>
    <row r="27" spans="3:5" ht="21" customHeight="1" x14ac:dyDescent="0.3">
      <c r="C27" s="6" t="str">
        <f>INDEX('91_NYELV'!$C$7:$D$303,259,NYELV_IDX)</f>
        <v>20. Eredménykimutatás – forgalmi költség</v>
      </c>
      <c r="D27" s="7" t="str">
        <f>INDEX('91_NYELV'!$C$7:$D$303,260,NYELV_IDX)</f>
        <v>A 3. sz. melléklet szerinti tagolás. Saját adatsorai vannak (közvetlen önköltség, közvetett költségek).</v>
      </c>
      <c r="E27" s="8" t="str">
        <f>INDEX('91_NYELV'!$C$7:$D$303,4,NYELV_IDX)</f>
        <v>Ugrás »</v>
      </c>
    </row>
    <row r="30" spans="3:5" ht="15.75" customHeight="1" x14ac:dyDescent="0.3">
      <c r="C30" s="9" t="str">
        <f>INDEX('91_NYELV'!$C$7:$D$303,5,NYELV_IDX)</f>
        <v>Állapot</v>
      </c>
    </row>
    <row r="31" spans="3:5" ht="15" customHeight="1" x14ac:dyDescent="0.3">
      <c r="C31" s="10" t="str">
        <f>INDEX('91_NYELV'!$C$7:$D$303,167,NYELV_IDX)</f>
        <v>Konszolidált eszközök = konszolidált források</v>
      </c>
      <c r="E31" s="11" t="str">
        <f>'20_ELLENORZES'!$E$7</f>
        <v>RENDBEN</v>
      </c>
    </row>
    <row r="32" spans="3:5" ht="15" customHeight="1" x14ac:dyDescent="0.3">
      <c r="C32" s="10" t="str">
        <f>INDEX('91_NYELV'!$C$7:$D$303,168,NYELV_IDX)</f>
        <v>Konszolidációs napló: Tartozik = Követel</v>
      </c>
      <c r="E32" s="11" t="str">
        <f>'20_ELLENORZES'!$E$8</f>
        <v>RENDBEN</v>
      </c>
    </row>
    <row r="33" spans="3:5" ht="15" customHeight="1" x14ac:dyDescent="0.3">
      <c r="C33" s="10" t="str">
        <f>INDEX('91_NYELV'!$C$7:$D$303,169,NYELV_IDX)</f>
        <v>Egyedi beszámolók: eszközök = források (mind)</v>
      </c>
      <c r="E33" s="11" t="str">
        <f>'20_ELLENORZES'!$E$9</f>
        <v>RENDBEN</v>
      </c>
    </row>
    <row r="34" spans="3:5" ht="15" customHeight="1" x14ac:dyDescent="0.3">
      <c r="C34" s="10" t="str">
        <f>INDEX('91_NYELV'!$C$7:$D$303,170,NYELV_IDX)</f>
        <v>Egyedi beszámolók: eredmény = mérleg D.VII + devizaátszámítási különbözet</v>
      </c>
      <c r="E34" s="11" t="str">
        <f>'20_ELLENORZES'!$E$10</f>
        <v>RENDBEN</v>
      </c>
    </row>
    <row r="35" spans="3:5" ht="15" customHeight="1" x14ac:dyDescent="0.3">
      <c r="C35" s="10" t="str">
        <f>INDEX('91_NYELV'!$C$7:$D$303,193,NYELV_IDX)</f>
        <v>Cash flow V. sora = a pénzeszközök mérleg szerinti változása</v>
      </c>
      <c r="E35" s="11" t="str">
        <f>'20_ELLENORZES'!$E$11</f>
        <v>RENDBEN</v>
      </c>
    </row>
    <row r="36" spans="3:5" ht="15" customHeight="1" x14ac:dyDescent="0.3">
      <c r="C36" s="10" t="str">
        <f>INDEX('91_NYELV'!$C$7:$D$303,261,NYELV_IDX)</f>
        <v>Csak a választott eredménykimutatás-változat sorai vannak kitöltve</v>
      </c>
      <c r="E36" s="11" t="str">
        <f>'20_ELLENORZES'!$E$12</f>
        <v>RENDBEN</v>
      </c>
    </row>
    <row r="37" spans="3:5" ht="15" customHeight="1" x14ac:dyDescent="0.3">
      <c r="C37" s="10" t="str">
        <f>INDEX('91_NYELV'!$C$7:$D$303,172,NYELV_IDX)</f>
        <v>Minden bevont cégnél meg van adva a záró és az átlagárfolyam</v>
      </c>
      <c r="E37" s="11" t="str">
        <f>'20_ELLENORZES'!$E$13</f>
        <v>RENDBEN</v>
      </c>
    </row>
    <row r="38" spans="3:5" ht="15" customHeight="1" x14ac:dyDescent="0.3">
      <c r="C38" s="10" t="str">
        <f>INDEX('91_NYELV'!$C$7:$D$303,171,NYELV_IDX)</f>
        <v>A napló minden séma-kódja létezik a sorsémában</v>
      </c>
      <c r="E38" s="11" t="str">
        <f>'20_ELLENORZES'!$E$14</f>
        <v>RENDBEN</v>
      </c>
    </row>
  </sheetData>
  <sheetProtection algorithmName="SHA-512" hashValue="UQtz6KVYAbyBXLBoD5jtWeSZepX1q3t1W7LDP2qS0w/oQ9hwJ9E7T49Wn/3hjbYMUn5na8gVAA2xapcZCkJN0w==" saltValue="RwZlZ9wYxNBD+OdzhssfrA==" spinCount="100000" sheet="1" objects="1" scenarios="1" autoFilter="0"/>
  <hyperlinks>
    <hyperlink ref="E8" r:id="rId1" location="'01_BEALLITASOK'!B3" display="file:///mnt/user-data/outputs/XLNT_Konszolidalo_v1.5.xlsx#'01_BEALLITASOK'!B3" xr:uid="{00000000-0004-0000-0000-000000000000}"/>
    <hyperlink ref="E9" r:id="rId2" location="'02_KONSZ_KOR'!B3" display="file:///mnt/user-data/outputs/XLNT_Konszolidalo_v1.5.xlsx#'02_KONSZ_KOR'!B3" xr:uid="{00000000-0004-0000-0000-000001000000}"/>
    <hyperlink ref="E10" r:id="rId3" location="'03_ADATBEVITEL'!B3" display="file:///mnt/user-data/outputs/XLNT_Konszolidalo_v1.5.xlsx#'03_ADATBEVITEL'!B3" xr:uid="{00000000-0004-0000-0000-000002000000}"/>
    <hyperlink ref="E11" r:id="rId4" location="'04_TOKEKONSZ'!B3" display="file:///mnt/user-data/outputs/XLNT_Konszolidalo_v1.5.xlsx#'04_TOKEKONSZ'!B3" xr:uid="{00000000-0004-0000-0000-000003000000}"/>
    <hyperlink ref="E12" r:id="rId5" location="'05_ADOSSAGKONSZ'!B3" display="file:///mnt/user-data/outputs/XLNT_Konszolidalo_v1.5.xlsx#'05_ADOSSAGKONSZ'!B3" xr:uid="{00000000-0004-0000-0000-000004000000}"/>
    <hyperlink ref="E13" r:id="rId6" location="'06_KOZBENSO'!B3" display="file:///mnt/user-data/outputs/XLNT_Konszolidalo_v1.5.xlsx#'06_KOZBENSO'!B3" xr:uid="{00000000-0004-0000-0000-000005000000}"/>
    <hyperlink ref="E14" r:id="rId7" location="'07_BEVRAF'!B3" display="file:///mnt/user-data/outputs/XLNT_Konszolidalo_v1.5.xlsx#'07_BEVRAF'!B3" xr:uid="{00000000-0004-0000-0000-000006000000}"/>
    <hyperlink ref="E15" r:id="rId8" location="'08_EQUITY'!B3" display="file:///mnt/user-data/outputs/XLNT_Konszolidalo_v1.5.xlsx#'08_EQUITY'!B3" xr:uid="{00000000-0004-0000-0000-000007000000}"/>
    <hyperlink ref="E16" r:id="rId9" location="'09_ADOKUL'!B3" display="file:///mnt/user-data/outputs/XLNT_Konszolidalo_v1.5.xlsx#'09_ADOKUL'!B3" xr:uid="{00000000-0004-0000-0000-000008000000}"/>
    <hyperlink ref="E17" r:id="rId10" location="'10_NAPLO'!B3" display="file:///mnt/user-data/outputs/XLNT_Konszolidalo_v1.5.xlsx#'10_NAPLO'!B3" xr:uid="{00000000-0004-0000-0000-000009000000}"/>
    <hyperlink ref="E18" r:id="rId11" location="'11_MUNKATABLA'!B3" display="file:///mnt/user-data/outputs/XLNT_Konszolidalo_v1.5.xlsx#'11_MUNKATABLA'!B3" xr:uid="{00000000-0004-0000-0000-00000A000000}"/>
    <hyperlink ref="E19" r:id="rId12" location="'12_K_MERLEG'!B3" display="file:///mnt/user-data/outputs/XLNT_Konszolidalo_v1.5.xlsx#'12_K_MERLEG'!B3" xr:uid="{00000000-0004-0000-0000-00000B000000}"/>
    <hyperlink ref="E20" r:id="rId13" location="'13_K_EREDMENY'!B3" display="file:///mnt/user-data/outputs/XLNT_Konszolidalo_v1.5.xlsx#'13_K_EREDMENY'!B3" xr:uid="{00000000-0004-0000-0000-00000C000000}"/>
    <hyperlink ref="E21" r:id="rId14" location="'20_ELLENORZES'!B3" display="file:///mnt/user-data/outputs/XLNT_Konszolidalo_v1.5.xlsx#'20_ELLENORZES'!B3" xr:uid="{00000000-0004-0000-0000-00000D000000}"/>
    <hyperlink ref="E22" r:id="rId15" location="'90_SEMA'!B3" display="file:///mnt/user-data/outputs/XLNT_Konszolidalo_v1.5.xlsx#'90_SEMA'!B3" xr:uid="{00000000-0004-0000-0000-00000E000000}"/>
    <hyperlink ref="E23" r:id="rId16" location="'99_SUGO'!B3" display="file:///mnt/user-data/outputs/XLNT_Konszolidalo_v1.5.xlsx#'99_SUGO'!B3" xr:uid="{00000000-0004-0000-0000-00000F000000}"/>
    <hyperlink ref="E24" r:id="rId17" location="'03B_NYITO'!B3" display="file:///mnt/user-data/outputs/XLNT_Konszolidalo_v1.5.xlsx#'03B_NYITO'!B3" xr:uid="{00000000-0004-0000-0000-000010000000}"/>
    <hyperlink ref="E25" r:id="rId18" location="'14_CASHFLOW'!B3" display="file:///mnt/user-data/outputs/XLNT_Konszolidalo_v1.5.xlsx#'14_CASHFLOW'!B3" xr:uid="{00000000-0004-0000-0000-000011000000}"/>
    <hyperlink ref="E26" r:id="rId19" location="'12B_MERLEG_B'!B3" display="file:///mnt/user-data/outputs/XLNT_Konszolidalo_v1.5.xlsx#'12B_MERLEG_B'!B3" xr:uid="{00000000-0004-0000-0000-000012000000}"/>
    <hyperlink ref="E27" r:id="rId20" location="'13B_EREDMENY_FK'!B3" display="file:///mnt/user-data/outputs/XLNT_Konszolidalo_v1.5.xlsx#'13B_EREDMENY_FK'!B3" xr:uid="{00000000-0004-0000-0000-000013000000}"/>
  </hyperlinks>
  <pageMargins left="0.75" right="0.75" top="1" bottom="1" header="0.511811023622047" footer="0.511811023622047"/>
  <pageSetup paperSize="9" orientation="portrait" horizontalDpi="300" verticalDpi="300"/>
  <drawing r:id="rId2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000-000002000000}">
            <xm:f>ROUND('20_ELLENORZES'!$D7,0)=0</xm:f>
            <x14:dxf>
              <fill>
                <patternFill>
                  <bgColor rgb="FFC6EFCE"/>
                </patternFill>
              </fill>
            </x14:dxf>
          </x14:cfRule>
          <xm:sqref>E31:E38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B1:E24"/>
  <sheetViews>
    <sheetView showGridLines="0" zoomScaleNormal="100" workbookViewId="0"/>
  </sheetViews>
  <sheetFormatPr defaultColWidth="8.6640625" defaultRowHeight="14.4" x14ac:dyDescent="0.3"/>
  <cols>
    <col min="2" max="2" width="48" style="1" customWidth="1"/>
    <col min="3" max="3" width="36" style="1" customWidth="1"/>
    <col min="4" max="4" width="6" style="1" customWidth="1"/>
    <col min="5" max="5" width="44" style="1" customWidth="1"/>
  </cols>
  <sheetData>
    <row r="1" spans="2:4" ht="79.5" customHeight="1" x14ac:dyDescent="0.3"/>
    <row r="3" spans="2:4" ht="19.5" customHeight="1" x14ac:dyDescent="0.4">
      <c r="B3" s="12" t="str">
        <f>INDEX('91_NYELV'!$C$7:$D$303,41,NYELV_IDX)</f>
        <v>1. Alapbeállítások</v>
      </c>
    </row>
    <row r="4" spans="2:4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7" spans="2:4" ht="15" customHeight="1" x14ac:dyDescent="0.3">
      <c r="B7" s="14" t="str">
        <f>INDEX('91_NYELV'!$C$7:$D$303,57,NYELV_IDX)</f>
        <v>Anyavállalat neve</v>
      </c>
      <c r="C7" s="15" t="s">
        <v>0</v>
      </c>
    </row>
    <row r="8" spans="2:4" ht="15" customHeight="1" x14ac:dyDescent="0.3">
      <c r="B8" s="14" t="str">
        <f>INDEX('91_NYELV'!$C$7:$D$303,58,NYELV_IDX)</f>
        <v>Anyavállalat adószáma</v>
      </c>
      <c r="C8" s="15" t="s">
        <v>1</v>
      </c>
    </row>
    <row r="9" spans="2:4" ht="15" customHeight="1" x14ac:dyDescent="0.3">
      <c r="B9" s="14" t="str">
        <f>INDEX('91_NYELV'!$C$7:$D$303,59,NYELV_IDX)</f>
        <v>Üzleti év (mérlegfordulónap)</v>
      </c>
      <c r="C9" s="15" t="s">
        <v>2</v>
      </c>
    </row>
    <row r="10" spans="2:4" ht="15" customHeight="1" x14ac:dyDescent="0.3">
      <c r="B10" s="14" t="str">
        <f>INDEX('91_NYELV'!$C$7:$D$303,60,NYELV_IDX)</f>
        <v>Nyelv / Language</v>
      </c>
      <c r="C10" s="15" t="s">
        <v>3</v>
      </c>
      <c r="D10" s="16">
        <f>IF($C$10="English",2,1)</f>
        <v>1</v>
      </c>
    </row>
    <row r="11" spans="2:4" ht="15" customHeight="1" x14ac:dyDescent="0.3">
      <c r="B11" s="14" t="str">
        <f>INDEX('91_NYELV'!$C$7:$D$303,61,NYELV_IDX)</f>
        <v>Pénznem</v>
      </c>
      <c r="C11" s="15" t="s">
        <v>4</v>
      </c>
    </row>
    <row r="12" spans="2:4" ht="15" customHeight="1" x14ac:dyDescent="0.3">
      <c r="B12" s="14" t="str">
        <f>INDEX('91_NYELV'!$C$7:$D$303,62,NYELV_IDX)</f>
        <v>Adatok egysége</v>
      </c>
      <c r="C12" s="15" t="s">
        <v>5</v>
      </c>
    </row>
    <row r="13" spans="2:4" ht="15" customHeight="1" x14ac:dyDescent="0.3">
      <c r="B13" s="14" t="str">
        <f>INDEX('91_NYELV'!$C$7:$D$303,63,NYELV_IDX)</f>
        <v>Társasági adó kulcsa</v>
      </c>
      <c r="C13" s="17">
        <v>0.09</v>
      </c>
    </row>
    <row r="14" spans="2:4" ht="15" customHeight="1" x14ac:dyDescent="0.3">
      <c r="B14" s="14" t="str">
        <f>INDEX('91_NYELV'!$C$7:$D$303,64,NYELV_IDX)</f>
        <v>Tőkekonsz. különbözet leírási ideje (év)</v>
      </c>
      <c r="C14" s="18">
        <v>5</v>
      </c>
    </row>
    <row r="15" spans="2:4" ht="15" customHeight="1" x14ac:dyDescent="0.3">
      <c r="B15" s="14" t="str">
        <f>INDEX('91_NYELV'!$C$7:$D$303,65,NYELV_IDX)</f>
        <v>Tőkekonszolidáció módszere</v>
      </c>
      <c r="C15" s="15" t="s">
        <v>6</v>
      </c>
    </row>
    <row r="16" spans="2:4" ht="15" customHeight="1" x14ac:dyDescent="0.3">
      <c r="B16" s="14" t="str">
        <f>INDEX('91_NYELV'!$C$7:$D$303,255,NYELV_IDX)</f>
        <v>Mérleg változata</v>
      </c>
      <c r="C16" s="15" t="s">
        <v>7</v>
      </c>
    </row>
    <row r="17" spans="2:4" ht="15" customHeight="1" x14ac:dyDescent="0.3">
      <c r="B17" s="14" t="str">
        <f>INDEX('91_NYELV'!$C$7:$D$303,256,NYELV_IDX)</f>
        <v>Eredménykimutatás változata</v>
      </c>
      <c r="C17" s="15" t="s">
        <v>8</v>
      </c>
      <c r="D17" s="16">
        <f>IF($C$17="Forgalmi költség eljárás",2,1)</f>
        <v>1</v>
      </c>
    </row>
    <row r="18" spans="2:4" ht="15" customHeight="1" x14ac:dyDescent="0.3">
      <c r="B18" s="14" t="str">
        <f>INDEX('91_NYELV'!$C$7:$D$303,66,NYELV_IDX)</f>
        <v>Készítette</v>
      </c>
      <c r="C18" s="15"/>
    </row>
    <row r="19" spans="2:4" ht="15" customHeight="1" x14ac:dyDescent="0.3">
      <c r="B19" s="14" t="str">
        <f>INDEX('91_NYELV'!$C$7:$D$303,67,NYELV_IDX)</f>
        <v>Készítés dátuma</v>
      </c>
      <c r="C19" s="15"/>
    </row>
    <row r="20" spans="2:4" ht="15" customHeight="1" x14ac:dyDescent="0.3">
      <c r="B20" s="14" t="s">
        <v>9</v>
      </c>
      <c r="C20" s="15"/>
    </row>
    <row r="21" spans="2:4" x14ac:dyDescent="0.3">
      <c r="B21" s="14" t="s">
        <v>10</v>
      </c>
      <c r="C21" s="15"/>
    </row>
    <row r="22" spans="2:4" ht="15" customHeight="1" x14ac:dyDescent="0.3">
      <c r="B22" s="14" t="s">
        <v>11</v>
      </c>
      <c r="C22" s="15"/>
    </row>
    <row r="23" spans="2:4" ht="15" customHeight="1" x14ac:dyDescent="0.3">
      <c r="B23" s="19" t="s">
        <v>12</v>
      </c>
      <c r="C23" s="15"/>
    </row>
    <row r="24" spans="2:4" ht="15" customHeight="1" x14ac:dyDescent="0.3">
      <c r="B24" s="14"/>
      <c r="C24" s="15"/>
    </row>
  </sheetData>
  <sheetProtection algorithmName="SHA-512" hashValue="vYvWR2aO9loqru4Jr/vl+HFHJkMAlZK86bRp/xAnUfeT1XJmUko2vHmI4386qSBE3K+O2kKZFFLh68j4pNThgQ==" saltValue="ch8Ph0oUI18IvT3bq81lkw==" spinCount="100000" sheet="1" objects="1" scenarios="1" autoFilter="0"/>
  <dataValidations count="4">
    <dataValidation type="list" sqref="C10" xr:uid="{00000000-0002-0000-0100-000000000000}">
      <formula1>"Magyar,English"</formula1>
      <formula2>0</formula2>
    </dataValidation>
    <dataValidation type="list" sqref="C15" xr:uid="{00000000-0002-0000-0100-000001000000}">
      <formula1>"Könyv szerinti érték módszere,Aktualizált értékek módszere"</formula1>
      <formula2>0</formula2>
    </dataValidation>
    <dataValidation type="list" sqref="C16" xr:uid="{00000000-0002-0000-0100-000002000000}">
      <formula1>"„A” változat,„B” változat"</formula1>
      <formula2>0</formula2>
    </dataValidation>
    <dataValidation type="list" sqref="C17" xr:uid="{00000000-0002-0000-0100-000003000000}">
      <formula1>"Összköltség eljárás,Forgalmi költség eljárás"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3"/>
  <dimension ref="B1:O28"/>
  <sheetViews>
    <sheetView showGridLines="0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ColWidth="8.6640625" defaultRowHeight="14.4" x14ac:dyDescent="0.3"/>
  <cols>
    <col min="2" max="2" width="6" style="1" customWidth="1"/>
    <col min="3" max="3" width="12" style="1" customWidth="1"/>
    <col min="4" max="4" width="34" style="1" customWidth="1"/>
    <col min="5" max="5" width="16" style="1" customWidth="1"/>
    <col min="6" max="6" width="27" style="1" customWidth="1"/>
    <col min="7" max="8" width="13" style="1" customWidth="1"/>
    <col min="9" max="9" width="14" style="1" customWidth="1"/>
    <col min="10" max="10" width="12" style="1" customWidth="1"/>
    <col min="11" max="11" width="10" style="1" customWidth="1"/>
    <col min="12" max="13" width="13" style="1" customWidth="1"/>
    <col min="14" max="14" width="12" style="1" customWidth="1"/>
    <col min="15" max="15" width="30" style="1" customWidth="1"/>
  </cols>
  <sheetData>
    <row r="1" spans="2:15" ht="79.5" customHeight="1" x14ac:dyDescent="0.3"/>
    <row r="3" spans="2:15" ht="19.5" customHeight="1" x14ac:dyDescent="0.4">
      <c r="B3" s="12" t="str">
        <f>INDEX('91_NYELV'!$C$7:$D$303,42,NYELV_IDX)</f>
        <v>2. Konszolidációs kör</v>
      </c>
    </row>
    <row r="4" spans="2:15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15" ht="33.75" customHeight="1" x14ac:dyDescent="0.3">
      <c r="B6" s="20" t="str">
        <f>INDEX('91_NYELV'!$C$7:$D$303,68,NYELV_IDX)</f>
        <v>Ssz.</v>
      </c>
      <c r="C6" s="20" t="str">
        <f>INDEX('91_NYELV'!$C$7:$D$303,69,NYELV_IDX)</f>
        <v>Cégkód</v>
      </c>
      <c r="D6" s="20" t="str">
        <f>INDEX('91_NYELV'!$C$7:$D$303,70,NYELV_IDX)</f>
        <v>Cég neve</v>
      </c>
      <c r="E6" s="20" t="str">
        <f>INDEX('91_NYELV'!$C$7:$D$303,71,NYELV_IDX)</f>
        <v>Adószám</v>
      </c>
      <c r="F6" s="20" t="str">
        <f>INDEX('91_NYELV'!$C$7:$D$303,72,NYELV_IDX)</f>
        <v>Bevonás módja</v>
      </c>
      <c r="G6" s="20" t="str">
        <f>INDEX('91_NYELV'!$C$7:$D$303,73,NYELV_IDX)</f>
        <v>Tulajdoni hányad %</v>
      </c>
      <c r="H6" s="20" t="str">
        <f>INDEX('91_NYELV'!$C$7:$D$303,74,NYELV_IDX)</f>
        <v>Szavazati hányad %</v>
      </c>
      <c r="I6" s="20" t="str">
        <f>INDEX('91_NYELV'!$C$7:$D$303,75,NYELV_IDX)</f>
        <v>Szerzés időpontja</v>
      </c>
      <c r="J6" s="20" t="str">
        <f>INDEX('91_NYELV'!$C$7:$D$303,76,NYELV_IDX)</f>
        <v>Első bevonás éve</v>
      </c>
      <c r="K6" s="20" t="str">
        <f>INDEX('91_NYELV'!$C$7:$D$303,77,NYELV_IDX)</f>
        <v>Pénznem</v>
      </c>
      <c r="L6" s="20" t="str">
        <f>INDEX('91_NYELV'!$C$7:$D$303,78,NYELV_IDX)</f>
        <v>Záró árfolyam (mérleg)</v>
      </c>
      <c r="M6" s="20" t="str">
        <f>INDEX('91_NYELV'!$C$7:$D$303,79,NYELV_IDX)</f>
        <v>Átlagárfolyam (eredmény)</v>
      </c>
      <c r="N6" s="20" t="str">
        <f>INDEX('91_NYELV'!$C$7:$D$303,80,NYELV_IDX)</f>
        <v>Kvóta (számított)</v>
      </c>
      <c r="O6" s="20" t="str">
        <f>INDEX('91_NYELV'!$C$7:$D$303,81,NYELV_IDX)</f>
        <v>Megjegyzés</v>
      </c>
    </row>
    <row r="7" spans="2:15" ht="15" customHeight="1" x14ac:dyDescent="0.3">
      <c r="B7" s="21">
        <v>1</v>
      </c>
      <c r="C7" s="15" t="s">
        <v>13</v>
      </c>
      <c r="D7" s="15" t="s">
        <v>0</v>
      </c>
      <c r="E7" s="15" t="s">
        <v>1</v>
      </c>
      <c r="F7" s="15" t="s">
        <v>14</v>
      </c>
      <c r="G7" s="17">
        <v>1</v>
      </c>
      <c r="H7" s="17">
        <v>1</v>
      </c>
      <c r="I7" s="15"/>
      <c r="J7" s="15"/>
      <c r="K7" s="15" t="s">
        <v>4</v>
      </c>
      <c r="L7" s="22">
        <v>1</v>
      </c>
      <c r="M7" s="22">
        <v>1</v>
      </c>
      <c r="N7" s="23">
        <f t="shared" ref="N7:N26" si="0">IF($F7="",0,IF(OR($F7="Anyavállalat",$F7="Teljes körű (leányvállalat)"),1,IF($F7="Kvótás (közös vezetésű)",$G7,0)))</f>
        <v>1</v>
      </c>
      <c r="O7" s="15"/>
    </row>
    <row r="8" spans="2:15" ht="15" customHeight="1" x14ac:dyDescent="0.3">
      <c r="B8" s="21">
        <v>2</v>
      </c>
      <c r="C8" s="15" t="s">
        <v>15</v>
      </c>
      <c r="D8" s="15" t="s">
        <v>16</v>
      </c>
      <c r="E8" s="15" t="s">
        <v>17</v>
      </c>
      <c r="F8" s="15" t="s">
        <v>18</v>
      </c>
      <c r="G8" s="17">
        <v>0.8</v>
      </c>
      <c r="H8" s="17">
        <v>0.8</v>
      </c>
      <c r="I8" s="15"/>
      <c r="J8" s="15"/>
      <c r="K8" s="15" t="s">
        <v>4</v>
      </c>
      <c r="L8" s="22">
        <v>1</v>
      </c>
      <c r="M8" s="22">
        <v>1</v>
      </c>
      <c r="N8" s="23">
        <f t="shared" si="0"/>
        <v>1</v>
      </c>
      <c r="O8" s="15"/>
    </row>
    <row r="9" spans="2:15" ht="15" customHeight="1" x14ac:dyDescent="0.3">
      <c r="B9" s="21">
        <v>3</v>
      </c>
      <c r="C9" s="15" t="s">
        <v>19</v>
      </c>
      <c r="D9" s="15" t="s">
        <v>20</v>
      </c>
      <c r="E9" s="15" t="s">
        <v>21</v>
      </c>
      <c r="F9" s="15" t="s">
        <v>22</v>
      </c>
      <c r="G9" s="17">
        <v>0.5</v>
      </c>
      <c r="H9" s="17">
        <v>0.5</v>
      </c>
      <c r="I9" s="15"/>
      <c r="J9" s="15"/>
      <c r="K9" s="15" t="s">
        <v>4</v>
      </c>
      <c r="L9" s="22">
        <v>1</v>
      </c>
      <c r="M9" s="22">
        <v>1</v>
      </c>
      <c r="N9" s="23">
        <f t="shared" si="0"/>
        <v>0.5</v>
      </c>
      <c r="O9" s="15"/>
    </row>
    <row r="10" spans="2:15" ht="15" customHeight="1" x14ac:dyDescent="0.3">
      <c r="B10" s="21">
        <v>4</v>
      </c>
      <c r="C10" s="15" t="s">
        <v>23</v>
      </c>
      <c r="D10" s="15" t="s">
        <v>24</v>
      </c>
      <c r="E10" s="15" t="s">
        <v>25</v>
      </c>
      <c r="F10" s="15" t="s">
        <v>26</v>
      </c>
      <c r="G10" s="17">
        <v>0.3</v>
      </c>
      <c r="H10" s="17">
        <v>0.3</v>
      </c>
      <c r="I10" s="15"/>
      <c r="J10" s="15"/>
      <c r="K10" s="15" t="s">
        <v>4</v>
      </c>
      <c r="L10" s="22">
        <v>1</v>
      </c>
      <c r="M10" s="22">
        <v>1</v>
      </c>
      <c r="N10" s="23">
        <f t="shared" si="0"/>
        <v>0</v>
      </c>
      <c r="O10" s="15"/>
    </row>
    <row r="11" spans="2:15" ht="15" customHeight="1" x14ac:dyDescent="0.3">
      <c r="B11" s="21">
        <v>5</v>
      </c>
      <c r="C11" s="15"/>
      <c r="D11" s="15"/>
      <c r="E11" s="15"/>
      <c r="F11" s="15"/>
      <c r="G11" s="17"/>
      <c r="H11" s="17"/>
      <c r="I11" s="15"/>
      <c r="J11" s="15"/>
      <c r="K11" s="15"/>
      <c r="L11" s="22"/>
      <c r="M11" s="22"/>
      <c r="N11" s="23">
        <f t="shared" si="0"/>
        <v>0</v>
      </c>
      <c r="O11" s="15"/>
    </row>
    <row r="12" spans="2:15" ht="15" customHeight="1" x14ac:dyDescent="0.3">
      <c r="B12" s="21">
        <v>6</v>
      </c>
      <c r="C12" s="15"/>
      <c r="D12" s="15"/>
      <c r="E12" s="15"/>
      <c r="F12" s="15"/>
      <c r="G12" s="17"/>
      <c r="H12" s="17"/>
      <c r="I12" s="15"/>
      <c r="J12" s="15"/>
      <c r="K12" s="15"/>
      <c r="L12" s="22"/>
      <c r="M12" s="22"/>
      <c r="N12" s="23">
        <f t="shared" si="0"/>
        <v>0</v>
      </c>
      <c r="O12" s="15"/>
    </row>
    <row r="13" spans="2:15" ht="15" customHeight="1" x14ac:dyDescent="0.3">
      <c r="B13" s="21">
        <v>7</v>
      </c>
      <c r="C13" s="15"/>
      <c r="D13" s="15"/>
      <c r="E13" s="15"/>
      <c r="F13" s="15"/>
      <c r="G13" s="17"/>
      <c r="H13" s="17"/>
      <c r="I13" s="15"/>
      <c r="J13" s="15"/>
      <c r="K13" s="15"/>
      <c r="L13" s="22"/>
      <c r="M13" s="22"/>
      <c r="N13" s="23">
        <f t="shared" si="0"/>
        <v>0</v>
      </c>
      <c r="O13" s="15"/>
    </row>
    <row r="14" spans="2:15" ht="15" customHeight="1" x14ac:dyDescent="0.3">
      <c r="B14" s="21">
        <v>8</v>
      </c>
      <c r="C14" s="15"/>
      <c r="D14" s="15"/>
      <c r="E14" s="15"/>
      <c r="F14" s="15"/>
      <c r="G14" s="17"/>
      <c r="H14" s="17"/>
      <c r="I14" s="15"/>
      <c r="J14" s="15"/>
      <c r="K14" s="15"/>
      <c r="L14" s="22"/>
      <c r="M14" s="22"/>
      <c r="N14" s="23">
        <f t="shared" si="0"/>
        <v>0</v>
      </c>
      <c r="O14" s="15"/>
    </row>
    <row r="15" spans="2:15" ht="15" customHeight="1" x14ac:dyDescent="0.3">
      <c r="B15" s="21">
        <v>9</v>
      </c>
      <c r="C15" s="15"/>
      <c r="D15" s="15"/>
      <c r="E15" s="15"/>
      <c r="F15" s="15"/>
      <c r="G15" s="17"/>
      <c r="H15" s="17"/>
      <c r="I15" s="15"/>
      <c r="J15" s="15"/>
      <c r="K15" s="15"/>
      <c r="L15" s="22"/>
      <c r="M15" s="22"/>
      <c r="N15" s="23">
        <f t="shared" si="0"/>
        <v>0</v>
      </c>
      <c r="O15" s="15"/>
    </row>
    <row r="16" spans="2:15" ht="15" customHeight="1" x14ac:dyDescent="0.3">
      <c r="B16" s="21">
        <v>10</v>
      </c>
      <c r="C16" s="15"/>
      <c r="D16" s="15"/>
      <c r="E16" s="15"/>
      <c r="F16" s="15"/>
      <c r="G16" s="17"/>
      <c r="H16" s="17"/>
      <c r="I16" s="15"/>
      <c r="J16" s="15"/>
      <c r="K16" s="15"/>
      <c r="L16" s="22"/>
      <c r="M16" s="22"/>
      <c r="N16" s="23">
        <f t="shared" si="0"/>
        <v>0</v>
      </c>
      <c r="O16" s="15"/>
    </row>
    <row r="17" spans="2:15" ht="15" customHeight="1" x14ac:dyDescent="0.3">
      <c r="B17" s="21">
        <v>11</v>
      </c>
      <c r="C17" s="15"/>
      <c r="D17" s="15"/>
      <c r="E17" s="15"/>
      <c r="F17" s="15"/>
      <c r="G17" s="17"/>
      <c r="H17" s="17"/>
      <c r="I17" s="15"/>
      <c r="J17" s="15"/>
      <c r="K17" s="15"/>
      <c r="L17" s="22"/>
      <c r="M17" s="22"/>
      <c r="N17" s="23">
        <f t="shared" si="0"/>
        <v>0</v>
      </c>
      <c r="O17" s="15"/>
    </row>
    <row r="18" spans="2:15" ht="15" customHeight="1" x14ac:dyDescent="0.3">
      <c r="B18" s="21">
        <v>12</v>
      </c>
      <c r="C18" s="15"/>
      <c r="D18" s="15"/>
      <c r="E18" s="15"/>
      <c r="F18" s="15"/>
      <c r="G18" s="17"/>
      <c r="H18" s="17"/>
      <c r="I18" s="15"/>
      <c r="J18" s="15"/>
      <c r="K18" s="15"/>
      <c r="L18" s="22"/>
      <c r="M18" s="22"/>
      <c r="N18" s="23">
        <f t="shared" si="0"/>
        <v>0</v>
      </c>
      <c r="O18" s="15"/>
    </row>
    <row r="19" spans="2:15" ht="15" customHeight="1" x14ac:dyDescent="0.3">
      <c r="B19" s="21">
        <v>13</v>
      </c>
      <c r="C19" s="15"/>
      <c r="D19" s="15"/>
      <c r="E19" s="15"/>
      <c r="F19" s="15"/>
      <c r="G19" s="17"/>
      <c r="H19" s="17"/>
      <c r="I19" s="15"/>
      <c r="J19" s="15"/>
      <c r="K19" s="15"/>
      <c r="L19" s="22"/>
      <c r="M19" s="22"/>
      <c r="N19" s="23">
        <f t="shared" si="0"/>
        <v>0</v>
      </c>
      <c r="O19" s="15"/>
    </row>
    <row r="20" spans="2:15" ht="15" customHeight="1" x14ac:dyDescent="0.3">
      <c r="B20" s="21">
        <v>14</v>
      </c>
      <c r="C20" s="15"/>
      <c r="D20" s="15"/>
      <c r="E20" s="15"/>
      <c r="F20" s="15"/>
      <c r="G20" s="17"/>
      <c r="H20" s="17"/>
      <c r="I20" s="15"/>
      <c r="J20" s="15"/>
      <c r="K20" s="15"/>
      <c r="L20" s="22"/>
      <c r="M20" s="22"/>
      <c r="N20" s="23">
        <f t="shared" si="0"/>
        <v>0</v>
      </c>
      <c r="O20" s="15"/>
    </row>
    <row r="21" spans="2:15" ht="15" customHeight="1" x14ac:dyDescent="0.3">
      <c r="B21" s="21">
        <v>15</v>
      </c>
      <c r="C21" s="15"/>
      <c r="D21" s="15"/>
      <c r="E21" s="15"/>
      <c r="F21" s="15"/>
      <c r="G21" s="17"/>
      <c r="H21" s="17"/>
      <c r="I21" s="15"/>
      <c r="J21" s="15"/>
      <c r="K21" s="15"/>
      <c r="L21" s="22"/>
      <c r="M21" s="22"/>
      <c r="N21" s="23">
        <f t="shared" si="0"/>
        <v>0</v>
      </c>
      <c r="O21" s="15"/>
    </row>
    <row r="22" spans="2:15" ht="15" customHeight="1" x14ac:dyDescent="0.3">
      <c r="B22" s="21">
        <v>16</v>
      </c>
      <c r="C22" s="15"/>
      <c r="D22" s="15"/>
      <c r="E22" s="15"/>
      <c r="F22" s="15"/>
      <c r="G22" s="17"/>
      <c r="H22" s="17"/>
      <c r="I22" s="15"/>
      <c r="J22" s="15"/>
      <c r="K22" s="15"/>
      <c r="L22" s="22"/>
      <c r="M22" s="22"/>
      <c r="N22" s="23">
        <f t="shared" si="0"/>
        <v>0</v>
      </c>
      <c r="O22" s="15"/>
    </row>
    <row r="23" spans="2:15" ht="15" customHeight="1" x14ac:dyDescent="0.3">
      <c r="B23" s="21">
        <v>17</v>
      </c>
      <c r="C23" s="15"/>
      <c r="D23" s="15"/>
      <c r="E23" s="15"/>
      <c r="F23" s="15"/>
      <c r="G23" s="17"/>
      <c r="H23" s="17"/>
      <c r="I23" s="15"/>
      <c r="J23" s="15"/>
      <c r="K23" s="15"/>
      <c r="L23" s="22"/>
      <c r="M23" s="22"/>
      <c r="N23" s="23">
        <f t="shared" si="0"/>
        <v>0</v>
      </c>
      <c r="O23" s="15"/>
    </row>
    <row r="24" spans="2:15" ht="15" customHeight="1" x14ac:dyDescent="0.3">
      <c r="B24" s="21">
        <v>18</v>
      </c>
      <c r="C24" s="15"/>
      <c r="D24" s="15"/>
      <c r="E24" s="15"/>
      <c r="F24" s="15"/>
      <c r="G24" s="17"/>
      <c r="H24" s="17"/>
      <c r="I24" s="15"/>
      <c r="J24" s="15"/>
      <c r="K24" s="15"/>
      <c r="L24" s="22"/>
      <c r="M24" s="22"/>
      <c r="N24" s="23">
        <f t="shared" si="0"/>
        <v>0</v>
      </c>
      <c r="O24" s="15"/>
    </row>
    <row r="25" spans="2:15" ht="15" customHeight="1" x14ac:dyDescent="0.3">
      <c r="B25" s="21">
        <v>19</v>
      </c>
      <c r="C25" s="15"/>
      <c r="D25" s="15"/>
      <c r="E25" s="15"/>
      <c r="F25" s="15"/>
      <c r="G25" s="17"/>
      <c r="H25" s="17"/>
      <c r="I25" s="15"/>
      <c r="J25" s="15"/>
      <c r="K25" s="15"/>
      <c r="L25" s="22"/>
      <c r="M25" s="22"/>
      <c r="N25" s="23">
        <f t="shared" si="0"/>
        <v>0</v>
      </c>
      <c r="O25" s="15"/>
    </row>
    <row r="26" spans="2:15" ht="15" customHeight="1" x14ac:dyDescent="0.3">
      <c r="B26" s="21">
        <v>20</v>
      </c>
      <c r="C26" s="15"/>
      <c r="D26" s="15"/>
      <c r="E26" s="15"/>
      <c r="F26" s="15"/>
      <c r="G26" s="17"/>
      <c r="H26" s="17"/>
      <c r="I26" s="15"/>
      <c r="J26" s="15"/>
      <c r="K26" s="15"/>
      <c r="L26" s="22"/>
      <c r="M26" s="22"/>
      <c r="N26" s="23">
        <f t="shared" si="0"/>
        <v>0</v>
      </c>
      <c r="O26" s="15"/>
    </row>
    <row r="28" spans="2:15" ht="15" customHeight="1" x14ac:dyDescent="0.3">
      <c r="C28" s="24" t="s">
        <v>27</v>
      </c>
    </row>
  </sheetData>
  <sheetProtection algorithmName="SHA-512" hashValue="KPqzf52jl4kQJjAeQfRogW2x0286yW5A7wEHXy3OzJRdLtkL4BdnoMaQhwav3wzqvskQ2AfHeuejCQ5Myb4g8g==" saltValue="CeSr65/zKD1AuG4xcE1Otw==" spinCount="100000" sheet="1" objects="1" scenarios="1" autoFilter="0"/>
  <dataValidations count="1">
    <dataValidation type="list" sqref="F7:F26" xr:uid="{00000000-0002-0000-0200-000000000000}">
      <formula1>"Anyavállalat,Teljes körű (leányvállalat),Kvótás (közös vezetésű),Equity (társult),Nem bevont"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4"/>
  <dimension ref="B1:X185"/>
  <sheetViews>
    <sheetView showGridLines="0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A3" sqref="A3"/>
    </sheetView>
  </sheetViews>
  <sheetFormatPr defaultColWidth="8.6640625" defaultRowHeight="14.4" x14ac:dyDescent="0.3"/>
  <cols>
    <col min="2" max="2" width="15" style="1" customWidth="1"/>
    <col min="3" max="3" width="6" style="1" customWidth="1"/>
    <col min="4" max="4" width="64" style="1" customWidth="1"/>
    <col min="5" max="24" width="15" style="1" customWidth="1"/>
  </cols>
  <sheetData>
    <row r="1" spans="2:24" ht="79.5" customHeight="1" x14ac:dyDescent="0.3"/>
    <row r="2" spans="2:24" ht="15" customHeight="1" x14ac:dyDescent="0.3">
      <c r="D2" s="25" t="str">
        <f>INDEX('91_NYELV'!$C$7:$D$303,138,NYELV_IDX)</f>
        <v>Záró árfolyam →</v>
      </c>
      <c r="E2" s="26">
        <f>IF(INDEX('02_KONSZ_KOR'!$L$7:$L$26,1)="",1,INDEX('02_KONSZ_KOR'!$L$7:$L$26,1))</f>
        <v>1</v>
      </c>
      <c r="F2" s="26">
        <f>IF(INDEX('02_KONSZ_KOR'!$L$7:$L$26,2)="",1,INDEX('02_KONSZ_KOR'!$L$7:$L$26,2))</f>
        <v>1</v>
      </c>
      <c r="G2" s="26">
        <f>IF(INDEX('02_KONSZ_KOR'!$L$7:$L$26,3)="",1,INDEX('02_KONSZ_KOR'!$L$7:$L$26,3))</f>
        <v>1</v>
      </c>
      <c r="H2" s="26">
        <f>IF(INDEX('02_KONSZ_KOR'!$L$7:$L$26,4)="",1,INDEX('02_KONSZ_KOR'!$L$7:$L$26,4))</f>
        <v>1</v>
      </c>
      <c r="I2" s="26">
        <f>IF(INDEX('02_KONSZ_KOR'!$L$7:$L$26,5)="",1,INDEX('02_KONSZ_KOR'!$L$7:$L$26,5))</f>
        <v>1</v>
      </c>
      <c r="J2" s="26">
        <f>IF(INDEX('02_KONSZ_KOR'!$L$7:$L$26,6)="",1,INDEX('02_KONSZ_KOR'!$L$7:$L$26,6))</f>
        <v>1</v>
      </c>
      <c r="K2" s="26">
        <f>IF(INDEX('02_KONSZ_KOR'!$L$7:$L$26,7)="",1,INDEX('02_KONSZ_KOR'!$L$7:$L$26,7))</f>
        <v>1</v>
      </c>
      <c r="L2" s="26">
        <f>IF(INDEX('02_KONSZ_KOR'!$L$7:$L$26,8)="",1,INDEX('02_KONSZ_KOR'!$L$7:$L$26,8))</f>
        <v>1</v>
      </c>
      <c r="M2" s="26">
        <f>IF(INDEX('02_KONSZ_KOR'!$L$7:$L$26,9)="",1,INDEX('02_KONSZ_KOR'!$L$7:$L$26,9))</f>
        <v>1</v>
      </c>
      <c r="N2" s="26">
        <f>IF(INDEX('02_KONSZ_KOR'!$L$7:$L$26,10)="",1,INDEX('02_KONSZ_KOR'!$L$7:$L$26,10))</f>
        <v>1</v>
      </c>
      <c r="O2" s="26">
        <f>IF(INDEX('02_KONSZ_KOR'!$L$7:$L$26,11)="",1,INDEX('02_KONSZ_KOR'!$L$7:$L$26,11))</f>
        <v>1</v>
      </c>
      <c r="P2" s="26">
        <f>IF(INDEX('02_KONSZ_KOR'!$L$7:$L$26,12)="",1,INDEX('02_KONSZ_KOR'!$L$7:$L$26,12))</f>
        <v>1</v>
      </c>
      <c r="Q2" s="26">
        <f>IF(INDEX('02_KONSZ_KOR'!$L$7:$L$26,13)="",1,INDEX('02_KONSZ_KOR'!$L$7:$L$26,13))</f>
        <v>1</v>
      </c>
      <c r="R2" s="26">
        <f>IF(INDEX('02_KONSZ_KOR'!$L$7:$L$26,14)="",1,INDEX('02_KONSZ_KOR'!$L$7:$L$26,14))</f>
        <v>1</v>
      </c>
      <c r="S2" s="26">
        <f>IF(INDEX('02_KONSZ_KOR'!$L$7:$L$26,15)="",1,INDEX('02_KONSZ_KOR'!$L$7:$L$26,15))</f>
        <v>1</v>
      </c>
      <c r="T2" s="26">
        <f>IF(INDEX('02_KONSZ_KOR'!$L$7:$L$26,16)="",1,INDEX('02_KONSZ_KOR'!$L$7:$L$26,16))</f>
        <v>1</v>
      </c>
      <c r="U2" s="26">
        <f>IF(INDEX('02_KONSZ_KOR'!$L$7:$L$26,17)="",1,INDEX('02_KONSZ_KOR'!$L$7:$L$26,17))</f>
        <v>1</v>
      </c>
      <c r="V2" s="26">
        <f>IF(INDEX('02_KONSZ_KOR'!$L$7:$L$26,18)="",1,INDEX('02_KONSZ_KOR'!$L$7:$L$26,18))</f>
        <v>1</v>
      </c>
      <c r="W2" s="26">
        <f>IF(INDEX('02_KONSZ_KOR'!$L$7:$L$26,19)="",1,INDEX('02_KONSZ_KOR'!$L$7:$L$26,19))</f>
        <v>1</v>
      </c>
      <c r="X2" s="26">
        <f>IF(INDEX('02_KONSZ_KOR'!$L$7:$L$26,20)="",1,INDEX('02_KONSZ_KOR'!$L$7:$L$26,20))</f>
        <v>1</v>
      </c>
    </row>
    <row r="3" spans="2:24" ht="15" customHeight="1" x14ac:dyDescent="0.3">
      <c r="D3" s="25" t="str">
        <f>INDEX('91_NYELV'!$C$7:$D$303,139,NYELV_IDX)</f>
        <v>Átlagárfolyam →</v>
      </c>
      <c r="E3" s="26">
        <f>IF(INDEX('02_KONSZ_KOR'!$M$7:$M$26,1)="",1,INDEX('02_KONSZ_KOR'!$M$7:$M$26,1))</f>
        <v>1</v>
      </c>
      <c r="F3" s="26">
        <f>IF(INDEX('02_KONSZ_KOR'!$M$7:$M$26,2)="",1,INDEX('02_KONSZ_KOR'!$M$7:$M$26,2))</f>
        <v>1</v>
      </c>
      <c r="G3" s="26">
        <f>IF(INDEX('02_KONSZ_KOR'!$M$7:$M$26,3)="",1,INDEX('02_KONSZ_KOR'!$M$7:$M$26,3))</f>
        <v>1</v>
      </c>
      <c r="H3" s="26">
        <f>IF(INDEX('02_KONSZ_KOR'!$M$7:$M$26,4)="",1,INDEX('02_KONSZ_KOR'!$M$7:$M$26,4))</f>
        <v>1</v>
      </c>
      <c r="I3" s="26">
        <f>IF(INDEX('02_KONSZ_KOR'!$M$7:$M$26,5)="",1,INDEX('02_KONSZ_KOR'!$M$7:$M$26,5))</f>
        <v>1</v>
      </c>
      <c r="J3" s="26">
        <f>IF(INDEX('02_KONSZ_KOR'!$M$7:$M$26,6)="",1,INDEX('02_KONSZ_KOR'!$M$7:$M$26,6))</f>
        <v>1</v>
      </c>
      <c r="K3" s="26">
        <f>IF(INDEX('02_KONSZ_KOR'!$M$7:$M$26,7)="",1,INDEX('02_KONSZ_KOR'!$M$7:$M$26,7))</f>
        <v>1</v>
      </c>
      <c r="L3" s="26">
        <f>IF(INDEX('02_KONSZ_KOR'!$M$7:$M$26,8)="",1,INDEX('02_KONSZ_KOR'!$M$7:$M$26,8))</f>
        <v>1</v>
      </c>
      <c r="M3" s="26">
        <f>IF(INDEX('02_KONSZ_KOR'!$M$7:$M$26,9)="",1,INDEX('02_KONSZ_KOR'!$M$7:$M$26,9))</f>
        <v>1</v>
      </c>
      <c r="N3" s="26">
        <f>IF(INDEX('02_KONSZ_KOR'!$M$7:$M$26,10)="",1,INDEX('02_KONSZ_KOR'!$M$7:$M$26,10))</f>
        <v>1</v>
      </c>
      <c r="O3" s="26">
        <f>IF(INDEX('02_KONSZ_KOR'!$M$7:$M$26,11)="",1,INDEX('02_KONSZ_KOR'!$M$7:$M$26,11))</f>
        <v>1</v>
      </c>
      <c r="P3" s="26">
        <f>IF(INDEX('02_KONSZ_KOR'!$M$7:$M$26,12)="",1,INDEX('02_KONSZ_KOR'!$M$7:$M$26,12))</f>
        <v>1</v>
      </c>
      <c r="Q3" s="26">
        <f>IF(INDEX('02_KONSZ_KOR'!$M$7:$M$26,13)="",1,INDEX('02_KONSZ_KOR'!$M$7:$M$26,13))</f>
        <v>1</v>
      </c>
      <c r="R3" s="26">
        <f>IF(INDEX('02_KONSZ_KOR'!$M$7:$M$26,14)="",1,INDEX('02_KONSZ_KOR'!$M$7:$M$26,14))</f>
        <v>1</v>
      </c>
      <c r="S3" s="26">
        <f>IF(INDEX('02_KONSZ_KOR'!$M$7:$M$26,15)="",1,INDEX('02_KONSZ_KOR'!$M$7:$M$26,15))</f>
        <v>1</v>
      </c>
      <c r="T3" s="26">
        <f>IF(INDEX('02_KONSZ_KOR'!$M$7:$M$26,16)="",1,INDEX('02_KONSZ_KOR'!$M$7:$M$26,16))</f>
        <v>1</v>
      </c>
      <c r="U3" s="26">
        <f>IF(INDEX('02_KONSZ_KOR'!$M$7:$M$26,17)="",1,INDEX('02_KONSZ_KOR'!$M$7:$M$26,17))</f>
        <v>1</v>
      </c>
      <c r="V3" s="26">
        <f>IF(INDEX('02_KONSZ_KOR'!$M$7:$M$26,18)="",1,INDEX('02_KONSZ_KOR'!$M$7:$M$26,18))</f>
        <v>1</v>
      </c>
      <c r="W3" s="26">
        <f>IF(INDEX('02_KONSZ_KOR'!$M$7:$M$26,19)="",1,INDEX('02_KONSZ_KOR'!$M$7:$M$26,19))</f>
        <v>1</v>
      </c>
      <c r="X3" s="26">
        <f>IF(INDEX('02_KONSZ_KOR'!$M$7:$M$26,20)="",1,INDEX('02_KONSZ_KOR'!$M$7:$M$26,20))</f>
        <v>1</v>
      </c>
    </row>
    <row r="4" spans="2:24" ht="15" customHeight="1" x14ac:dyDescent="0.3">
      <c r="D4" s="25" t="str">
        <f>INDEX('91_NYELV'!$C$7:$D$303,85,NYELV_IDX)</f>
        <v>Kvóta →</v>
      </c>
      <c r="E4" s="27">
        <f>INDEX('02_KONSZ_KOR'!$N$7:$N$26,1)</f>
        <v>1</v>
      </c>
      <c r="F4" s="27">
        <f>INDEX('02_KONSZ_KOR'!$N$7:$N$26,2)</f>
        <v>1</v>
      </c>
      <c r="G4" s="27">
        <f>INDEX('02_KONSZ_KOR'!$N$7:$N$26,3)</f>
        <v>0.5</v>
      </c>
      <c r="H4" s="27">
        <f>INDEX('02_KONSZ_KOR'!$N$7:$N$26,4)</f>
        <v>0</v>
      </c>
      <c r="I4" s="27">
        <f>INDEX('02_KONSZ_KOR'!$N$7:$N$26,5)</f>
        <v>0</v>
      </c>
      <c r="J4" s="27">
        <f>INDEX('02_KONSZ_KOR'!$N$7:$N$26,6)</f>
        <v>0</v>
      </c>
      <c r="K4" s="27">
        <f>INDEX('02_KONSZ_KOR'!$N$7:$N$26,7)</f>
        <v>0</v>
      </c>
      <c r="L4" s="27">
        <f>INDEX('02_KONSZ_KOR'!$N$7:$N$26,8)</f>
        <v>0</v>
      </c>
      <c r="M4" s="27">
        <f>INDEX('02_KONSZ_KOR'!$N$7:$N$26,9)</f>
        <v>0</v>
      </c>
      <c r="N4" s="27">
        <f>INDEX('02_KONSZ_KOR'!$N$7:$N$26,10)</f>
        <v>0</v>
      </c>
      <c r="O4" s="27">
        <f>INDEX('02_KONSZ_KOR'!$N$7:$N$26,11)</f>
        <v>0</v>
      </c>
      <c r="P4" s="27">
        <f>INDEX('02_KONSZ_KOR'!$N$7:$N$26,12)</f>
        <v>0</v>
      </c>
      <c r="Q4" s="27">
        <f>INDEX('02_KONSZ_KOR'!$N$7:$N$26,13)</f>
        <v>0</v>
      </c>
      <c r="R4" s="27">
        <f>INDEX('02_KONSZ_KOR'!$N$7:$N$26,14)</f>
        <v>0</v>
      </c>
      <c r="S4" s="27">
        <f>INDEX('02_KONSZ_KOR'!$N$7:$N$26,15)</f>
        <v>0</v>
      </c>
      <c r="T4" s="27">
        <f>INDEX('02_KONSZ_KOR'!$N$7:$N$26,16)</f>
        <v>0</v>
      </c>
      <c r="U4" s="27">
        <f>INDEX('02_KONSZ_KOR'!$N$7:$N$26,17)</f>
        <v>0</v>
      </c>
      <c r="V4" s="27">
        <f>INDEX('02_KONSZ_KOR'!$N$7:$N$26,18)</f>
        <v>0</v>
      </c>
      <c r="W4" s="27">
        <f>INDEX('02_KONSZ_KOR'!$N$7:$N$26,19)</f>
        <v>0</v>
      </c>
      <c r="X4" s="27">
        <f>INDEX('02_KONSZ_KOR'!$N$7:$N$26,20)</f>
        <v>0</v>
      </c>
    </row>
    <row r="5" spans="2:24" ht="19.5" customHeight="1" x14ac:dyDescent="0.4">
      <c r="B5" s="12" t="str">
        <f>INDEX('91_NYELV'!$C$7:$D$303,43,NYELV_IDX)</f>
        <v>3. Egyedi beszámolók (egységesített adatok)</v>
      </c>
    </row>
    <row r="6" spans="2:24" ht="42" customHeight="1" x14ac:dyDescent="0.3">
      <c r="B6" s="20" t="str">
        <f>INDEX('91_NYELV'!$C$7:$D$303,82,NYELV_IDX)</f>
        <v>Kód</v>
      </c>
      <c r="C6" s="20" t="str">
        <f>INDEX('91_NYELV'!$C$7:$D$303,84,NYELV_IDX)</f>
        <v>A/Ö</v>
      </c>
      <c r="D6" s="20" t="str">
        <f>INDEX('91_NYELV'!$C$7:$D$303,83,NYELV_IDX)</f>
        <v>Megnevezés</v>
      </c>
      <c r="E6" s="28" t="str">
        <f>IF(INDEX('02_KONSZ_KOR'!$C$7:$C$26,1)="","",INDEX('02_KONSZ_KOR'!$C$7:$C$26,1)&amp;" – "&amp;INDEX('02_KONSZ_KOR'!$D$7:$D$26,1))</f>
        <v>A00 – Minta Holding Zrt.</v>
      </c>
      <c r="F6" s="28" t="str">
        <f>IF(INDEX('02_KONSZ_KOR'!$C$7:$C$26,2)="","",INDEX('02_KONSZ_KOR'!$C$7:$C$26,2)&amp;" – "&amp;INDEX('02_KONSZ_KOR'!$D$7:$D$26,2))</f>
        <v>L01 – Minta Leány Kft.</v>
      </c>
      <c r="G6" s="28" t="str">
        <f>IF(INDEX('02_KONSZ_KOR'!$C$7:$C$26,3)="","",INDEX('02_KONSZ_KOR'!$C$7:$C$26,3)&amp;" – "&amp;INDEX('02_KONSZ_KOR'!$D$7:$D$26,3))</f>
        <v>L02 – Minta Közös Kft.</v>
      </c>
      <c r="H6" s="28" t="str">
        <f>IF(INDEX('02_KONSZ_KOR'!$C$7:$C$26,4)="","",INDEX('02_KONSZ_KOR'!$C$7:$C$26,4)&amp;" – "&amp;INDEX('02_KONSZ_KOR'!$D$7:$D$26,4))</f>
        <v>T01 – Minta Társult Kft.</v>
      </c>
      <c r="I6" s="28" t="str">
        <f>IF(INDEX('02_KONSZ_KOR'!$C$7:$C$26,5)="","",INDEX('02_KONSZ_KOR'!$C$7:$C$26,5)&amp;" – "&amp;INDEX('02_KONSZ_KOR'!$D$7:$D$26,5))</f>
        <v/>
      </c>
      <c r="J6" s="28" t="str">
        <f>IF(INDEX('02_KONSZ_KOR'!$C$7:$C$26,6)="","",INDEX('02_KONSZ_KOR'!$C$7:$C$26,6)&amp;" – "&amp;INDEX('02_KONSZ_KOR'!$D$7:$D$26,6))</f>
        <v/>
      </c>
      <c r="K6" s="28" t="str">
        <f>IF(INDEX('02_KONSZ_KOR'!$C$7:$C$26,7)="","",INDEX('02_KONSZ_KOR'!$C$7:$C$26,7)&amp;" – "&amp;INDEX('02_KONSZ_KOR'!$D$7:$D$26,7))</f>
        <v/>
      </c>
      <c r="L6" s="28" t="str">
        <f>IF(INDEX('02_KONSZ_KOR'!$C$7:$C$26,8)="","",INDEX('02_KONSZ_KOR'!$C$7:$C$26,8)&amp;" – "&amp;INDEX('02_KONSZ_KOR'!$D$7:$D$26,8))</f>
        <v/>
      </c>
      <c r="M6" s="28" t="str">
        <f>IF(INDEX('02_KONSZ_KOR'!$C$7:$C$26,9)="","",INDEX('02_KONSZ_KOR'!$C$7:$C$26,9)&amp;" – "&amp;INDEX('02_KONSZ_KOR'!$D$7:$D$26,9))</f>
        <v/>
      </c>
      <c r="N6" s="28" t="str">
        <f>IF(INDEX('02_KONSZ_KOR'!$C$7:$C$26,10)="","",INDEX('02_KONSZ_KOR'!$C$7:$C$26,10)&amp;" – "&amp;INDEX('02_KONSZ_KOR'!$D$7:$D$26,10))</f>
        <v/>
      </c>
      <c r="O6" s="28" t="str">
        <f>IF(INDEX('02_KONSZ_KOR'!$C$7:$C$26,11)="","",INDEX('02_KONSZ_KOR'!$C$7:$C$26,11)&amp;" – "&amp;INDEX('02_KONSZ_KOR'!$D$7:$D$26,11))</f>
        <v/>
      </c>
      <c r="P6" s="28" t="str">
        <f>IF(INDEX('02_KONSZ_KOR'!$C$7:$C$26,12)="","",INDEX('02_KONSZ_KOR'!$C$7:$C$26,12)&amp;" – "&amp;INDEX('02_KONSZ_KOR'!$D$7:$D$26,12))</f>
        <v/>
      </c>
      <c r="Q6" s="28" t="str">
        <f>IF(INDEX('02_KONSZ_KOR'!$C$7:$C$26,13)="","",INDEX('02_KONSZ_KOR'!$C$7:$C$26,13)&amp;" – "&amp;INDEX('02_KONSZ_KOR'!$D$7:$D$26,13))</f>
        <v/>
      </c>
      <c r="R6" s="28" t="str">
        <f>IF(INDEX('02_KONSZ_KOR'!$C$7:$C$26,14)="","",INDEX('02_KONSZ_KOR'!$C$7:$C$26,14)&amp;" – "&amp;INDEX('02_KONSZ_KOR'!$D$7:$D$26,14))</f>
        <v/>
      </c>
      <c r="S6" s="28" t="str">
        <f>IF(INDEX('02_KONSZ_KOR'!$C$7:$C$26,15)="","",INDEX('02_KONSZ_KOR'!$C$7:$C$26,15)&amp;" – "&amp;INDEX('02_KONSZ_KOR'!$D$7:$D$26,15))</f>
        <v/>
      </c>
      <c r="T6" s="28" t="str">
        <f>IF(INDEX('02_KONSZ_KOR'!$C$7:$C$26,16)="","",INDEX('02_KONSZ_KOR'!$C$7:$C$26,16)&amp;" – "&amp;INDEX('02_KONSZ_KOR'!$D$7:$D$26,16))</f>
        <v/>
      </c>
      <c r="U6" s="28" t="str">
        <f>IF(INDEX('02_KONSZ_KOR'!$C$7:$C$26,17)="","",INDEX('02_KONSZ_KOR'!$C$7:$C$26,17)&amp;" – "&amp;INDEX('02_KONSZ_KOR'!$D$7:$D$26,17))</f>
        <v/>
      </c>
      <c r="V6" s="28" t="str">
        <f>IF(INDEX('02_KONSZ_KOR'!$C$7:$C$26,18)="","",INDEX('02_KONSZ_KOR'!$C$7:$C$26,18)&amp;" – "&amp;INDEX('02_KONSZ_KOR'!$D$7:$D$26,18))</f>
        <v/>
      </c>
      <c r="W6" s="28" t="str">
        <f>IF(INDEX('02_KONSZ_KOR'!$C$7:$C$26,19)="","",INDEX('02_KONSZ_KOR'!$C$7:$C$26,19)&amp;" – "&amp;INDEX('02_KONSZ_KOR'!$D$7:$D$26,19))</f>
        <v/>
      </c>
      <c r="X6" s="28" t="str">
        <f>IF(INDEX('02_KONSZ_KOR'!$C$7:$C$26,20)="","",INDEX('02_KONSZ_KOR'!$C$7:$C$26,20)&amp;" – "&amp;INDEX('02_KONSZ_KOR'!$D$7:$D$26,20))</f>
        <v/>
      </c>
    </row>
    <row r="7" spans="2:24" ht="15" customHeight="1" x14ac:dyDescent="0.3">
      <c r="B7" s="29" t="s">
        <v>28</v>
      </c>
      <c r="C7" s="29" t="s">
        <v>29</v>
      </c>
      <c r="D7" s="30" t="str">
        <f>INDEX('90_SEMA'!$G$7:$H$183,1,NYELV_IDX)</f>
        <v>A. Befektetett eszközök</v>
      </c>
      <c r="E7" s="31">
        <f t="shared" ref="E7:N8" si="0">SUMIFS(E$7:E$183,$B$7:$B$183,$B7&amp;".*",$C$7:$C$183,"D")</f>
        <v>0</v>
      </c>
      <c r="F7" s="31">
        <f t="shared" si="0"/>
        <v>0</v>
      </c>
      <c r="G7" s="31">
        <f t="shared" si="0"/>
        <v>0</v>
      </c>
      <c r="H7" s="31">
        <f t="shared" si="0"/>
        <v>0</v>
      </c>
      <c r="I7" s="31">
        <f t="shared" si="0"/>
        <v>0</v>
      </c>
      <c r="J7" s="31">
        <f t="shared" si="0"/>
        <v>0</v>
      </c>
      <c r="K7" s="31">
        <f t="shared" si="0"/>
        <v>0</v>
      </c>
      <c r="L7" s="31">
        <f t="shared" si="0"/>
        <v>0</v>
      </c>
      <c r="M7" s="31">
        <f t="shared" si="0"/>
        <v>0</v>
      </c>
      <c r="N7" s="31">
        <f t="shared" si="0"/>
        <v>0</v>
      </c>
      <c r="O7" s="31">
        <f t="shared" ref="O7:X8" si="1">SUMIFS(O$7:O$183,$B$7:$B$183,$B7&amp;".*",$C$7:$C$183,"D")</f>
        <v>0</v>
      </c>
      <c r="P7" s="31">
        <f t="shared" si="1"/>
        <v>0</v>
      </c>
      <c r="Q7" s="31">
        <f t="shared" si="1"/>
        <v>0</v>
      </c>
      <c r="R7" s="31">
        <f t="shared" si="1"/>
        <v>0</v>
      </c>
      <c r="S7" s="31">
        <f t="shared" si="1"/>
        <v>0</v>
      </c>
      <c r="T7" s="31">
        <f t="shared" si="1"/>
        <v>0</v>
      </c>
      <c r="U7" s="31">
        <f t="shared" si="1"/>
        <v>0</v>
      </c>
      <c r="V7" s="31">
        <f t="shared" si="1"/>
        <v>0</v>
      </c>
      <c r="W7" s="31">
        <f t="shared" si="1"/>
        <v>0</v>
      </c>
      <c r="X7" s="31">
        <f t="shared" si="1"/>
        <v>0</v>
      </c>
    </row>
    <row r="8" spans="2:24" ht="15" customHeight="1" x14ac:dyDescent="0.3">
      <c r="B8" s="29" t="s">
        <v>30</v>
      </c>
      <c r="C8" s="29" t="s">
        <v>29</v>
      </c>
      <c r="D8" s="32" t="str">
        <f>INDEX('90_SEMA'!$G$7:$H$183,2,NYELV_IDX)</f>
        <v>I. IMMATERIÁLIS JAVAK</v>
      </c>
      <c r="E8" s="31">
        <f t="shared" si="0"/>
        <v>0</v>
      </c>
      <c r="F8" s="31">
        <f t="shared" si="0"/>
        <v>0</v>
      </c>
      <c r="G8" s="31">
        <f t="shared" si="0"/>
        <v>0</v>
      </c>
      <c r="H8" s="31">
        <f t="shared" si="0"/>
        <v>0</v>
      </c>
      <c r="I8" s="31">
        <f t="shared" si="0"/>
        <v>0</v>
      </c>
      <c r="J8" s="31">
        <f t="shared" si="0"/>
        <v>0</v>
      </c>
      <c r="K8" s="31">
        <f t="shared" si="0"/>
        <v>0</v>
      </c>
      <c r="L8" s="31">
        <f t="shared" si="0"/>
        <v>0</v>
      </c>
      <c r="M8" s="31">
        <f t="shared" si="0"/>
        <v>0</v>
      </c>
      <c r="N8" s="31">
        <f t="shared" si="0"/>
        <v>0</v>
      </c>
      <c r="O8" s="31">
        <f t="shared" si="1"/>
        <v>0</v>
      </c>
      <c r="P8" s="31">
        <f t="shared" si="1"/>
        <v>0</v>
      </c>
      <c r="Q8" s="31">
        <f t="shared" si="1"/>
        <v>0</v>
      </c>
      <c r="R8" s="31">
        <f t="shared" si="1"/>
        <v>0</v>
      </c>
      <c r="S8" s="31">
        <f t="shared" si="1"/>
        <v>0</v>
      </c>
      <c r="T8" s="31">
        <f t="shared" si="1"/>
        <v>0</v>
      </c>
      <c r="U8" s="31">
        <f t="shared" si="1"/>
        <v>0</v>
      </c>
      <c r="V8" s="31">
        <f t="shared" si="1"/>
        <v>0</v>
      </c>
      <c r="W8" s="31">
        <f t="shared" si="1"/>
        <v>0</v>
      </c>
      <c r="X8" s="31">
        <f t="shared" si="1"/>
        <v>0</v>
      </c>
    </row>
    <row r="9" spans="2:24" ht="15" customHeight="1" x14ac:dyDescent="0.3">
      <c r="B9" s="29" t="s">
        <v>31</v>
      </c>
      <c r="C9" s="29" t="s">
        <v>32</v>
      </c>
      <c r="D9" s="7" t="str">
        <f>INDEX('90_SEMA'!$G$7:$H$183,3,NYELV_IDX)</f>
        <v>1. Alapítás-átszervezés aktivált értéke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</row>
    <row r="10" spans="2:24" ht="15" customHeight="1" x14ac:dyDescent="0.3">
      <c r="B10" s="29" t="s">
        <v>33</v>
      </c>
      <c r="C10" s="29" t="s">
        <v>32</v>
      </c>
      <c r="D10" s="7" t="str">
        <f>INDEX('90_SEMA'!$G$7:$H$183,4,NYELV_IDX)</f>
        <v>2. Kísérleti fejlesztés aktivált értéke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</row>
    <row r="11" spans="2:24" ht="15" customHeight="1" x14ac:dyDescent="0.3">
      <c r="B11" s="29" t="s">
        <v>34</v>
      </c>
      <c r="C11" s="29" t="s">
        <v>32</v>
      </c>
      <c r="D11" s="7" t="str">
        <f>INDEX('90_SEMA'!$G$7:$H$183,5,NYELV_IDX)</f>
        <v>3. Vagyoni értékű jogok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</row>
    <row r="12" spans="2:24" ht="15" customHeight="1" x14ac:dyDescent="0.3">
      <c r="B12" s="29" t="s">
        <v>35</v>
      </c>
      <c r="C12" s="29" t="s">
        <v>32</v>
      </c>
      <c r="D12" s="7" t="str">
        <f>INDEX('90_SEMA'!$G$7:$H$183,6,NYELV_IDX)</f>
        <v>4. Szellemi termékek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</row>
    <row r="13" spans="2:24" ht="15" customHeight="1" x14ac:dyDescent="0.3">
      <c r="B13" s="29" t="s">
        <v>36</v>
      </c>
      <c r="C13" s="29" t="s">
        <v>32</v>
      </c>
      <c r="D13" s="7" t="str">
        <f>INDEX('90_SEMA'!$G$7:$H$183,7,NYELV_IDX)</f>
        <v>5. Üzleti vagy cégérték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</row>
    <row r="14" spans="2:24" ht="15" customHeight="1" x14ac:dyDescent="0.3">
      <c r="B14" s="29" t="s">
        <v>37</v>
      </c>
      <c r="C14" s="29" t="s">
        <v>32</v>
      </c>
      <c r="D14" s="7" t="str">
        <f>INDEX('90_SEMA'!$G$7:$H$183,8,NYELV_IDX)</f>
        <v>6. Immateriális javakra adott előlegek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</row>
    <row r="15" spans="2:24" ht="15" customHeight="1" x14ac:dyDescent="0.3">
      <c r="B15" s="29" t="s">
        <v>38</v>
      </c>
      <c r="C15" s="29" t="s">
        <v>32</v>
      </c>
      <c r="D15" s="7" t="str">
        <f>INDEX('90_SEMA'!$G$7:$H$183,9,NYELV_IDX)</f>
        <v>7. Immateriális javak értékhelyesbítése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</row>
    <row r="16" spans="2:24" ht="15" customHeight="1" x14ac:dyDescent="0.3">
      <c r="B16" s="29" t="s">
        <v>39</v>
      </c>
      <c r="C16" s="29" t="s">
        <v>29</v>
      </c>
      <c r="D16" s="32" t="str">
        <f>INDEX('90_SEMA'!$G$7:$H$183,10,NYELV_IDX)</f>
        <v>II. TÁRGYI ESZKÖZÖK</v>
      </c>
      <c r="E16" s="31">
        <f t="shared" ref="E16:X16" si="2">SUMIFS(E$7:E$183,$B$7:$B$183,$B16&amp;".*",$C$7:$C$183,"D")</f>
        <v>0</v>
      </c>
      <c r="F16" s="31">
        <f t="shared" si="2"/>
        <v>0</v>
      </c>
      <c r="G16" s="31">
        <f t="shared" si="2"/>
        <v>0</v>
      </c>
      <c r="H16" s="31">
        <f t="shared" si="2"/>
        <v>0</v>
      </c>
      <c r="I16" s="31">
        <f t="shared" si="2"/>
        <v>0</v>
      </c>
      <c r="J16" s="31">
        <f t="shared" si="2"/>
        <v>0</v>
      </c>
      <c r="K16" s="31">
        <f t="shared" si="2"/>
        <v>0</v>
      </c>
      <c r="L16" s="31">
        <f t="shared" si="2"/>
        <v>0</v>
      </c>
      <c r="M16" s="31">
        <f t="shared" si="2"/>
        <v>0</v>
      </c>
      <c r="N16" s="31">
        <f t="shared" si="2"/>
        <v>0</v>
      </c>
      <c r="O16" s="31">
        <f t="shared" si="2"/>
        <v>0</v>
      </c>
      <c r="P16" s="31">
        <f t="shared" si="2"/>
        <v>0</v>
      </c>
      <c r="Q16" s="31">
        <f t="shared" si="2"/>
        <v>0</v>
      </c>
      <c r="R16" s="31">
        <f t="shared" si="2"/>
        <v>0</v>
      </c>
      <c r="S16" s="31">
        <f t="shared" si="2"/>
        <v>0</v>
      </c>
      <c r="T16" s="31">
        <f t="shared" si="2"/>
        <v>0</v>
      </c>
      <c r="U16" s="31">
        <f t="shared" si="2"/>
        <v>0</v>
      </c>
      <c r="V16" s="31">
        <f t="shared" si="2"/>
        <v>0</v>
      </c>
      <c r="W16" s="31">
        <f t="shared" si="2"/>
        <v>0</v>
      </c>
      <c r="X16" s="31">
        <f t="shared" si="2"/>
        <v>0</v>
      </c>
    </row>
    <row r="17" spans="2:24" ht="15" customHeight="1" x14ac:dyDescent="0.3">
      <c r="B17" s="29" t="s">
        <v>40</v>
      </c>
      <c r="C17" s="29" t="s">
        <v>32</v>
      </c>
      <c r="D17" s="7" t="str">
        <f>INDEX('90_SEMA'!$G$7:$H$183,11,NYELV_IDX)</f>
        <v>1. Ingatlanok és a kapcsolódó vagyoni értékű jogok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</row>
    <row r="18" spans="2:24" ht="15" customHeight="1" x14ac:dyDescent="0.3">
      <c r="B18" s="29" t="s">
        <v>41</v>
      </c>
      <c r="C18" s="29" t="s">
        <v>32</v>
      </c>
      <c r="D18" s="7" t="str">
        <f>INDEX('90_SEMA'!$G$7:$H$183,12,NYELV_IDX)</f>
        <v>2. Műszaki berendezések, gépek, járművek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</row>
    <row r="19" spans="2:24" ht="15" customHeight="1" x14ac:dyDescent="0.3">
      <c r="B19" s="29" t="s">
        <v>42</v>
      </c>
      <c r="C19" s="29" t="s">
        <v>32</v>
      </c>
      <c r="D19" s="7" t="str">
        <f>INDEX('90_SEMA'!$G$7:$H$183,13,NYELV_IDX)</f>
        <v>3. Egyéb berendezések, felszerelések, járművek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</row>
    <row r="20" spans="2:24" ht="15" customHeight="1" x14ac:dyDescent="0.3">
      <c r="B20" s="29" t="s">
        <v>43</v>
      </c>
      <c r="C20" s="29" t="s">
        <v>32</v>
      </c>
      <c r="D20" s="7" t="str">
        <f>INDEX('90_SEMA'!$G$7:$H$183,14,NYELV_IDX)</f>
        <v>4. Tenyészállatok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</row>
    <row r="21" spans="2:24" ht="15" customHeight="1" x14ac:dyDescent="0.3">
      <c r="B21" s="29" t="s">
        <v>44</v>
      </c>
      <c r="C21" s="29" t="s">
        <v>32</v>
      </c>
      <c r="D21" s="7" t="str">
        <f>INDEX('90_SEMA'!$G$7:$H$183,15,NYELV_IDX)</f>
        <v>5. Beruházások, felújítások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</row>
    <row r="22" spans="2:24" ht="15" customHeight="1" x14ac:dyDescent="0.3">
      <c r="B22" s="29" t="s">
        <v>45</v>
      </c>
      <c r="C22" s="29" t="s">
        <v>32</v>
      </c>
      <c r="D22" s="7" t="str">
        <f>INDEX('90_SEMA'!$G$7:$H$183,16,NYELV_IDX)</f>
        <v>6. Beruházásokra adott előlegek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</row>
    <row r="23" spans="2:24" ht="15" customHeight="1" x14ac:dyDescent="0.3">
      <c r="B23" s="29" t="s">
        <v>46</v>
      </c>
      <c r="C23" s="29" t="s">
        <v>32</v>
      </c>
      <c r="D23" s="7" t="str">
        <f>INDEX('90_SEMA'!$G$7:$H$183,17,NYELV_IDX)</f>
        <v>7. Tárgyi eszközök értékhelyesbítése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</row>
    <row r="24" spans="2:24" ht="15" customHeight="1" x14ac:dyDescent="0.3">
      <c r="B24" s="29" t="s">
        <v>47</v>
      </c>
      <c r="C24" s="29" t="s">
        <v>29</v>
      </c>
      <c r="D24" s="32" t="str">
        <f>INDEX('90_SEMA'!$G$7:$H$183,18,NYELV_IDX)</f>
        <v>III. BEFEKTETETT PÉNZÜGYI ESZKÖZÖK</v>
      </c>
      <c r="E24" s="31">
        <f t="shared" ref="E24:X24" si="3">SUMIFS(E$7:E$183,$B$7:$B$183,$B24&amp;".*",$C$7:$C$183,"D")</f>
        <v>0</v>
      </c>
      <c r="F24" s="31">
        <f t="shared" si="3"/>
        <v>0</v>
      </c>
      <c r="G24" s="31">
        <f t="shared" si="3"/>
        <v>0</v>
      </c>
      <c r="H24" s="31">
        <f t="shared" si="3"/>
        <v>0</v>
      </c>
      <c r="I24" s="31">
        <f t="shared" si="3"/>
        <v>0</v>
      </c>
      <c r="J24" s="31">
        <f t="shared" si="3"/>
        <v>0</v>
      </c>
      <c r="K24" s="31">
        <f t="shared" si="3"/>
        <v>0</v>
      </c>
      <c r="L24" s="31">
        <f t="shared" si="3"/>
        <v>0</v>
      </c>
      <c r="M24" s="31">
        <f t="shared" si="3"/>
        <v>0</v>
      </c>
      <c r="N24" s="31">
        <f t="shared" si="3"/>
        <v>0</v>
      </c>
      <c r="O24" s="31">
        <f t="shared" si="3"/>
        <v>0</v>
      </c>
      <c r="P24" s="31">
        <f t="shared" si="3"/>
        <v>0</v>
      </c>
      <c r="Q24" s="31">
        <f t="shared" si="3"/>
        <v>0</v>
      </c>
      <c r="R24" s="31">
        <f t="shared" si="3"/>
        <v>0</v>
      </c>
      <c r="S24" s="31">
        <f t="shared" si="3"/>
        <v>0</v>
      </c>
      <c r="T24" s="31">
        <f t="shared" si="3"/>
        <v>0</v>
      </c>
      <c r="U24" s="31">
        <f t="shared" si="3"/>
        <v>0</v>
      </c>
      <c r="V24" s="31">
        <f t="shared" si="3"/>
        <v>0</v>
      </c>
      <c r="W24" s="31">
        <f t="shared" si="3"/>
        <v>0</v>
      </c>
      <c r="X24" s="31">
        <f t="shared" si="3"/>
        <v>0</v>
      </c>
    </row>
    <row r="25" spans="2:24" ht="15" customHeight="1" x14ac:dyDescent="0.3">
      <c r="B25" s="29" t="s">
        <v>48</v>
      </c>
      <c r="C25" s="29" t="s">
        <v>32</v>
      </c>
      <c r="D25" s="7" t="str">
        <f>INDEX('90_SEMA'!$G$7:$H$183,19,NYELV_IDX)</f>
        <v>1. Tartós részesedés kapcsolt vállalkozásban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</row>
    <row r="26" spans="2:24" ht="15" customHeight="1" x14ac:dyDescent="0.3">
      <c r="B26" s="29" t="s">
        <v>49</v>
      </c>
      <c r="C26" s="29" t="s">
        <v>32</v>
      </c>
      <c r="D26" s="7" t="str">
        <f>INDEX('90_SEMA'!$G$7:$H$183,20,NYELV_IDX)</f>
        <v>2. Tartósan adott kölcsön kapcsolt vállalkozásban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</row>
    <row r="27" spans="2:24" ht="15" customHeight="1" x14ac:dyDescent="0.3">
      <c r="B27" s="29" t="s">
        <v>50</v>
      </c>
      <c r="C27" s="29" t="s">
        <v>32</v>
      </c>
      <c r="D27" s="7" t="str">
        <f>INDEX('90_SEMA'!$G$7:$H$183,21,NYELV_IDX)</f>
        <v>3. Tartós jelentős tulajdoni részesedés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</row>
    <row r="28" spans="2:24" ht="15" customHeight="1" x14ac:dyDescent="0.3">
      <c r="B28" s="29" t="s">
        <v>51</v>
      </c>
      <c r="C28" s="29" t="s">
        <v>32</v>
      </c>
      <c r="D28" s="7" t="str">
        <f>INDEX('90_SEMA'!$G$7:$H$183,22,NYELV_IDX)</f>
        <v>4. Tartósan adott kölcsön jelentős tulajdoni részesedési viszonyban álló vállalkozásban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</row>
    <row r="29" spans="2:24" ht="15" customHeight="1" x14ac:dyDescent="0.3">
      <c r="B29" s="29" t="s">
        <v>52</v>
      </c>
      <c r="C29" s="29" t="s">
        <v>32</v>
      </c>
      <c r="D29" s="7" t="str">
        <f>INDEX('90_SEMA'!$G$7:$H$183,23,NYELV_IDX)</f>
        <v>5. Egyéb tartós részesedés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</row>
    <row r="30" spans="2:24" ht="15" customHeight="1" x14ac:dyDescent="0.3">
      <c r="B30" s="29" t="s">
        <v>53</v>
      </c>
      <c r="C30" s="29" t="s">
        <v>32</v>
      </c>
      <c r="D30" s="7" t="str">
        <f>INDEX('90_SEMA'!$G$7:$H$183,24,NYELV_IDX)</f>
        <v>6. Tartósan adott kölcsön egyéb részesedési viszonyban álló vállalkozásban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</row>
    <row r="31" spans="2:24" ht="15" customHeight="1" x14ac:dyDescent="0.3">
      <c r="B31" s="29" t="s">
        <v>54</v>
      </c>
      <c r="C31" s="29" t="s">
        <v>32</v>
      </c>
      <c r="D31" s="7" t="str">
        <f>INDEX('90_SEMA'!$G$7:$H$183,25,NYELV_IDX)</f>
        <v>7. Egyéb tartósan adott kölcsön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</row>
    <row r="32" spans="2:24" ht="15" customHeight="1" x14ac:dyDescent="0.3">
      <c r="B32" s="29" t="s">
        <v>55</v>
      </c>
      <c r="C32" s="29" t="s">
        <v>32</v>
      </c>
      <c r="D32" s="7" t="str">
        <f>INDEX('90_SEMA'!$G$7:$H$183,26,NYELV_IDX)</f>
        <v>8. Tartós hitelviszonyt megtestesítő értékpapír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</row>
    <row r="33" spans="2:24" ht="15" customHeight="1" x14ac:dyDescent="0.3">
      <c r="B33" s="29" t="s">
        <v>56</v>
      </c>
      <c r="C33" s="29" t="s">
        <v>32</v>
      </c>
      <c r="D33" s="7" t="str">
        <f>INDEX('90_SEMA'!$G$7:$H$183,27,NYELV_IDX)</f>
        <v>9. Befektetett pénzügyi eszközök értékhelyesbítése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</row>
    <row r="34" spans="2:24" ht="15" customHeight="1" x14ac:dyDescent="0.3">
      <c r="B34" s="29" t="s">
        <v>57</v>
      </c>
      <c r="C34" s="29" t="s">
        <v>32</v>
      </c>
      <c r="D34" s="7" t="str">
        <f>INDEX('90_SEMA'!$G$7:$H$183,28,NYELV_IDX)</f>
        <v>10. Befektetett pénzügyi eszközök értékelési különbözete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</row>
    <row r="35" spans="2:24" ht="15" customHeight="1" x14ac:dyDescent="0.3">
      <c r="B35" s="29" t="s">
        <v>58</v>
      </c>
      <c r="C35" s="29" t="s">
        <v>29</v>
      </c>
      <c r="D35" s="7" t="str">
        <f>INDEX('90_SEMA'!$G$7:$H$183,29,NYELV_IDX)</f>
        <v>11. Tőkekonszolidációs különbözet</v>
      </c>
      <c r="E35" s="31">
        <f t="shared" ref="E35:X35" si="4">SUMIFS(E$7:E$183,$B$7:$B$183,$B35&amp;".*",$C$7:$C$183,"D")</f>
        <v>0</v>
      </c>
      <c r="F35" s="31">
        <f t="shared" si="4"/>
        <v>0</v>
      </c>
      <c r="G35" s="31">
        <f t="shared" si="4"/>
        <v>0</v>
      </c>
      <c r="H35" s="31">
        <f t="shared" si="4"/>
        <v>0</v>
      </c>
      <c r="I35" s="31">
        <f t="shared" si="4"/>
        <v>0</v>
      </c>
      <c r="J35" s="31">
        <f t="shared" si="4"/>
        <v>0</v>
      </c>
      <c r="K35" s="31">
        <f t="shared" si="4"/>
        <v>0</v>
      </c>
      <c r="L35" s="31">
        <f t="shared" si="4"/>
        <v>0</v>
      </c>
      <c r="M35" s="31">
        <f t="shared" si="4"/>
        <v>0</v>
      </c>
      <c r="N35" s="31">
        <f t="shared" si="4"/>
        <v>0</v>
      </c>
      <c r="O35" s="31">
        <f t="shared" si="4"/>
        <v>0</v>
      </c>
      <c r="P35" s="31">
        <f t="shared" si="4"/>
        <v>0</v>
      </c>
      <c r="Q35" s="31">
        <f t="shared" si="4"/>
        <v>0</v>
      </c>
      <c r="R35" s="31">
        <f t="shared" si="4"/>
        <v>0</v>
      </c>
      <c r="S35" s="31">
        <f t="shared" si="4"/>
        <v>0</v>
      </c>
      <c r="T35" s="31">
        <f t="shared" si="4"/>
        <v>0</v>
      </c>
      <c r="U35" s="31">
        <f t="shared" si="4"/>
        <v>0</v>
      </c>
      <c r="V35" s="31">
        <f t="shared" si="4"/>
        <v>0</v>
      </c>
      <c r="W35" s="31">
        <f t="shared" si="4"/>
        <v>0</v>
      </c>
      <c r="X35" s="31">
        <f t="shared" si="4"/>
        <v>0</v>
      </c>
    </row>
    <row r="36" spans="2:24" ht="15" customHeight="1" x14ac:dyDescent="0.3">
      <c r="B36" s="29" t="s">
        <v>59</v>
      </c>
      <c r="C36" s="29" t="s">
        <v>32</v>
      </c>
      <c r="D36" s="7" t="str">
        <f>INDEX('90_SEMA'!$G$7:$H$183,30,NYELV_IDX)</f>
        <v xml:space="preserve">     – leányvállalatokból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</row>
    <row r="37" spans="2:24" ht="15" customHeight="1" x14ac:dyDescent="0.3">
      <c r="B37" s="29" t="s">
        <v>60</v>
      </c>
      <c r="C37" s="29" t="s">
        <v>32</v>
      </c>
      <c r="D37" s="7" t="str">
        <f>INDEX('90_SEMA'!$G$7:$H$183,31,NYELV_IDX)</f>
        <v xml:space="preserve">     – társult vállalkozásokból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</row>
    <row r="38" spans="2:24" ht="15" customHeight="1" x14ac:dyDescent="0.3">
      <c r="B38" s="29" t="s">
        <v>61</v>
      </c>
      <c r="C38" s="29" t="s">
        <v>32</v>
      </c>
      <c r="D38" s="32" t="str">
        <f>INDEX('90_SEMA'!$G$7:$H$183,32,NYELV_IDX)</f>
        <v>IV. HALASZTOTT ADÓKÖVETELÉS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</row>
    <row r="39" spans="2:24" ht="15" customHeight="1" x14ac:dyDescent="0.3">
      <c r="B39" s="29" t="s">
        <v>62</v>
      </c>
      <c r="C39" s="29" t="s">
        <v>29</v>
      </c>
      <c r="D39" s="30" t="str">
        <f>INDEX('90_SEMA'!$G$7:$H$183,33,NYELV_IDX)</f>
        <v>B. Forgóeszközök</v>
      </c>
      <c r="E39" s="31">
        <f t="shared" ref="E39:N40" si="5">SUMIFS(E$7:E$183,$B$7:$B$183,$B39&amp;".*",$C$7:$C$183,"D")</f>
        <v>0</v>
      </c>
      <c r="F39" s="31">
        <f t="shared" si="5"/>
        <v>0</v>
      </c>
      <c r="G39" s="31">
        <f t="shared" si="5"/>
        <v>0</v>
      </c>
      <c r="H39" s="31">
        <f t="shared" si="5"/>
        <v>0</v>
      </c>
      <c r="I39" s="31">
        <f t="shared" si="5"/>
        <v>0</v>
      </c>
      <c r="J39" s="31">
        <f t="shared" si="5"/>
        <v>0</v>
      </c>
      <c r="K39" s="31">
        <f t="shared" si="5"/>
        <v>0</v>
      </c>
      <c r="L39" s="31">
        <f t="shared" si="5"/>
        <v>0</v>
      </c>
      <c r="M39" s="31">
        <f t="shared" si="5"/>
        <v>0</v>
      </c>
      <c r="N39" s="31">
        <f t="shared" si="5"/>
        <v>0</v>
      </c>
      <c r="O39" s="31">
        <f t="shared" ref="O39:X40" si="6">SUMIFS(O$7:O$183,$B$7:$B$183,$B39&amp;".*",$C$7:$C$183,"D")</f>
        <v>0</v>
      </c>
      <c r="P39" s="31">
        <f t="shared" si="6"/>
        <v>0</v>
      </c>
      <c r="Q39" s="31">
        <f t="shared" si="6"/>
        <v>0</v>
      </c>
      <c r="R39" s="31">
        <f t="shared" si="6"/>
        <v>0</v>
      </c>
      <c r="S39" s="31">
        <f t="shared" si="6"/>
        <v>0</v>
      </c>
      <c r="T39" s="31">
        <f t="shared" si="6"/>
        <v>0</v>
      </c>
      <c r="U39" s="31">
        <f t="shared" si="6"/>
        <v>0</v>
      </c>
      <c r="V39" s="31">
        <f t="shared" si="6"/>
        <v>0</v>
      </c>
      <c r="W39" s="31">
        <f t="shared" si="6"/>
        <v>0</v>
      </c>
      <c r="X39" s="31">
        <f t="shared" si="6"/>
        <v>0</v>
      </c>
    </row>
    <row r="40" spans="2:24" ht="15" customHeight="1" x14ac:dyDescent="0.3">
      <c r="B40" s="29" t="s">
        <v>63</v>
      </c>
      <c r="C40" s="29" t="s">
        <v>29</v>
      </c>
      <c r="D40" s="32" t="str">
        <f>INDEX('90_SEMA'!$G$7:$H$183,34,NYELV_IDX)</f>
        <v>I. KÉSZLETEK</v>
      </c>
      <c r="E40" s="31">
        <f t="shared" si="5"/>
        <v>0</v>
      </c>
      <c r="F40" s="31">
        <f t="shared" si="5"/>
        <v>0</v>
      </c>
      <c r="G40" s="31">
        <f t="shared" si="5"/>
        <v>0</v>
      </c>
      <c r="H40" s="31">
        <f t="shared" si="5"/>
        <v>0</v>
      </c>
      <c r="I40" s="31">
        <f t="shared" si="5"/>
        <v>0</v>
      </c>
      <c r="J40" s="31">
        <f t="shared" si="5"/>
        <v>0</v>
      </c>
      <c r="K40" s="31">
        <f t="shared" si="5"/>
        <v>0</v>
      </c>
      <c r="L40" s="31">
        <f t="shared" si="5"/>
        <v>0</v>
      </c>
      <c r="M40" s="31">
        <f t="shared" si="5"/>
        <v>0</v>
      </c>
      <c r="N40" s="31">
        <f t="shared" si="5"/>
        <v>0</v>
      </c>
      <c r="O40" s="31">
        <f t="shared" si="6"/>
        <v>0</v>
      </c>
      <c r="P40" s="31">
        <f t="shared" si="6"/>
        <v>0</v>
      </c>
      <c r="Q40" s="31">
        <f t="shared" si="6"/>
        <v>0</v>
      </c>
      <c r="R40" s="31">
        <f t="shared" si="6"/>
        <v>0</v>
      </c>
      <c r="S40" s="31">
        <f t="shared" si="6"/>
        <v>0</v>
      </c>
      <c r="T40" s="31">
        <f t="shared" si="6"/>
        <v>0</v>
      </c>
      <c r="U40" s="31">
        <f t="shared" si="6"/>
        <v>0</v>
      </c>
      <c r="V40" s="31">
        <f t="shared" si="6"/>
        <v>0</v>
      </c>
      <c r="W40" s="31">
        <f t="shared" si="6"/>
        <v>0</v>
      </c>
      <c r="X40" s="31">
        <f t="shared" si="6"/>
        <v>0</v>
      </c>
    </row>
    <row r="41" spans="2:24" ht="15" customHeight="1" x14ac:dyDescent="0.3">
      <c r="B41" s="29" t="s">
        <v>64</v>
      </c>
      <c r="C41" s="29" t="s">
        <v>32</v>
      </c>
      <c r="D41" s="7" t="str">
        <f>INDEX('90_SEMA'!$G$7:$H$183,35,NYELV_IDX)</f>
        <v>1. Anyagok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</row>
    <row r="42" spans="2:24" ht="15" customHeight="1" x14ac:dyDescent="0.3">
      <c r="B42" s="29" t="s">
        <v>65</v>
      </c>
      <c r="C42" s="29" t="s">
        <v>32</v>
      </c>
      <c r="D42" s="7" t="str">
        <f>INDEX('90_SEMA'!$G$7:$H$183,36,NYELV_IDX)</f>
        <v>2. Befejezetlen termelés és félkész termékek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</row>
    <row r="43" spans="2:24" ht="15" customHeight="1" x14ac:dyDescent="0.3">
      <c r="B43" s="29" t="s">
        <v>66</v>
      </c>
      <c r="C43" s="29" t="s">
        <v>32</v>
      </c>
      <c r="D43" s="7" t="str">
        <f>INDEX('90_SEMA'!$G$7:$H$183,37,NYELV_IDX)</f>
        <v>3. Növendék-, hízó- és egyéb állatok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</row>
    <row r="44" spans="2:24" ht="15" customHeight="1" x14ac:dyDescent="0.3">
      <c r="B44" s="29" t="s">
        <v>67</v>
      </c>
      <c r="C44" s="29" t="s">
        <v>32</v>
      </c>
      <c r="D44" s="7" t="str">
        <f>INDEX('90_SEMA'!$G$7:$H$183,38,NYELV_IDX)</f>
        <v>4. Késztermékek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</row>
    <row r="45" spans="2:24" ht="15" customHeight="1" x14ac:dyDescent="0.3">
      <c r="B45" s="29" t="s">
        <v>68</v>
      </c>
      <c r="C45" s="29" t="s">
        <v>32</v>
      </c>
      <c r="D45" s="7" t="str">
        <f>INDEX('90_SEMA'!$G$7:$H$183,39,NYELV_IDX)</f>
        <v>5. Áruk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</row>
    <row r="46" spans="2:24" ht="15" customHeight="1" x14ac:dyDescent="0.3">
      <c r="B46" s="29" t="s">
        <v>69</v>
      </c>
      <c r="C46" s="29" t="s">
        <v>32</v>
      </c>
      <c r="D46" s="7" t="str">
        <f>INDEX('90_SEMA'!$G$7:$H$183,40,NYELV_IDX)</f>
        <v>6. Készletekre adott előlegek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</row>
    <row r="47" spans="2:24" ht="15" customHeight="1" x14ac:dyDescent="0.3">
      <c r="B47" s="29" t="s">
        <v>70</v>
      </c>
      <c r="C47" s="29" t="s">
        <v>29</v>
      </c>
      <c r="D47" s="32" t="str">
        <f>INDEX('90_SEMA'!$G$7:$H$183,41,NYELV_IDX)</f>
        <v>II. KÖVETELÉSEK</v>
      </c>
      <c r="E47" s="31">
        <f t="shared" ref="E47:X47" si="7">SUMIFS(E$7:E$183,$B$7:$B$183,$B47&amp;".*",$C$7:$C$183,"D")</f>
        <v>0</v>
      </c>
      <c r="F47" s="31">
        <f t="shared" si="7"/>
        <v>0</v>
      </c>
      <c r="G47" s="31">
        <f t="shared" si="7"/>
        <v>0</v>
      </c>
      <c r="H47" s="31">
        <f t="shared" si="7"/>
        <v>0</v>
      </c>
      <c r="I47" s="31">
        <f t="shared" si="7"/>
        <v>0</v>
      </c>
      <c r="J47" s="31">
        <f t="shared" si="7"/>
        <v>0</v>
      </c>
      <c r="K47" s="31">
        <f t="shared" si="7"/>
        <v>0</v>
      </c>
      <c r="L47" s="31">
        <f t="shared" si="7"/>
        <v>0</v>
      </c>
      <c r="M47" s="31">
        <f t="shared" si="7"/>
        <v>0</v>
      </c>
      <c r="N47" s="31">
        <f t="shared" si="7"/>
        <v>0</v>
      </c>
      <c r="O47" s="31">
        <f t="shared" si="7"/>
        <v>0</v>
      </c>
      <c r="P47" s="31">
        <f t="shared" si="7"/>
        <v>0</v>
      </c>
      <c r="Q47" s="31">
        <f t="shared" si="7"/>
        <v>0</v>
      </c>
      <c r="R47" s="31">
        <f t="shared" si="7"/>
        <v>0</v>
      </c>
      <c r="S47" s="31">
        <f t="shared" si="7"/>
        <v>0</v>
      </c>
      <c r="T47" s="31">
        <f t="shared" si="7"/>
        <v>0</v>
      </c>
      <c r="U47" s="31">
        <f t="shared" si="7"/>
        <v>0</v>
      </c>
      <c r="V47" s="31">
        <f t="shared" si="7"/>
        <v>0</v>
      </c>
      <c r="W47" s="31">
        <f t="shared" si="7"/>
        <v>0</v>
      </c>
      <c r="X47" s="31">
        <f t="shared" si="7"/>
        <v>0</v>
      </c>
    </row>
    <row r="48" spans="2:24" ht="15" customHeight="1" x14ac:dyDescent="0.3">
      <c r="B48" s="29" t="s">
        <v>71</v>
      </c>
      <c r="C48" s="29" t="s">
        <v>32</v>
      </c>
      <c r="D48" s="7" t="str">
        <f>INDEX('90_SEMA'!$G$7:$H$183,42,NYELV_IDX)</f>
        <v>1. Követelések áruszállításból és szolgáltatásból (vevők)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</row>
    <row r="49" spans="2:24" ht="15" customHeight="1" x14ac:dyDescent="0.3">
      <c r="B49" s="29" t="s">
        <v>72</v>
      </c>
      <c r="C49" s="29" t="s">
        <v>32</v>
      </c>
      <c r="D49" s="7" t="str">
        <f>INDEX('90_SEMA'!$G$7:$H$183,43,NYELV_IDX)</f>
        <v>2. Követelések kapcsolt vállalkozással szemben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</row>
    <row r="50" spans="2:24" ht="15" customHeight="1" x14ac:dyDescent="0.3">
      <c r="B50" s="29" t="s">
        <v>73</v>
      </c>
      <c r="C50" s="29" t="s">
        <v>32</v>
      </c>
      <c r="D50" s="7" t="str">
        <f>INDEX('90_SEMA'!$G$7:$H$183,44,NYELV_IDX)</f>
        <v>3. Követelések jelentős tulajdoni részesedési viszonyban lévő vállalkozással szemben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</row>
    <row r="51" spans="2:24" ht="15" customHeight="1" x14ac:dyDescent="0.3">
      <c r="B51" s="29" t="s">
        <v>74</v>
      </c>
      <c r="C51" s="29" t="s">
        <v>32</v>
      </c>
      <c r="D51" s="7" t="str">
        <f>INDEX('90_SEMA'!$G$7:$H$183,45,NYELV_IDX)</f>
        <v>4. Követelések egyéb részesedési viszonyban lévő vállalkozással szemben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</row>
    <row r="52" spans="2:24" ht="15" customHeight="1" x14ac:dyDescent="0.3">
      <c r="B52" s="29" t="s">
        <v>75</v>
      </c>
      <c r="C52" s="29" t="s">
        <v>32</v>
      </c>
      <c r="D52" s="7" t="str">
        <f>INDEX('90_SEMA'!$G$7:$H$183,46,NYELV_IDX)</f>
        <v>5. Váltókövetelések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</row>
    <row r="53" spans="2:24" ht="15" customHeight="1" x14ac:dyDescent="0.3">
      <c r="B53" s="29" t="s">
        <v>76</v>
      </c>
      <c r="C53" s="29" t="s">
        <v>32</v>
      </c>
      <c r="D53" s="7" t="str">
        <f>INDEX('90_SEMA'!$G$7:$H$183,47,NYELV_IDX)</f>
        <v>6. Egyéb követelések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</row>
    <row r="54" spans="2:24" ht="15" customHeight="1" x14ac:dyDescent="0.3">
      <c r="B54" s="29" t="s">
        <v>77</v>
      </c>
      <c r="C54" s="29" t="s">
        <v>32</v>
      </c>
      <c r="D54" s="7" t="str">
        <f>INDEX('90_SEMA'!$G$7:$H$183,48,NYELV_IDX)</f>
        <v>7. Követelések értékelési különbözete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</row>
    <row r="55" spans="2:24" ht="15" customHeight="1" x14ac:dyDescent="0.3">
      <c r="B55" s="29" t="s">
        <v>78</v>
      </c>
      <c r="C55" s="29" t="s">
        <v>32</v>
      </c>
      <c r="D55" s="7" t="str">
        <f>INDEX('90_SEMA'!$G$7:$H$183,49,NYELV_IDX)</f>
        <v>8. Származékos ügyletek pozitív értékelési különbözete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</row>
    <row r="56" spans="2:24" ht="15" customHeight="1" x14ac:dyDescent="0.3">
      <c r="B56" s="29" t="s">
        <v>79</v>
      </c>
      <c r="C56" s="29" t="s">
        <v>32</v>
      </c>
      <c r="D56" s="7" t="str">
        <f>INDEX('90_SEMA'!$G$7:$H$183,50,NYELV_IDX)</f>
        <v>9. Konszolidációból adódó (számított) társasági adó követelés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</row>
    <row r="57" spans="2:24" ht="15" customHeight="1" x14ac:dyDescent="0.3">
      <c r="B57" s="29" t="s">
        <v>80</v>
      </c>
      <c r="C57" s="29" t="s">
        <v>29</v>
      </c>
      <c r="D57" s="32" t="str">
        <f>INDEX('90_SEMA'!$G$7:$H$183,51,NYELV_IDX)</f>
        <v>III. ÉRTÉKPAPÍROK</v>
      </c>
      <c r="E57" s="31">
        <f t="shared" ref="E57:X57" si="8">SUMIFS(E$7:E$183,$B$7:$B$183,$B57&amp;".*",$C$7:$C$183,"D")</f>
        <v>0</v>
      </c>
      <c r="F57" s="31">
        <f t="shared" si="8"/>
        <v>0</v>
      </c>
      <c r="G57" s="31">
        <f t="shared" si="8"/>
        <v>0</v>
      </c>
      <c r="H57" s="31">
        <f t="shared" si="8"/>
        <v>0</v>
      </c>
      <c r="I57" s="31">
        <f t="shared" si="8"/>
        <v>0</v>
      </c>
      <c r="J57" s="31">
        <f t="shared" si="8"/>
        <v>0</v>
      </c>
      <c r="K57" s="31">
        <f t="shared" si="8"/>
        <v>0</v>
      </c>
      <c r="L57" s="31">
        <f t="shared" si="8"/>
        <v>0</v>
      </c>
      <c r="M57" s="31">
        <f t="shared" si="8"/>
        <v>0</v>
      </c>
      <c r="N57" s="31">
        <f t="shared" si="8"/>
        <v>0</v>
      </c>
      <c r="O57" s="31">
        <f t="shared" si="8"/>
        <v>0</v>
      </c>
      <c r="P57" s="31">
        <f t="shared" si="8"/>
        <v>0</v>
      </c>
      <c r="Q57" s="31">
        <f t="shared" si="8"/>
        <v>0</v>
      </c>
      <c r="R57" s="31">
        <f t="shared" si="8"/>
        <v>0</v>
      </c>
      <c r="S57" s="31">
        <f t="shared" si="8"/>
        <v>0</v>
      </c>
      <c r="T57" s="31">
        <f t="shared" si="8"/>
        <v>0</v>
      </c>
      <c r="U57" s="31">
        <f t="shared" si="8"/>
        <v>0</v>
      </c>
      <c r="V57" s="31">
        <f t="shared" si="8"/>
        <v>0</v>
      </c>
      <c r="W57" s="31">
        <f t="shared" si="8"/>
        <v>0</v>
      </c>
      <c r="X57" s="31">
        <f t="shared" si="8"/>
        <v>0</v>
      </c>
    </row>
    <row r="58" spans="2:24" ht="15" customHeight="1" x14ac:dyDescent="0.3">
      <c r="B58" s="29" t="s">
        <v>81</v>
      </c>
      <c r="C58" s="29" t="s">
        <v>32</v>
      </c>
      <c r="D58" s="7" t="str">
        <f>INDEX('90_SEMA'!$G$7:$H$183,52,NYELV_IDX)</f>
        <v>1. Részesedés kapcsolt vállalkozásban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</row>
    <row r="59" spans="2:24" ht="15" customHeight="1" x14ac:dyDescent="0.3">
      <c r="B59" s="29" t="s">
        <v>82</v>
      </c>
      <c r="C59" s="29" t="s">
        <v>32</v>
      </c>
      <c r="D59" s="7" t="str">
        <f>INDEX('90_SEMA'!$G$7:$H$183,53,NYELV_IDX)</f>
        <v>2. Jelentős tulajdoni részesedés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</row>
    <row r="60" spans="2:24" ht="15" customHeight="1" x14ac:dyDescent="0.3">
      <c r="B60" s="29" t="s">
        <v>83</v>
      </c>
      <c r="C60" s="29" t="s">
        <v>32</v>
      </c>
      <c r="D60" s="7" t="str">
        <f>INDEX('90_SEMA'!$G$7:$H$183,54,NYELV_IDX)</f>
        <v>3. Egyéb részesedés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</row>
    <row r="61" spans="2:24" ht="15" customHeight="1" x14ac:dyDescent="0.3">
      <c r="B61" s="29" t="s">
        <v>84</v>
      </c>
      <c r="C61" s="29" t="s">
        <v>32</v>
      </c>
      <c r="D61" s="7" t="str">
        <f>INDEX('90_SEMA'!$G$7:$H$183,55,NYELV_IDX)</f>
        <v>4. Saját részvények, saját üzletrészek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</row>
    <row r="62" spans="2:24" ht="15" customHeight="1" x14ac:dyDescent="0.3">
      <c r="B62" s="29" t="s">
        <v>85</v>
      </c>
      <c r="C62" s="29" t="s">
        <v>32</v>
      </c>
      <c r="D62" s="7" t="str">
        <f>INDEX('90_SEMA'!$G$7:$H$183,56,NYELV_IDX)</f>
        <v>5. Forgatási célú hitelviszonyt megtestesítő értékpapírok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</row>
    <row r="63" spans="2:24" ht="15" customHeight="1" x14ac:dyDescent="0.3">
      <c r="B63" s="29" t="s">
        <v>86</v>
      </c>
      <c r="C63" s="29" t="s">
        <v>32</v>
      </c>
      <c r="D63" s="7" t="str">
        <f>INDEX('90_SEMA'!$G$7:$H$183,57,NYELV_IDX)</f>
        <v>6. Értékpapírok értékelési különbözete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</row>
    <row r="64" spans="2:24" ht="15" customHeight="1" x14ac:dyDescent="0.3">
      <c r="B64" s="29" t="s">
        <v>87</v>
      </c>
      <c r="C64" s="29" t="s">
        <v>29</v>
      </c>
      <c r="D64" s="32" t="str">
        <f>INDEX('90_SEMA'!$G$7:$H$183,58,NYELV_IDX)</f>
        <v>IV. PÉNZESZKÖZÖK</v>
      </c>
      <c r="E64" s="31">
        <f t="shared" ref="E64:X64" si="9">SUMIFS(E$7:E$183,$B$7:$B$183,$B64&amp;".*",$C$7:$C$183,"D")</f>
        <v>0</v>
      </c>
      <c r="F64" s="31">
        <f t="shared" si="9"/>
        <v>0</v>
      </c>
      <c r="G64" s="31">
        <f t="shared" si="9"/>
        <v>0</v>
      </c>
      <c r="H64" s="31">
        <f t="shared" si="9"/>
        <v>0</v>
      </c>
      <c r="I64" s="31">
        <f t="shared" si="9"/>
        <v>0</v>
      </c>
      <c r="J64" s="31">
        <f t="shared" si="9"/>
        <v>0</v>
      </c>
      <c r="K64" s="31">
        <f t="shared" si="9"/>
        <v>0</v>
      </c>
      <c r="L64" s="31">
        <f t="shared" si="9"/>
        <v>0</v>
      </c>
      <c r="M64" s="31">
        <f t="shared" si="9"/>
        <v>0</v>
      </c>
      <c r="N64" s="31">
        <f t="shared" si="9"/>
        <v>0</v>
      </c>
      <c r="O64" s="31">
        <f t="shared" si="9"/>
        <v>0</v>
      </c>
      <c r="P64" s="31">
        <f t="shared" si="9"/>
        <v>0</v>
      </c>
      <c r="Q64" s="31">
        <f t="shared" si="9"/>
        <v>0</v>
      </c>
      <c r="R64" s="31">
        <f t="shared" si="9"/>
        <v>0</v>
      </c>
      <c r="S64" s="31">
        <f t="shared" si="9"/>
        <v>0</v>
      </c>
      <c r="T64" s="31">
        <f t="shared" si="9"/>
        <v>0</v>
      </c>
      <c r="U64" s="31">
        <f t="shared" si="9"/>
        <v>0</v>
      </c>
      <c r="V64" s="31">
        <f t="shared" si="9"/>
        <v>0</v>
      </c>
      <c r="W64" s="31">
        <f t="shared" si="9"/>
        <v>0</v>
      </c>
      <c r="X64" s="31">
        <f t="shared" si="9"/>
        <v>0</v>
      </c>
    </row>
    <row r="65" spans="2:24" ht="15" customHeight="1" x14ac:dyDescent="0.3">
      <c r="B65" s="29" t="s">
        <v>88</v>
      </c>
      <c r="C65" s="29" t="s">
        <v>32</v>
      </c>
      <c r="D65" s="7" t="str">
        <f>INDEX('90_SEMA'!$G$7:$H$183,59,NYELV_IDX)</f>
        <v>1. Pénztár, csekkek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</row>
    <row r="66" spans="2:24" ht="15" customHeight="1" x14ac:dyDescent="0.3">
      <c r="B66" s="29" t="s">
        <v>89</v>
      </c>
      <c r="C66" s="29" t="s">
        <v>32</v>
      </c>
      <c r="D66" s="7" t="str">
        <f>INDEX('90_SEMA'!$G$7:$H$183,60,NYELV_IDX)</f>
        <v>2. Bankbetétek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</row>
    <row r="67" spans="2:24" ht="15" customHeight="1" x14ac:dyDescent="0.3">
      <c r="B67" s="29" t="s">
        <v>90</v>
      </c>
      <c r="C67" s="29" t="s">
        <v>29</v>
      </c>
      <c r="D67" s="30" t="str">
        <f>INDEX('90_SEMA'!$G$7:$H$183,61,NYELV_IDX)</f>
        <v>C. Aktív időbeli elhatárolások</v>
      </c>
      <c r="E67" s="31">
        <f t="shared" ref="E67:X67" si="10">SUMIFS(E$7:E$183,$B$7:$B$183,$B67&amp;".*",$C$7:$C$183,"D")</f>
        <v>0</v>
      </c>
      <c r="F67" s="31">
        <f t="shared" si="10"/>
        <v>0</v>
      </c>
      <c r="G67" s="31">
        <f t="shared" si="10"/>
        <v>0</v>
      </c>
      <c r="H67" s="31">
        <f t="shared" si="10"/>
        <v>0</v>
      </c>
      <c r="I67" s="31">
        <f t="shared" si="10"/>
        <v>0</v>
      </c>
      <c r="J67" s="31">
        <f t="shared" si="10"/>
        <v>0</v>
      </c>
      <c r="K67" s="31">
        <f t="shared" si="10"/>
        <v>0</v>
      </c>
      <c r="L67" s="31">
        <f t="shared" si="10"/>
        <v>0</v>
      </c>
      <c r="M67" s="31">
        <f t="shared" si="10"/>
        <v>0</v>
      </c>
      <c r="N67" s="31">
        <f t="shared" si="10"/>
        <v>0</v>
      </c>
      <c r="O67" s="31">
        <f t="shared" si="10"/>
        <v>0</v>
      </c>
      <c r="P67" s="31">
        <f t="shared" si="10"/>
        <v>0</v>
      </c>
      <c r="Q67" s="31">
        <f t="shared" si="10"/>
        <v>0</v>
      </c>
      <c r="R67" s="31">
        <f t="shared" si="10"/>
        <v>0</v>
      </c>
      <c r="S67" s="31">
        <f t="shared" si="10"/>
        <v>0</v>
      </c>
      <c r="T67" s="31">
        <f t="shared" si="10"/>
        <v>0</v>
      </c>
      <c r="U67" s="31">
        <f t="shared" si="10"/>
        <v>0</v>
      </c>
      <c r="V67" s="31">
        <f t="shared" si="10"/>
        <v>0</v>
      </c>
      <c r="W67" s="31">
        <f t="shared" si="10"/>
        <v>0</v>
      </c>
      <c r="X67" s="31">
        <f t="shared" si="10"/>
        <v>0</v>
      </c>
    </row>
    <row r="68" spans="2:24" ht="15" customHeight="1" x14ac:dyDescent="0.3">
      <c r="B68" s="29" t="s">
        <v>91</v>
      </c>
      <c r="C68" s="29" t="s">
        <v>32</v>
      </c>
      <c r="D68" s="7" t="str">
        <f>INDEX('90_SEMA'!$G$7:$H$183,62,NYELV_IDX)</f>
        <v>1. Bevételek aktív időbeli elhatárolása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</row>
    <row r="69" spans="2:24" ht="15" customHeight="1" x14ac:dyDescent="0.3">
      <c r="B69" s="29" t="s">
        <v>92</v>
      </c>
      <c r="C69" s="29" t="s">
        <v>32</v>
      </c>
      <c r="D69" s="7" t="str">
        <f>INDEX('90_SEMA'!$G$7:$H$183,63,NYELV_IDX)</f>
        <v>2. Költségek, ráfordítások aktív időbeli elhatárolása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</row>
    <row r="70" spans="2:24" ht="15" customHeight="1" x14ac:dyDescent="0.3">
      <c r="B70" s="29" t="s">
        <v>93</v>
      </c>
      <c r="C70" s="29" t="s">
        <v>32</v>
      </c>
      <c r="D70" s="7" t="str">
        <f>INDEX('90_SEMA'!$G$7:$H$183,64,NYELV_IDX)</f>
        <v>3. Halasztott ráfordítások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</row>
    <row r="71" spans="2:24" ht="15" customHeight="1" x14ac:dyDescent="0.3">
      <c r="B71" s="29" t="s">
        <v>94</v>
      </c>
      <c r="C71" s="29" t="s">
        <v>29</v>
      </c>
      <c r="D71" s="30" t="str">
        <f>INDEX('90_SEMA'!$G$7:$H$183,65,NYELV_IDX)</f>
        <v>D. Saját tőke</v>
      </c>
      <c r="E71" s="31">
        <f t="shared" ref="E71:X71" si="11">SUMIFS(E$7:E$183,$B$7:$B$183,$B71&amp;".*",$C$7:$C$183,"D")</f>
        <v>0</v>
      </c>
      <c r="F71" s="31">
        <f t="shared" si="11"/>
        <v>0</v>
      </c>
      <c r="G71" s="31">
        <f t="shared" si="11"/>
        <v>0</v>
      </c>
      <c r="H71" s="31">
        <f t="shared" si="11"/>
        <v>0</v>
      </c>
      <c r="I71" s="31">
        <f t="shared" si="11"/>
        <v>0</v>
      </c>
      <c r="J71" s="31">
        <f t="shared" si="11"/>
        <v>0</v>
      </c>
      <c r="K71" s="31">
        <f t="shared" si="11"/>
        <v>0</v>
      </c>
      <c r="L71" s="31">
        <f t="shared" si="11"/>
        <v>0</v>
      </c>
      <c r="M71" s="31">
        <f t="shared" si="11"/>
        <v>0</v>
      </c>
      <c r="N71" s="31">
        <f t="shared" si="11"/>
        <v>0</v>
      </c>
      <c r="O71" s="31">
        <f t="shared" si="11"/>
        <v>0</v>
      </c>
      <c r="P71" s="31">
        <f t="shared" si="11"/>
        <v>0</v>
      </c>
      <c r="Q71" s="31">
        <f t="shared" si="11"/>
        <v>0</v>
      </c>
      <c r="R71" s="31">
        <f t="shared" si="11"/>
        <v>0</v>
      </c>
      <c r="S71" s="31">
        <f t="shared" si="11"/>
        <v>0</v>
      </c>
      <c r="T71" s="31">
        <f t="shared" si="11"/>
        <v>0</v>
      </c>
      <c r="U71" s="31">
        <f t="shared" si="11"/>
        <v>0</v>
      </c>
      <c r="V71" s="31">
        <f t="shared" si="11"/>
        <v>0</v>
      </c>
      <c r="W71" s="31">
        <f t="shared" si="11"/>
        <v>0</v>
      </c>
      <c r="X71" s="31">
        <f t="shared" si="11"/>
        <v>0</v>
      </c>
    </row>
    <row r="72" spans="2:24" ht="15" customHeight="1" x14ac:dyDescent="0.3">
      <c r="B72" s="29" t="s">
        <v>95</v>
      </c>
      <c r="C72" s="29" t="s">
        <v>32</v>
      </c>
      <c r="D72" s="32" t="str">
        <f>INDEX('90_SEMA'!$G$7:$H$183,66,NYELV_IDX)</f>
        <v>I. JEGYZETT TŐKE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</row>
    <row r="73" spans="2:24" ht="15" customHeight="1" x14ac:dyDescent="0.3">
      <c r="B73" s="29" t="s">
        <v>96</v>
      </c>
      <c r="C73" s="29" t="s">
        <v>97</v>
      </c>
      <c r="D73" s="34" t="str">
        <f>INDEX('90_SEMA'!$G$7:$H$183,67,NYELV_IDX)</f>
        <v xml:space="preserve">     Ebből: visszavásárolt tulajdoni részesedés névértéken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</row>
    <row r="74" spans="2:24" ht="15" customHeight="1" x14ac:dyDescent="0.3">
      <c r="B74" s="29" t="s">
        <v>98</v>
      </c>
      <c r="C74" s="29" t="s">
        <v>32</v>
      </c>
      <c r="D74" s="32" t="str">
        <f>INDEX('90_SEMA'!$G$7:$H$183,68,NYELV_IDX)</f>
        <v>II. JEGYZETT, DE MÉG BE NEM FIZETETT TŐKE (-)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</row>
    <row r="75" spans="2:24" ht="15" customHeight="1" x14ac:dyDescent="0.3">
      <c r="B75" s="29" t="s">
        <v>99</v>
      </c>
      <c r="C75" s="29" t="s">
        <v>32</v>
      </c>
      <c r="D75" s="32" t="str">
        <f>INDEX('90_SEMA'!$G$7:$H$183,69,NYELV_IDX)</f>
        <v>III. TŐKETARTALÉK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</row>
    <row r="76" spans="2:24" ht="15" customHeight="1" x14ac:dyDescent="0.3">
      <c r="B76" s="29" t="s">
        <v>100</v>
      </c>
      <c r="C76" s="29" t="s">
        <v>32</v>
      </c>
      <c r="D76" s="32" t="str">
        <f>INDEX('90_SEMA'!$G$7:$H$183,70,NYELV_IDX)</f>
        <v>IV. EREDMÉNYTARTALÉK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</row>
    <row r="77" spans="2:24" ht="15" customHeight="1" x14ac:dyDescent="0.3">
      <c r="B77" s="29" t="s">
        <v>101</v>
      </c>
      <c r="C77" s="29" t="s">
        <v>32</v>
      </c>
      <c r="D77" s="32" t="str">
        <f>INDEX('90_SEMA'!$G$7:$H$183,71,NYELV_IDX)</f>
        <v>V. LEKÖTÖTT TARTALÉK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</row>
    <row r="78" spans="2:24" ht="15" customHeight="1" x14ac:dyDescent="0.3">
      <c r="B78" s="29" t="s">
        <v>102</v>
      </c>
      <c r="C78" s="29" t="s">
        <v>29</v>
      </c>
      <c r="D78" s="32" t="str">
        <f>INDEX('90_SEMA'!$G$7:$H$183,72,NYELV_IDX)</f>
        <v>VI. ÉRTÉKELÉSI TARTALÉK</v>
      </c>
      <c r="E78" s="31">
        <f t="shared" ref="E78:X78" si="12">SUMIFS(E$7:E$183,$B$7:$B$183,$B78&amp;".*",$C$7:$C$183,"D")</f>
        <v>0</v>
      </c>
      <c r="F78" s="31">
        <f t="shared" si="12"/>
        <v>0</v>
      </c>
      <c r="G78" s="31">
        <f t="shared" si="12"/>
        <v>0</v>
      </c>
      <c r="H78" s="31">
        <f t="shared" si="12"/>
        <v>0</v>
      </c>
      <c r="I78" s="31">
        <f t="shared" si="12"/>
        <v>0</v>
      </c>
      <c r="J78" s="31">
        <f t="shared" si="12"/>
        <v>0</v>
      </c>
      <c r="K78" s="31">
        <f t="shared" si="12"/>
        <v>0</v>
      </c>
      <c r="L78" s="31">
        <f t="shared" si="12"/>
        <v>0</v>
      </c>
      <c r="M78" s="31">
        <f t="shared" si="12"/>
        <v>0</v>
      </c>
      <c r="N78" s="31">
        <f t="shared" si="12"/>
        <v>0</v>
      </c>
      <c r="O78" s="31">
        <f t="shared" si="12"/>
        <v>0</v>
      </c>
      <c r="P78" s="31">
        <f t="shared" si="12"/>
        <v>0</v>
      </c>
      <c r="Q78" s="31">
        <f t="shared" si="12"/>
        <v>0</v>
      </c>
      <c r="R78" s="31">
        <f t="shared" si="12"/>
        <v>0</v>
      </c>
      <c r="S78" s="31">
        <f t="shared" si="12"/>
        <v>0</v>
      </c>
      <c r="T78" s="31">
        <f t="shared" si="12"/>
        <v>0</v>
      </c>
      <c r="U78" s="31">
        <f t="shared" si="12"/>
        <v>0</v>
      </c>
      <c r="V78" s="31">
        <f t="shared" si="12"/>
        <v>0</v>
      </c>
      <c r="W78" s="31">
        <f t="shared" si="12"/>
        <v>0</v>
      </c>
      <c r="X78" s="31">
        <f t="shared" si="12"/>
        <v>0</v>
      </c>
    </row>
    <row r="79" spans="2:24" ht="15" customHeight="1" x14ac:dyDescent="0.3">
      <c r="B79" s="29" t="s">
        <v>103</v>
      </c>
      <c r="C79" s="29" t="s">
        <v>32</v>
      </c>
      <c r="D79" s="7" t="str">
        <f>INDEX('90_SEMA'!$G$7:$H$183,73,NYELV_IDX)</f>
        <v>1. Értékhelyesbítés értékelési tartaléka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</row>
    <row r="80" spans="2:24" ht="15" customHeight="1" x14ac:dyDescent="0.3">
      <c r="B80" s="29" t="s">
        <v>104</v>
      </c>
      <c r="C80" s="29" t="s">
        <v>32</v>
      </c>
      <c r="D80" s="7" t="str">
        <f>INDEX('90_SEMA'!$G$7:$H$183,74,NYELV_IDX)</f>
        <v>2. Valós értékelés értékelési tartaléka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</row>
    <row r="81" spans="2:24" ht="15" customHeight="1" x14ac:dyDescent="0.3">
      <c r="B81" s="29" t="s">
        <v>105</v>
      </c>
      <c r="C81" s="29" t="s">
        <v>32</v>
      </c>
      <c r="D81" s="32" t="str">
        <f>INDEX('90_SEMA'!$G$7:$H$183,75,NYELV_IDX)</f>
        <v>VII. Korrigált adózott eredmény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</row>
    <row r="82" spans="2:24" ht="15" customHeight="1" x14ac:dyDescent="0.3">
      <c r="B82" s="29" t="s">
        <v>106</v>
      </c>
      <c r="C82" s="29" t="s">
        <v>32</v>
      </c>
      <c r="D82" s="32" t="str">
        <f>INDEX('90_SEMA'!$G$7:$H$183,76,NYELV_IDX)</f>
        <v>VIII. Leányvállalati saját tőke változás (±)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</row>
    <row r="83" spans="2:24" ht="15" customHeight="1" x14ac:dyDescent="0.3">
      <c r="B83" s="29" t="s">
        <v>107</v>
      </c>
      <c r="C83" s="29" t="s">
        <v>29</v>
      </c>
      <c r="D83" s="32" t="str">
        <f>INDEX('90_SEMA'!$G$7:$H$183,77,NYELV_IDX)</f>
        <v>IX. Konszolidáció miatti változások (±)</v>
      </c>
      <c r="E83" s="31">
        <f t="shared" ref="E83:X83" si="13">SUMIFS(E$7:E$183,$B$7:$B$183,$B83&amp;".*",$C$7:$C$183,"D")</f>
        <v>0</v>
      </c>
      <c r="F83" s="31">
        <f t="shared" si="13"/>
        <v>0</v>
      </c>
      <c r="G83" s="31">
        <f t="shared" si="13"/>
        <v>0</v>
      </c>
      <c r="H83" s="31">
        <f t="shared" si="13"/>
        <v>0</v>
      </c>
      <c r="I83" s="31">
        <f t="shared" si="13"/>
        <v>0</v>
      </c>
      <c r="J83" s="31">
        <f t="shared" si="13"/>
        <v>0</v>
      </c>
      <c r="K83" s="31">
        <f t="shared" si="13"/>
        <v>0</v>
      </c>
      <c r="L83" s="31">
        <f t="shared" si="13"/>
        <v>0</v>
      </c>
      <c r="M83" s="31">
        <f t="shared" si="13"/>
        <v>0</v>
      </c>
      <c r="N83" s="31">
        <f t="shared" si="13"/>
        <v>0</v>
      </c>
      <c r="O83" s="31">
        <f t="shared" si="13"/>
        <v>0</v>
      </c>
      <c r="P83" s="31">
        <f t="shared" si="13"/>
        <v>0</v>
      </c>
      <c r="Q83" s="31">
        <f t="shared" si="13"/>
        <v>0</v>
      </c>
      <c r="R83" s="31">
        <f t="shared" si="13"/>
        <v>0</v>
      </c>
      <c r="S83" s="31">
        <f t="shared" si="13"/>
        <v>0</v>
      </c>
      <c r="T83" s="31">
        <f t="shared" si="13"/>
        <v>0</v>
      </c>
      <c r="U83" s="31">
        <f t="shared" si="13"/>
        <v>0</v>
      </c>
      <c r="V83" s="31">
        <f t="shared" si="13"/>
        <v>0</v>
      </c>
      <c r="W83" s="31">
        <f t="shared" si="13"/>
        <v>0</v>
      </c>
      <c r="X83" s="31">
        <f t="shared" si="13"/>
        <v>0</v>
      </c>
    </row>
    <row r="84" spans="2:24" ht="15" customHeight="1" x14ac:dyDescent="0.3">
      <c r="B84" s="29" t="s">
        <v>108</v>
      </c>
      <c r="C84" s="29" t="s">
        <v>32</v>
      </c>
      <c r="D84" s="7" t="str">
        <f>INDEX('90_SEMA'!$G$7:$H$183,78,NYELV_IDX)</f>
        <v xml:space="preserve">     – adósságkonszolidálás különbözetéből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</row>
    <row r="85" spans="2:24" ht="15" customHeight="1" x14ac:dyDescent="0.3">
      <c r="B85" s="29" t="s">
        <v>109</v>
      </c>
      <c r="C85" s="29" t="s">
        <v>32</v>
      </c>
      <c r="D85" s="7" t="str">
        <f>INDEX('90_SEMA'!$G$7:$H$183,79,NYELV_IDX)</f>
        <v xml:space="preserve">     – közbenső eredmény különbözetéből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</row>
    <row r="86" spans="2:24" ht="15" customHeight="1" x14ac:dyDescent="0.3">
      <c r="B86" s="29" t="s">
        <v>110</v>
      </c>
      <c r="C86" s="29" t="s">
        <v>32</v>
      </c>
      <c r="D86" s="7" t="str">
        <f>INDEX('90_SEMA'!$G$7:$H$183,80,NYELV_IDX)</f>
        <v>Devizás átszámítás különbözete [Szt. 123. § (9)]</v>
      </c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</row>
    <row r="87" spans="2:24" ht="15" customHeight="1" x14ac:dyDescent="0.3">
      <c r="B87" s="29" t="s">
        <v>111</v>
      </c>
      <c r="C87" s="29" t="s">
        <v>32</v>
      </c>
      <c r="D87" s="32" t="str">
        <f>INDEX('90_SEMA'!$G$7:$H$183,81,NYELV_IDX)</f>
        <v>X. Külső tagok (más tulajdonosok) részesedése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</row>
    <row r="88" spans="2:24" ht="15" customHeight="1" x14ac:dyDescent="0.3">
      <c r="B88" s="29" t="s">
        <v>112</v>
      </c>
      <c r="C88" s="29" t="s">
        <v>29</v>
      </c>
      <c r="D88" s="30" t="str">
        <f>INDEX('90_SEMA'!$G$7:$H$183,82,NYELV_IDX)</f>
        <v>E. Céltartalékok</v>
      </c>
      <c r="E88" s="31">
        <f t="shared" ref="E88:X88" si="14">SUMIFS(E$7:E$183,$B$7:$B$183,$B88&amp;".*",$C$7:$C$183,"D")</f>
        <v>0</v>
      </c>
      <c r="F88" s="31">
        <f t="shared" si="14"/>
        <v>0</v>
      </c>
      <c r="G88" s="31">
        <f t="shared" si="14"/>
        <v>0</v>
      </c>
      <c r="H88" s="31">
        <f t="shared" si="14"/>
        <v>0</v>
      </c>
      <c r="I88" s="31">
        <f t="shared" si="14"/>
        <v>0</v>
      </c>
      <c r="J88" s="31">
        <f t="shared" si="14"/>
        <v>0</v>
      </c>
      <c r="K88" s="31">
        <f t="shared" si="14"/>
        <v>0</v>
      </c>
      <c r="L88" s="31">
        <f t="shared" si="14"/>
        <v>0</v>
      </c>
      <c r="M88" s="31">
        <f t="shared" si="14"/>
        <v>0</v>
      </c>
      <c r="N88" s="31">
        <f t="shared" si="14"/>
        <v>0</v>
      </c>
      <c r="O88" s="31">
        <f t="shared" si="14"/>
        <v>0</v>
      </c>
      <c r="P88" s="31">
        <f t="shared" si="14"/>
        <v>0</v>
      </c>
      <c r="Q88" s="31">
        <f t="shared" si="14"/>
        <v>0</v>
      </c>
      <c r="R88" s="31">
        <f t="shared" si="14"/>
        <v>0</v>
      </c>
      <c r="S88" s="31">
        <f t="shared" si="14"/>
        <v>0</v>
      </c>
      <c r="T88" s="31">
        <f t="shared" si="14"/>
        <v>0</v>
      </c>
      <c r="U88" s="31">
        <f t="shared" si="14"/>
        <v>0</v>
      </c>
      <c r="V88" s="31">
        <f t="shared" si="14"/>
        <v>0</v>
      </c>
      <c r="W88" s="31">
        <f t="shared" si="14"/>
        <v>0</v>
      </c>
      <c r="X88" s="31">
        <f t="shared" si="14"/>
        <v>0</v>
      </c>
    </row>
    <row r="89" spans="2:24" ht="15" customHeight="1" x14ac:dyDescent="0.3">
      <c r="B89" s="29" t="s">
        <v>113</v>
      </c>
      <c r="C89" s="29" t="s">
        <v>32</v>
      </c>
      <c r="D89" s="7" t="str">
        <f>INDEX('90_SEMA'!$G$7:$H$183,83,NYELV_IDX)</f>
        <v>1. Céltartalék a várható kötelezettségekre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</row>
    <row r="90" spans="2:24" ht="15" customHeight="1" x14ac:dyDescent="0.3">
      <c r="B90" s="29" t="s">
        <v>114</v>
      </c>
      <c r="C90" s="29" t="s">
        <v>32</v>
      </c>
      <c r="D90" s="7" t="str">
        <f>INDEX('90_SEMA'!$G$7:$H$183,84,NYELV_IDX)</f>
        <v>2. Céltartalék a jövőbeni költségekre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</row>
    <row r="91" spans="2:24" ht="15" customHeight="1" x14ac:dyDescent="0.3">
      <c r="B91" s="29" t="s">
        <v>115</v>
      </c>
      <c r="C91" s="29" t="s">
        <v>32</v>
      </c>
      <c r="D91" s="7" t="str">
        <f>INDEX('90_SEMA'!$G$7:$H$183,85,NYELV_IDX)</f>
        <v>3. Egyéb céltartalék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</row>
    <row r="92" spans="2:24" ht="15" customHeight="1" x14ac:dyDescent="0.3">
      <c r="B92" s="29" t="s">
        <v>116</v>
      </c>
      <c r="C92" s="29" t="s">
        <v>29</v>
      </c>
      <c r="D92" s="30" t="str">
        <f>INDEX('90_SEMA'!$G$7:$H$183,86,NYELV_IDX)</f>
        <v>F. Kötelezettségek</v>
      </c>
      <c r="E92" s="31">
        <f t="shared" ref="E92:N93" si="15">SUMIFS(E$7:E$183,$B$7:$B$183,$B92&amp;".*",$C$7:$C$183,"D")</f>
        <v>0</v>
      </c>
      <c r="F92" s="31">
        <f t="shared" si="15"/>
        <v>0</v>
      </c>
      <c r="G92" s="31">
        <f t="shared" si="15"/>
        <v>0</v>
      </c>
      <c r="H92" s="31">
        <f t="shared" si="15"/>
        <v>0</v>
      </c>
      <c r="I92" s="31">
        <f t="shared" si="15"/>
        <v>0</v>
      </c>
      <c r="J92" s="31">
        <f t="shared" si="15"/>
        <v>0</v>
      </c>
      <c r="K92" s="31">
        <f t="shared" si="15"/>
        <v>0</v>
      </c>
      <c r="L92" s="31">
        <f t="shared" si="15"/>
        <v>0</v>
      </c>
      <c r="M92" s="31">
        <f t="shared" si="15"/>
        <v>0</v>
      </c>
      <c r="N92" s="31">
        <f t="shared" si="15"/>
        <v>0</v>
      </c>
      <c r="O92" s="31">
        <f t="shared" ref="O92:X93" si="16">SUMIFS(O$7:O$183,$B$7:$B$183,$B92&amp;".*",$C$7:$C$183,"D")</f>
        <v>0</v>
      </c>
      <c r="P92" s="31">
        <f t="shared" si="16"/>
        <v>0</v>
      </c>
      <c r="Q92" s="31">
        <f t="shared" si="16"/>
        <v>0</v>
      </c>
      <c r="R92" s="31">
        <f t="shared" si="16"/>
        <v>0</v>
      </c>
      <c r="S92" s="31">
        <f t="shared" si="16"/>
        <v>0</v>
      </c>
      <c r="T92" s="31">
        <f t="shared" si="16"/>
        <v>0</v>
      </c>
      <c r="U92" s="31">
        <f t="shared" si="16"/>
        <v>0</v>
      </c>
      <c r="V92" s="31">
        <f t="shared" si="16"/>
        <v>0</v>
      </c>
      <c r="W92" s="31">
        <f t="shared" si="16"/>
        <v>0</v>
      </c>
      <c r="X92" s="31">
        <f t="shared" si="16"/>
        <v>0</v>
      </c>
    </row>
    <row r="93" spans="2:24" ht="15" customHeight="1" x14ac:dyDescent="0.3">
      <c r="B93" s="29" t="s">
        <v>117</v>
      </c>
      <c r="C93" s="29" t="s">
        <v>29</v>
      </c>
      <c r="D93" s="32" t="str">
        <f>INDEX('90_SEMA'!$G$7:$H$183,87,NYELV_IDX)</f>
        <v>I. HÁTRASOROLT KÖTELEZETTSÉGEK</v>
      </c>
      <c r="E93" s="31">
        <f t="shared" si="15"/>
        <v>0</v>
      </c>
      <c r="F93" s="31">
        <f t="shared" si="15"/>
        <v>0</v>
      </c>
      <c r="G93" s="31">
        <f t="shared" si="15"/>
        <v>0</v>
      </c>
      <c r="H93" s="31">
        <f t="shared" si="15"/>
        <v>0</v>
      </c>
      <c r="I93" s="31">
        <f t="shared" si="15"/>
        <v>0</v>
      </c>
      <c r="J93" s="31">
        <f t="shared" si="15"/>
        <v>0</v>
      </c>
      <c r="K93" s="31">
        <f t="shared" si="15"/>
        <v>0</v>
      </c>
      <c r="L93" s="31">
        <f t="shared" si="15"/>
        <v>0</v>
      </c>
      <c r="M93" s="31">
        <f t="shared" si="15"/>
        <v>0</v>
      </c>
      <c r="N93" s="31">
        <f t="shared" si="15"/>
        <v>0</v>
      </c>
      <c r="O93" s="31">
        <f t="shared" si="16"/>
        <v>0</v>
      </c>
      <c r="P93" s="31">
        <f t="shared" si="16"/>
        <v>0</v>
      </c>
      <c r="Q93" s="31">
        <f t="shared" si="16"/>
        <v>0</v>
      </c>
      <c r="R93" s="31">
        <f t="shared" si="16"/>
        <v>0</v>
      </c>
      <c r="S93" s="31">
        <f t="shared" si="16"/>
        <v>0</v>
      </c>
      <c r="T93" s="31">
        <f t="shared" si="16"/>
        <v>0</v>
      </c>
      <c r="U93" s="31">
        <f t="shared" si="16"/>
        <v>0</v>
      </c>
      <c r="V93" s="31">
        <f t="shared" si="16"/>
        <v>0</v>
      </c>
      <c r="W93" s="31">
        <f t="shared" si="16"/>
        <v>0</v>
      </c>
      <c r="X93" s="31">
        <f t="shared" si="16"/>
        <v>0</v>
      </c>
    </row>
    <row r="94" spans="2:24" ht="15" customHeight="1" x14ac:dyDescent="0.3">
      <c r="B94" s="29" t="s">
        <v>118</v>
      </c>
      <c r="C94" s="29" t="s">
        <v>32</v>
      </c>
      <c r="D94" s="7" t="str">
        <f>INDEX('90_SEMA'!$G$7:$H$183,88,NYELV_IDX)</f>
        <v>1. Hátrasorolt kötelezettségek kapcsolt vállalkozással szemben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</row>
    <row r="95" spans="2:24" ht="15" customHeight="1" x14ac:dyDescent="0.3">
      <c r="B95" s="29" t="s">
        <v>119</v>
      </c>
      <c r="C95" s="29" t="s">
        <v>32</v>
      </c>
      <c r="D95" s="7" t="str">
        <f>INDEX('90_SEMA'!$G$7:$H$183,89,NYELV_IDX)</f>
        <v>2. Hátrasorolt kötelezettségek jelentős tulajdoni részesedési viszonyban lévő vállalkozással szemben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</row>
    <row r="96" spans="2:24" ht="15" customHeight="1" x14ac:dyDescent="0.3">
      <c r="B96" s="29" t="s">
        <v>120</v>
      </c>
      <c r="C96" s="29" t="s">
        <v>32</v>
      </c>
      <c r="D96" s="7" t="str">
        <f>INDEX('90_SEMA'!$G$7:$H$183,90,NYELV_IDX)</f>
        <v>3. Hátrasorolt kötelezettségek egyéb részesedési viszonyban lévő vállalkozással szemben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</row>
    <row r="97" spans="2:24" ht="15" customHeight="1" x14ac:dyDescent="0.3">
      <c r="B97" s="29" t="s">
        <v>121</v>
      </c>
      <c r="C97" s="29" t="s">
        <v>32</v>
      </c>
      <c r="D97" s="7" t="str">
        <f>INDEX('90_SEMA'!$G$7:$H$183,91,NYELV_IDX)</f>
        <v>4. Hátrasorolt kötelezettségek egyéb gazdálkodóval szemben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</row>
    <row r="98" spans="2:24" ht="15" customHeight="1" x14ac:dyDescent="0.3">
      <c r="B98" s="29" t="s">
        <v>122</v>
      </c>
      <c r="C98" s="29" t="s">
        <v>32</v>
      </c>
      <c r="D98" s="7" t="str">
        <f>INDEX('90_SEMA'!$G$7:$H$183,92,NYELV_IDX)</f>
        <v>5. Tőkekonszolidációs különbözet leányvállalatokból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</row>
    <row r="99" spans="2:24" ht="15" customHeight="1" x14ac:dyDescent="0.3">
      <c r="B99" s="29" t="s">
        <v>123</v>
      </c>
      <c r="C99" s="29" t="s">
        <v>29</v>
      </c>
      <c r="D99" s="32" t="str">
        <f>INDEX('90_SEMA'!$G$7:$H$183,93,NYELV_IDX)</f>
        <v>II. HOSSZÚ LEJÁRATÚ KÖTELEZETTSÉGEK</v>
      </c>
      <c r="E99" s="31">
        <f t="shared" ref="E99:X99" si="17">SUMIFS(E$7:E$183,$B$7:$B$183,$B99&amp;".*",$C$7:$C$183,"D")</f>
        <v>0</v>
      </c>
      <c r="F99" s="31">
        <f t="shared" si="17"/>
        <v>0</v>
      </c>
      <c r="G99" s="31">
        <f t="shared" si="17"/>
        <v>0</v>
      </c>
      <c r="H99" s="31">
        <f t="shared" si="17"/>
        <v>0</v>
      </c>
      <c r="I99" s="31">
        <f t="shared" si="17"/>
        <v>0</v>
      </c>
      <c r="J99" s="31">
        <f t="shared" si="17"/>
        <v>0</v>
      </c>
      <c r="K99" s="31">
        <f t="shared" si="17"/>
        <v>0</v>
      </c>
      <c r="L99" s="31">
        <f t="shared" si="17"/>
        <v>0</v>
      </c>
      <c r="M99" s="31">
        <f t="shared" si="17"/>
        <v>0</v>
      </c>
      <c r="N99" s="31">
        <f t="shared" si="17"/>
        <v>0</v>
      </c>
      <c r="O99" s="31">
        <f t="shared" si="17"/>
        <v>0</v>
      </c>
      <c r="P99" s="31">
        <f t="shared" si="17"/>
        <v>0</v>
      </c>
      <c r="Q99" s="31">
        <f t="shared" si="17"/>
        <v>0</v>
      </c>
      <c r="R99" s="31">
        <f t="shared" si="17"/>
        <v>0</v>
      </c>
      <c r="S99" s="31">
        <f t="shared" si="17"/>
        <v>0</v>
      </c>
      <c r="T99" s="31">
        <f t="shared" si="17"/>
        <v>0</v>
      </c>
      <c r="U99" s="31">
        <f t="shared" si="17"/>
        <v>0</v>
      </c>
      <c r="V99" s="31">
        <f t="shared" si="17"/>
        <v>0</v>
      </c>
      <c r="W99" s="31">
        <f t="shared" si="17"/>
        <v>0</v>
      </c>
      <c r="X99" s="31">
        <f t="shared" si="17"/>
        <v>0</v>
      </c>
    </row>
    <row r="100" spans="2:24" ht="15" customHeight="1" x14ac:dyDescent="0.3">
      <c r="B100" s="29" t="s">
        <v>124</v>
      </c>
      <c r="C100" s="29" t="s">
        <v>32</v>
      </c>
      <c r="D100" s="7" t="str">
        <f>INDEX('90_SEMA'!$G$7:$H$183,94,NYELV_IDX)</f>
        <v>1. Hosszú lejáratra kapott kölcsönök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</row>
    <row r="101" spans="2:24" ht="15" customHeight="1" x14ac:dyDescent="0.3">
      <c r="B101" s="29" t="s">
        <v>125</v>
      </c>
      <c r="C101" s="29" t="s">
        <v>32</v>
      </c>
      <c r="D101" s="7" t="str">
        <f>INDEX('90_SEMA'!$G$7:$H$183,95,NYELV_IDX)</f>
        <v>2. Átváltoztatható és átváltozó kötvények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</row>
    <row r="102" spans="2:24" ht="15" customHeight="1" x14ac:dyDescent="0.3">
      <c r="B102" s="29" t="s">
        <v>126</v>
      </c>
      <c r="C102" s="29" t="s">
        <v>32</v>
      </c>
      <c r="D102" s="7" t="str">
        <f>INDEX('90_SEMA'!$G$7:$H$183,96,NYELV_IDX)</f>
        <v>3. Tartozások kötvénykibocsátásból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</row>
    <row r="103" spans="2:24" ht="15" customHeight="1" x14ac:dyDescent="0.3">
      <c r="B103" s="29" t="s">
        <v>127</v>
      </c>
      <c r="C103" s="29" t="s">
        <v>32</v>
      </c>
      <c r="D103" s="7" t="str">
        <f>INDEX('90_SEMA'!$G$7:$H$183,97,NYELV_IDX)</f>
        <v>4. Beruházási és fejlesztési hitelek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</row>
    <row r="104" spans="2:24" ht="15" customHeight="1" x14ac:dyDescent="0.3">
      <c r="B104" s="29" t="s">
        <v>128</v>
      </c>
      <c r="C104" s="29" t="s">
        <v>32</v>
      </c>
      <c r="D104" s="7" t="str">
        <f>INDEX('90_SEMA'!$G$7:$H$183,98,NYELV_IDX)</f>
        <v>5. Egyéb hosszú lejáratú hitelek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</row>
    <row r="105" spans="2:24" ht="15" customHeight="1" x14ac:dyDescent="0.3">
      <c r="B105" s="29" t="s">
        <v>129</v>
      </c>
      <c r="C105" s="29" t="s">
        <v>32</v>
      </c>
      <c r="D105" s="7" t="str">
        <f>INDEX('90_SEMA'!$G$7:$H$183,99,NYELV_IDX)</f>
        <v>6. Tartós kötelezettségek kapcsolt vállalkozással szemben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</row>
    <row r="106" spans="2:24" ht="15" customHeight="1" x14ac:dyDescent="0.3">
      <c r="B106" s="29" t="s">
        <v>130</v>
      </c>
      <c r="C106" s="29" t="s">
        <v>32</v>
      </c>
      <c r="D106" s="7" t="str">
        <f>INDEX('90_SEMA'!$G$7:$H$183,100,NYELV_IDX)</f>
        <v>7. Tartós kötelezettségek jelentős tulajdoni részesedési viszonyban lévő vállalkozásokkal szemben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</row>
    <row r="107" spans="2:24" ht="15" customHeight="1" x14ac:dyDescent="0.3">
      <c r="B107" s="29" t="s">
        <v>131</v>
      </c>
      <c r="C107" s="29" t="s">
        <v>32</v>
      </c>
      <c r="D107" s="7" t="str">
        <f>INDEX('90_SEMA'!$G$7:$H$183,101,NYELV_IDX)</f>
        <v>8. Tartós kötelezettségek egyéb részesedési viszonyban lévő vállalkozással szemben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</row>
    <row r="108" spans="2:24" ht="15" customHeight="1" x14ac:dyDescent="0.3">
      <c r="B108" s="29" t="s">
        <v>132</v>
      </c>
      <c r="C108" s="29" t="s">
        <v>32</v>
      </c>
      <c r="D108" s="7" t="str">
        <f>INDEX('90_SEMA'!$G$7:$H$183,102,NYELV_IDX)</f>
        <v>9. Egyéb hosszú lejáratú kötelezettségek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</row>
    <row r="109" spans="2:24" ht="15" customHeight="1" x14ac:dyDescent="0.3">
      <c r="B109" s="29" t="s">
        <v>133</v>
      </c>
      <c r="C109" s="29" t="s">
        <v>32</v>
      </c>
      <c r="D109" s="7" t="str">
        <f>INDEX('90_SEMA'!$G$7:$H$183,103,NYELV_IDX)</f>
        <v>10. Halasztott adókötelezettség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</row>
    <row r="110" spans="2:24" ht="15" customHeight="1" x14ac:dyDescent="0.3">
      <c r="B110" s="29" t="s">
        <v>134</v>
      </c>
      <c r="C110" s="29" t="s">
        <v>29</v>
      </c>
      <c r="D110" s="32" t="str">
        <f>INDEX('90_SEMA'!$G$7:$H$183,104,NYELV_IDX)</f>
        <v>III. RÖVID LEJÁRATÚ KÖTELEZETTSÉGEK</v>
      </c>
      <c r="E110" s="31">
        <f t="shared" ref="E110:X110" si="18">SUMIFS(E$7:E$183,$B$7:$B$183,$B110&amp;".*",$C$7:$C$183,"D")</f>
        <v>0</v>
      </c>
      <c r="F110" s="31">
        <f t="shared" si="18"/>
        <v>0</v>
      </c>
      <c r="G110" s="31">
        <f t="shared" si="18"/>
        <v>0</v>
      </c>
      <c r="H110" s="31">
        <f t="shared" si="18"/>
        <v>0</v>
      </c>
      <c r="I110" s="31">
        <f t="shared" si="18"/>
        <v>0</v>
      </c>
      <c r="J110" s="31">
        <f t="shared" si="18"/>
        <v>0</v>
      </c>
      <c r="K110" s="31">
        <f t="shared" si="18"/>
        <v>0</v>
      </c>
      <c r="L110" s="31">
        <f t="shared" si="18"/>
        <v>0</v>
      </c>
      <c r="M110" s="31">
        <f t="shared" si="18"/>
        <v>0</v>
      </c>
      <c r="N110" s="31">
        <f t="shared" si="18"/>
        <v>0</v>
      </c>
      <c r="O110" s="31">
        <f t="shared" si="18"/>
        <v>0</v>
      </c>
      <c r="P110" s="31">
        <f t="shared" si="18"/>
        <v>0</v>
      </c>
      <c r="Q110" s="31">
        <f t="shared" si="18"/>
        <v>0</v>
      </c>
      <c r="R110" s="31">
        <f t="shared" si="18"/>
        <v>0</v>
      </c>
      <c r="S110" s="31">
        <f t="shared" si="18"/>
        <v>0</v>
      </c>
      <c r="T110" s="31">
        <f t="shared" si="18"/>
        <v>0</v>
      </c>
      <c r="U110" s="31">
        <f t="shared" si="18"/>
        <v>0</v>
      </c>
      <c r="V110" s="31">
        <f t="shared" si="18"/>
        <v>0</v>
      </c>
      <c r="W110" s="31">
        <f t="shared" si="18"/>
        <v>0</v>
      </c>
      <c r="X110" s="31">
        <f t="shared" si="18"/>
        <v>0</v>
      </c>
    </row>
    <row r="111" spans="2:24" ht="15" customHeight="1" x14ac:dyDescent="0.3">
      <c r="B111" s="29" t="s">
        <v>135</v>
      </c>
      <c r="C111" s="29" t="s">
        <v>32</v>
      </c>
      <c r="D111" s="7" t="str">
        <f>INDEX('90_SEMA'!$G$7:$H$183,105,NYELV_IDX)</f>
        <v>1. Rövid lejáratú kölcsönök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</row>
    <row r="112" spans="2:24" ht="15" customHeight="1" x14ac:dyDescent="0.3">
      <c r="B112" s="29" t="s">
        <v>136</v>
      </c>
      <c r="C112" s="29" t="s">
        <v>97</v>
      </c>
      <c r="D112" s="34" t="str">
        <f>INDEX('90_SEMA'!$G$7:$H$183,106,NYELV_IDX)</f>
        <v xml:space="preserve">     – ebből: az átváltoztatható és átváltozó kötvények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</row>
    <row r="113" spans="2:24" ht="15" customHeight="1" x14ac:dyDescent="0.3">
      <c r="B113" s="29" t="s">
        <v>137</v>
      </c>
      <c r="C113" s="29" t="s">
        <v>32</v>
      </c>
      <c r="D113" s="7" t="str">
        <f>INDEX('90_SEMA'!$G$7:$H$183,107,NYELV_IDX)</f>
        <v>2. Rövid lejáratú hitelek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</row>
    <row r="114" spans="2:24" ht="15" customHeight="1" x14ac:dyDescent="0.3">
      <c r="B114" s="29" t="s">
        <v>138</v>
      </c>
      <c r="C114" s="29" t="s">
        <v>32</v>
      </c>
      <c r="D114" s="7" t="str">
        <f>INDEX('90_SEMA'!$G$7:$H$183,108,NYELV_IDX)</f>
        <v>3. Vevőktől kapott előlegek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</row>
    <row r="115" spans="2:24" ht="15" customHeight="1" x14ac:dyDescent="0.3">
      <c r="B115" s="29" t="s">
        <v>139</v>
      </c>
      <c r="C115" s="29" t="s">
        <v>32</v>
      </c>
      <c r="D115" s="7" t="str">
        <f>INDEX('90_SEMA'!$G$7:$H$183,109,NYELV_IDX)</f>
        <v>4. Kötelezettségek áruszállításból és szolgáltatásból (szállítók)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</row>
    <row r="116" spans="2:24" ht="15" customHeight="1" x14ac:dyDescent="0.3">
      <c r="B116" s="29" t="s">
        <v>140</v>
      </c>
      <c r="C116" s="29" t="s">
        <v>32</v>
      </c>
      <c r="D116" s="7" t="str">
        <f>INDEX('90_SEMA'!$G$7:$H$183,110,NYELV_IDX)</f>
        <v>5. Váltótartozások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</row>
    <row r="117" spans="2:24" ht="15" customHeight="1" x14ac:dyDescent="0.3">
      <c r="B117" s="29" t="s">
        <v>141</v>
      </c>
      <c r="C117" s="29" t="s">
        <v>32</v>
      </c>
      <c r="D117" s="7" t="str">
        <f>INDEX('90_SEMA'!$G$7:$H$183,111,NYELV_IDX)</f>
        <v>6. Rövid lejáratú kötelezettségek kapcsolt vállalkozással szemben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</row>
    <row r="118" spans="2:24" ht="15" customHeight="1" x14ac:dyDescent="0.3">
      <c r="B118" s="29" t="s">
        <v>142</v>
      </c>
      <c r="C118" s="29" t="s">
        <v>32</v>
      </c>
      <c r="D118" s="7" t="str">
        <f>INDEX('90_SEMA'!$G$7:$H$183,112,NYELV_IDX)</f>
        <v>7. Rövid lejáratú kötelezettségek jelentős tulajdoni részesedési viszonyban lévő vállalkozásokkal szemben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</row>
    <row r="119" spans="2:24" ht="15" customHeight="1" x14ac:dyDescent="0.3">
      <c r="B119" s="29" t="s">
        <v>143</v>
      </c>
      <c r="C119" s="29" t="s">
        <v>32</v>
      </c>
      <c r="D119" s="7" t="str">
        <f>INDEX('90_SEMA'!$G$7:$H$183,113,NYELV_IDX)</f>
        <v>8. Rövid lejáratú kötelezettségek egyéb részesedési viszonyban lévő vállalkozással szemben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</row>
    <row r="120" spans="2:24" ht="15" customHeight="1" x14ac:dyDescent="0.3">
      <c r="B120" s="29" t="s">
        <v>144</v>
      </c>
      <c r="C120" s="29" t="s">
        <v>32</v>
      </c>
      <c r="D120" s="7" t="str">
        <f>INDEX('90_SEMA'!$G$7:$H$183,114,NYELV_IDX)</f>
        <v>9. Egyéb rövid lejáratú kötelezettségek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</row>
    <row r="121" spans="2:24" ht="15" customHeight="1" x14ac:dyDescent="0.3">
      <c r="B121" s="29" t="s">
        <v>145</v>
      </c>
      <c r="C121" s="29" t="s">
        <v>32</v>
      </c>
      <c r="D121" s="7" t="str">
        <f>INDEX('90_SEMA'!$G$7:$H$183,115,NYELV_IDX)</f>
        <v>10. Kötelezettségek értékelési különbözete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</row>
    <row r="122" spans="2:24" ht="15" customHeight="1" x14ac:dyDescent="0.3">
      <c r="B122" s="29" t="s">
        <v>146</v>
      </c>
      <c r="C122" s="29" t="s">
        <v>32</v>
      </c>
      <c r="D122" s="7" t="str">
        <f>INDEX('90_SEMA'!$G$7:$H$183,116,NYELV_IDX)</f>
        <v>11. Származékos ügyletek negatív értékelési különbözete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</row>
    <row r="123" spans="2:24" ht="15" customHeight="1" x14ac:dyDescent="0.3">
      <c r="B123" s="29" t="s">
        <v>147</v>
      </c>
      <c r="C123" s="29" t="s">
        <v>32</v>
      </c>
      <c r="D123" s="7" t="str">
        <f>INDEX('90_SEMA'!$G$7:$H$183,117,NYELV_IDX)</f>
        <v>12. Konszolidációból adódó (számított) társasági adó tartozás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</row>
    <row r="124" spans="2:24" ht="15" customHeight="1" x14ac:dyDescent="0.3">
      <c r="B124" s="29" t="s">
        <v>148</v>
      </c>
      <c r="C124" s="29" t="s">
        <v>29</v>
      </c>
      <c r="D124" s="30" t="str">
        <f>INDEX('90_SEMA'!$G$7:$H$183,118,NYELV_IDX)</f>
        <v>G. Passzív időbeli elhatárolások</v>
      </c>
      <c r="E124" s="31">
        <f t="shared" ref="E124:X124" si="19">SUMIFS(E$7:E$183,$B$7:$B$183,$B124&amp;".*",$C$7:$C$183,"D")</f>
        <v>0</v>
      </c>
      <c r="F124" s="31">
        <f t="shared" si="19"/>
        <v>0</v>
      </c>
      <c r="G124" s="31">
        <f t="shared" si="19"/>
        <v>0</v>
      </c>
      <c r="H124" s="31">
        <f t="shared" si="19"/>
        <v>0</v>
      </c>
      <c r="I124" s="31">
        <f t="shared" si="19"/>
        <v>0</v>
      </c>
      <c r="J124" s="31">
        <f t="shared" si="19"/>
        <v>0</v>
      </c>
      <c r="K124" s="31">
        <f t="shared" si="19"/>
        <v>0</v>
      </c>
      <c r="L124" s="31">
        <f t="shared" si="19"/>
        <v>0</v>
      </c>
      <c r="M124" s="31">
        <f t="shared" si="19"/>
        <v>0</v>
      </c>
      <c r="N124" s="31">
        <f t="shared" si="19"/>
        <v>0</v>
      </c>
      <c r="O124" s="31">
        <f t="shared" si="19"/>
        <v>0</v>
      </c>
      <c r="P124" s="31">
        <f t="shared" si="19"/>
        <v>0</v>
      </c>
      <c r="Q124" s="31">
        <f t="shared" si="19"/>
        <v>0</v>
      </c>
      <c r="R124" s="31">
        <f t="shared" si="19"/>
        <v>0</v>
      </c>
      <c r="S124" s="31">
        <f t="shared" si="19"/>
        <v>0</v>
      </c>
      <c r="T124" s="31">
        <f t="shared" si="19"/>
        <v>0</v>
      </c>
      <c r="U124" s="31">
        <f t="shared" si="19"/>
        <v>0</v>
      </c>
      <c r="V124" s="31">
        <f t="shared" si="19"/>
        <v>0</v>
      </c>
      <c r="W124" s="31">
        <f t="shared" si="19"/>
        <v>0</v>
      </c>
      <c r="X124" s="31">
        <f t="shared" si="19"/>
        <v>0</v>
      </c>
    </row>
    <row r="125" spans="2:24" ht="15" customHeight="1" x14ac:dyDescent="0.3">
      <c r="B125" s="29" t="s">
        <v>149</v>
      </c>
      <c r="C125" s="29" t="s">
        <v>32</v>
      </c>
      <c r="D125" s="7" t="str">
        <f>INDEX('90_SEMA'!$G$7:$H$183,119,NYELV_IDX)</f>
        <v>1. Bevételek passzív időbeli elhatárolása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</row>
    <row r="126" spans="2:24" ht="15" customHeight="1" x14ac:dyDescent="0.3">
      <c r="B126" s="29" t="s">
        <v>150</v>
      </c>
      <c r="C126" s="29" t="s">
        <v>32</v>
      </c>
      <c r="D126" s="7" t="str">
        <f>INDEX('90_SEMA'!$G$7:$H$183,120,NYELV_IDX)</f>
        <v>2. Költségek, ráfordítások passzív időbeli elhatárolása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</row>
    <row r="127" spans="2:24" ht="15" customHeight="1" x14ac:dyDescent="0.3">
      <c r="B127" s="29" t="s">
        <v>151</v>
      </c>
      <c r="C127" s="29" t="s">
        <v>32</v>
      </c>
      <c r="D127" s="7" t="str">
        <f>INDEX('90_SEMA'!$G$7:$H$183,121,NYELV_IDX)</f>
        <v>3. Halasztott bevételek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</row>
    <row r="128" spans="2:24" ht="15" customHeight="1" x14ac:dyDescent="0.3">
      <c r="B128" s="29" t="s">
        <v>152</v>
      </c>
      <c r="C128" s="29" t="s">
        <v>29</v>
      </c>
      <c r="D128" s="32" t="str">
        <f>INDEX('90_SEMA'!$G$7:$H$183,122,NYELV_IDX)</f>
        <v>I. Értékesítés nettó árbevétele</v>
      </c>
      <c r="E128" s="31">
        <f t="shared" ref="E128:X128" si="20">SUMIFS(E$7:E$183,$B$7:$B$183,$B128&amp;".*",$C$7:$C$183,"D")</f>
        <v>0</v>
      </c>
      <c r="F128" s="31">
        <f t="shared" si="20"/>
        <v>0</v>
      </c>
      <c r="G128" s="31">
        <f t="shared" si="20"/>
        <v>0</v>
      </c>
      <c r="H128" s="31">
        <f t="shared" si="20"/>
        <v>0</v>
      </c>
      <c r="I128" s="31">
        <f t="shared" si="20"/>
        <v>0</v>
      </c>
      <c r="J128" s="31">
        <f t="shared" si="20"/>
        <v>0</v>
      </c>
      <c r="K128" s="31">
        <f t="shared" si="20"/>
        <v>0</v>
      </c>
      <c r="L128" s="31">
        <f t="shared" si="20"/>
        <v>0</v>
      </c>
      <c r="M128" s="31">
        <f t="shared" si="20"/>
        <v>0</v>
      </c>
      <c r="N128" s="31">
        <f t="shared" si="20"/>
        <v>0</v>
      </c>
      <c r="O128" s="31">
        <f t="shared" si="20"/>
        <v>0</v>
      </c>
      <c r="P128" s="31">
        <f t="shared" si="20"/>
        <v>0</v>
      </c>
      <c r="Q128" s="31">
        <f t="shared" si="20"/>
        <v>0</v>
      </c>
      <c r="R128" s="31">
        <f t="shared" si="20"/>
        <v>0</v>
      </c>
      <c r="S128" s="31">
        <f t="shared" si="20"/>
        <v>0</v>
      </c>
      <c r="T128" s="31">
        <f t="shared" si="20"/>
        <v>0</v>
      </c>
      <c r="U128" s="31">
        <f t="shared" si="20"/>
        <v>0</v>
      </c>
      <c r="V128" s="31">
        <f t="shared" si="20"/>
        <v>0</v>
      </c>
      <c r="W128" s="31">
        <f t="shared" si="20"/>
        <v>0</v>
      </c>
      <c r="X128" s="31">
        <f t="shared" si="20"/>
        <v>0</v>
      </c>
    </row>
    <row r="129" spans="2:24" ht="15" customHeight="1" x14ac:dyDescent="0.3">
      <c r="B129" s="29" t="s">
        <v>153</v>
      </c>
      <c r="C129" s="29" t="s">
        <v>32</v>
      </c>
      <c r="D129" s="7" t="str">
        <f>INDEX('90_SEMA'!$G$7:$H$183,123,NYELV_IDX)</f>
        <v>01. Belföldi értékesítés nettó árbevétele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</row>
    <row r="130" spans="2:24" ht="15" customHeight="1" x14ac:dyDescent="0.3">
      <c r="B130" s="29" t="s">
        <v>154</v>
      </c>
      <c r="C130" s="29" t="s">
        <v>32</v>
      </c>
      <c r="D130" s="7" t="str">
        <f>INDEX('90_SEMA'!$G$7:$H$183,124,NYELV_IDX)</f>
        <v>02. Exportértékesítés nettó árbevétele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</row>
    <row r="131" spans="2:24" ht="15" customHeight="1" x14ac:dyDescent="0.3">
      <c r="B131" s="29" t="s">
        <v>155</v>
      </c>
      <c r="C131" s="29" t="s">
        <v>29</v>
      </c>
      <c r="D131" s="32" t="str">
        <f>INDEX('90_SEMA'!$G$7:$H$183,125,NYELV_IDX)</f>
        <v>II. Aktivált saját teljesítmények értéke</v>
      </c>
      <c r="E131" s="31">
        <f t="shared" ref="E131:X131" si="21">SUMIFS(E$7:E$183,$B$7:$B$183,$B131&amp;".*",$C$7:$C$183,"D")</f>
        <v>0</v>
      </c>
      <c r="F131" s="31">
        <f t="shared" si="21"/>
        <v>0</v>
      </c>
      <c r="G131" s="31">
        <f t="shared" si="21"/>
        <v>0</v>
      </c>
      <c r="H131" s="31">
        <f t="shared" si="21"/>
        <v>0</v>
      </c>
      <c r="I131" s="31">
        <f t="shared" si="21"/>
        <v>0</v>
      </c>
      <c r="J131" s="31">
        <f t="shared" si="21"/>
        <v>0</v>
      </c>
      <c r="K131" s="31">
        <f t="shared" si="21"/>
        <v>0</v>
      </c>
      <c r="L131" s="31">
        <f t="shared" si="21"/>
        <v>0</v>
      </c>
      <c r="M131" s="31">
        <f t="shared" si="21"/>
        <v>0</v>
      </c>
      <c r="N131" s="31">
        <f t="shared" si="21"/>
        <v>0</v>
      </c>
      <c r="O131" s="31">
        <f t="shared" si="21"/>
        <v>0</v>
      </c>
      <c r="P131" s="31">
        <f t="shared" si="21"/>
        <v>0</v>
      </c>
      <c r="Q131" s="31">
        <f t="shared" si="21"/>
        <v>0</v>
      </c>
      <c r="R131" s="31">
        <f t="shared" si="21"/>
        <v>0</v>
      </c>
      <c r="S131" s="31">
        <f t="shared" si="21"/>
        <v>0</v>
      </c>
      <c r="T131" s="31">
        <f t="shared" si="21"/>
        <v>0</v>
      </c>
      <c r="U131" s="31">
        <f t="shared" si="21"/>
        <v>0</v>
      </c>
      <c r="V131" s="31">
        <f t="shared" si="21"/>
        <v>0</v>
      </c>
      <c r="W131" s="31">
        <f t="shared" si="21"/>
        <v>0</v>
      </c>
      <c r="X131" s="31">
        <f t="shared" si="21"/>
        <v>0</v>
      </c>
    </row>
    <row r="132" spans="2:24" ht="15" customHeight="1" x14ac:dyDescent="0.3">
      <c r="B132" s="29" t="s">
        <v>156</v>
      </c>
      <c r="C132" s="29" t="s">
        <v>32</v>
      </c>
      <c r="D132" s="7" t="str">
        <f>INDEX('90_SEMA'!$G$7:$H$183,126,NYELV_IDX)</f>
        <v>03. Saját termelésű készletek állományváltozása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</row>
    <row r="133" spans="2:24" ht="15" customHeight="1" x14ac:dyDescent="0.3">
      <c r="B133" s="29" t="s">
        <v>157</v>
      </c>
      <c r="C133" s="29" t="s">
        <v>32</v>
      </c>
      <c r="D133" s="7" t="str">
        <f>INDEX('90_SEMA'!$G$7:$H$183,127,NYELV_IDX)</f>
        <v>04. Saját előállítású eszközök aktivált értéke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</row>
    <row r="134" spans="2:24" ht="15" customHeight="1" x14ac:dyDescent="0.3">
      <c r="B134" s="29" t="s">
        <v>158</v>
      </c>
      <c r="C134" s="29" t="s">
        <v>32</v>
      </c>
      <c r="D134" s="32" t="str">
        <f>INDEX('90_SEMA'!$G$7:$H$183,128,NYELV_IDX)</f>
        <v>III. Egyéb bevételek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</row>
    <row r="135" spans="2:24" ht="15" customHeight="1" x14ac:dyDescent="0.3">
      <c r="B135" s="29" t="s">
        <v>159</v>
      </c>
      <c r="C135" s="29" t="s">
        <v>97</v>
      </c>
      <c r="D135" s="34" t="str">
        <f>INDEX('90_SEMA'!$G$7:$H$183,129,NYELV_IDX)</f>
        <v xml:space="preserve">     Ebből: visszaírt értékvesztés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</row>
    <row r="136" spans="2:24" ht="15" customHeight="1" x14ac:dyDescent="0.3">
      <c r="B136" s="29" t="s">
        <v>160</v>
      </c>
      <c r="C136" s="29" t="s">
        <v>32</v>
      </c>
      <c r="D136" s="32" t="str">
        <f>INDEX('90_SEMA'!$G$7:$H$183,130,NYELV_IDX)</f>
        <v>III/A. Adósságkonszolidálás miatt keletkező – eredményt növelő – konszolidációs különbözet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</row>
    <row r="137" spans="2:24" ht="15" customHeight="1" x14ac:dyDescent="0.3">
      <c r="B137" s="29" t="s">
        <v>161</v>
      </c>
      <c r="C137" s="29" t="s">
        <v>29</v>
      </c>
      <c r="D137" s="32" t="str">
        <f>INDEX('90_SEMA'!$G$7:$H$183,131,NYELV_IDX)</f>
        <v>IV. Anyagjellegű ráfordítások</v>
      </c>
      <c r="E137" s="31">
        <f t="shared" ref="E137:X137" si="22">SUMIFS(E$7:E$183,$B$7:$B$183,$B137&amp;".*",$C$7:$C$183,"D")</f>
        <v>0</v>
      </c>
      <c r="F137" s="31">
        <f t="shared" si="22"/>
        <v>0</v>
      </c>
      <c r="G137" s="31">
        <f t="shared" si="22"/>
        <v>0</v>
      </c>
      <c r="H137" s="31">
        <f t="shared" si="22"/>
        <v>0</v>
      </c>
      <c r="I137" s="31">
        <f t="shared" si="22"/>
        <v>0</v>
      </c>
      <c r="J137" s="31">
        <f t="shared" si="22"/>
        <v>0</v>
      </c>
      <c r="K137" s="31">
        <f t="shared" si="22"/>
        <v>0</v>
      </c>
      <c r="L137" s="31">
        <f t="shared" si="22"/>
        <v>0</v>
      </c>
      <c r="M137" s="31">
        <f t="shared" si="22"/>
        <v>0</v>
      </c>
      <c r="N137" s="31">
        <f t="shared" si="22"/>
        <v>0</v>
      </c>
      <c r="O137" s="31">
        <f t="shared" si="22"/>
        <v>0</v>
      </c>
      <c r="P137" s="31">
        <f t="shared" si="22"/>
        <v>0</v>
      </c>
      <c r="Q137" s="31">
        <f t="shared" si="22"/>
        <v>0</v>
      </c>
      <c r="R137" s="31">
        <f t="shared" si="22"/>
        <v>0</v>
      </c>
      <c r="S137" s="31">
        <f t="shared" si="22"/>
        <v>0</v>
      </c>
      <c r="T137" s="31">
        <f t="shared" si="22"/>
        <v>0</v>
      </c>
      <c r="U137" s="31">
        <f t="shared" si="22"/>
        <v>0</v>
      </c>
      <c r="V137" s="31">
        <f t="shared" si="22"/>
        <v>0</v>
      </c>
      <c r="W137" s="31">
        <f t="shared" si="22"/>
        <v>0</v>
      </c>
      <c r="X137" s="31">
        <f t="shared" si="22"/>
        <v>0</v>
      </c>
    </row>
    <row r="138" spans="2:24" ht="15" customHeight="1" x14ac:dyDescent="0.3">
      <c r="B138" s="29" t="s">
        <v>162</v>
      </c>
      <c r="C138" s="29" t="s">
        <v>32</v>
      </c>
      <c r="D138" s="7" t="str">
        <f>INDEX('90_SEMA'!$G$7:$H$183,132,NYELV_IDX)</f>
        <v>05. Anyagköltség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</row>
    <row r="139" spans="2:24" ht="15" customHeight="1" x14ac:dyDescent="0.3">
      <c r="B139" s="29" t="s">
        <v>163</v>
      </c>
      <c r="C139" s="29" t="s">
        <v>32</v>
      </c>
      <c r="D139" s="7" t="str">
        <f>INDEX('90_SEMA'!$G$7:$H$183,133,NYELV_IDX)</f>
        <v>06. Igénybe vett szolgáltatások értéke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</row>
    <row r="140" spans="2:24" ht="15" customHeight="1" x14ac:dyDescent="0.3">
      <c r="B140" s="29" t="s">
        <v>164</v>
      </c>
      <c r="C140" s="29" t="s">
        <v>32</v>
      </c>
      <c r="D140" s="7" t="str">
        <f>INDEX('90_SEMA'!$G$7:$H$183,134,NYELV_IDX)</f>
        <v>07. Egyéb szolgáltatások értéke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</row>
    <row r="141" spans="2:24" ht="15" customHeight="1" x14ac:dyDescent="0.3">
      <c r="B141" s="29" t="s">
        <v>165</v>
      </c>
      <c r="C141" s="29" t="s">
        <v>32</v>
      </c>
      <c r="D141" s="7" t="str">
        <f>INDEX('90_SEMA'!$G$7:$H$183,135,NYELV_IDX)</f>
        <v>08. Eladott áruk beszerzési értéke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</row>
    <row r="142" spans="2:24" ht="15" customHeight="1" x14ac:dyDescent="0.3">
      <c r="B142" s="29" t="s">
        <v>166</v>
      </c>
      <c r="C142" s="29" t="s">
        <v>32</v>
      </c>
      <c r="D142" s="7" t="str">
        <f>INDEX('90_SEMA'!$G$7:$H$183,136,NYELV_IDX)</f>
        <v>09. Eladott (közvetített) szolgáltatások értéke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</row>
    <row r="143" spans="2:24" ht="15" customHeight="1" x14ac:dyDescent="0.3">
      <c r="B143" s="29" t="s">
        <v>167</v>
      </c>
      <c r="C143" s="29" t="s">
        <v>29</v>
      </c>
      <c r="D143" s="32" t="str">
        <f>INDEX('90_SEMA'!$G$7:$H$183,137,NYELV_IDX)</f>
        <v>V. Személyi jellegű ráfordítások</v>
      </c>
      <c r="E143" s="31">
        <f t="shared" ref="E143:X143" si="23">SUMIFS(E$7:E$183,$B$7:$B$183,$B143&amp;".*",$C$7:$C$183,"D")</f>
        <v>0</v>
      </c>
      <c r="F143" s="31">
        <f t="shared" si="23"/>
        <v>0</v>
      </c>
      <c r="G143" s="31">
        <f t="shared" si="23"/>
        <v>0</v>
      </c>
      <c r="H143" s="31">
        <f t="shared" si="23"/>
        <v>0</v>
      </c>
      <c r="I143" s="31">
        <f t="shared" si="23"/>
        <v>0</v>
      </c>
      <c r="J143" s="31">
        <f t="shared" si="23"/>
        <v>0</v>
      </c>
      <c r="K143" s="31">
        <f t="shared" si="23"/>
        <v>0</v>
      </c>
      <c r="L143" s="31">
        <f t="shared" si="23"/>
        <v>0</v>
      </c>
      <c r="M143" s="31">
        <f t="shared" si="23"/>
        <v>0</v>
      </c>
      <c r="N143" s="31">
        <f t="shared" si="23"/>
        <v>0</v>
      </c>
      <c r="O143" s="31">
        <f t="shared" si="23"/>
        <v>0</v>
      </c>
      <c r="P143" s="31">
        <f t="shared" si="23"/>
        <v>0</v>
      </c>
      <c r="Q143" s="31">
        <f t="shared" si="23"/>
        <v>0</v>
      </c>
      <c r="R143" s="31">
        <f t="shared" si="23"/>
        <v>0</v>
      </c>
      <c r="S143" s="31">
        <f t="shared" si="23"/>
        <v>0</v>
      </c>
      <c r="T143" s="31">
        <f t="shared" si="23"/>
        <v>0</v>
      </c>
      <c r="U143" s="31">
        <f t="shared" si="23"/>
        <v>0</v>
      </c>
      <c r="V143" s="31">
        <f t="shared" si="23"/>
        <v>0</v>
      </c>
      <c r="W143" s="31">
        <f t="shared" si="23"/>
        <v>0</v>
      </c>
      <c r="X143" s="31">
        <f t="shared" si="23"/>
        <v>0</v>
      </c>
    </row>
    <row r="144" spans="2:24" ht="15" customHeight="1" x14ac:dyDescent="0.3">
      <c r="B144" s="29" t="s">
        <v>168</v>
      </c>
      <c r="C144" s="29" t="s">
        <v>32</v>
      </c>
      <c r="D144" s="7" t="str">
        <f>INDEX('90_SEMA'!$G$7:$H$183,138,NYELV_IDX)</f>
        <v>10. Bérköltség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</row>
    <row r="145" spans="2:24" ht="15" customHeight="1" x14ac:dyDescent="0.3">
      <c r="B145" s="29" t="s">
        <v>169</v>
      </c>
      <c r="C145" s="29" t="s">
        <v>32</v>
      </c>
      <c r="D145" s="7" t="str">
        <f>INDEX('90_SEMA'!$G$7:$H$183,139,NYELV_IDX)</f>
        <v>11. Személyi jellegű egyéb kifizetések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</row>
    <row r="146" spans="2:24" ht="15" customHeight="1" x14ac:dyDescent="0.3">
      <c r="B146" s="29" t="s">
        <v>170</v>
      </c>
      <c r="C146" s="29" t="s">
        <v>32</v>
      </c>
      <c r="D146" s="7" t="str">
        <f>INDEX('90_SEMA'!$G$7:$H$183,140,NYELV_IDX)</f>
        <v>12. Bérjárulékok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</row>
    <row r="147" spans="2:24" ht="15" customHeight="1" x14ac:dyDescent="0.3">
      <c r="B147" s="29" t="s">
        <v>171</v>
      </c>
      <c r="C147" s="29" t="s">
        <v>32</v>
      </c>
      <c r="D147" s="32" t="str">
        <f>INDEX('90_SEMA'!$G$7:$H$183,141,NYELV_IDX)</f>
        <v>VI. Értékcsökkenési leírás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</row>
    <row r="148" spans="2:24" ht="15" customHeight="1" x14ac:dyDescent="0.3">
      <c r="B148" s="29" t="s">
        <v>172</v>
      </c>
      <c r="C148" s="29" t="s">
        <v>32</v>
      </c>
      <c r="D148" s="32" t="str">
        <f>INDEX('90_SEMA'!$G$7:$H$183,142,NYELV_IDX)</f>
        <v>VII. Egyéb ráfordítások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</row>
    <row r="149" spans="2:24" ht="15" customHeight="1" x14ac:dyDescent="0.3">
      <c r="B149" s="29" t="s">
        <v>173</v>
      </c>
      <c r="C149" s="29" t="s">
        <v>97</v>
      </c>
      <c r="D149" s="34" t="str">
        <f>INDEX('90_SEMA'!$G$7:$H$183,143,NYELV_IDX)</f>
        <v xml:space="preserve">     Ebből: értékvesztés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</row>
    <row r="150" spans="2:24" ht="15" customHeight="1" x14ac:dyDescent="0.3">
      <c r="B150" s="29" t="s">
        <v>174</v>
      </c>
      <c r="C150" s="29" t="s">
        <v>32</v>
      </c>
      <c r="D150" s="32" t="str">
        <f>INDEX('90_SEMA'!$G$7:$H$183,144,NYELV_IDX)</f>
        <v>VII/A. Adósságkonszolidálás miatt keletkező – eredményt csökkentő – konszolidációs különbözet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</row>
    <row r="151" spans="2:24" ht="15" customHeight="1" x14ac:dyDescent="0.3">
      <c r="B151" s="29" t="s">
        <v>175</v>
      </c>
      <c r="C151" s="29" t="s">
        <v>29</v>
      </c>
      <c r="D151" s="32" t="str">
        <f>INDEX('90_SEMA'!$G$7:$H$183,145,NYELV_IDX)</f>
        <v>VIII. Pénzügyi műveletek bevételei</v>
      </c>
      <c r="E151" s="31">
        <f t="shared" ref="E151:X151" si="24">SUMIFS(E$7:E$183,$B$7:$B$183,$B151&amp;".*",$C$7:$C$183,"D")</f>
        <v>0</v>
      </c>
      <c r="F151" s="31">
        <f t="shared" si="24"/>
        <v>0</v>
      </c>
      <c r="G151" s="31">
        <f t="shared" si="24"/>
        <v>0</v>
      </c>
      <c r="H151" s="31">
        <f t="shared" si="24"/>
        <v>0</v>
      </c>
      <c r="I151" s="31">
        <f t="shared" si="24"/>
        <v>0</v>
      </c>
      <c r="J151" s="31">
        <f t="shared" si="24"/>
        <v>0</v>
      </c>
      <c r="K151" s="31">
        <f t="shared" si="24"/>
        <v>0</v>
      </c>
      <c r="L151" s="31">
        <f t="shared" si="24"/>
        <v>0</v>
      </c>
      <c r="M151" s="31">
        <f t="shared" si="24"/>
        <v>0</v>
      </c>
      <c r="N151" s="31">
        <f t="shared" si="24"/>
        <v>0</v>
      </c>
      <c r="O151" s="31">
        <f t="shared" si="24"/>
        <v>0</v>
      </c>
      <c r="P151" s="31">
        <f t="shared" si="24"/>
        <v>0</v>
      </c>
      <c r="Q151" s="31">
        <f t="shared" si="24"/>
        <v>0</v>
      </c>
      <c r="R151" s="31">
        <f t="shared" si="24"/>
        <v>0</v>
      </c>
      <c r="S151" s="31">
        <f t="shared" si="24"/>
        <v>0</v>
      </c>
      <c r="T151" s="31">
        <f t="shared" si="24"/>
        <v>0</v>
      </c>
      <c r="U151" s="31">
        <f t="shared" si="24"/>
        <v>0</v>
      </c>
      <c r="V151" s="31">
        <f t="shared" si="24"/>
        <v>0</v>
      </c>
      <c r="W151" s="31">
        <f t="shared" si="24"/>
        <v>0</v>
      </c>
      <c r="X151" s="31">
        <f t="shared" si="24"/>
        <v>0</v>
      </c>
    </row>
    <row r="152" spans="2:24" ht="15" customHeight="1" x14ac:dyDescent="0.3">
      <c r="B152" s="29" t="s">
        <v>176</v>
      </c>
      <c r="C152" s="29" t="s">
        <v>32</v>
      </c>
      <c r="D152" s="7" t="str">
        <f>INDEX('90_SEMA'!$G$7:$H$183,146,NYELV_IDX)</f>
        <v>13/a. Kapott osztalékok társult vállalkozástól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</row>
    <row r="153" spans="2:24" ht="15" customHeight="1" x14ac:dyDescent="0.3">
      <c r="B153" s="29" t="s">
        <v>177</v>
      </c>
      <c r="C153" s="29" t="s">
        <v>97</v>
      </c>
      <c r="D153" s="34" t="str">
        <f>INDEX('90_SEMA'!$G$7:$H$183,147,NYELV_IDX)</f>
        <v xml:space="preserve">     Ebből: kapcsolt vállalkozástól kapott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</row>
    <row r="154" spans="2:24" ht="15" customHeight="1" x14ac:dyDescent="0.3">
      <c r="B154" s="29" t="s">
        <v>178</v>
      </c>
      <c r="C154" s="29" t="s">
        <v>32</v>
      </c>
      <c r="D154" s="7" t="str">
        <f>INDEX('90_SEMA'!$G$7:$H$183,148,NYELV_IDX)</f>
        <v>13/b. Kapott osztalékok egyéb részesedési viszonyban lévő vállalkozástól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</row>
    <row r="155" spans="2:24" ht="15" customHeight="1" x14ac:dyDescent="0.3">
      <c r="B155" s="29" t="s">
        <v>179</v>
      </c>
      <c r="C155" s="29" t="s">
        <v>97</v>
      </c>
      <c r="D155" s="34" t="str">
        <f>INDEX('90_SEMA'!$G$7:$H$183,149,NYELV_IDX)</f>
        <v xml:space="preserve">     Ebből: kapcsolt vállalkozástól kapott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</row>
    <row r="156" spans="2:24" ht="15" customHeight="1" x14ac:dyDescent="0.3">
      <c r="B156" s="29" t="s">
        <v>180</v>
      </c>
      <c r="C156" s="29" t="s">
        <v>32</v>
      </c>
      <c r="D156" s="7" t="str">
        <f>INDEX('90_SEMA'!$G$7:$H$183,150,NYELV_IDX)</f>
        <v>14. Részesedésekből származó bevételek, árfolyamnyereségek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</row>
    <row r="157" spans="2:24" ht="15" customHeight="1" x14ac:dyDescent="0.3">
      <c r="B157" s="29" t="s">
        <v>181</v>
      </c>
      <c r="C157" s="29" t="s">
        <v>97</v>
      </c>
      <c r="D157" s="34" t="str">
        <f>INDEX('90_SEMA'!$G$7:$H$183,151,NYELV_IDX)</f>
        <v xml:space="preserve">     Ebből: kapcsolt vállalkozástól kapott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</row>
    <row r="158" spans="2:24" ht="15" customHeight="1" x14ac:dyDescent="0.3">
      <c r="B158" s="29" t="s">
        <v>182</v>
      </c>
      <c r="C158" s="29" t="s">
        <v>32</v>
      </c>
      <c r="D158" s="7" t="str">
        <f>INDEX('90_SEMA'!$G$7:$H$183,152,NYELV_IDX)</f>
        <v>15. Befektetett pénzügyi eszközökből (értékpapírokból, kölcsönökből) származó bevételek, árfolyamnyereségek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</row>
    <row r="159" spans="2:24" ht="15" customHeight="1" x14ac:dyDescent="0.3">
      <c r="B159" s="29" t="s">
        <v>183</v>
      </c>
      <c r="C159" s="29" t="s">
        <v>97</v>
      </c>
      <c r="D159" s="34" t="str">
        <f>INDEX('90_SEMA'!$G$7:$H$183,153,NYELV_IDX)</f>
        <v xml:space="preserve">     Ebből: kapcsolt vállalkozástól kapott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</row>
    <row r="160" spans="2:24" ht="15" customHeight="1" x14ac:dyDescent="0.3">
      <c r="B160" s="29" t="s">
        <v>184</v>
      </c>
      <c r="C160" s="29" t="s">
        <v>32</v>
      </c>
      <c r="D160" s="7" t="str">
        <f>INDEX('90_SEMA'!$G$7:$H$183,154,NYELV_IDX)</f>
        <v>16. Egyéb kapott (járó) kamatok és kamatjellegű bevételek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</row>
    <row r="161" spans="2:24" ht="15" customHeight="1" x14ac:dyDescent="0.3">
      <c r="B161" s="29" t="s">
        <v>185</v>
      </c>
      <c r="C161" s="29" t="s">
        <v>97</v>
      </c>
      <c r="D161" s="34" t="str">
        <f>INDEX('90_SEMA'!$G$7:$H$183,155,NYELV_IDX)</f>
        <v xml:space="preserve">     Ebből: kapcsolt vállalkozástól kapott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</row>
    <row r="162" spans="2:24" ht="15" customHeight="1" x14ac:dyDescent="0.3">
      <c r="B162" s="29" t="s">
        <v>186</v>
      </c>
      <c r="C162" s="29" t="s">
        <v>32</v>
      </c>
      <c r="D162" s="7" t="str">
        <f>INDEX('90_SEMA'!$G$7:$H$183,156,NYELV_IDX)</f>
        <v>17. Pénzügyi műveletek egyéb bevételei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</row>
    <row r="163" spans="2:24" ht="15" customHeight="1" x14ac:dyDescent="0.3">
      <c r="B163" s="29" t="s">
        <v>187</v>
      </c>
      <c r="C163" s="29" t="s">
        <v>97</v>
      </c>
      <c r="D163" s="34" t="str">
        <f>INDEX('90_SEMA'!$G$7:$H$183,157,NYELV_IDX)</f>
        <v xml:space="preserve">     Ebből: értékelési különbözet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</row>
    <row r="164" spans="2:24" ht="15" customHeight="1" x14ac:dyDescent="0.3">
      <c r="B164" s="29" t="s">
        <v>188</v>
      </c>
      <c r="C164" s="29" t="s">
        <v>29</v>
      </c>
      <c r="D164" s="32" t="str">
        <f>INDEX('90_SEMA'!$G$7:$H$183,158,NYELV_IDX)</f>
        <v>IX. Pénzügyi műveletek ráfordításai</v>
      </c>
      <c r="E164" s="31">
        <f t="shared" ref="E164:X164" si="25">SUMIFS(E$7:E$183,$B$7:$B$183,$B164&amp;".*",$C$7:$C$183,"D")</f>
        <v>0</v>
      </c>
      <c r="F164" s="31">
        <f t="shared" si="25"/>
        <v>0</v>
      </c>
      <c r="G164" s="31">
        <f t="shared" si="25"/>
        <v>0</v>
      </c>
      <c r="H164" s="31">
        <f t="shared" si="25"/>
        <v>0</v>
      </c>
      <c r="I164" s="31">
        <f t="shared" si="25"/>
        <v>0</v>
      </c>
      <c r="J164" s="31">
        <f t="shared" si="25"/>
        <v>0</v>
      </c>
      <c r="K164" s="31">
        <f t="shared" si="25"/>
        <v>0</v>
      </c>
      <c r="L164" s="31">
        <f t="shared" si="25"/>
        <v>0</v>
      </c>
      <c r="M164" s="31">
        <f t="shared" si="25"/>
        <v>0</v>
      </c>
      <c r="N164" s="31">
        <f t="shared" si="25"/>
        <v>0</v>
      </c>
      <c r="O164" s="31">
        <f t="shared" si="25"/>
        <v>0</v>
      </c>
      <c r="P164" s="31">
        <f t="shared" si="25"/>
        <v>0</v>
      </c>
      <c r="Q164" s="31">
        <f t="shared" si="25"/>
        <v>0</v>
      </c>
      <c r="R164" s="31">
        <f t="shared" si="25"/>
        <v>0</v>
      </c>
      <c r="S164" s="31">
        <f t="shared" si="25"/>
        <v>0</v>
      </c>
      <c r="T164" s="31">
        <f t="shared" si="25"/>
        <v>0</v>
      </c>
      <c r="U164" s="31">
        <f t="shared" si="25"/>
        <v>0</v>
      </c>
      <c r="V164" s="31">
        <f t="shared" si="25"/>
        <v>0</v>
      </c>
      <c r="W164" s="31">
        <f t="shared" si="25"/>
        <v>0</v>
      </c>
      <c r="X164" s="31">
        <f t="shared" si="25"/>
        <v>0</v>
      </c>
    </row>
    <row r="165" spans="2:24" ht="15" customHeight="1" x14ac:dyDescent="0.3">
      <c r="B165" s="29" t="s">
        <v>189</v>
      </c>
      <c r="C165" s="29" t="s">
        <v>32</v>
      </c>
      <c r="D165" s="7" t="str">
        <f>INDEX('90_SEMA'!$G$7:$H$183,159,NYELV_IDX)</f>
        <v>18. Részesedésekből származó ráfordítások, árfolyamveszteségek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</row>
    <row r="166" spans="2:24" ht="15" customHeight="1" x14ac:dyDescent="0.3">
      <c r="B166" s="29" t="s">
        <v>190</v>
      </c>
      <c r="C166" s="29" t="s">
        <v>97</v>
      </c>
      <c r="D166" s="34" t="str">
        <f>INDEX('90_SEMA'!$G$7:$H$183,160,NYELV_IDX)</f>
        <v xml:space="preserve">     Ebből: kapcsolt vállalkozásnak adott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</row>
    <row r="167" spans="2:24" ht="15" customHeight="1" x14ac:dyDescent="0.3">
      <c r="B167" s="29" t="s">
        <v>191</v>
      </c>
      <c r="C167" s="29" t="s">
        <v>32</v>
      </c>
      <c r="D167" s="7" t="str">
        <f>INDEX('90_SEMA'!$G$7:$H$183,161,NYELV_IDX)</f>
        <v>19. Befektetett pénzügyi eszközökből (értékpapírokból, kölcsönökből) származó ráfordítások, árfolyamveszteségek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</row>
    <row r="168" spans="2:24" ht="15" customHeight="1" x14ac:dyDescent="0.3">
      <c r="B168" s="29" t="s">
        <v>192</v>
      </c>
      <c r="C168" s="29" t="s">
        <v>97</v>
      </c>
      <c r="D168" s="34" t="str">
        <f>INDEX('90_SEMA'!$G$7:$H$183,162,NYELV_IDX)</f>
        <v xml:space="preserve">     Ebből: kapcsolt vállalkozásnak adott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</row>
    <row r="169" spans="2:24" ht="15" customHeight="1" x14ac:dyDescent="0.3">
      <c r="B169" s="29" t="s">
        <v>193</v>
      </c>
      <c r="C169" s="29" t="s">
        <v>32</v>
      </c>
      <c r="D169" s="7" t="str">
        <f>INDEX('90_SEMA'!$G$7:$H$183,163,NYELV_IDX)</f>
        <v>20. Fizetendő (fizetett) kamatok és kamatjellegű ráfordítások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</row>
    <row r="170" spans="2:24" ht="15" customHeight="1" x14ac:dyDescent="0.3">
      <c r="B170" s="29" t="s">
        <v>194</v>
      </c>
      <c r="C170" s="29" t="s">
        <v>97</v>
      </c>
      <c r="D170" s="34" t="str">
        <f>INDEX('90_SEMA'!$G$7:$H$183,164,NYELV_IDX)</f>
        <v xml:space="preserve">     Ebből: kapcsolt vállalkozásnak adott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</row>
    <row r="171" spans="2:24" ht="15" customHeight="1" x14ac:dyDescent="0.3">
      <c r="B171" s="29" t="s">
        <v>195</v>
      </c>
      <c r="C171" s="29" t="s">
        <v>32</v>
      </c>
      <c r="D171" s="7" t="str">
        <f>INDEX('90_SEMA'!$G$7:$H$183,165,NYELV_IDX)</f>
        <v>21. Részesedések, értékpapírok, tartósan adott kölcsönök, bankbetétek értékvesztése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</row>
    <row r="172" spans="2:24" ht="15" customHeight="1" x14ac:dyDescent="0.3">
      <c r="B172" s="29" t="s">
        <v>196</v>
      </c>
      <c r="C172" s="29" t="s">
        <v>32</v>
      </c>
      <c r="D172" s="7" t="str">
        <f>INDEX('90_SEMA'!$G$7:$H$183,166,NYELV_IDX)</f>
        <v>22. Pénzügyi műveletek egyéb ráfordításai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</row>
    <row r="173" spans="2:24" ht="15" customHeight="1" x14ac:dyDescent="0.3">
      <c r="B173" s="29" t="s">
        <v>197</v>
      </c>
      <c r="C173" s="29" t="s">
        <v>97</v>
      </c>
      <c r="D173" s="34" t="str">
        <f>INDEX('90_SEMA'!$G$7:$H$183,167,NYELV_IDX)</f>
        <v xml:space="preserve">     Ebből: értékelési különbözet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</row>
    <row r="174" spans="2:24" ht="15" customHeight="1" x14ac:dyDescent="0.3">
      <c r="B174" s="29" t="s">
        <v>198</v>
      </c>
      <c r="C174" s="29" t="s">
        <v>32</v>
      </c>
      <c r="D174" s="32" t="str">
        <f>INDEX('90_SEMA'!$G$7:$H$183,168,NYELV_IDX)</f>
        <v>X. Adófizetési kötelezettség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</row>
    <row r="175" spans="2:24" ht="15" customHeight="1" x14ac:dyDescent="0.3">
      <c r="B175" s="29" t="s">
        <v>199</v>
      </c>
      <c r="C175" s="29" t="s">
        <v>32</v>
      </c>
      <c r="D175" s="32" t="str">
        <f>INDEX('90_SEMA'!$G$7:$H$183,169,NYELV_IDX)</f>
        <v>X/1. Halasztott adókülönbözet (±)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</row>
    <row r="176" spans="2:24" ht="15" customHeight="1" x14ac:dyDescent="0.3">
      <c r="B176" s="29" t="s">
        <v>200</v>
      </c>
      <c r="C176" s="29" t="s">
        <v>32</v>
      </c>
      <c r="D176" s="32" t="str">
        <f>INDEX('90_SEMA'!$G$7:$H$183,170,NYELV_IDX)</f>
        <v>X/A. Konszolidálásból adódó (számított) társasági adókülönbözet (±)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</row>
    <row r="177" spans="2:24" ht="15" customHeight="1" x14ac:dyDescent="0.3">
      <c r="B177" s="29" t="s">
        <v>201</v>
      </c>
      <c r="C177" s="29" t="s">
        <v>32</v>
      </c>
      <c r="D177" s="32" t="str">
        <f>INDEX('90_SEMA'!$G$7:$H$183,171,NYELV_IDX)</f>
        <v>X/B. Halasztott adókülönbözet (±) [6. sz. mell.; tartalmilag az X/1. sorral egyezik]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</row>
    <row r="178" spans="2:24" ht="15" customHeight="1" x14ac:dyDescent="0.3">
      <c r="B178" s="29" t="s">
        <v>202</v>
      </c>
      <c r="C178" s="29" t="s">
        <v>32</v>
      </c>
      <c r="D178" s="32" t="str">
        <f>INDEX('90_SEMA'!$G$7:$H$183,172,NYELV_IDX)</f>
        <v>Leányvállalatok adózott eredményéből külső tagok (más tulajdonosok) részesedése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</row>
    <row r="179" spans="2:24" ht="15" customHeight="1" x14ac:dyDescent="0.3">
      <c r="B179" s="29" t="s">
        <v>203</v>
      </c>
      <c r="C179" s="29" t="s">
        <v>29</v>
      </c>
      <c r="D179" s="32" t="str">
        <f>INDEX('90_SEMA'!$G$7:$H$183,173,NYELV_IDX)</f>
        <v>Forgalmi költséges eljárás saját sorai</v>
      </c>
      <c r="E179" s="31">
        <f t="shared" ref="E179:X179" si="26">SUMIFS(E$7:E$183,$B$7:$B$183,$B179&amp;".*",$C$7:$C$183,"D")</f>
        <v>0</v>
      </c>
      <c r="F179" s="31">
        <f t="shared" si="26"/>
        <v>0</v>
      </c>
      <c r="G179" s="31">
        <f t="shared" si="26"/>
        <v>0</v>
      </c>
      <c r="H179" s="31">
        <f t="shared" si="26"/>
        <v>0</v>
      </c>
      <c r="I179" s="31">
        <f t="shared" si="26"/>
        <v>0</v>
      </c>
      <c r="J179" s="31">
        <f t="shared" si="26"/>
        <v>0</v>
      </c>
      <c r="K179" s="31">
        <f t="shared" si="26"/>
        <v>0</v>
      </c>
      <c r="L179" s="31">
        <f t="shared" si="26"/>
        <v>0</v>
      </c>
      <c r="M179" s="31">
        <f t="shared" si="26"/>
        <v>0</v>
      </c>
      <c r="N179" s="31">
        <f t="shared" si="26"/>
        <v>0</v>
      </c>
      <c r="O179" s="31">
        <f t="shared" si="26"/>
        <v>0</v>
      </c>
      <c r="P179" s="31">
        <f t="shared" si="26"/>
        <v>0</v>
      </c>
      <c r="Q179" s="31">
        <f t="shared" si="26"/>
        <v>0</v>
      </c>
      <c r="R179" s="31">
        <f t="shared" si="26"/>
        <v>0</v>
      </c>
      <c r="S179" s="31">
        <f t="shared" si="26"/>
        <v>0</v>
      </c>
      <c r="T179" s="31">
        <f t="shared" si="26"/>
        <v>0</v>
      </c>
      <c r="U179" s="31">
        <f t="shared" si="26"/>
        <v>0</v>
      </c>
      <c r="V179" s="31">
        <f t="shared" si="26"/>
        <v>0</v>
      </c>
      <c r="W179" s="31">
        <f t="shared" si="26"/>
        <v>0</v>
      </c>
      <c r="X179" s="31">
        <f t="shared" si="26"/>
        <v>0</v>
      </c>
    </row>
    <row r="180" spans="2:24" ht="15" customHeight="1" x14ac:dyDescent="0.3">
      <c r="B180" s="29" t="s">
        <v>204</v>
      </c>
      <c r="C180" s="29" t="s">
        <v>32</v>
      </c>
      <c r="D180" s="7" t="str">
        <f>INDEX('90_SEMA'!$G$7:$H$183,174,NYELV_IDX)</f>
        <v>03. Értékesítés elszámolt közvetlen önköltsége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</row>
    <row r="181" spans="2:24" ht="15" customHeight="1" x14ac:dyDescent="0.3">
      <c r="B181" s="29" t="s">
        <v>205</v>
      </c>
      <c r="C181" s="29" t="s">
        <v>32</v>
      </c>
      <c r="D181" s="7" t="str">
        <f>INDEX('90_SEMA'!$G$7:$H$183,175,NYELV_IDX)</f>
        <v>06. Értékesítési, forgalmazási költségek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</row>
    <row r="182" spans="2:24" ht="15" customHeight="1" x14ac:dyDescent="0.3">
      <c r="B182" s="29" t="s">
        <v>206</v>
      </c>
      <c r="C182" s="29" t="s">
        <v>32</v>
      </c>
      <c r="D182" s="7" t="str">
        <f>INDEX('90_SEMA'!$G$7:$H$183,176,NYELV_IDX)</f>
        <v>07. Igazgatási költségek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</row>
    <row r="183" spans="2:24" ht="15" customHeight="1" x14ac:dyDescent="0.3">
      <c r="B183" s="29" t="s">
        <v>207</v>
      </c>
      <c r="C183" s="29" t="s">
        <v>32</v>
      </c>
      <c r="D183" s="7" t="str">
        <f>INDEX('90_SEMA'!$G$7:$H$183,177,NYELV_IDX)</f>
        <v>08. Egyéb általános költségek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</row>
    <row r="185" spans="2:24" ht="15" customHeight="1" x14ac:dyDescent="0.3">
      <c r="D185" s="35" t="s">
        <v>208</v>
      </c>
      <c r="E185" s="36">
        <f t="shared" ref="E185:X185" si="27">(E7+E39+E67)-(E71+E88+E92+E124)</f>
        <v>0</v>
      </c>
      <c r="F185" s="36">
        <f t="shared" si="27"/>
        <v>0</v>
      </c>
      <c r="G185" s="36">
        <f t="shared" si="27"/>
        <v>0</v>
      </c>
      <c r="H185" s="36">
        <f t="shared" si="27"/>
        <v>0</v>
      </c>
      <c r="I185" s="36">
        <f t="shared" si="27"/>
        <v>0</v>
      </c>
      <c r="J185" s="36">
        <f t="shared" si="27"/>
        <v>0</v>
      </c>
      <c r="K185" s="36">
        <f t="shared" si="27"/>
        <v>0</v>
      </c>
      <c r="L185" s="36">
        <f t="shared" si="27"/>
        <v>0</v>
      </c>
      <c r="M185" s="36">
        <f t="shared" si="27"/>
        <v>0</v>
      </c>
      <c r="N185" s="36">
        <f t="shared" si="27"/>
        <v>0</v>
      </c>
      <c r="O185" s="36">
        <f t="shared" si="27"/>
        <v>0</v>
      </c>
      <c r="P185" s="36">
        <f t="shared" si="27"/>
        <v>0</v>
      </c>
      <c r="Q185" s="36">
        <f t="shared" si="27"/>
        <v>0</v>
      </c>
      <c r="R185" s="36">
        <f t="shared" si="27"/>
        <v>0</v>
      </c>
      <c r="S185" s="36">
        <f t="shared" si="27"/>
        <v>0</v>
      </c>
      <c r="T185" s="36">
        <f t="shared" si="27"/>
        <v>0</v>
      </c>
      <c r="U185" s="36">
        <f t="shared" si="27"/>
        <v>0</v>
      </c>
      <c r="V185" s="36">
        <f t="shared" si="27"/>
        <v>0</v>
      </c>
      <c r="W185" s="36">
        <f t="shared" si="27"/>
        <v>0</v>
      </c>
      <c r="X185" s="36">
        <f t="shared" si="27"/>
        <v>0</v>
      </c>
    </row>
  </sheetData>
  <sheetProtection algorithmName="SHA-512" hashValue="43zLA7RCH1iOmZl9DtACSB/73C2YBsIXycyRnq1YQKT05sIUnon2KCZmp1kBBHAipOX/x6cN2GM5GlJxElJpiw==" saltValue="xeo+PKPb2jAfxkz65FO5eQ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5"/>
  <dimension ref="B1:X185"/>
  <sheetViews>
    <sheetView showGridLines="0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ColWidth="8.6640625" defaultRowHeight="14.4" x14ac:dyDescent="0.3"/>
  <cols>
    <col min="2" max="2" width="15" style="1" customWidth="1"/>
    <col min="3" max="3" width="6" style="1" customWidth="1"/>
    <col min="4" max="4" width="68" style="1" customWidth="1"/>
    <col min="5" max="5" width="22" style="1" customWidth="1"/>
  </cols>
  <sheetData>
    <row r="1" spans="2:5" ht="79.5" customHeight="1" x14ac:dyDescent="0.3"/>
    <row r="3" spans="2:5" ht="19.5" customHeight="1" x14ac:dyDescent="0.4">
      <c r="B3" s="12" t="str">
        <f>INDEX('91_NYELV'!$C$7:$D$303,181,NYELV_IDX)</f>
        <v>3/B. Előző évi (nyitó) konszolidált adatok</v>
      </c>
    </row>
    <row r="4" spans="2:5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5" ht="21.75" customHeight="1" x14ac:dyDescent="0.3">
      <c r="B6" s="20" t="str">
        <f>INDEX('91_NYELV'!$C$7:$D$303,82,NYELV_IDX)</f>
        <v>Kód</v>
      </c>
      <c r="C6" s="20" t="str">
        <f>INDEX('91_NYELV'!$C$7:$D$303,84,NYELV_IDX)</f>
        <v>A/Ö</v>
      </c>
      <c r="D6" s="20" t="str">
        <f>INDEX('91_NYELV'!$C$7:$D$303,83,NYELV_IDX)</f>
        <v>Megnevezés</v>
      </c>
      <c r="E6" s="20" t="str">
        <f>INDEX('91_NYELV'!$C$7:$D$303,183,NYELV_IDX)</f>
        <v>Előző évi konszolidált érték</v>
      </c>
    </row>
    <row r="7" spans="2:5" ht="15" customHeight="1" x14ac:dyDescent="0.3">
      <c r="B7" s="29" t="s">
        <v>28</v>
      </c>
      <c r="C7" s="29" t="s">
        <v>29</v>
      </c>
      <c r="D7" s="30" t="str">
        <f>INDEX('90_SEMA'!$G$7:$H$183,1,NYELV_IDX)</f>
        <v>A. Befektetett eszközök</v>
      </c>
      <c r="E7" s="31">
        <f>SUMIFS($E$7:$E$183,$B$7:$B$183,$B7&amp;".*",$C$7:$C$183,"D")</f>
        <v>0</v>
      </c>
    </row>
    <row r="8" spans="2:5" ht="15" customHeight="1" x14ac:dyDescent="0.3">
      <c r="B8" s="29" t="s">
        <v>30</v>
      </c>
      <c r="C8" s="29" t="s">
        <v>29</v>
      </c>
      <c r="D8" s="32" t="str">
        <f>INDEX('90_SEMA'!$G$7:$H$183,2,NYELV_IDX)</f>
        <v>I. IMMATERIÁLIS JAVAK</v>
      </c>
      <c r="E8" s="31">
        <f>SUMIFS($E$7:$E$183,$B$7:$B$183,$B8&amp;".*",$C$7:$C$183,"D")</f>
        <v>0</v>
      </c>
    </row>
    <row r="9" spans="2:5" ht="15" customHeight="1" x14ac:dyDescent="0.3">
      <c r="B9" s="29" t="s">
        <v>31</v>
      </c>
      <c r="C9" s="29" t="s">
        <v>32</v>
      </c>
      <c r="D9" s="7" t="str">
        <f>INDEX('90_SEMA'!$G$7:$H$183,3,NYELV_IDX)</f>
        <v>1. Alapítás-átszervezés aktivált értéke</v>
      </c>
      <c r="E9" s="33"/>
    </row>
    <row r="10" spans="2:5" ht="15" customHeight="1" x14ac:dyDescent="0.3">
      <c r="B10" s="29" t="s">
        <v>33</v>
      </c>
      <c r="C10" s="29" t="s">
        <v>32</v>
      </c>
      <c r="D10" s="7" t="str">
        <f>INDEX('90_SEMA'!$G$7:$H$183,4,NYELV_IDX)</f>
        <v>2. Kísérleti fejlesztés aktivált értéke</v>
      </c>
      <c r="E10" s="33"/>
    </row>
    <row r="11" spans="2:5" ht="15" customHeight="1" x14ac:dyDescent="0.3">
      <c r="B11" s="29" t="s">
        <v>34</v>
      </c>
      <c r="C11" s="29" t="s">
        <v>32</v>
      </c>
      <c r="D11" s="7" t="str">
        <f>INDEX('90_SEMA'!$G$7:$H$183,5,NYELV_IDX)</f>
        <v>3. Vagyoni értékű jogok</v>
      </c>
      <c r="E11" s="33"/>
    </row>
    <row r="12" spans="2:5" ht="15" customHeight="1" x14ac:dyDescent="0.3">
      <c r="B12" s="29" t="s">
        <v>35</v>
      </c>
      <c r="C12" s="29" t="s">
        <v>32</v>
      </c>
      <c r="D12" s="7" t="str">
        <f>INDEX('90_SEMA'!$G$7:$H$183,6,NYELV_IDX)</f>
        <v>4. Szellemi termékek</v>
      </c>
      <c r="E12" s="33"/>
    </row>
    <row r="13" spans="2:5" ht="15" customHeight="1" x14ac:dyDescent="0.3">
      <c r="B13" s="29" t="s">
        <v>36</v>
      </c>
      <c r="C13" s="29" t="s">
        <v>32</v>
      </c>
      <c r="D13" s="7" t="str">
        <f>INDEX('90_SEMA'!$G$7:$H$183,7,NYELV_IDX)</f>
        <v>5. Üzleti vagy cégérték</v>
      </c>
      <c r="E13" s="33"/>
    </row>
    <row r="14" spans="2:5" ht="15" customHeight="1" x14ac:dyDescent="0.3">
      <c r="B14" s="29" t="s">
        <v>37</v>
      </c>
      <c r="C14" s="29" t="s">
        <v>32</v>
      </c>
      <c r="D14" s="7" t="str">
        <f>INDEX('90_SEMA'!$G$7:$H$183,8,NYELV_IDX)</f>
        <v>6. Immateriális javakra adott előlegek</v>
      </c>
      <c r="E14" s="33"/>
    </row>
    <row r="15" spans="2:5" ht="15" customHeight="1" x14ac:dyDescent="0.3">
      <c r="B15" s="29" t="s">
        <v>38</v>
      </c>
      <c r="C15" s="29" t="s">
        <v>32</v>
      </c>
      <c r="D15" s="7" t="str">
        <f>INDEX('90_SEMA'!$G$7:$H$183,9,NYELV_IDX)</f>
        <v>7. Immateriális javak értékhelyesbítése</v>
      </c>
      <c r="E15" s="33"/>
    </row>
    <row r="16" spans="2:5" ht="15" customHeight="1" x14ac:dyDescent="0.3">
      <c r="B16" s="29" t="s">
        <v>39</v>
      </c>
      <c r="C16" s="29" t="s">
        <v>29</v>
      </c>
      <c r="D16" s="32" t="str">
        <f>INDEX('90_SEMA'!$G$7:$H$183,10,NYELV_IDX)</f>
        <v>II. TÁRGYI ESZKÖZÖK</v>
      </c>
      <c r="E16" s="31">
        <f>SUMIFS($E$7:$E$183,$B$7:$B$183,$B16&amp;".*",$C$7:$C$183,"D")</f>
        <v>0</v>
      </c>
    </row>
    <row r="17" spans="2:5" ht="15" customHeight="1" x14ac:dyDescent="0.3">
      <c r="B17" s="29" t="s">
        <v>40</v>
      </c>
      <c r="C17" s="29" t="s">
        <v>32</v>
      </c>
      <c r="D17" s="7" t="str">
        <f>INDEX('90_SEMA'!$G$7:$H$183,11,NYELV_IDX)</f>
        <v>1. Ingatlanok és a kapcsolódó vagyoni értékű jogok</v>
      </c>
      <c r="E17" s="33"/>
    </row>
    <row r="18" spans="2:5" ht="15" customHeight="1" x14ac:dyDescent="0.3">
      <c r="B18" s="29" t="s">
        <v>41</v>
      </c>
      <c r="C18" s="29" t="s">
        <v>32</v>
      </c>
      <c r="D18" s="7" t="str">
        <f>INDEX('90_SEMA'!$G$7:$H$183,12,NYELV_IDX)</f>
        <v>2. Műszaki berendezések, gépek, járművek</v>
      </c>
      <c r="E18" s="33"/>
    </row>
    <row r="19" spans="2:5" ht="15" customHeight="1" x14ac:dyDescent="0.3">
      <c r="B19" s="29" t="s">
        <v>42</v>
      </c>
      <c r="C19" s="29" t="s">
        <v>32</v>
      </c>
      <c r="D19" s="7" t="str">
        <f>INDEX('90_SEMA'!$G$7:$H$183,13,NYELV_IDX)</f>
        <v>3. Egyéb berendezések, felszerelések, járművek</v>
      </c>
      <c r="E19" s="33"/>
    </row>
    <row r="20" spans="2:5" ht="15" customHeight="1" x14ac:dyDescent="0.3">
      <c r="B20" s="29" t="s">
        <v>43</v>
      </c>
      <c r="C20" s="29" t="s">
        <v>32</v>
      </c>
      <c r="D20" s="7" t="str">
        <f>INDEX('90_SEMA'!$G$7:$H$183,14,NYELV_IDX)</f>
        <v>4. Tenyészállatok</v>
      </c>
      <c r="E20" s="33"/>
    </row>
    <row r="21" spans="2:5" ht="15" customHeight="1" x14ac:dyDescent="0.3">
      <c r="B21" s="29" t="s">
        <v>44</v>
      </c>
      <c r="C21" s="29" t="s">
        <v>32</v>
      </c>
      <c r="D21" s="7" t="str">
        <f>INDEX('90_SEMA'!$G$7:$H$183,15,NYELV_IDX)</f>
        <v>5. Beruházások, felújítások</v>
      </c>
      <c r="E21" s="33"/>
    </row>
    <row r="22" spans="2:5" ht="15" customHeight="1" x14ac:dyDescent="0.3">
      <c r="B22" s="29" t="s">
        <v>45</v>
      </c>
      <c r="C22" s="29" t="s">
        <v>32</v>
      </c>
      <c r="D22" s="7" t="str">
        <f>INDEX('90_SEMA'!$G$7:$H$183,16,NYELV_IDX)</f>
        <v>6. Beruházásokra adott előlegek</v>
      </c>
      <c r="E22" s="33"/>
    </row>
    <row r="23" spans="2:5" ht="15" customHeight="1" x14ac:dyDescent="0.3">
      <c r="B23" s="29" t="s">
        <v>46</v>
      </c>
      <c r="C23" s="29" t="s">
        <v>32</v>
      </c>
      <c r="D23" s="7" t="str">
        <f>INDEX('90_SEMA'!$G$7:$H$183,17,NYELV_IDX)</f>
        <v>7. Tárgyi eszközök értékhelyesbítése</v>
      </c>
      <c r="E23" s="33"/>
    </row>
    <row r="24" spans="2:5" ht="15" customHeight="1" x14ac:dyDescent="0.3">
      <c r="B24" s="29" t="s">
        <v>47</v>
      </c>
      <c r="C24" s="29" t="s">
        <v>29</v>
      </c>
      <c r="D24" s="32" t="str">
        <f>INDEX('90_SEMA'!$G$7:$H$183,18,NYELV_IDX)</f>
        <v>III. BEFEKTETETT PÉNZÜGYI ESZKÖZÖK</v>
      </c>
      <c r="E24" s="31">
        <f>SUMIFS($E$7:$E$183,$B$7:$B$183,$B24&amp;".*",$C$7:$C$183,"D")</f>
        <v>0</v>
      </c>
    </row>
    <row r="25" spans="2:5" ht="15" customHeight="1" x14ac:dyDescent="0.3">
      <c r="B25" s="29" t="s">
        <v>48</v>
      </c>
      <c r="C25" s="29" t="s">
        <v>32</v>
      </c>
      <c r="D25" s="7" t="str">
        <f>INDEX('90_SEMA'!$G$7:$H$183,19,NYELV_IDX)</f>
        <v>1. Tartós részesedés kapcsolt vállalkozásban</v>
      </c>
      <c r="E25" s="33"/>
    </row>
    <row r="26" spans="2:5" ht="15" customHeight="1" x14ac:dyDescent="0.3">
      <c r="B26" s="29" t="s">
        <v>49</v>
      </c>
      <c r="C26" s="29" t="s">
        <v>32</v>
      </c>
      <c r="D26" s="7" t="str">
        <f>INDEX('90_SEMA'!$G$7:$H$183,20,NYELV_IDX)</f>
        <v>2. Tartósan adott kölcsön kapcsolt vállalkozásban</v>
      </c>
      <c r="E26" s="33"/>
    </row>
    <row r="27" spans="2:5" ht="15" customHeight="1" x14ac:dyDescent="0.3">
      <c r="B27" s="29" t="s">
        <v>50</v>
      </c>
      <c r="C27" s="29" t="s">
        <v>32</v>
      </c>
      <c r="D27" s="7" t="str">
        <f>INDEX('90_SEMA'!$G$7:$H$183,21,NYELV_IDX)</f>
        <v>3. Tartós jelentős tulajdoni részesedés</v>
      </c>
      <c r="E27" s="33"/>
    </row>
    <row r="28" spans="2:5" ht="15" customHeight="1" x14ac:dyDescent="0.3">
      <c r="B28" s="29" t="s">
        <v>51</v>
      </c>
      <c r="C28" s="29" t="s">
        <v>32</v>
      </c>
      <c r="D28" s="7" t="str">
        <f>INDEX('90_SEMA'!$G$7:$H$183,22,NYELV_IDX)</f>
        <v>4. Tartósan adott kölcsön jelentős tulajdoni részesedési viszonyban álló vállalkozásban</v>
      </c>
      <c r="E28" s="33"/>
    </row>
    <row r="29" spans="2:5" ht="15" customHeight="1" x14ac:dyDescent="0.3">
      <c r="B29" s="29" t="s">
        <v>52</v>
      </c>
      <c r="C29" s="29" t="s">
        <v>32</v>
      </c>
      <c r="D29" s="7" t="str">
        <f>INDEX('90_SEMA'!$G$7:$H$183,23,NYELV_IDX)</f>
        <v>5. Egyéb tartós részesedés</v>
      </c>
      <c r="E29" s="33"/>
    </row>
    <row r="30" spans="2:5" ht="15" customHeight="1" x14ac:dyDescent="0.3">
      <c r="B30" s="29" t="s">
        <v>53</v>
      </c>
      <c r="C30" s="29" t="s">
        <v>32</v>
      </c>
      <c r="D30" s="7" t="str">
        <f>INDEX('90_SEMA'!$G$7:$H$183,24,NYELV_IDX)</f>
        <v>6. Tartósan adott kölcsön egyéb részesedési viszonyban álló vállalkozásban</v>
      </c>
      <c r="E30" s="33"/>
    </row>
    <row r="31" spans="2:5" ht="15" customHeight="1" x14ac:dyDescent="0.3">
      <c r="B31" s="29" t="s">
        <v>54</v>
      </c>
      <c r="C31" s="29" t="s">
        <v>32</v>
      </c>
      <c r="D31" s="7" t="str">
        <f>INDEX('90_SEMA'!$G$7:$H$183,25,NYELV_IDX)</f>
        <v>7. Egyéb tartósan adott kölcsön</v>
      </c>
      <c r="E31" s="33"/>
    </row>
    <row r="32" spans="2:5" ht="15" customHeight="1" x14ac:dyDescent="0.3">
      <c r="B32" s="29" t="s">
        <v>55</v>
      </c>
      <c r="C32" s="29" t="s">
        <v>32</v>
      </c>
      <c r="D32" s="7" t="str">
        <f>INDEX('90_SEMA'!$G$7:$H$183,26,NYELV_IDX)</f>
        <v>8. Tartós hitelviszonyt megtestesítő értékpapír</v>
      </c>
      <c r="E32" s="33"/>
    </row>
    <row r="33" spans="2:5" ht="15" customHeight="1" x14ac:dyDescent="0.3">
      <c r="B33" s="29" t="s">
        <v>56</v>
      </c>
      <c r="C33" s="29" t="s">
        <v>32</v>
      </c>
      <c r="D33" s="7" t="str">
        <f>INDEX('90_SEMA'!$G$7:$H$183,27,NYELV_IDX)</f>
        <v>9. Befektetett pénzügyi eszközök értékhelyesbítése</v>
      </c>
      <c r="E33" s="33"/>
    </row>
    <row r="34" spans="2:5" ht="15" customHeight="1" x14ac:dyDescent="0.3">
      <c r="B34" s="29" t="s">
        <v>57</v>
      </c>
      <c r="C34" s="29" t="s">
        <v>32</v>
      </c>
      <c r="D34" s="7" t="str">
        <f>INDEX('90_SEMA'!$G$7:$H$183,28,NYELV_IDX)</f>
        <v>10. Befektetett pénzügyi eszközök értékelési különbözete</v>
      </c>
      <c r="E34" s="33"/>
    </row>
    <row r="35" spans="2:5" ht="15" customHeight="1" x14ac:dyDescent="0.3">
      <c r="B35" s="29" t="s">
        <v>58</v>
      </c>
      <c r="C35" s="29" t="s">
        <v>29</v>
      </c>
      <c r="D35" s="7" t="str">
        <f>INDEX('90_SEMA'!$G$7:$H$183,29,NYELV_IDX)</f>
        <v>11. Tőkekonszolidációs különbözet</v>
      </c>
      <c r="E35" s="31">
        <f>SUMIFS($E$7:$E$183,$B$7:$B$183,$B35&amp;".*",$C$7:$C$183,"D")</f>
        <v>0</v>
      </c>
    </row>
    <row r="36" spans="2:5" ht="15" customHeight="1" x14ac:dyDescent="0.3">
      <c r="B36" s="29" t="s">
        <v>59</v>
      </c>
      <c r="C36" s="29" t="s">
        <v>32</v>
      </c>
      <c r="D36" s="7" t="str">
        <f>INDEX('90_SEMA'!$G$7:$H$183,30,NYELV_IDX)</f>
        <v xml:space="preserve">     – leányvállalatokból</v>
      </c>
      <c r="E36" s="33"/>
    </row>
    <row r="37" spans="2:5" ht="15" customHeight="1" x14ac:dyDescent="0.3">
      <c r="B37" s="29" t="s">
        <v>60</v>
      </c>
      <c r="C37" s="29" t="s">
        <v>32</v>
      </c>
      <c r="D37" s="7" t="str">
        <f>INDEX('90_SEMA'!$G$7:$H$183,31,NYELV_IDX)</f>
        <v xml:space="preserve">     – társult vállalkozásokból</v>
      </c>
      <c r="E37" s="33"/>
    </row>
    <row r="38" spans="2:5" ht="15" customHeight="1" x14ac:dyDescent="0.3">
      <c r="B38" s="29" t="s">
        <v>61</v>
      </c>
      <c r="C38" s="29" t="s">
        <v>32</v>
      </c>
      <c r="D38" s="32" t="str">
        <f>INDEX('90_SEMA'!$G$7:$H$183,32,NYELV_IDX)</f>
        <v>IV. HALASZTOTT ADÓKÖVETELÉS</v>
      </c>
      <c r="E38" s="33"/>
    </row>
    <row r="39" spans="2:5" ht="15" customHeight="1" x14ac:dyDescent="0.3">
      <c r="B39" s="29" t="s">
        <v>62</v>
      </c>
      <c r="C39" s="29" t="s">
        <v>29</v>
      </c>
      <c r="D39" s="30" t="str">
        <f>INDEX('90_SEMA'!$G$7:$H$183,33,NYELV_IDX)</f>
        <v>B. Forgóeszközök</v>
      </c>
      <c r="E39" s="31">
        <f>SUMIFS($E$7:$E$183,$B$7:$B$183,$B39&amp;".*",$C$7:$C$183,"D")</f>
        <v>0</v>
      </c>
    </row>
    <row r="40" spans="2:5" ht="15" customHeight="1" x14ac:dyDescent="0.3">
      <c r="B40" s="29" t="s">
        <v>63</v>
      </c>
      <c r="C40" s="29" t="s">
        <v>29</v>
      </c>
      <c r="D40" s="32" t="str">
        <f>INDEX('90_SEMA'!$G$7:$H$183,34,NYELV_IDX)</f>
        <v>I. KÉSZLETEK</v>
      </c>
      <c r="E40" s="31">
        <f>SUMIFS($E$7:$E$183,$B$7:$B$183,$B40&amp;".*",$C$7:$C$183,"D")</f>
        <v>0</v>
      </c>
    </row>
    <row r="41" spans="2:5" ht="15" customHeight="1" x14ac:dyDescent="0.3">
      <c r="B41" s="29" t="s">
        <v>64</v>
      </c>
      <c r="C41" s="29" t="s">
        <v>32</v>
      </c>
      <c r="D41" s="7" t="str">
        <f>INDEX('90_SEMA'!$G$7:$H$183,35,NYELV_IDX)</f>
        <v>1. Anyagok</v>
      </c>
      <c r="E41" s="33"/>
    </row>
    <row r="42" spans="2:5" ht="15" customHeight="1" x14ac:dyDescent="0.3">
      <c r="B42" s="29" t="s">
        <v>65</v>
      </c>
      <c r="C42" s="29" t="s">
        <v>32</v>
      </c>
      <c r="D42" s="7" t="str">
        <f>INDEX('90_SEMA'!$G$7:$H$183,36,NYELV_IDX)</f>
        <v>2. Befejezetlen termelés és félkész termékek</v>
      </c>
      <c r="E42" s="33"/>
    </row>
    <row r="43" spans="2:5" ht="15" customHeight="1" x14ac:dyDescent="0.3">
      <c r="B43" s="29" t="s">
        <v>66</v>
      </c>
      <c r="C43" s="29" t="s">
        <v>32</v>
      </c>
      <c r="D43" s="7" t="str">
        <f>INDEX('90_SEMA'!$G$7:$H$183,37,NYELV_IDX)</f>
        <v>3. Növendék-, hízó- és egyéb állatok</v>
      </c>
      <c r="E43" s="33"/>
    </row>
    <row r="44" spans="2:5" ht="15" customHeight="1" x14ac:dyDescent="0.3">
      <c r="B44" s="29" t="s">
        <v>67</v>
      </c>
      <c r="C44" s="29" t="s">
        <v>32</v>
      </c>
      <c r="D44" s="7" t="str">
        <f>INDEX('90_SEMA'!$G$7:$H$183,38,NYELV_IDX)</f>
        <v>4. Késztermékek</v>
      </c>
      <c r="E44" s="33"/>
    </row>
    <row r="45" spans="2:5" ht="15" customHeight="1" x14ac:dyDescent="0.3">
      <c r="B45" s="29" t="s">
        <v>68</v>
      </c>
      <c r="C45" s="29" t="s">
        <v>32</v>
      </c>
      <c r="D45" s="7" t="str">
        <f>INDEX('90_SEMA'!$G$7:$H$183,39,NYELV_IDX)</f>
        <v>5. Áruk</v>
      </c>
      <c r="E45" s="33"/>
    </row>
    <row r="46" spans="2:5" ht="15" customHeight="1" x14ac:dyDescent="0.3">
      <c r="B46" s="29" t="s">
        <v>69</v>
      </c>
      <c r="C46" s="29" t="s">
        <v>32</v>
      </c>
      <c r="D46" s="7" t="str">
        <f>INDEX('90_SEMA'!$G$7:$H$183,40,NYELV_IDX)</f>
        <v>6. Készletekre adott előlegek</v>
      </c>
      <c r="E46" s="33"/>
    </row>
    <row r="47" spans="2:5" ht="15" customHeight="1" x14ac:dyDescent="0.3">
      <c r="B47" s="29" t="s">
        <v>70</v>
      </c>
      <c r="C47" s="29" t="s">
        <v>29</v>
      </c>
      <c r="D47" s="32" t="str">
        <f>INDEX('90_SEMA'!$G$7:$H$183,41,NYELV_IDX)</f>
        <v>II. KÖVETELÉSEK</v>
      </c>
      <c r="E47" s="31">
        <f>SUMIFS($E$7:$E$183,$B$7:$B$183,$B47&amp;".*",$C$7:$C$183,"D")</f>
        <v>0</v>
      </c>
    </row>
    <row r="48" spans="2:5" ht="15" customHeight="1" x14ac:dyDescent="0.3">
      <c r="B48" s="29" t="s">
        <v>71</v>
      </c>
      <c r="C48" s="29" t="s">
        <v>32</v>
      </c>
      <c r="D48" s="7" t="str">
        <f>INDEX('90_SEMA'!$G$7:$H$183,42,NYELV_IDX)</f>
        <v>1. Követelések áruszállításból és szolgáltatásból (vevők)</v>
      </c>
      <c r="E48" s="33"/>
    </row>
    <row r="49" spans="2:5" ht="15" customHeight="1" x14ac:dyDescent="0.3">
      <c r="B49" s="29" t="s">
        <v>72</v>
      </c>
      <c r="C49" s="29" t="s">
        <v>32</v>
      </c>
      <c r="D49" s="7" t="str">
        <f>INDEX('90_SEMA'!$G$7:$H$183,43,NYELV_IDX)</f>
        <v>2. Követelések kapcsolt vállalkozással szemben</v>
      </c>
      <c r="E49" s="33"/>
    </row>
    <row r="50" spans="2:5" ht="15" customHeight="1" x14ac:dyDescent="0.3">
      <c r="B50" s="29" t="s">
        <v>73</v>
      </c>
      <c r="C50" s="29" t="s">
        <v>32</v>
      </c>
      <c r="D50" s="7" t="str">
        <f>INDEX('90_SEMA'!$G$7:$H$183,44,NYELV_IDX)</f>
        <v>3. Követelések jelentős tulajdoni részesedési viszonyban lévő vállalkozással szemben</v>
      </c>
      <c r="E50" s="33"/>
    </row>
    <row r="51" spans="2:5" ht="15" customHeight="1" x14ac:dyDescent="0.3">
      <c r="B51" s="29" t="s">
        <v>74</v>
      </c>
      <c r="C51" s="29" t="s">
        <v>32</v>
      </c>
      <c r="D51" s="7" t="str">
        <f>INDEX('90_SEMA'!$G$7:$H$183,45,NYELV_IDX)</f>
        <v>4. Követelések egyéb részesedési viszonyban lévő vállalkozással szemben</v>
      </c>
      <c r="E51" s="33"/>
    </row>
    <row r="52" spans="2:5" ht="15" customHeight="1" x14ac:dyDescent="0.3">
      <c r="B52" s="29" t="s">
        <v>75</v>
      </c>
      <c r="C52" s="29" t="s">
        <v>32</v>
      </c>
      <c r="D52" s="7" t="str">
        <f>INDEX('90_SEMA'!$G$7:$H$183,46,NYELV_IDX)</f>
        <v>5. Váltókövetelések</v>
      </c>
      <c r="E52" s="33"/>
    </row>
    <row r="53" spans="2:5" ht="15" customHeight="1" x14ac:dyDescent="0.3">
      <c r="B53" s="29" t="s">
        <v>76</v>
      </c>
      <c r="C53" s="29" t="s">
        <v>32</v>
      </c>
      <c r="D53" s="7" t="str">
        <f>INDEX('90_SEMA'!$G$7:$H$183,47,NYELV_IDX)</f>
        <v>6. Egyéb követelések</v>
      </c>
      <c r="E53" s="33"/>
    </row>
    <row r="54" spans="2:5" ht="15" customHeight="1" x14ac:dyDescent="0.3">
      <c r="B54" s="29" t="s">
        <v>77</v>
      </c>
      <c r="C54" s="29" t="s">
        <v>32</v>
      </c>
      <c r="D54" s="7" t="str">
        <f>INDEX('90_SEMA'!$G$7:$H$183,48,NYELV_IDX)</f>
        <v>7. Követelések értékelési különbözete</v>
      </c>
      <c r="E54" s="33"/>
    </row>
    <row r="55" spans="2:5" ht="15" customHeight="1" x14ac:dyDescent="0.3">
      <c r="B55" s="29" t="s">
        <v>78</v>
      </c>
      <c r="C55" s="29" t="s">
        <v>32</v>
      </c>
      <c r="D55" s="7" t="str">
        <f>INDEX('90_SEMA'!$G$7:$H$183,49,NYELV_IDX)</f>
        <v>8. Származékos ügyletek pozitív értékelési különbözete</v>
      </c>
      <c r="E55" s="33"/>
    </row>
    <row r="56" spans="2:5" ht="15" customHeight="1" x14ac:dyDescent="0.3">
      <c r="B56" s="29" t="s">
        <v>79</v>
      </c>
      <c r="C56" s="29" t="s">
        <v>32</v>
      </c>
      <c r="D56" s="7" t="str">
        <f>INDEX('90_SEMA'!$G$7:$H$183,50,NYELV_IDX)</f>
        <v>9. Konszolidációból adódó (számított) társasági adó követelés</v>
      </c>
      <c r="E56" s="33"/>
    </row>
    <row r="57" spans="2:5" ht="15" customHeight="1" x14ac:dyDescent="0.3">
      <c r="B57" s="29" t="s">
        <v>80</v>
      </c>
      <c r="C57" s="29" t="s">
        <v>29</v>
      </c>
      <c r="D57" s="32" t="str">
        <f>INDEX('90_SEMA'!$G$7:$H$183,51,NYELV_IDX)</f>
        <v>III. ÉRTÉKPAPÍROK</v>
      </c>
      <c r="E57" s="31">
        <f>SUMIFS($E$7:$E$183,$B$7:$B$183,$B57&amp;".*",$C$7:$C$183,"D")</f>
        <v>0</v>
      </c>
    </row>
    <row r="58" spans="2:5" ht="15" customHeight="1" x14ac:dyDescent="0.3">
      <c r="B58" s="29" t="s">
        <v>81</v>
      </c>
      <c r="C58" s="29" t="s">
        <v>32</v>
      </c>
      <c r="D58" s="7" t="str">
        <f>INDEX('90_SEMA'!$G$7:$H$183,52,NYELV_IDX)</f>
        <v>1. Részesedés kapcsolt vállalkozásban</v>
      </c>
      <c r="E58" s="33"/>
    </row>
    <row r="59" spans="2:5" ht="15" customHeight="1" x14ac:dyDescent="0.3">
      <c r="B59" s="29" t="s">
        <v>82</v>
      </c>
      <c r="C59" s="29" t="s">
        <v>32</v>
      </c>
      <c r="D59" s="7" t="str">
        <f>INDEX('90_SEMA'!$G$7:$H$183,53,NYELV_IDX)</f>
        <v>2. Jelentős tulajdoni részesedés</v>
      </c>
      <c r="E59" s="33"/>
    </row>
    <row r="60" spans="2:5" ht="15" customHeight="1" x14ac:dyDescent="0.3">
      <c r="B60" s="29" t="s">
        <v>83</v>
      </c>
      <c r="C60" s="29" t="s">
        <v>32</v>
      </c>
      <c r="D60" s="7" t="str">
        <f>INDEX('90_SEMA'!$G$7:$H$183,54,NYELV_IDX)</f>
        <v>3. Egyéb részesedés</v>
      </c>
      <c r="E60" s="33"/>
    </row>
    <row r="61" spans="2:5" ht="15" customHeight="1" x14ac:dyDescent="0.3">
      <c r="B61" s="29" t="s">
        <v>84</v>
      </c>
      <c r="C61" s="29" t="s">
        <v>32</v>
      </c>
      <c r="D61" s="7" t="str">
        <f>INDEX('90_SEMA'!$G$7:$H$183,55,NYELV_IDX)</f>
        <v>4. Saját részvények, saját üzletrészek</v>
      </c>
      <c r="E61" s="33"/>
    </row>
    <row r="62" spans="2:5" ht="15" customHeight="1" x14ac:dyDescent="0.3">
      <c r="B62" s="29" t="s">
        <v>85</v>
      </c>
      <c r="C62" s="29" t="s">
        <v>32</v>
      </c>
      <c r="D62" s="7" t="str">
        <f>INDEX('90_SEMA'!$G$7:$H$183,56,NYELV_IDX)</f>
        <v>5. Forgatási célú hitelviszonyt megtestesítő értékpapírok</v>
      </c>
      <c r="E62" s="33"/>
    </row>
    <row r="63" spans="2:5" ht="15" customHeight="1" x14ac:dyDescent="0.3">
      <c r="B63" s="29" t="s">
        <v>86</v>
      </c>
      <c r="C63" s="29" t="s">
        <v>32</v>
      </c>
      <c r="D63" s="7" t="str">
        <f>INDEX('90_SEMA'!$G$7:$H$183,57,NYELV_IDX)</f>
        <v>6. Értékpapírok értékelési különbözete</v>
      </c>
      <c r="E63" s="33"/>
    </row>
    <row r="64" spans="2:5" ht="15" customHeight="1" x14ac:dyDescent="0.3">
      <c r="B64" s="29" t="s">
        <v>87</v>
      </c>
      <c r="C64" s="29" t="s">
        <v>29</v>
      </c>
      <c r="D64" s="32" t="str">
        <f>INDEX('90_SEMA'!$G$7:$H$183,58,NYELV_IDX)</f>
        <v>IV. PÉNZESZKÖZÖK</v>
      </c>
      <c r="E64" s="31">
        <f>SUMIFS($E$7:$E$183,$B$7:$B$183,$B64&amp;".*",$C$7:$C$183,"D")</f>
        <v>0</v>
      </c>
    </row>
    <row r="65" spans="2:5" ht="15" customHeight="1" x14ac:dyDescent="0.3">
      <c r="B65" s="29" t="s">
        <v>88</v>
      </c>
      <c r="C65" s="29" t="s">
        <v>32</v>
      </c>
      <c r="D65" s="7" t="str">
        <f>INDEX('90_SEMA'!$G$7:$H$183,59,NYELV_IDX)</f>
        <v>1. Pénztár, csekkek</v>
      </c>
      <c r="E65" s="33"/>
    </row>
    <row r="66" spans="2:5" ht="15" customHeight="1" x14ac:dyDescent="0.3">
      <c r="B66" s="29" t="s">
        <v>89</v>
      </c>
      <c r="C66" s="29" t="s">
        <v>32</v>
      </c>
      <c r="D66" s="7" t="str">
        <f>INDEX('90_SEMA'!$G$7:$H$183,60,NYELV_IDX)</f>
        <v>2. Bankbetétek</v>
      </c>
      <c r="E66" s="33"/>
    </row>
    <row r="67" spans="2:5" ht="15" customHeight="1" x14ac:dyDescent="0.3">
      <c r="B67" s="29" t="s">
        <v>90</v>
      </c>
      <c r="C67" s="29" t="s">
        <v>29</v>
      </c>
      <c r="D67" s="30" t="str">
        <f>INDEX('90_SEMA'!$G$7:$H$183,61,NYELV_IDX)</f>
        <v>C. Aktív időbeli elhatárolások</v>
      </c>
      <c r="E67" s="31">
        <f>SUMIFS($E$7:$E$183,$B$7:$B$183,$B67&amp;".*",$C$7:$C$183,"D")</f>
        <v>0</v>
      </c>
    </row>
    <row r="68" spans="2:5" ht="15" customHeight="1" x14ac:dyDescent="0.3">
      <c r="B68" s="29" t="s">
        <v>91</v>
      </c>
      <c r="C68" s="29" t="s">
        <v>32</v>
      </c>
      <c r="D68" s="7" t="str">
        <f>INDEX('90_SEMA'!$G$7:$H$183,62,NYELV_IDX)</f>
        <v>1. Bevételek aktív időbeli elhatárolása</v>
      </c>
      <c r="E68" s="33"/>
    </row>
    <row r="69" spans="2:5" ht="15" customHeight="1" x14ac:dyDescent="0.3">
      <c r="B69" s="29" t="s">
        <v>92</v>
      </c>
      <c r="C69" s="29" t="s">
        <v>32</v>
      </c>
      <c r="D69" s="7" t="str">
        <f>INDEX('90_SEMA'!$G$7:$H$183,63,NYELV_IDX)</f>
        <v>2. Költségek, ráfordítások aktív időbeli elhatárolása</v>
      </c>
      <c r="E69" s="33"/>
    </row>
    <row r="70" spans="2:5" ht="15" customHeight="1" x14ac:dyDescent="0.3">
      <c r="B70" s="29" t="s">
        <v>93</v>
      </c>
      <c r="C70" s="29" t="s">
        <v>32</v>
      </c>
      <c r="D70" s="7" t="str">
        <f>INDEX('90_SEMA'!$G$7:$H$183,64,NYELV_IDX)</f>
        <v>3. Halasztott ráfordítások</v>
      </c>
      <c r="E70" s="33"/>
    </row>
    <row r="71" spans="2:5" ht="15" customHeight="1" x14ac:dyDescent="0.3">
      <c r="B71" s="29" t="s">
        <v>94</v>
      </c>
      <c r="C71" s="29" t="s">
        <v>29</v>
      </c>
      <c r="D71" s="30" t="str">
        <f>INDEX('90_SEMA'!$G$7:$H$183,65,NYELV_IDX)</f>
        <v>D. Saját tőke</v>
      </c>
      <c r="E71" s="31">
        <f>SUMIFS($E$7:$E$183,$B$7:$B$183,$B71&amp;".*",$C$7:$C$183,"D")</f>
        <v>0</v>
      </c>
    </row>
    <row r="72" spans="2:5" ht="15" customHeight="1" x14ac:dyDescent="0.3">
      <c r="B72" s="29" t="s">
        <v>95</v>
      </c>
      <c r="C72" s="29" t="s">
        <v>32</v>
      </c>
      <c r="D72" s="32" t="str">
        <f>INDEX('90_SEMA'!$G$7:$H$183,66,NYELV_IDX)</f>
        <v>I. JEGYZETT TŐKE</v>
      </c>
      <c r="E72" s="33"/>
    </row>
    <row r="73" spans="2:5" ht="15" customHeight="1" x14ac:dyDescent="0.3">
      <c r="B73" s="29" t="s">
        <v>96</v>
      </c>
      <c r="C73" s="29" t="s">
        <v>97</v>
      </c>
      <c r="D73" s="34" t="str">
        <f>INDEX('90_SEMA'!$G$7:$H$183,67,NYELV_IDX)</f>
        <v xml:space="preserve">     Ebből: visszavásárolt tulajdoni részesedés névértéken</v>
      </c>
      <c r="E73" s="33"/>
    </row>
    <row r="74" spans="2:5" ht="15" customHeight="1" x14ac:dyDescent="0.3">
      <c r="B74" s="29" t="s">
        <v>98</v>
      </c>
      <c r="C74" s="29" t="s">
        <v>32</v>
      </c>
      <c r="D74" s="32" t="str">
        <f>INDEX('90_SEMA'!$G$7:$H$183,68,NYELV_IDX)</f>
        <v>II. JEGYZETT, DE MÉG BE NEM FIZETETT TŐKE (-)</v>
      </c>
      <c r="E74" s="33"/>
    </row>
    <row r="75" spans="2:5" ht="15" customHeight="1" x14ac:dyDescent="0.3">
      <c r="B75" s="29" t="s">
        <v>99</v>
      </c>
      <c r="C75" s="29" t="s">
        <v>32</v>
      </c>
      <c r="D75" s="32" t="str">
        <f>INDEX('90_SEMA'!$G$7:$H$183,69,NYELV_IDX)</f>
        <v>III. TŐKETARTALÉK</v>
      </c>
      <c r="E75" s="33"/>
    </row>
    <row r="76" spans="2:5" ht="15" customHeight="1" x14ac:dyDescent="0.3">
      <c r="B76" s="29" t="s">
        <v>100</v>
      </c>
      <c r="C76" s="29" t="s">
        <v>32</v>
      </c>
      <c r="D76" s="32" t="str">
        <f>INDEX('90_SEMA'!$G$7:$H$183,70,NYELV_IDX)</f>
        <v>IV. EREDMÉNYTARTALÉK</v>
      </c>
      <c r="E76" s="33"/>
    </row>
    <row r="77" spans="2:5" ht="15" customHeight="1" x14ac:dyDescent="0.3">
      <c r="B77" s="29" t="s">
        <v>101</v>
      </c>
      <c r="C77" s="29" t="s">
        <v>32</v>
      </c>
      <c r="D77" s="32" t="str">
        <f>INDEX('90_SEMA'!$G$7:$H$183,71,NYELV_IDX)</f>
        <v>V. LEKÖTÖTT TARTALÉK</v>
      </c>
      <c r="E77" s="33"/>
    </row>
    <row r="78" spans="2:5" ht="15" customHeight="1" x14ac:dyDescent="0.3">
      <c r="B78" s="29" t="s">
        <v>102</v>
      </c>
      <c r="C78" s="29" t="s">
        <v>29</v>
      </c>
      <c r="D78" s="32" t="str">
        <f>INDEX('90_SEMA'!$G$7:$H$183,72,NYELV_IDX)</f>
        <v>VI. ÉRTÉKELÉSI TARTALÉK</v>
      </c>
      <c r="E78" s="31">
        <f>SUMIFS($E$7:$E$183,$B$7:$B$183,$B78&amp;".*",$C$7:$C$183,"D")</f>
        <v>0</v>
      </c>
    </row>
    <row r="79" spans="2:5" ht="15" customHeight="1" x14ac:dyDescent="0.3">
      <c r="B79" s="29" t="s">
        <v>103</v>
      </c>
      <c r="C79" s="29" t="s">
        <v>32</v>
      </c>
      <c r="D79" s="7" t="str">
        <f>INDEX('90_SEMA'!$G$7:$H$183,73,NYELV_IDX)</f>
        <v>1. Értékhelyesbítés értékelési tartaléka</v>
      </c>
      <c r="E79" s="33"/>
    </row>
    <row r="80" spans="2:5" ht="15" customHeight="1" x14ac:dyDescent="0.3">
      <c r="B80" s="29" t="s">
        <v>104</v>
      </c>
      <c r="C80" s="29" t="s">
        <v>32</v>
      </c>
      <c r="D80" s="7" t="str">
        <f>INDEX('90_SEMA'!$G$7:$H$183,74,NYELV_IDX)</f>
        <v>2. Valós értékelés értékelési tartaléka</v>
      </c>
      <c r="E80" s="33"/>
    </row>
    <row r="81" spans="2:24" ht="15" customHeight="1" x14ac:dyDescent="0.3">
      <c r="B81" s="29" t="s">
        <v>105</v>
      </c>
      <c r="C81" s="29" t="s">
        <v>32</v>
      </c>
      <c r="D81" s="32" t="str">
        <f>INDEX('90_SEMA'!$G$7:$H$183,75,NYELV_IDX)</f>
        <v>VII. Korrigált adózott eredmény</v>
      </c>
      <c r="E81" s="33"/>
    </row>
    <row r="82" spans="2:24" ht="15" customHeight="1" x14ac:dyDescent="0.3">
      <c r="B82" s="29" t="s">
        <v>106</v>
      </c>
      <c r="C82" s="29" t="s">
        <v>32</v>
      </c>
      <c r="D82" s="32" t="str">
        <f>INDEX('90_SEMA'!$G$7:$H$183,76,NYELV_IDX)</f>
        <v>VIII. Leányvállalati saját tőke változás (±)</v>
      </c>
      <c r="E82" s="33"/>
    </row>
    <row r="83" spans="2:24" ht="15" customHeight="1" x14ac:dyDescent="0.3">
      <c r="B83" s="29" t="s">
        <v>107</v>
      </c>
      <c r="C83" s="29" t="s">
        <v>29</v>
      </c>
      <c r="D83" s="32" t="str">
        <f>INDEX('90_SEMA'!$G$7:$H$183,77,NYELV_IDX)</f>
        <v>IX. Konszolidáció miatti változások (±)</v>
      </c>
      <c r="E83" s="31">
        <f>SUMIFS($E$7:$E$183,$B$7:$B$183,$B83&amp;".*",$C$7:$C$183,"D")</f>
        <v>0</v>
      </c>
    </row>
    <row r="84" spans="2:24" ht="15" customHeight="1" x14ac:dyDescent="0.3">
      <c r="B84" s="29" t="s">
        <v>108</v>
      </c>
      <c r="C84" s="29" t="s">
        <v>32</v>
      </c>
      <c r="D84" s="7" t="str">
        <f>INDEX('90_SEMA'!$G$7:$H$183,78,NYELV_IDX)</f>
        <v xml:space="preserve">     – adósságkonszolidálás különbözetéből</v>
      </c>
      <c r="E84" s="33"/>
    </row>
    <row r="85" spans="2:24" ht="15" customHeight="1" x14ac:dyDescent="0.3">
      <c r="B85" s="29" t="s">
        <v>109</v>
      </c>
      <c r="C85" s="29" t="s">
        <v>32</v>
      </c>
      <c r="D85" s="7" t="str">
        <f>INDEX('90_SEMA'!$G$7:$H$183,79,NYELV_IDX)</f>
        <v xml:space="preserve">     – közbenső eredmény különbözetéből</v>
      </c>
      <c r="E85" s="33"/>
    </row>
    <row r="86" spans="2:24" ht="15" customHeight="1" x14ac:dyDescent="0.3">
      <c r="B86" s="29" t="s">
        <v>110</v>
      </c>
      <c r="C86" s="29" t="s">
        <v>32</v>
      </c>
      <c r="D86" s="7" t="str">
        <f>INDEX('90_SEMA'!$G$7:$H$183,80,NYELV_IDX)</f>
        <v>Devizás átszámítás különbözete [Szt. 123. § (9)]</v>
      </c>
      <c r="E86" s="33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</row>
    <row r="87" spans="2:24" ht="15" customHeight="1" x14ac:dyDescent="0.3">
      <c r="B87" s="29" t="s">
        <v>111</v>
      </c>
      <c r="C87" s="29" t="s">
        <v>32</v>
      </c>
      <c r="D87" s="32" t="str">
        <f>INDEX('90_SEMA'!$G$7:$H$183,81,NYELV_IDX)</f>
        <v>X. Külső tagok (más tulajdonosok) részesedése</v>
      </c>
      <c r="E87" s="33"/>
    </row>
    <row r="88" spans="2:24" ht="15" customHeight="1" x14ac:dyDescent="0.3">
      <c r="B88" s="29" t="s">
        <v>112</v>
      </c>
      <c r="C88" s="29" t="s">
        <v>29</v>
      </c>
      <c r="D88" s="30" t="str">
        <f>INDEX('90_SEMA'!$G$7:$H$183,82,NYELV_IDX)</f>
        <v>E. Céltartalékok</v>
      </c>
      <c r="E88" s="31">
        <f>SUMIFS($E$7:$E$183,$B$7:$B$183,$B88&amp;".*",$C$7:$C$183,"D")</f>
        <v>0</v>
      </c>
    </row>
    <row r="89" spans="2:24" ht="15" customHeight="1" x14ac:dyDescent="0.3">
      <c r="B89" s="29" t="s">
        <v>113</v>
      </c>
      <c r="C89" s="29" t="s">
        <v>32</v>
      </c>
      <c r="D89" s="7" t="str">
        <f>INDEX('90_SEMA'!$G$7:$H$183,83,NYELV_IDX)</f>
        <v>1. Céltartalék a várható kötelezettségekre</v>
      </c>
      <c r="E89" s="33"/>
    </row>
    <row r="90" spans="2:24" ht="15" customHeight="1" x14ac:dyDescent="0.3">
      <c r="B90" s="29" t="s">
        <v>114</v>
      </c>
      <c r="C90" s="29" t="s">
        <v>32</v>
      </c>
      <c r="D90" s="7" t="str">
        <f>INDEX('90_SEMA'!$G$7:$H$183,84,NYELV_IDX)</f>
        <v>2. Céltartalék a jövőbeni költségekre</v>
      </c>
      <c r="E90" s="33"/>
    </row>
    <row r="91" spans="2:24" ht="15" customHeight="1" x14ac:dyDescent="0.3">
      <c r="B91" s="29" t="s">
        <v>115</v>
      </c>
      <c r="C91" s="29" t="s">
        <v>32</v>
      </c>
      <c r="D91" s="7" t="str">
        <f>INDEX('90_SEMA'!$G$7:$H$183,85,NYELV_IDX)</f>
        <v>3. Egyéb céltartalék</v>
      </c>
      <c r="E91" s="33"/>
    </row>
    <row r="92" spans="2:24" ht="15" customHeight="1" x14ac:dyDescent="0.3">
      <c r="B92" s="29" t="s">
        <v>116</v>
      </c>
      <c r="C92" s="29" t="s">
        <v>29</v>
      </c>
      <c r="D92" s="30" t="str">
        <f>INDEX('90_SEMA'!$G$7:$H$183,86,NYELV_IDX)</f>
        <v>F. Kötelezettségek</v>
      </c>
      <c r="E92" s="31">
        <f>SUMIFS($E$7:$E$183,$B$7:$B$183,$B92&amp;".*",$C$7:$C$183,"D")</f>
        <v>0</v>
      </c>
    </row>
    <row r="93" spans="2:24" ht="15" customHeight="1" x14ac:dyDescent="0.3">
      <c r="B93" s="29" t="s">
        <v>117</v>
      </c>
      <c r="C93" s="29" t="s">
        <v>29</v>
      </c>
      <c r="D93" s="32" t="str">
        <f>INDEX('90_SEMA'!$G$7:$H$183,87,NYELV_IDX)</f>
        <v>I. HÁTRASOROLT KÖTELEZETTSÉGEK</v>
      </c>
      <c r="E93" s="31">
        <f>SUMIFS($E$7:$E$183,$B$7:$B$183,$B93&amp;".*",$C$7:$C$183,"D")</f>
        <v>0</v>
      </c>
    </row>
    <row r="94" spans="2:24" ht="15" customHeight="1" x14ac:dyDescent="0.3">
      <c r="B94" s="29" t="s">
        <v>118</v>
      </c>
      <c r="C94" s="29" t="s">
        <v>32</v>
      </c>
      <c r="D94" s="7" t="str">
        <f>INDEX('90_SEMA'!$G$7:$H$183,88,NYELV_IDX)</f>
        <v>1. Hátrasorolt kötelezettségek kapcsolt vállalkozással szemben</v>
      </c>
      <c r="E94" s="33"/>
    </row>
    <row r="95" spans="2:24" ht="15" customHeight="1" x14ac:dyDescent="0.3">
      <c r="B95" s="29" t="s">
        <v>119</v>
      </c>
      <c r="C95" s="29" t="s">
        <v>32</v>
      </c>
      <c r="D95" s="7" t="str">
        <f>INDEX('90_SEMA'!$G$7:$H$183,89,NYELV_IDX)</f>
        <v>2. Hátrasorolt kötelezettségek jelentős tulajdoni részesedési viszonyban lévő vállalkozással szemben</v>
      </c>
      <c r="E95" s="33"/>
    </row>
    <row r="96" spans="2:24" ht="15" customHeight="1" x14ac:dyDescent="0.3">
      <c r="B96" s="29" t="s">
        <v>120</v>
      </c>
      <c r="C96" s="29" t="s">
        <v>32</v>
      </c>
      <c r="D96" s="7" t="str">
        <f>INDEX('90_SEMA'!$G$7:$H$183,90,NYELV_IDX)</f>
        <v>3. Hátrasorolt kötelezettségek egyéb részesedési viszonyban lévő vállalkozással szemben</v>
      </c>
      <c r="E96" s="33"/>
    </row>
    <row r="97" spans="2:5" ht="15" customHeight="1" x14ac:dyDescent="0.3">
      <c r="B97" s="29" t="s">
        <v>121</v>
      </c>
      <c r="C97" s="29" t="s">
        <v>32</v>
      </c>
      <c r="D97" s="7" t="str">
        <f>INDEX('90_SEMA'!$G$7:$H$183,91,NYELV_IDX)</f>
        <v>4. Hátrasorolt kötelezettségek egyéb gazdálkodóval szemben</v>
      </c>
      <c r="E97" s="33"/>
    </row>
    <row r="98" spans="2:5" ht="15" customHeight="1" x14ac:dyDescent="0.3">
      <c r="B98" s="29" t="s">
        <v>122</v>
      </c>
      <c r="C98" s="29" t="s">
        <v>32</v>
      </c>
      <c r="D98" s="7" t="str">
        <f>INDEX('90_SEMA'!$G$7:$H$183,92,NYELV_IDX)</f>
        <v>5. Tőkekonszolidációs különbözet leányvállalatokból</v>
      </c>
      <c r="E98" s="33"/>
    </row>
    <row r="99" spans="2:5" ht="15" customHeight="1" x14ac:dyDescent="0.3">
      <c r="B99" s="29" t="s">
        <v>123</v>
      </c>
      <c r="C99" s="29" t="s">
        <v>29</v>
      </c>
      <c r="D99" s="32" t="str">
        <f>INDEX('90_SEMA'!$G$7:$H$183,93,NYELV_IDX)</f>
        <v>II. HOSSZÚ LEJÁRATÚ KÖTELEZETTSÉGEK</v>
      </c>
      <c r="E99" s="31">
        <f>SUMIFS($E$7:$E$183,$B$7:$B$183,$B99&amp;".*",$C$7:$C$183,"D")</f>
        <v>0</v>
      </c>
    </row>
    <row r="100" spans="2:5" ht="15" customHeight="1" x14ac:dyDescent="0.3">
      <c r="B100" s="29" t="s">
        <v>124</v>
      </c>
      <c r="C100" s="29" t="s">
        <v>32</v>
      </c>
      <c r="D100" s="7" t="str">
        <f>INDEX('90_SEMA'!$G$7:$H$183,94,NYELV_IDX)</f>
        <v>1. Hosszú lejáratra kapott kölcsönök</v>
      </c>
      <c r="E100" s="33"/>
    </row>
    <row r="101" spans="2:5" ht="15" customHeight="1" x14ac:dyDescent="0.3">
      <c r="B101" s="29" t="s">
        <v>125</v>
      </c>
      <c r="C101" s="29" t="s">
        <v>32</v>
      </c>
      <c r="D101" s="7" t="str">
        <f>INDEX('90_SEMA'!$G$7:$H$183,95,NYELV_IDX)</f>
        <v>2. Átváltoztatható és átváltozó kötvények</v>
      </c>
      <c r="E101" s="33"/>
    </row>
    <row r="102" spans="2:5" ht="15" customHeight="1" x14ac:dyDescent="0.3">
      <c r="B102" s="29" t="s">
        <v>126</v>
      </c>
      <c r="C102" s="29" t="s">
        <v>32</v>
      </c>
      <c r="D102" s="7" t="str">
        <f>INDEX('90_SEMA'!$G$7:$H$183,96,NYELV_IDX)</f>
        <v>3. Tartozások kötvénykibocsátásból</v>
      </c>
      <c r="E102" s="33"/>
    </row>
    <row r="103" spans="2:5" ht="15" customHeight="1" x14ac:dyDescent="0.3">
      <c r="B103" s="29" t="s">
        <v>127</v>
      </c>
      <c r="C103" s="29" t="s">
        <v>32</v>
      </c>
      <c r="D103" s="7" t="str">
        <f>INDEX('90_SEMA'!$G$7:$H$183,97,NYELV_IDX)</f>
        <v>4. Beruházási és fejlesztési hitelek</v>
      </c>
      <c r="E103" s="33"/>
    </row>
    <row r="104" spans="2:5" ht="15" customHeight="1" x14ac:dyDescent="0.3">
      <c r="B104" s="29" t="s">
        <v>128</v>
      </c>
      <c r="C104" s="29" t="s">
        <v>32</v>
      </c>
      <c r="D104" s="7" t="str">
        <f>INDEX('90_SEMA'!$G$7:$H$183,98,NYELV_IDX)</f>
        <v>5. Egyéb hosszú lejáratú hitelek</v>
      </c>
      <c r="E104" s="33"/>
    </row>
    <row r="105" spans="2:5" ht="15" customHeight="1" x14ac:dyDescent="0.3">
      <c r="B105" s="29" t="s">
        <v>129</v>
      </c>
      <c r="C105" s="29" t="s">
        <v>32</v>
      </c>
      <c r="D105" s="7" t="str">
        <f>INDEX('90_SEMA'!$G$7:$H$183,99,NYELV_IDX)</f>
        <v>6. Tartós kötelezettségek kapcsolt vállalkozással szemben</v>
      </c>
      <c r="E105" s="33"/>
    </row>
    <row r="106" spans="2:5" ht="15" customHeight="1" x14ac:dyDescent="0.3">
      <c r="B106" s="29" t="s">
        <v>130</v>
      </c>
      <c r="C106" s="29" t="s">
        <v>32</v>
      </c>
      <c r="D106" s="7" t="str">
        <f>INDEX('90_SEMA'!$G$7:$H$183,100,NYELV_IDX)</f>
        <v>7. Tartós kötelezettségek jelentős tulajdoni részesedési viszonyban lévő vállalkozásokkal szemben</v>
      </c>
      <c r="E106" s="33"/>
    </row>
    <row r="107" spans="2:5" ht="15" customHeight="1" x14ac:dyDescent="0.3">
      <c r="B107" s="29" t="s">
        <v>131</v>
      </c>
      <c r="C107" s="29" t="s">
        <v>32</v>
      </c>
      <c r="D107" s="7" t="str">
        <f>INDEX('90_SEMA'!$G$7:$H$183,101,NYELV_IDX)</f>
        <v>8. Tartós kötelezettségek egyéb részesedési viszonyban lévő vállalkozással szemben</v>
      </c>
      <c r="E107" s="33"/>
    </row>
    <row r="108" spans="2:5" ht="15" customHeight="1" x14ac:dyDescent="0.3">
      <c r="B108" s="29" t="s">
        <v>132</v>
      </c>
      <c r="C108" s="29" t="s">
        <v>32</v>
      </c>
      <c r="D108" s="7" t="str">
        <f>INDEX('90_SEMA'!$G$7:$H$183,102,NYELV_IDX)</f>
        <v>9. Egyéb hosszú lejáratú kötelezettségek</v>
      </c>
      <c r="E108" s="33"/>
    </row>
    <row r="109" spans="2:5" ht="15" customHeight="1" x14ac:dyDescent="0.3">
      <c r="B109" s="29" t="s">
        <v>133</v>
      </c>
      <c r="C109" s="29" t="s">
        <v>32</v>
      </c>
      <c r="D109" s="7" t="str">
        <f>INDEX('90_SEMA'!$G$7:$H$183,103,NYELV_IDX)</f>
        <v>10. Halasztott adókötelezettség</v>
      </c>
      <c r="E109" s="33"/>
    </row>
    <row r="110" spans="2:5" ht="15" customHeight="1" x14ac:dyDescent="0.3">
      <c r="B110" s="29" t="s">
        <v>134</v>
      </c>
      <c r="C110" s="29" t="s">
        <v>29</v>
      </c>
      <c r="D110" s="32" t="str">
        <f>INDEX('90_SEMA'!$G$7:$H$183,104,NYELV_IDX)</f>
        <v>III. RÖVID LEJÁRATÚ KÖTELEZETTSÉGEK</v>
      </c>
      <c r="E110" s="31">
        <f>SUMIFS($E$7:$E$183,$B$7:$B$183,$B110&amp;".*",$C$7:$C$183,"D")</f>
        <v>0</v>
      </c>
    </row>
    <row r="111" spans="2:5" ht="15" customHeight="1" x14ac:dyDescent="0.3">
      <c r="B111" s="29" t="s">
        <v>135</v>
      </c>
      <c r="C111" s="29" t="s">
        <v>32</v>
      </c>
      <c r="D111" s="7" t="str">
        <f>INDEX('90_SEMA'!$G$7:$H$183,105,NYELV_IDX)</f>
        <v>1. Rövid lejáratú kölcsönök</v>
      </c>
      <c r="E111" s="33"/>
    </row>
    <row r="112" spans="2:5" ht="15" customHeight="1" x14ac:dyDescent="0.3">
      <c r="B112" s="29" t="s">
        <v>136</v>
      </c>
      <c r="C112" s="29" t="s">
        <v>97</v>
      </c>
      <c r="D112" s="34" t="str">
        <f>INDEX('90_SEMA'!$G$7:$H$183,106,NYELV_IDX)</f>
        <v xml:space="preserve">     – ebből: az átváltoztatható és átváltozó kötvények</v>
      </c>
      <c r="E112" s="33"/>
    </row>
    <row r="113" spans="2:5" ht="15" customHeight="1" x14ac:dyDescent="0.3">
      <c r="B113" s="29" t="s">
        <v>137</v>
      </c>
      <c r="C113" s="29" t="s">
        <v>32</v>
      </c>
      <c r="D113" s="7" t="str">
        <f>INDEX('90_SEMA'!$G$7:$H$183,107,NYELV_IDX)</f>
        <v>2. Rövid lejáratú hitelek</v>
      </c>
      <c r="E113" s="33"/>
    </row>
    <row r="114" spans="2:5" ht="15" customHeight="1" x14ac:dyDescent="0.3">
      <c r="B114" s="29" t="s">
        <v>138</v>
      </c>
      <c r="C114" s="29" t="s">
        <v>32</v>
      </c>
      <c r="D114" s="7" t="str">
        <f>INDEX('90_SEMA'!$G$7:$H$183,108,NYELV_IDX)</f>
        <v>3. Vevőktől kapott előlegek</v>
      </c>
      <c r="E114" s="33"/>
    </row>
    <row r="115" spans="2:5" ht="15" customHeight="1" x14ac:dyDescent="0.3">
      <c r="B115" s="29" t="s">
        <v>139</v>
      </c>
      <c r="C115" s="29" t="s">
        <v>32</v>
      </c>
      <c r="D115" s="7" t="str">
        <f>INDEX('90_SEMA'!$G$7:$H$183,109,NYELV_IDX)</f>
        <v>4. Kötelezettségek áruszállításból és szolgáltatásból (szállítók)</v>
      </c>
      <c r="E115" s="33"/>
    </row>
    <row r="116" spans="2:5" ht="15" customHeight="1" x14ac:dyDescent="0.3">
      <c r="B116" s="29" t="s">
        <v>140</v>
      </c>
      <c r="C116" s="29" t="s">
        <v>32</v>
      </c>
      <c r="D116" s="7" t="str">
        <f>INDEX('90_SEMA'!$G$7:$H$183,110,NYELV_IDX)</f>
        <v>5. Váltótartozások</v>
      </c>
      <c r="E116" s="33"/>
    </row>
    <row r="117" spans="2:5" ht="15" customHeight="1" x14ac:dyDescent="0.3">
      <c r="B117" s="29" t="s">
        <v>141</v>
      </c>
      <c r="C117" s="29" t="s">
        <v>32</v>
      </c>
      <c r="D117" s="7" t="str">
        <f>INDEX('90_SEMA'!$G$7:$H$183,111,NYELV_IDX)</f>
        <v>6. Rövid lejáratú kötelezettségek kapcsolt vállalkozással szemben</v>
      </c>
      <c r="E117" s="33"/>
    </row>
    <row r="118" spans="2:5" ht="15" customHeight="1" x14ac:dyDescent="0.3">
      <c r="B118" s="29" t="s">
        <v>142</v>
      </c>
      <c r="C118" s="29" t="s">
        <v>32</v>
      </c>
      <c r="D118" s="7" t="str">
        <f>INDEX('90_SEMA'!$G$7:$H$183,112,NYELV_IDX)</f>
        <v>7. Rövid lejáratú kötelezettségek jelentős tulajdoni részesedési viszonyban lévő vállalkozásokkal szemben</v>
      </c>
      <c r="E118" s="33"/>
    </row>
    <row r="119" spans="2:5" ht="15" customHeight="1" x14ac:dyDescent="0.3">
      <c r="B119" s="29" t="s">
        <v>143</v>
      </c>
      <c r="C119" s="29" t="s">
        <v>32</v>
      </c>
      <c r="D119" s="7" t="str">
        <f>INDEX('90_SEMA'!$G$7:$H$183,113,NYELV_IDX)</f>
        <v>8. Rövid lejáratú kötelezettségek egyéb részesedési viszonyban lévő vállalkozással szemben</v>
      </c>
      <c r="E119" s="33"/>
    </row>
    <row r="120" spans="2:5" ht="15" customHeight="1" x14ac:dyDescent="0.3">
      <c r="B120" s="29" t="s">
        <v>144</v>
      </c>
      <c r="C120" s="29" t="s">
        <v>32</v>
      </c>
      <c r="D120" s="7" t="str">
        <f>INDEX('90_SEMA'!$G$7:$H$183,114,NYELV_IDX)</f>
        <v>9. Egyéb rövid lejáratú kötelezettségek</v>
      </c>
      <c r="E120" s="33"/>
    </row>
    <row r="121" spans="2:5" ht="15" customHeight="1" x14ac:dyDescent="0.3">
      <c r="B121" s="29" t="s">
        <v>145</v>
      </c>
      <c r="C121" s="29" t="s">
        <v>32</v>
      </c>
      <c r="D121" s="7" t="str">
        <f>INDEX('90_SEMA'!$G$7:$H$183,115,NYELV_IDX)</f>
        <v>10. Kötelezettségek értékelési különbözete</v>
      </c>
      <c r="E121" s="33"/>
    </row>
    <row r="122" spans="2:5" ht="15" customHeight="1" x14ac:dyDescent="0.3">
      <c r="B122" s="29" t="s">
        <v>146</v>
      </c>
      <c r="C122" s="29" t="s">
        <v>32</v>
      </c>
      <c r="D122" s="7" t="str">
        <f>INDEX('90_SEMA'!$G$7:$H$183,116,NYELV_IDX)</f>
        <v>11. Származékos ügyletek negatív értékelési különbözete</v>
      </c>
      <c r="E122" s="33"/>
    </row>
    <row r="123" spans="2:5" ht="15" customHeight="1" x14ac:dyDescent="0.3">
      <c r="B123" s="29" t="s">
        <v>147</v>
      </c>
      <c r="C123" s="29" t="s">
        <v>32</v>
      </c>
      <c r="D123" s="7" t="str">
        <f>INDEX('90_SEMA'!$G$7:$H$183,117,NYELV_IDX)</f>
        <v>12. Konszolidációból adódó (számított) társasági adó tartozás</v>
      </c>
      <c r="E123" s="33"/>
    </row>
    <row r="124" spans="2:5" ht="15" customHeight="1" x14ac:dyDescent="0.3">
      <c r="B124" s="29" t="s">
        <v>148</v>
      </c>
      <c r="C124" s="29" t="s">
        <v>29</v>
      </c>
      <c r="D124" s="30" t="str">
        <f>INDEX('90_SEMA'!$G$7:$H$183,118,NYELV_IDX)</f>
        <v>G. Passzív időbeli elhatárolások</v>
      </c>
      <c r="E124" s="31">
        <f>SUMIFS($E$7:$E$183,$B$7:$B$183,$B124&amp;".*",$C$7:$C$183,"D")</f>
        <v>0</v>
      </c>
    </row>
    <row r="125" spans="2:5" ht="15" customHeight="1" x14ac:dyDescent="0.3">
      <c r="B125" s="29" t="s">
        <v>149</v>
      </c>
      <c r="C125" s="29" t="s">
        <v>32</v>
      </c>
      <c r="D125" s="7" t="str">
        <f>INDEX('90_SEMA'!$G$7:$H$183,119,NYELV_IDX)</f>
        <v>1. Bevételek passzív időbeli elhatárolása</v>
      </c>
      <c r="E125" s="33"/>
    </row>
    <row r="126" spans="2:5" ht="15" customHeight="1" x14ac:dyDescent="0.3">
      <c r="B126" s="29" t="s">
        <v>150</v>
      </c>
      <c r="C126" s="29" t="s">
        <v>32</v>
      </c>
      <c r="D126" s="7" t="str">
        <f>INDEX('90_SEMA'!$G$7:$H$183,120,NYELV_IDX)</f>
        <v>2. Költségek, ráfordítások passzív időbeli elhatárolása</v>
      </c>
      <c r="E126" s="33"/>
    </row>
    <row r="127" spans="2:5" ht="15" customHeight="1" x14ac:dyDescent="0.3">
      <c r="B127" s="29" t="s">
        <v>151</v>
      </c>
      <c r="C127" s="29" t="s">
        <v>32</v>
      </c>
      <c r="D127" s="7" t="str">
        <f>INDEX('90_SEMA'!$G$7:$H$183,121,NYELV_IDX)</f>
        <v>3. Halasztott bevételek</v>
      </c>
      <c r="E127" s="33"/>
    </row>
    <row r="128" spans="2:5" ht="15" customHeight="1" x14ac:dyDescent="0.3">
      <c r="B128" s="29" t="s">
        <v>152</v>
      </c>
      <c r="C128" s="29" t="s">
        <v>29</v>
      </c>
      <c r="D128" s="32" t="str">
        <f>INDEX('90_SEMA'!$G$7:$H$183,122,NYELV_IDX)</f>
        <v>I. Értékesítés nettó árbevétele</v>
      </c>
      <c r="E128" s="31">
        <f>SUMIFS($E$7:$E$183,$B$7:$B$183,$B128&amp;".*",$C$7:$C$183,"D")</f>
        <v>0</v>
      </c>
    </row>
    <row r="129" spans="2:5" ht="15" customHeight="1" x14ac:dyDescent="0.3">
      <c r="B129" s="29" t="s">
        <v>153</v>
      </c>
      <c r="C129" s="29" t="s">
        <v>32</v>
      </c>
      <c r="D129" s="7" t="str">
        <f>INDEX('90_SEMA'!$G$7:$H$183,123,NYELV_IDX)</f>
        <v>01. Belföldi értékesítés nettó árbevétele</v>
      </c>
      <c r="E129" s="33"/>
    </row>
    <row r="130" spans="2:5" ht="15" customHeight="1" x14ac:dyDescent="0.3">
      <c r="B130" s="29" t="s">
        <v>154</v>
      </c>
      <c r="C130" s="29" t="s">
        <v>32</v>
      </c>
      <c r="D130" s="7" t="str">
        <f>INDEX('90_SEMA'!$G$7:$H$183,124,NYELV_IDX)</f>
        <v>02. Exportértékesítés nettó árbevétele</v>
      </c>
      <c r="E130" s="33"/>
    </row>
    <row r="131" spans="2:5" ht="15" customHeight="1" x14ac:dyDescent="0.3">
      <c r="B131" s="29" t="s">
        <v>155</v>
      </c>
      <c r="C131" s="29" t="s">
        <v>29</v>
      </c>
      <c r="D131" s="32" t="str">
        <f>INDEX('90_SEMA'!$G$7:$H$183,125,NYELV_IDX)</f>
        <v>II. Aktivált saját teljesítmények értéke</v>
      </c>
      <c r="E131" s="31">
        <f>SUMIFS($E$7:$E$183,$B$7:$B$183,$B131&amp;".*",$C$7:$C$183,"D")</f>
        <v>0</v>
      </c>
    </row>
    <row r="132" spans="2:5" ht="15" customHeight="1" x14ac:dyDescent="0.3">
      <c r="B132" s="29" t="s">
        <v>156</v>
      </c>
      <c r="C132" s="29" t="s">
        <v>32</v>
      </c>
      <c r="D132" s="7" t="str">
        <f>INDEX('90_SEMA'!$G$7:$H$183,126,NYELV_IDX)</f>
        <v>03. Saját termelésű készletek állományváltozása</v>
      </c>
      <c r="E132" s="33"/>
    </row>
    <row r="133" spans="2:5" ht="15" customHeight="1" x14ac:dyDescent="0.3">
      <c r="B133" s="29" t="s">
        <v>157</v>
      </c>
      <c r="C133" s="29" t="s">
        <v>32</v>
      </c>
      <c r="D133" s="7" t="str">
        <f>INDEX('90_SEMA'!$G$7:$H$183,127,NYELV_IDX)</f>
        <v>04. Saját előállítású eszközök aktivált értéke</v>
      </c>
      <c r="E133" s="33"/>
    </row>
    <row r="134" spans="2:5" ht="15" customHeight="1" x14ac:dyDescent="0.3">
      <c r="B134" s="29" t="s">
        <v>158</v>
      </c>
      <c r="C134" s="29" t="s">
        <v>32</v>
      </c>
      <c r="D134" s="32" t="str">
        <f>INDEX('90_SEMA'!$G$7:$H$183,128,NYELV_IDX)</f>
        <v>III. Egyéb bevételek</v>
      </c>
      <c r="E134" s="33"/>
    </row>
    <row r="135" spans="2:5" ht="15" customHeight="1" x14ac:dyDescent="0.3">
      <c r="B135" s="29" t="s">
        <v>159</v>
      </c>
      <c r="C135" s="29" t="s">
        <v>97</v>
      </c>
      <c r="D135" s="34" t="str">
        <f>INDEX('90_SEMA'!$G$7:$H$183,129,NYELV_IDX)</f>
        <v xml:space="preserve">     Ebből: visszaírt értékvesztés</v>
      </c>
      <c r="E135" s="33"/>
    </row>
    <row r="136" spans="2:5" ht="15" customHeight="1" x14ac:dyDescent="0.3">
      <c r="B136" s="29" t="s">
        <v>160</v>
      </c>
      <c r="C136" s="29" t="s">
        <v>32</v>
      </c>
      <c r="D136" s="32" t="str">
        <f>INDEX('90_SEMA'!$G$7:$H$183,130,NYELV_IDX)</f>
        <v>III/A. Adósságkonszolidálás miatt keletkező – eredményt növelő – konszolidációs különbözet</v>
      </c>
      <c r="E136" s="33"/>
    </row>
    <row r="137" spans="2:5" ht="15" customHeight="1" x14ac:dyDescent="0.3">
      <c r="B137" s="29" t="s">
        <v>161</v>
      </c>
      <c r="C137" s="29" t="s">
        <v>29</v>
      </c>
      <c r="D137" s="32" t="str">
        <f>INDEX('90_SEMA'!$G$7:$H$183,131,NYELV_IDX)</f>
        <v>IV. Anyagjellegű ráfordítások</v>
      </c>
      <c r="E137" s="31">
        <f>SUMIFS($E$7:$E$183,$B$7:$B$183,$B137&amp;".*",$C$7:$C$183,"D")</f>
        <v>0</v>
      </c>
    </row>
    <row r="138" spans="2:5" ht="15" customHeight="1" x14ac:dyDescent="0.3">
      <c r="B138" s="29" t="s">
        <v>162</v>
      </c>
      <c r="C138" s="29" t="s">
        <v>32</v>
      </c>
      <c r="D138" s="7" t="str">
        <f>INDEX('90_SEMA'!$G$7:$H$183,132,NYELV_IDX)</f>
        <v>05. Anyagköltség</v>
      </c>
      <c r="E138" s="33"/>
    </row>
    <row r="139" spans="2:5" ht="15" customHeight="1" x14ac:dyDescent="0.3">
      <c r="B139" s="29" t="s">
        <v>163</v>
      </c>
      <c r="C139" s="29" t="s">
        <v>32</v>
      </c>
      <c r="D139" s="7" t="str">
        <f>INDEX('90_SEMA'!$G$7:$H$183,133,NYELV_IDX)</f>
        <v>06. Igénybe vett szolgáltatások értéke</v>
      </c>
      <c r="E139" s="33"/>
    </row>
    <row r="140" spans="2:5" ht="15" customHeight="1" x14ac:dyDescent="0.3">
      <c r="B140" s="29" t="s">
        <v>164</v>
      </c>
      <c r="C140" s="29" t="s">
        <v>32</v>
      </c>
      <c r="D140" s="7" t="str">
        <f>INDEX('90_SEMA'!$G$7:$H$183,134,NYELV_IDX)</f>
        <v>07. Egyéb szolgáltatások értéke</v>
      </c>
      <c r="E140" s="33"/>
    </row>
    <row r="141" spans="2:5" ht="15" customHeight="1" x14ac:dyDescent="0.3">
      <c r="B141" s="29" t="s">
        <v>165</v>
      </c>
      <c r="C141" s="29" t="s">
        <v>32</v>
      </c>
      <c r="D141" s="7" t="str">
        <f>INDEX('90_SEMA'!$G$7:$H$183,135,NYELV_IDX)</f>
        <v>08. Eladott áruk beszerzési értéke</v>
      </c>
      <c r="E141" s="33"/>
    </row>
    <row r="142" spans="2:5" ht="15" customHeight="1" x14ac:dyDescent="0.3">
      <c r="B142" s="29" t="s">
        <v>166</v>
      </c>
      <c r="C142" s="29" t="s">
        <v>32</v>
      </c>
      <c r="D142" s="7" t="str">
        <f>INDEX('90_SEMA'!$G$7:$H$183,136,NYELV_IDX)</f>
        <v>09. Eladott (közvetített) szolgáltatások értéke</v>
      </c>
      <c r="E142" s="33"/>
    </row>
    <row r="143" spans="2:5" ht="15" customHeight="1" x14ac:dyDescent="0.3">
      <c r="B143" s="29" t="s">
        <v>167</v>
      </c>
      <c r="C143" s="29" t="s">
        <v>29</v>
      </c>
      <c r="D143" s="32" t="str">
        <f>INDEX('90_SEMA'!$G$7:$H$183,137,NYELV_IDX)</f>
        <v>V. Személyi jellegű ráfordítások</v>
      </c>
      <c r="E143" s="31">
        <f>SUMIFS($E$7:$E$183,$B$7:$B$183,$B143&amp;".*",$C$7:$C$183,"D")</f>
        <v>0</v>
      </c>
    </row>
    <row r="144" spans="2:5" ht="15" customHeight="1" x14ac:dyDescent="0.3">
      <c r="B144" s="29" t="s">
        <v>168</v>
      </c>
      <c r="C144" s="29" t="s">
        <v>32</v>
      </c>
      <c r="D144" s="7" t="str">
        <f>INDEX('90_SEMA'!$G$7:$H$183,138,NYELV_IDX)</f>
        <v>10. Bérköltség</v>
      </c>
      <c r="E144" s="33"/>
    </row>
    <row r="145" spans="2:5" ht="15" customHeight="1" x14ac:dyDescent="0.3">
      <c r="B145" s="29" t="s">
        <v>169</v>
      </c>
      <c r="C145" s="29" t="s">
        <v>32</v>
      </c>
      <c r="D145" s="7" t="str">
        <f>INDEX('90_SEMA'!$G$7:$H$183,139,NYELV_IDX)</f>
        <v>11. Személyi jellegű egyéb kifizetések</v>
      </c>
      <c r="E145" s="33"/>
    </row>
    <row r="146" spans="2:5" ht="15" customHeight="1" x14ac:dyDescent="0.3">
      <c r="B146" s="29" t="s">
        <v>170</v>
      </c>
      <c r="C146" s="29" t="s">
        <v>32</v>
      </c>
      <c r="D146" s="7" t="str">
        <f>INDEX('90_SEMA'!$G$7:$H$183,140,NYELV_IDX)</f>
        <v>12. Bérjárulékok</v>
      </c>
      <c r="E146" s="33"/>
    </row>
    <row r="147" spans="2:5" ht="15" customHeight="1" x14ac:dyDescent="0.3">
      <c r="B147" s="29" t="s">
        <v>171</v>
      </c>
      <c r="C147" s="29" t="s">
        <v>32</v>
      </c>
      <c r="D147" s="32" t="str">
        <f>INDEX('90_SEMA'!$G$7:$H$183,141,NYELV_IDX)</f>
        <v>VI. Értékcsökkenési leírás</v>
      </c>
      <c r="E147" s="33"/>
    </row>
    <row r="148" spans="2:5" ht="15" customHeight="1" x14ac:dyDescent="0.3">
      <c r="B148" s="29" t="s">
        <v>172</v>
      </c>
      <c r="C148" s="29" t="s">
        <v>32</v>
      </c>
      <c r="D148" s="32" t="str">
        <f>INDEX('90_SEMA'!$G$7:$H$183,142,NYELV_IDX)</f>
        <v>VII. Egyéb ráfordítások</v>
      </c>
      <c r="E148" s="33"/>
    </row>
    <row r="149" spans="2:5" ht="15" customHeight="1" x14ac:dyDescent="0.3">
      <c r="B149" s="29" t="s">
        <v>173</v>
      </c>
      <c r="C149" s="29" t="s">
        <v>97</v>
      </c>
      <c r="D149" s="34" t="str">
        <f>INDEX('90_SEMA'!$G$7:$H$183,143,NYELV_IDX)</f>
        <v xml:space="preserve">     Ebből: értékvesztés</v>
      </c>
      <c r="E149" s="33"/>
    </row>
    <row r="150" spans="2:5" ht="15" customHeight="1" x14ac:dyDescent="0.3">
      <c r="B150" s="29" t="s">
        <v>174</v>
      </c>
      <c r="C150" s="29" t="s">
        <v>32</v>
      </c>
      <c r="D150" s="32" t="str">
        <f>INDEX('90_SEMA'!$G$7:$H$183,144,NYELV_IDX)</f>
        <v>VII/A. Adósságkonszolidálás miatt keletkező – eredményt csökkentő – konszolidációs különbözet</v>
      </c>
      <c r="E150" s="33"/>
    </row>
    <row r="151" spans="2:5" ht="15" customHeight="1" x14ac:dyDescent="0.3">
      <c r="B151" s="29" t="s">
        <v>175</v>
      </c>
      <c r="C151" s="29" t="s">
        <v>29</v>
      </c>
      <c r="D151" s="32" t="str">
        <f>INDEX('90_SEMA'!$G$7:$H$183,145,NYELV_IDX)</f>
        <v>VIII. Pénzügyi műveletek bevételei</v>
      </c>
      <c r="E151" s="31">
        <f>SUMIFS($E$7:$E$183,$B$7:$B$183,$B151&amp;".*",$C$7:$C$183,"D")</f>
        <v>0</v>
      </c>
    </row>
    <row r="152" spans="2:5" ht="15" customHeight="1" x14ac:dyDescent="0.3">
      <c r="B152" s="29" t="s">
        <v>176</v>
      </c>
      <c r="C152" s="29" t="s">
        <v>32</v>
      </c>
      <c r="D152" s="7" t="str">
        <f>INDEX('90_SEMA'!$G$7:$H$183,146,NYELV_IDX)</f>
        <v>13/a. Kapott osztalékok társult vállalkozástól</v>
      </c>
      <c r="E152" s="33"/>
    </row>
    <row r="153" spans="2:5" ht="15" customHeight="1" x14ac:dyDescent="0.3">
      <c r="B153" s="29" t="s">
        <v>177</v>
      </c>
      <c r="C153" s="29" t="s">
        <v>97</v>
      </c>
      <c r="D153" s="34" t="str">
        <f>INDEX('90_SEMA'!$G$7:$H$183,147,NYELV_IDX)</f>
        <v xml:space="preserve">     Ebből: kapcsolt vállalkozástól kapott</v>
      </c>
      <c r="E153" s="33"/>
    </row>
    <row r="154" spans="2:5" ht="15" customHeight="1" x14ac:dyDescent="0.3">
      <c r="B154" s="29" t="s">
        <v>178</v>
      </c>
      <c r="C154" s="29" t="s">
        <v>32</v>
      </c>
      <c r="D154" s="7" t="str">
        <f>INDEX('90_SEMA'!$G$7:$H$183,148,NYELV_IDX)</f>
        <v>13/b. Kapott osztalékok egyéb részesedési viszonyban lévő vállalkozástól</v>
      </c>
      <c r="E154" s="33"/>
    </row>
    <row r="155" spans="2:5" ht="15" customHeight="1" x14ac:dyDescent="0.3">
      <c r="B155" s="29" t="s">
        <v>179</v>
      </c>
      <c r="C155" s="29" t="s">
        <v>97</v>
      </c>
      <c r="D155" s="34" t="str">
        <f>INDEX('90_SEMA'!$G$7:$H$183,149,NYELV_IDX)</f>
        <v xml:space="preserve">     Ebből: kapcsolt vállalkozástól kapott</v>
      </c>
      <c r="E155" s="33"/>
    </row>
    <row r="156" spans="2:5" ht="15" customHeight="1" x14ac:dyDescent="0.3">
      <c r="B156" s="29" t="s">
        <v>180</v>
      </c>
      <c r="C156" s="29" t="s">
        <v>32</v>
      </c>
      <c r="D156" s="7" t="str">
        <f>INDEX('90_SEMA'!$G$7:$H$183,150,NYELV_IDX)</f>
        <v>14. Részesedésekből származó bevételek, árfolyamnyereségek</v>
      </c>
      <c r="E156" s="33"/>
    </row>
    <row r="157" spans="2:5" ht="15" customHeight="1" x14ac:dyDescent="0.3">
      <c r="B157" s="29" t="s">
        <v>181</v>
      </c>
      <c r="C157" s="29" t="s">
        <v>97</v>
      </c>
      <c r="D157" s="34" t="str">
        <f>INDEX('90_SEMA'!$G$7:$H$183,151,NYELV_IDX)</f>
        <v xml:space="preserve">     Ebből: kapcsolt vállalkozástól kapott</v>
      </c>
      <c r="E157" s="33"/>
    </row>
    <row r="158" spans="2:5" ht="15" customHeight="1" x14ac:dyDescent="0.3">
      <c r="B158" s="29" t="s">
        <v>182</v>
      </c>
      <c r="C158" s="29" t="s">
        <v>32</v>
      </c>
      <c r="D158" s="7" t="str">
        <f>INDEX('90_SEMA'!$G$7:$H$183,152,NYELV_IDX)</f>
        <v>15. Befektetett pénzügyi eszközökből (értékpapírokból, kölcsönökből) származó bevételek, árfolyamnyereségek</v>
      </c>
      <c r="E158" s="33"/>
    </row>
    <row r="159" spans="2:5" ht="15" customHeight="1" x14ac:dyDescent="0.3">
      <c r="B159" s="29" t="s">
        <v>183</v>
      </c>
      <c r="C159" s="29" t="s">
        <v>97</v>
      </c>
      <c r="D159" s="34" t="str">
        <f>INDEX('90_SEMA'!$G$7:$H$183,153,NYELV_IDX)</f>
        <v xml:space="preserve">     Ebből: kapcsolt vállalkozástól kapott</v>
      </c>
      <c r="E159" s="33"/>
    </row>
    <row r="160" spans="2:5" ht="15" customHeight="1" x14ac:dyDescent="0.3">
      <c r="B160" s="29" t="s">
        <v>184</v>
      </c>
      <c r="C160" s="29" t="s">
        <v>32</v>
      </c>
      <c r="D160" s="7" t="str">
        <f>INDEX('90_SEMA'!$G$7:$H$183,154,NYELV_IDX)</f>
        <v>16. Egyéb kapott (járó) kamatok és kamatjellegű bevételek</v>
      </c>
      <c r="E160" s="33"/>
    </row>
    <row r="161" spans="2:5" ht="15" customHeight="1" x14ac:dyDescent="0.3">
      <c r="B161" s="29" t="s">
        <v>185</v>
      </c>
      <c r="C161" s="29" t="s">
        <v>97</v>
      </c>
      <c r="D161" s="34" t="str">
        <f>INDEX('90_SEMA'!$G$7:$H$183,155,NYELV_IDX)</f>
        <v xml:space="preserve">     Ebből: kapcsolt vállalkozástól kapott</v>
      </c>
      <c r="E161" s="33"/>
    </row>
    <row r="162" spans="2:5" ht="15" customHeight="1" x14ac:dyDescent="0.3">
      <c r="B162" s="29" t="s">
        <v>186</v>
      </c>
      <c r="C162" s="29" t="s">
        <v>32</v>
      </c>
      <c r="D162" s="7" t="str">
        <f>INDEX('90_SEMA'!$G$7:$H$183,156,NYELV_IDX)</f>
        <v>17. Pénzügyi műveletek egyéb bevételei</v>
      </c>
      <c r="E162" s="33"/>
    </row>
    <row r="163" spans="2:5" ht="15" customHeight="1" x14ac:dyDescent="0.3">
      <c r="B163" s="29" t="s">
        <v>187</v>
      </c>
      <c r="C163" s="29" t="s">
        <v>97</v>
      </c>
      <c r="D163" s="34" t="str">
        <f>INDEX('90_SEMA'!$G$7:$H$183,157,NYELV_IDX)</f>
        <v xml:space="preserve">     Ebből: értékelési különbözet</v>
      </c>
      <c r="E163" s="33"/>
    </row>
    <row r="164" spans="2:5" ht="15" customHeight="1" x14ac:dyDescent="0.3">
      <c r="B164" s="29" t="s">
        <v>188</v>
      </c>
      <c r="C164" s="29" t="s">
        <v>29</v>
      </c>
      <c r="D164" s="32" t="str">
        <f>INDEX('90_SEMA'!$G$7:$H$183,158,NYELV_IDX)</f>
        <v>IX. Pénzügyi műveletek ráfordításai</v>
      </c>
      <c r="E164" s="31">
        <f>SUMIFS($E$7:$E$183,$B$7:$B$183,$B164&amp;".*",$C$7:$C$183,"D")</f>
        <v>0</v>
      </c>
    </row>
    <row r="165" spans="2:5" ht="15" customHeight="1" x14ac:dyDescent="0.3">
      <c r="B165" s="29" t="s">
        <v>189</v>
      </c>
      <c r="C165" s="29" t="s">
        <v>32</v>
      </c>
      <c r="D165" s="7" t="str">
        <f>INDEX('90_SEMA'!$G$7:$H$183,159,NYELV_IDX)</f>
        <v>18. Részesedésekből származó ráfordítások, árfolyamveszteségek</v>
      </c>
      <c r="E165" s="33"/>
    </row>
    <row r="166" spans="2:5" ht="15" customHeight="1" x14ac:dyDescent="0.3">
      <c r="B166" s="29" t="s">
        <v>190</v>
      </c>
      <c r="C166" s="29" t="s">
        <v>97</v>
      </c>
      <c r="D166" s="34" t="str">
        <f>INDEX('90_SEMA'!$G$7:$H$183,160,NYELV_IDX)</f>
        <v xml:space="preserve">     Ebből: kapcsolt vállalkozásnak adott</v>
      </c>
      <c r="E166" s="33"/>
    </row>
    <row r="167" spans="2:5" ht="15" customHeight="1" x14ac:dyDescent="0.3">
      <c r="B167" s="29" t="s">
        <v>191</v>
      </c>
      <c r="C167" s="29" t="s">
        <v>32</v>
      </c>
      <c r="D167" s="7" t="str">
        <f>INDEX('90_SEMA'!$G$7:$H$183,161,NYELV_IDX)</f>
        <v>19. Befektetett pénzügyi eszközökből (értékpapírokból, kölcsönökből) származó ráfordítások, árfolyamveszteségek</v>
      </c>
      <c r="E167" s="33"/>
    </row>
    <row r="168" spans="2:5" ht="15" customHeight="1" x14ac:dyDescent="0.3">
      <c r="B168" s="29" t="s">
        <v>192</v>
      </c>
      <c r="C168" s="29" t="s">
        <v>97</v>
      </c>
      <c r="D168" s="34" t="str">
        <f>INDEX('90_SEMA'!$G$7:$H$183,162,NYELV_IDX)</f>
        <v xml:space="preserve">     Ebből: kapcsolt vállalkozásnak adott</v>
      </c>
      <c r="E168" s="33"/>
    </row>
    <row r="169" spans="2:5" ht="15" customHeight="1" x14ac:dyDescent="0.3">
      <c r="B169" s="29" t="s">
        <v>193</v>
      </c>
      <c r="C169" s="29" t="s">
        <v>32</v>
      </c>
      <c r="D169" s="7" t="str">
        <f>INDEX('90_SEMA'!$G$7:$H$183,163,NYELV_IDX)</f>
        <v>20. Fizetendő (fizetett) kamatok és kamatjellegű ráfordítások</v>
      </c>
      <c r="E169" s="33"/>
    </row>
    <row r="170" spans="2:5" ht="15" customHeight="1" x14ac:dyDescent="0.3">
      <c r="B170" s="29" t="s">
        <v>194</v>
      </c>
      <c r="C170" s="29" t="s">
        <v>97</v>
      </c>
      <c r="D170" s="34" t="str">
        <f>INDEX('90_SEMA'!$G$7:$H$183,164,NYELV_IDX)</f>
        <v xml:space="preserve">     Ebből: kapcsolt vállalkozásnak adott</v>
      </c>
      <c r="E170" s="33"/>
    </row>
    <row r="171" spans="2:5" ht="15" customHeight="1" x14ac:dyDescent="0.3">
      <c r="B171" s="29" t="s">
        <v>195</v>
      </c>
      <c r="C171" s="29" t="s">
        <v>32</v>
      </c>
      <c r="D171" s="7" t="str">
        <f>INDEX('90_SEMA'!$G$7:$H$183,165,NYELV_IDX)</f>
        <v>21. Részesedések, értékpapírok, tartósan adott kölcsönök, bankbetétek értékvesztése</v>
      </c>
      <c r="E171" s="33"/>
    </row>
    <row r="172" spans="2:5" ht="15" customHeight="1" x14ac:dyDescent="0.3">
      <c r="B172" s="29" t="s">
        <v>196</v>
      </c>
      <c r="C172" s="29" t="s">
        <v>32</v>
      </c>
      <c r="D172" s="7" t="str">
        <f>INDEX('90_SEMA'!$G$7:$H$183,166,NYELV_IDX)</f>
        <v>22. Pénzügyi műveletek egyéb ráfordításai</v>
      </c>
      <c r="E172" s="33"/>
    </row>
    <row r="173" spans="2:5" ht="15" customHeight="1" x14ac:dyDescent="0.3">
      <c r="B173" s="29" t="s">
        <v>197</v>
      </c>
      <c r="C173" s="29" t="s">
        <v>97</v>
      </c>
      <c r="D173" s="34" t="str">
        <f>INDEX('90_SEMA'!$G$7:$H$183,167,NYELV_IDX)</f>
        <v xml:space="preserve">     Ebből: értékelési különbözet</v>
      </c>
      <c r="E173" s="33"/>
    </row>
    <row r="174" spans="2:5" ht="15" customHeight="1" x14ac:dyDescent="0.3">
      <c r="B174" s="29" t="s">
        <v>198</v>
      </c>
      <c r="C174" s="29" t="s">
        <v>32</v>
      </c>
      <c r="D174" s="32" t="str">
        <f>INDEX('90_SEMA'!$G$7:$H$183,168,NYELV_IDX)</f>
        <v>X. Adófizetési kötelezettség</v>
      </c>
      <c r="E174" s="33"/>
    </row>
    <row r="175" spans="2:5" ht="15" customHeight="1" x14ac:dyDescent="0.3">
      <c r="B175" s="29" t="s">
        <v>199</v>
      </c>
      <c r="C175" s="29" t="s">
        <v>32</v>
      </c>
      <c r="D175" s="32" t="str">
        <f>INDEX('90_SEMA'!$G$7:$H$183,169,NYELV_IDX)</f>
        <v>X/1. Halasztott adókülönbözet (±)</v>
      </c>
      <c r="E175" s="33"/>
    </row>
    <row r="176" spans="2:5" ht="15" customHeight="1" x14ac:dyDescent="0.3">
      <c r="B176" s="29" t="s">
        <v>200</v>
      </c>
      <c r="C176" s="29" t="s">
        <v>32</v>
      </c>
      <c r="D176" s="32" t="str">
        <f>INDEX('90_SEMA'!$G$7:$H$183,170,NYELV_IDX)</f>
        <v>X/A. Konszolidálásból adódó (számított) társasági adókülönbözet (±)</v>
      </c>
      <c r="E176" s="33"/>
    </row>
    <row r="177" spans="2:5" ht="15" customHeight="1" x14ac:dyDescent="0.3">
      <c r="B177" s="29" t="s">
        <v>201</v>
      </c>
      <c r="C177" s="29" t="s">
        <v>32</v>
      </c>
      <c r="D177" s="32" t="str">
        <f>INDEX('90_SEMA'!$G$7:$H$183,171,NYELV_IDX)</f>
        <v>X/B. Halasztott adókülönbözet (±) [6. sz. mell.; tartalmilag az X/1. sorral egyezik]</v>
      </c>
      <c r="E177" s="33"/>
    </row>
    <row r="178" spans="2:5" ht="15" customHeight="1" x14ac:dyDescent="0.3">
      <c r="B178" s="29" t="s">
        <v>202</v>
      </c>
      <c r="C178" s="29" t="s">
        <v>32</v>
      </c>
      <c r="D178" s="32" t="str">
        <f>INDEX('90_SEMA'!$G$7:$H$183,172,NYELV_IDX)</f>
        <v>Leányvállalatok adózott eredményéből külső tagok (más tulajdonosok) részesedése</v>
      </c>
      <c r="E178" s="33"/>
    </row>
    <row r="179" spans="2:5" ht="15" customHeight="1" x14ac:dyDescent="0.3">
      <c r="B179" s="29" t="s">
        <v>203</v>
      </c>
      <c r="C179" s="29" t="s">
        <v>29</v>
      </c>
      <c r="D179" s="32" t="str">
        <f>INDEX('90_SEMA'!$G$7:$H$183,173,NYELV_IDX)</f>
        <v>Forgalmi költséges eljárás saját sorai</v>
      </c>
      <c r="E179" s="31">
        <f>SUMIFS($E$7:$E$183,$B$7:$B$183,$B179&amp;".*",$C$7:$C$183,"D")</f>
        <v>0</v>
      </c>
    </row>
    <row r="180" spans="2:5" ht="15" customHeight="1" x14ac:dyDescent="0.3">
      <c r="B180" s="29" t="s">
        <v>204</v>
      </c>
      <c r="C180" s="29" t="s">
        <v>32</v>
      </c>
      <c r="D180" s="7" t="str">
        <f>INDEX('90_SEMA'!$G$7:$H$183,174,NYELV_IDX)</f>
        <v>03. Értékesítés elszámolt közvetlen önköltsége</v>
      </c>
      <c r="E180" s="33"/>
    </row>
    <row r="181" spans="2:5" ht="15" customHeight="1" x14ac:dyDescent="0.3">
      <c r="B181" s="29" t="s">
        <v>205</v>
      </c>
      <c r="C181" s="29" t="s">
        <v>32</v>
      </c>
      <c r="D181" s="7" t="str">
        <f>INDEX('90_SEMA'!$G$7:$H$183,175,NYELV_IDX)</f>
        <v>06. Értékesítési, forgalmazási költségek</v>
      </c>
      <c r="E181" s="33"/>
    </row>
    <row r="182" spans="2:5" ht="15" customHeight="1" x14ac:dyDescent="0.3">
      <c r="B182" s="29" t="s">
        <v>206</v>
      </c>
      <c r="C182" s="29" t="s">
        <v>32</v>
      </c>
      <c r="D182" s="7" t="str">
        <f>INDEX('90_SEMA'!$G$7:$H$183,176,NYELV_IDX)</f>
        <v>07. Igazgatási költségek</v>
      </c>
      <c r="E182" s="33"/>
    </row>
    <row r="183" spans="2:5" ht="15" customHeight="1" x14ac:dyDescent="0.3">
      <c r="B183" s="29" t="s">
        <v>207</v>
      </c>
      <c r="C183" s="29" t="s">
        <v>32</v>
      </c>
      <c r="D183" s="7" t="str">
        <f>INDEX('90_SEMA'!$G$7:$H$183,177,NYELV_IDX)</f>
        <v>08. Egyéb általános költségek</v>
      </c>
      <c r="E183" s="33"/>
    </row>
    <row r="185" spans="2:5" ht="15" customHeight="1" x14ac:dyDescent="0.3">
      <c r="D185" s="24" t="s">
        <v>209</v>
      </c>
    </row>
  </sheetData>
  <sheetProtection algorithmName="SHA-512" hashValue="4XCez9tGQFs0aesM0DTW2gehHBML5aWn0ufCFWPTqgELKHMy0Q565vRxV0pAIGfJYPbD5VNYaYU6qM9RycE7XA==" saltValue="zmo02qWWnsNia3QF1sRULA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6"/>
  <dimension ref="B1:T25"/>
  <sheetViews>
    <sheetView showGridLines="0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ColWidth="8.6640625" defaultRowHeight="14.4" x14ac:dyDescent="0.3"/>
  <cols>
    <col min="2" max="2" width="6" style="1" customWidth="1"/>
    <col min="3" max="3" width="16" style="1" customWidth="1"/>
    <col min="4" max="20" width="20" style="1" customWidth="1"/>
  </cols>
  <sheetData>
    <row r="1" spans="2:20" ht="79.5" customHeight="1" x14ac:dyDescent="0.3"/>
    <row r="3" spans="2:20" ht="19.5" customHeight="1" x14ac:dyDescent="0.4">
      <c r="B3" s="12" t="str">
        <f>INDEX('91_NYELV'!$C$7:$D$303,44,NYELV_IDX)</f>
        <v>4. Tőkekonszolidáció</v>
      </c>
    </row>
    <row r="4" spans="2:20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20" ht="39.75" customHeight="1" x14ac:dyDescent="0.3">
      <c r="B6" s="20" t="str">
        <f>INDEX('91_NYELV'!$C$7:$D$303,68,NYELV_IDX)</f>
        <v>Ssz.</v>
      </c>
      <c r="C6" s="20" t="str">
        <f>INDEX('91_NYELV'!$C$7:$D$303,86,NYELV_IDX)</f>
        <v>Leányvállalat</v>
      </c>
      <c r="D6" s="20" t="str">
        <f>INDEX('91_NYELV'!$C$7:$D$303,87,NYELV_IDX)</f>
        <v>Részesedés könyv szerinti értéke</v>
      </c>
      <c r="E6" s="20" t="str">
        <f>INDEX('91_NYELV'!$C$7:$D$303,88,NYELV_IDX)</f>
        <v>Saját tőke a bevonáskor (számított)</v>
      </c>
      <c r="F6" s="20" t="str">
        <f>INDEX('91_NYELV'!$C$7:$D$303,89,NYELV_IDX)</f>
        <v>ebből: Jegyzett tőke</v>
      </c>
      <c r="G6" s="20" t="str">
        <f>INDEX('91_NYELV'!$C$7:$D$303,90,NYELV_IDX)</f>
        <v>ebből: Tőketartalék</v>
      </c>
      <c r="H6" s="20" t="str">
        <f>INDEX('91_NYELV'!$C$7:$D$303,91,NYELV_IDX)</f>
        <v>ebből: Eredménytartalék</v>
      </c>
      <c r="I6" s="20" t="str">
        <f>INDEX('91_NYELV'!$C$7:$D$303,92,NYELV_IDX)</f>
        <v>ebből: Lekötött tartalék</v>
      </c>
      <c r="J6" s="20" t="str">
        <f>INDEX('91_NYELV'!$C$7:$D$303,93,NYELV_IDX)</f>
        <v>ebből: Értékelési tartalék</v>
      </c>
      <c r="K6" s="20" t="str">
        <f>INDEX('91_NYELV'!$C$7:$D$303,97,NYELV_IDX)</f>
        <v>Tulajdoni hányad</v>
      </c>
      <c r="L6" s="20" t="str">
        <f>INDEX('91_NYELV'!$C$7:$D$303,98,NYELV_IDX)</f>
        <v>Anyavállalatot megillető saját tőke</v>
      </c>
      <c r="M6" s="20" t="str">
        <f>INDEX('91_NYELV'!$C$7:$D$303,99,NYELV_IDX)</f>
        <v>Tőkekonszolidációs különbözet</v>
      </c>
      <c r="N6" s="20" t="str">
        <f>INDEX('91_NYELV'!$C$7:$D$303,100,NYELV_IDX)</f>
        <v>ebből aktív (eszköz)</v>
      </c>
      <c r="O6" s="20" t="str">
        <f>INDEX('91_NYELV'!$C$7:$D$303,101,NYELV_IDX)</f>
        <v>ebből passzív (forrás)</v>
      </c>
      <c r="P6" s="20" t="str">
        <f>INDEX('91_NYELV'!$C$7:$D$303,103,NYELV_IDX)</f>
        <v>Külső tagok részesedése</v>
      </c>
      <c r="Q6" s="20" t="str">
        <f>INDEX('91_NYELV'!$C$7:$D$303,94,NYELV_IDX)</f>
        <v>Leányvállalat tárgyévi adózott eredménye</v>
      </c>
      <c r="R6" s="20" t="str">
        <f>INDEX('91_NYELV'!$C$7:$D$303,95,NYELV_IDX)</f>
        <v>Külső tagok részesedése a tárgyévi eredményből</v>
      </c>
      <c r="S6" s="20" t="str">
        <f>INDEX('91_NYELV'!$C$7:$D$303,104,NYELV_IDX)</f>
        <v>Tárgyévi különbözet-leírás</v>
      </c>
      <c r="T6" s="20" t="str">
        <f>INDEX('91_NYELV'!$C$7:$D$303,96,NYELV_IDX)</f>
        <v>D.VIII-ba átsorolandó saját tőke változás</v>
      </c>
    </row>
    <row r="7" spans="2:20" ht="15" customHeight="1" x14ac:dyDescent="0.3">
      <c r="B7" s="21">
        <v>1</v>
      </c>
      <c r="C7" s="15"/>
      <c r="D7" s="33"/>
      <c r="E7" s="37">
        <f t="shared" ref="E7:E21" si="0">$F7+$G7+$H7+$I7+$J7</f>
        <v>0</v>
      </c>
      <c r="F7" s="33"/>
      <c r="G7" s="33"/>
      <c r="H7" s="33"/>
      <c r="I7" s="33"/>
      <c r="J7" s="33"/>
      <c r="K7" s="17"/>
      <c r="L7" s="37">
        <f t="shared" ref="L7:L21" si="1">$E7*$K7</f>
        <v>0</v>
      </c>
      <c r="M7" s="37">
        <f t="shared" ref="M7:M21" si="2">$D7-$L7</f>
        <v>0</v>
      </c>
      <c r="N7" s="37">
        <f t="shared" ref="N7:N21" si="3">IF($M7&gt;0,$M7,0)</f>
        <v>0</v>
      </c>
      <c r="O7" s="37">
        <f t="shared" ref="O7:O21" si="4">IF($M7&lt;0,-$M7,0)</f>
        <v>0</v>
      </c>
      <c r="P7" s="37">
        <f t="shared" ref="P7:P21" si="5">$E7*(1-$K7)</f>
        <v>0</v>
      </c>
      <c r="Q7" s="33"/>
      <c r="R7" s="37">
        <f t="shared" ref="R7:R21" si="6">$Q7*(1-$K7)</f>
        <v>0</v>
      </c>
      <c r="S7" s="37">
        <f t="shared" ref="S7:S21" si="7">IF(TK_EVEK&gt;0,$N7/TK_EVEK,0)</f>
        <v>0</v>
      </c>
      <c r="T7" s="33"/>
    </row>
    <row r="8" spans="2:20" ht="15" customHeight="1" x14ac:dyDescent="0.3">
      <c r="B8" s="21">
        <v>2</v>
      </c>
      <c r="C8" s="15"/>
      <c r="D8" s="33"/>
      <c r="E8" s="37">
        <f t="shared" si="0"/>
        <v>0</v>
      </c>
      <c r="F8" s="33"/>
      <c r="G8" s="33"/>
      <c r="H8" s="33"/>
      <c r="I8" s="33"/>
      <c r="J8" s="33"/>
      <c r="K8" s="17"/>
      <c r="L8" s="37">
        <f t="shared" si="1"/>
        <v>0</v>
      </c>
      <c r="M8" s="37">
        <f t="shared" si="2"/>
        <v>0</v>
      </c>
      <c r="N8" s="37">
        <f t="shared" si="3"/>
        <v>0</v>
      </c>
      <c r="O8" s="37">
        <f t="shared" si="4"/>
        <v>0</v>
      </c>
      <c r="P8" s="37">
        <f t="shared" si="5"/>
        <v>0</v>
      </c>
      <c r="Q8" s="33"/>
      <c r="R8" s="37">
        <f t="shared" si="6"/>
        <v>0</v>
      </c>
      <c r="S8" s="37">
        <f t="shared" si="7"/>
        <v>0</v>
      </c>
      <c r="T8" s="33"/>
    </row>
    <row r="9" spans="2:20" ht="15" customHeight="1" x14ac:dyDescent="0.3">
      <c r="B9" s="21">
        <v>3</v>
      </c>
      <c r="C9" s="15"/>
      <c r="D9" s="33"/>
      <c r="E9" s="37">
        <f t="shared" si="0"/>
        <v>0</v>
      </c>
      <c r="F9" s="33"/>
      <c r="G9" s="33"/>
      <c r="H9" s="33"/>
      <c r="I9" s="33"/>
      <c r="J9" s="33"/>
      <c r="K9" s="17"/>
      <c r="L9" s="37">
        <f t="shared" si="1"/>
        <v>0</v>
      </c>
      <c r="M9" s="37">
        <f t="shared" si="2"/>
        <v>0</v>
      </c>
      <c r="N9" s="37">
        <f t="shared" si="3"/>
        <v>0</v>
      </c>
      <c r="O9" s="37">
        <f t="shared" si="4"/>
        <v>0</v>
      </c>
      <c r="P9" s="37">
        <f t="shared" si="5"/>
        <v>0</v>
      </c>
      <c r="Q9" s="33"/>
      <c r="R9" s="37">
        <f t="shared" si="6"/>
        <v>0</v>
      </c>
      <c r="S9" s="37">
        <f t="shared" si="7"/>
        <v>0</v>
      </c>
      <c r="T9" s="33"/>
    </row>
    <row r="10" spans="2:20" ht="15" customHeight="1" x14ac:dyDescent="0.3">
      <c r="B10" s="21">
        <v>4</v>
      </c>
      <c r="C10" s="15"/>
      <c r="D10" s="33"/>
      <c r="E10" s="37">
        <f t="shared" si="0"/>
        <v>0</v>
      </c>
      <c r="F10" s="33"/>
      <c r="G10" s="33"/>
      <c r="H10" s="33"/>
      <c r="I10" s="33"/>
      <c r="J10" s="33"/>
      <c r="K10" s="17"/>
      <c r="L10" s="37">
        <f t="shared" si="1"/>
        <v>0</v>
      </c>
      <c r="M10" s="37">
        <f t="shared" si="2"/>
        <v>0</v>
      </c>
      <c r="N10" s="37">
        <f t="shared" si="3"/>
        <v>0</v>
      </c>
      <c r="O10" s="37">
        <f t="shared" si="4"/>
        <v>0</v>
      </c>
      <c r="P10" s="37">
        <f t="shared" si="5"/>
        <v>0</v>
      </c>
      <c r="Q10" s="33"/>
      <c r="R10" s="37">
        <f t="shared" si="6"/>
        <v>0</v>
      </c>
      <c r="S10" s="37">
        <f t="shared" si="7"/>
        <v>0</v>
      </c>
      <c r="T10" s="33"/>
    </row>
    <row r="11" spans="2:20" ht="15" customHeight="1" x14ac:dyDescent="0.3">
      <c r="B11" s="21">
        <v>5</v>
      </c>
      <c r="C11" s="15"/>
      <c r="D11" s="33"/>
      <c r="E11" s="37">
        <f t="shared" si="0"/>
        <v>0</v>
      </c>
      <c r="F11" s="33"/>
      <c r="G11" s="33"/>
      <c r="H11" s="33"/>
      <c r="I11" s="33"/>
      <c r="J11" s="33"/>
      <c r="K11" s="17"/>
      <c r="L11" s="37">
        <f t="shared" si="1"/>
        <v>0</v>
      </c>
      <c r="M11" s="37">
        <f t="shared" si="2"/>
        <v>0</v>
      </c>
      <c r="N11" s="37">
        <f t="shared" si="3"/>
        <v>0</v>
      </c>
      <c r="O11" s="37">
        <f t="shared" si="4"/>
        <v>0</v>
      </c>
      <c r="P11" s="37">
        <f t="shared" si="5"/>
        <v>0</v>
      </c>
      <c r="Q11" s="33"/>
      <c r="R11" s="37">
        <f t="shared" si="6"/>
        <v>0</v>
      </c>
      <c r="S11" s="37">
        <f t="shared" si="7"/>
        <v>0</v>
      </c>
      <c r="T11" s="33"/>
    </row>
    <row r="12" spans="2:20" ht="15" customHeight="1" x14ac:dyDescent="0.3">
      <c r="B12" s="21">
        <v>6</v>
      </c>
      <c r="C12" s="15"/>
      <c r="D12" s="33"/>
      <c r="E12" s="37">
        <f t="shared" si="0"/>
        <v>0</v>
      </c>
      <c r="F12" s="33"/>
      <c r="G12" s="33"/>
      <c r="H12" s="33"/>
      <c r="I12" s="33"/>
      <c r="J12" s="33"/>
      <c r="K12" s="17"/>
      <c r="L12" s="37">
        <f t="shared" si="1"/>
        <v>0</v>
      </c>
      <c r="M12" s="37">
        <f t="shared" si="2"/>
        <v>0</v>
      </c>
      <c r="N12" s="37">
        <f t="shared" si="3"/>
        <v>0</v>
      </c>
      <c r="O12" s="37">
        <f t="shared" si="4"/>
        <v>0</v>
      </c>
      <c r="P12" s="37">
        <f t="shared" si="5"/>
        <v>0</v>
      </c>
      <c r="Q12" s="33"/>
      <c r="R12" s="37">
        <f t="shared" si="6"/>
        <v>0</v>
      </c>
      <c r="S12" s="37">
        <f t="shared" si="7"/>
        <v>0</v>
      </c>
      <c r="T12" s="33"/>
    </row>
    <row r="13" spans="2:20" ht="15" customHeight="1" x14ac:dyDescent="0.3">
      <c r="B13" s="21">
        <v>7</v>
      </c>
      <c r="C13" s="15"/>
      <c r="D13" s="33"/>
      <c r="E13" s="37">
        <f t="shared" si="0"/>
        <v>0</v>
      </c>
      <c r="F13" s="33"/>
      <c r="G13" s="33"/>
      <c r="H13" s="33"/>
      <c r="I13" s="33"/>
      <c r="J13" s="33"/>
      <c r="K13" s="17"/>
      <c r="L13" s="37">
        <f t="shared" si="1"/>
        <v>0</v>
      </c>
      <c r="M13" s="37">
        <f t="shared" si="2"/>
        <v>0</v>
      </c>
      <c r="N13" s="37">
        <f t="shared" si="3"/>
        <v>0</v>
      </c>
      <c r="O13" s="37">
        <f t="shared" si="4"/>
        <v>0</v>
      </c>
      <c r="P13" s="37">
        <f t="shared" si="5"/>
        <v>0</v>
      </c>
      <c r="Q13" s="33"/>
      <c r="R13" s="37">
        <f t="shared" si="6"/>
        <v>0</v>
      </c>
      <c r="S13" s="37">
        <f t="shared" si="7"/>
        <v>0</v>
      </c>
      <c r="T13" s="33"/>
    </row>
    <row r="14" spans="2:20" ht="15" customHeight="1" x14ac:dyDescent="0.3">
      <c r="B14" s="21">
        <v>8</v>
      </c>
      <c r="C14" s="15"/>
      <c r="D14" s="33"/>
      <c r="E14" s="37">
        <f t="shared" si="0"/>
        <v>0</v>
      </c>
      <c r="F14" s="33"/>
      <c r="G14" s="33"/>
      <c r="H14" s="33"/>
      <c r="I14" s="33"/>
      <c r="J14" s="33"/>
      <c r="K14" s="17"/>
      <c r="L14" s="37">
        <f t="shared" si="1"/>
        <v>0</v>
      </c>
      <c r="M14" s="37">
        <f t="shared" si="2"/>
        <v>0</v>
      </c>
      <c r="N14" s="37">
        <f t="shared" si="3"/>
        <v>0</v>
      </c>
      <c r="O14" s="37">
        <f t="shared" si="4"/>
        <v>0</v>
      </c>
      <c r="P14" s="37">
        <f t="shared" si="5"/>
        <v>0</v>
      </c>
      <c r="Q14" s="33"/>
      <c r="R14" s="37">
        <f t="shared" si="6"/>
        <v>0</v>
      </c>
      <c r="S14" s="37">
        <f t="shared" si="7"/>
        <v>0</v>
      </c>
      <c r="T14" s="33"/>
    </row>
    <row r="15" spans="2:20" ht="15" customHeight="1" x14ac:dyDescent="0.3">
      <c r="B15" s="21">
        <v>9</v>
      </c>
      <c r="C15" s="15"/>
      <c r="D15" s="33"/>
      <c r="E15" s="37">
        <f t="shared" si="0"/>
        <v>0</v>
      </c>
      <c r="F15" s="33"/>
      <c r="G15" s="33"/>
      <c r="H15" s="33"/>
      <c r="I15" s="33"/>
      <c r="J15" s="33"/>
      <c r="K15" s="17"/>
      <c r="L15" s="37">
        <f t="shared" si="1"/>
        <v>0</v>
      </c>
      <c r="M15" s="37">
        <f t="shared" si="2"/>
        <v>0</v>
      </c>
      <c r="N15" s="37">
        <f t="shared" si="3"/>
        <v>0</v>
      </c>
      <c r="O15" s="37">
        <f t="shared" si="4"/>
        <v>0</v>
      </c>
      <c r="P15" s="37">
        <f t="shared" si="5"/>
        <v>0</v>
      </c>
      <c r="Q15" s="33"/>
      <c r="R15" s="37">
        <f t="shared" si="6"/>
        <v>0</v>
      </c>
      <c r="S15" s="37">
        <f t="shared" si="7"/>
        <v>0</v>
      </c>
      <c r="T15" s="33"/>
    </row>
    <row r="16" spans="2:20" ht="15" customHeight="1" x14ac:dyDescent="0.3">
      <c r="B16" s="21">
        <v>10</v>
      </c>
      <c r="C16" s="15"/>
      <c r="D16" s="33"/>
      <c r="E16" s="37">
        <f t="shared" si="0"/>
        <v>0</v>
      </c>
      <c r="F16" s="33"/>
      <c r="G16" s="33"/>
      <c r="H16" s="33"/>
      <c r="I16" s="33"/>
      <c r="J16" s="33"/>
      <c r="K16" s="17"/>
      <c r="L16" s="37">
        <f t="shared" si="1"/>
        <v>0</v>
      </c>
      <c r="M16" s="37">
        <f t="shared" si="2"/>
        <v>0</v>
      </c>
      <c r="N16" s="37">
        <f t="shared" si="3"/>
        <v>0</v>
      </c>
      <c r="O16" s="37">
        <f t="shared" si="4"/>
        <v>0</v>
      </c>
      <c r="P16" s="37">
        <f t="shared" si="5"/>
        <v>0</v>
      </c>
      <c r="Q16" s="33"/>
      <c r="R16" s="37">
        <f t="shared" si="6"/>
        <v>0</v>
      </c>
      <c r="S16" s="37">
        <f t="shared" si="7"/>
        <v>0</v>
      </c>
      <c r="T16" s="33"/>
    </row>
    <row r="17" spans="2:20" ht="15" customHeight="1" x14ac:dyDescent="0.3">
      <c r="B17" s="21">
        <v>11</v>
      </c>
      <c r="C17" s="15"/>
      <c r="D17" s="33"/>
      <c r="E17" s="37">
        <f t="shared" si="0"/>
        <v>0</v>
      </c>
      <c r="F17" s="33"/>
      <c r="G17" s="33"/>
      <c r="H17" s="33"/>
      <c r="I17" s="33"/>
      <c r="J17" s="33"/>
      <c r="K17" s="17"/>
      <c r="L17" s="37">
        <f t="shared" si="1"/>
        <v>0</v>
      </c>
      <c r="M17" s="37">
        <f t="shared" si="2"/>
        <v>0</v>
      </c>
      <c r="N17" s="37">
        <f t="shared" si="3"/>
        <v>0</v>
      </c>
      <c r="O17" s="37">
        <f t="shared" si="4"/>
        <v>0</v>
      </c>
      <c r="P17" s="37">
        <f t="shared" si="5"/>
        <v>0</v>
      </c>
      <c r="Q17" s="33"/>
      <c r="R17" s="37">
        <f t="shared" si="6"/>
        <v>0</v>
      </c>
      <c r="S17" s="37">
        <f t="shared" si="7"/>
        <v>0</v>
      </c>
      <c r="T17" s="33"/>
    </row>
    <row r="18" spans="2:20" ht="15" customHeight="1" x14ac:dyDescent="0.3">
      <c r="B18" s="21">
        <v>12</v>
      </c>
      <c r="C18" s="15"/>
      <c r="D18" s="33"/>
      <c r="E18" s="37">
        <f t="shared" si="0"/>
        <v>0</v>
      </c>
      <c r="F18" s="33"/>
      <c r="G18" s="33"/>
      <c r="H18" s="33"/>
      <c r="I18" s="33"/>
      <c r="J18" s="33"/>
      <c r="K18" s="17"/>
      <c r="L18" s="37">
        <f t="shared" si="1"/>
        <v>0</v>
      </c>
      <c r="M18" s="37">
        <f t="shared" si="2"/>
        <v>0</v>
      </c>
      <c r="N18" s="37">
        <f t="shared" si="3"/>
        <v>0</v>
      </c>
      <c r="O18" s="37">
        <f t="shared" si="4"/>
        <v>0</v>
      </c>
      <c r="P18" s="37">
        <f t="shared" si="5"/>
        <v>0</v>
      </c>
      <c r="Q18" s="33"/>
      <c r="R18" s="37">
        <f t="shared" si="6"/>
        <v>0</v>
      </c>
      <c r="S18" s="37">
        <f t="shared" si="7"/>
        <v>0</v>
      </c>
      <c r="T18" s="33"/>
    </row>
    <row r="19" spans="2:20" ht="15" customHeight="1" x14ac:dyDescent="0.3">
      <c r="B19" s="21">
        <v>13</v>
      </c>
      <c r="C19" s="15"/>
      <c r="D19" s="33"/>
      <c r="E19" s="37">
        <f t="shared" si="0"/>
        <v>0</v>
      </c>
      <c r="F19" s="33"/>
      <c r="G19" s="33"/>
      <c r="H19" s="33"/>
      <c r="I19" s="33"/>
      <c r="J19" s="33"/>
      <c r="K19" s="17"/>
      <c r="L19" s="37">
        <f t="shared" si="1"/>
        <v>0</v>
      </c>
      <c r="M19" s="37">
        <f t="shared" si="2"/>
        <v>0</v>
      </c>
      <c r="N19" s="37">
        <f t="shared" si="3"/>
        <v>0</v>
      </c>
      <c r="O19" s="37">
        <f t="shared" si="4"/>
        <v>0</v>
      </c>
      <c r="P19" s="37">
        <f t="shared" si="5"/>
        <v>0</v>
      </c>
      <c r="Q19" s="33"/>
      <c r="R19" s="37">
        <f t="shared" si="6"/>
        <v>0</v>
      </c>
      <c r="S19" s="37">
        <f t="shared" si="7"/>
        <v>0</v>
      </c>
      <c r="T19" s="33"/>
    </row>
    <row r="20" spans="2:20" ht="15" customHeight="1" x14ac:dyDescent="0.3">
      <c r="B20" s="21">
        <v>14</v>
      </c>
      <c r="C20" s="15"/>
      <c r="D20" s="33"/>
      <c r="E20" s="37">
        <f t="shared" si="0"/>
        <v>0</v>
      </c>
      <c r="F20" s="33"/>
      <c r="G20" s="33"/>
      <c r="H20" s="33"/>
      <c r="I20" s="33"/>
      <c r="J20" s="33"/>
      <c r="K20" s="17"/>
      <c r="L20" s="37">
        <f t="shared" si="1"/>
        <v>0</v>
      </c>
      <c r="M20" s="37">
        <f t="shared" si="2"/>
        <v>0</v>
      </c>
      <c r="N20" s="37">
        <f t="shared" si="3"/>
        <v>0</v>
      </c>
      <c r="O20" s="37">
        <f t="shared" si="4"/>
        <v>0</v>
      </c>
      <c r="P20" s="37">
        <f t="shared" si="5"/>
        <v>0</v>
      </c>
      <c r="Q20" s="33"/>
      <c r="R20" s="37">
        <f t="shared" si="6"/>
        <v>0</v>
      </c>
      <c r="S20" s="37">
        <f t="shared" si="7"/>
        <v>0</v>
      </c>
      <c r="T20" s="33"/>
    </row>
    <row r="21" spans="2:20" ht="15" customHeight="1" x14ac:dyDescent="0.3">
      <c r="B21" s="21">
        <v>15</v>
      </c>
      <c r="C21" s="15"/>
      <c r="D21" s="33"/>
      <c r="E21" s="37">
        <f t="shared" si="0"/>
        <v>0</v>
      </c>
      <c r="F21" s="33"/>
      <c r="G21" s="33"/>
      <c r="H21" s="33"/>
      <c r="I21" s="33"/>
      <c r="J21" s="33"/>
      <c r="K21" s="17"/>
      <c r="L21" s="37">
        <f t="shared" si="1"/>
        <v>0</v>
      </c>
      <c r="M21" s="37">
        <f t="shared" si="2"/>
        <v>0</v>
      </c>
      <c r="N21" s="37">
        <f t="shared" si="3"/>
        <v>0</v>
      </c>
      <c r="O21" s="37">
        <f t="shared" si="4"/>
        <v>0</v>
      </c>
      <c r="P21" s="37">
        <f t="shared" si="5"/>
        <v>0</v>
      </c>
      <c r="Q21" s="33"/>
      <c r="R21" s="37">
        <f t="shared" si="6"/>
        <v>0</v>
      </c>
      <c r="S21" s="37">
        <f t="shared" si="7"/>
        <v>0</v>
      </c>
      <c r="T21" s="33"/>
    </row>
    <row r="23" spans="2:20" ht="15" customHeight="1" x14ac:dyDescent="0.3">
      <c r="C23" s="38" t="s">
        <v>210</v>
      </c>
    </row>
    <row r="25" spans="2:20" ht="15" customHeight="1" x14ac:dyDescent="0.3">
      <c r="C25" s="24" t="s">
        <v>211</v>
      </c>
    </row>
  </sheetData>
  <sheetProtection algorithmName="SHA-512" hashValue="f5gfLeNYE9qHKCWG6PaUqVbtz0iuVVyMmYg+H0AyIiIY6iXlEwSRXmMcc7EynolkIHDsi6RVkuNSU6C4sC7JBA==" saltValue="kVUfN2vWzDpocGwDvPd7Gg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unka7"/>
  <dimension ref="B1:J40"/>
  <sheetViews>
    <sheetView showGridLines="0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ColWidth="8.6640625" defaultRowHeight="14.4" x14ac:dyDescent="0.3"/>
  <cols>
    <col min="2" max="2" width="6" style="1" customWidth="1"/>
    <col min="3" max="6" width="24" style="1" customWidth="1"/>
    <col min="7" max="10" width="20" style="1" customWidth="1"/>
  </cols>
  <sheetData>
    <row r="1" spans="2:10" ht="79.5" customHeight="1" x14ac:dyDescent="0.3"/>
    <row r="3" spans="2:10" ht="19.5" customHeight="1" x14ac:dyDescent="0.4">
      <c r="B3" s="12" t="str">
        <f>INDEX('91_NYELV'!$C$7:$D$303,45,NYELV_IDX)</f>
        <v>5. Adósságkonszolidálás</v>
      </c>
    </row>
    <row r="4" spans="2:10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10" ht="39.75" customHeight="1" x14ac:dyDescent="0.3">
      <c r="B6" s="20" t="str">
        <f>INDEX('91_NYELV'!$C$7:$D$303,68,NYELV_IDX)</f>
        <v>Ssz.</v>
      </c>
      <c r="C6" s="20" t="str">
        <f>INDEX('91_NYELV'!$C$7:$D$303,105,NYELV_IDX)</f>
        <v>Hitelező cég (követelés)</v>
      </c>
      <c r="D6" s="20" t="str">
        <f>INDEX('91_NYELV'!$C$7:$D$303,106,NYELV_IDX)</f>
        <v>Adós cég (kötelezettség)</v>
      </c>
      <c r="E6" s="20" t="str">
        <f>INDEX('91_NYELV'!$C$7:$D$303,107,NYELV_IDX)</f>
        <v>Követelés mérlegsora</v>
      </c>
      <c r="F6" s="20" t="str">
        <f>INDEX('91_NYELV'!$C$7:$D$303,108,NYELV_IDX)</f>
        <v>Kötelezettség mérlegsora</v>
      </c>
      <c r="G6" s="20" t="str">
        <f>INDEX('91_NYELV'!$C$7:$D$303,109,NYELV_IDX)</f>
        <v>Követelés összege</v>
      </c>
      <c r="H6" s="20" t="str">
        <f>INDEX('91_NYELV'!$C$7:$D$303,110,NYELV_IDX)</f>
        <v>Kötelezettség összege</v>
      </c>
      <c r="I6" s="20" t="str">
        <f>INDEX('91_NYELV'!$C$7:$D$303,111,NYELV_IDX)</f>
        <v>Eltérés</v>
      </c>
      <c r="J6" s="20" t="str">
        <f>INDEX('91_NYELV'!$C$7:$D$303,112,NYELV_IDX)</f>
        <v>Kiszűrendő összeg</v>
      </c>
    </row>
    <row r="7" spans="2:10" ht="15" customHeight="1" x14ac:dyDescent="0.3">
      <c r="B7" s="21">
        <v>1</v>
      </c>
      <c r="C7" s="15"/>
      <c r="D7" s="15"/>
      <c r="E7" s="15"/>
      <c r="F7" s="15"/>
      <c r="G7" s="33"/>
      <c r="H7" s="33"/>
      <c r="I7" s="37">
        <f t="shared" ref="I7:I36" si="0">$G7-$H7</f>
        <v>0</v>
      </c>
      <c r="J7" s="37">
        <f t="shared" ref="J7:J36" si="1">MIN($G7,$H7)</f>
        <v>0</v>
      </c>
    </row>
    <row r="8" spans="2:10" ht="15" customHeight="1" x14ac:dyDescent="0.3">
      <c r="B8" s="21">
        <v>2</v>
      </c>
      <c r="C8" s="15"/>
      <c r="D8" s="15"/>
      <c r="E8" s="15"/>
      <c r="F8" s="15"/>
      <c r="G8" s="33"/>
      <c r="H8" s="33"/>
      <c r="I8" s="37">
        <f t="shared" si="0"/>
        <v>0</v>
      </c>
      <c r="J8" s="37">
        <f t="shared" si="1"/>
        <v>0</v>
      </c>
    </row>
    <row r="9" spans="2:10" ht="15" customHeight="1" x14ac:dyDescent="0.3">
      <c r="B9" s="21">
        <v>3</v>
      </c>
      <c r="C9" s="15"/>
      <c r="D9" s="15"/>
      <c r="E9" s="15"/>
      <c r="F9" s="15"/>
      <c r="G9" s="33"/>
      <c r="H9" s="33"/>
      <c r="I9" s="37">
        <f t="shared" si="0"/>
        <v>0</v>
      </c>
      <c r="J9" s="37">
        <f t="shared" si="1"/>
        <v>0</v>
      </c>
    </row>
    <row r="10" spans="2:10" ht="15" customHeight="1" x14ac:dyDescent="0.3">
      <c r="B10" s="21">
        <v>4</v>
      </c>
      <c r="C10" s="15"/>
      <c r="D10" s="15"/>
      <c r="E10" s="15"/>
      <c r="F10" s="15"/>
      <c r="G10" s="33"/>
      <c r="H10" s="33"/>
      <c r="I10" s="37">
        <f t="shared" si="0"/>
        <v>0</v>
      </c>
      <c r="J10" s="37">
        <f t="shared" si="1"/>
        <v>0</v>
      </c>
    </row>
    <row r="11" spans="2:10" ht="15" customHeight="1" x14ac:dyDescent="0.3">
      <c r="B11" s="21">
        <v>5</v>
      </c>
      <c r="C11" s="15"/>
      <c r="D11" s="15"/>
      <c r="E11" s="15"/>
      <c r="F11" s="15"/>
      <c r="G11" s="33"/>
      <c r="H11" s="33"/>
      <c r="I11" s="37">
        <f t="shared" si="0"/>
        <v>0</v>
      </c>
      <c r="J11" s="37">
        <f t="shared" si="1"/>
        <v>0</v>
      </c>
    </row>
    <row r="12" spans="2:10" ht="15" customHeight="1" x14ac:dyDescent="0.3">
      <c r="B12" s="21">
        <v>6</v>
      </c>
      <c r="C12" s="15"/>
      <c r="D12" s="15"/>
      <c r="E12" s="15"/>
      <c r="F12" s="15"/>
      <c r="G12" s="33"/>
      <c r="H12" s="33"/>
      <c r="I12" s="37">
        <f t="shared" si="0"/>
        <v>0</v>
      </c>
      <c r="J12" s="37">
        <f t="shared" si="1"/>
        <v>0</v>
      </c>
    </row>
    <row r="13" spans="2:10" ht="15" customHeight="1" x14ac:dyDescent="0.3">
      <c r="B13" s="21">
        <v>7</v>
      </c>
      <c r="C13" s="15"/>
      <c r="D13" s="15"/>
      <c r="E13" s="15"/>
      <c r="F13" s="15"/>
      <c r="G13" s="33"/>
      <c r="H13" s="33"/>
      <c r="I13" s="37">
        <f t="shared" si="0"/>
        <v>0</v>
      </c>
      <c r="J13" s="37">
        <f t="shared" si="1"/>
        <v>0</v>
      </c>
    </row>
    <row r="14" spans="2:10" ht="15" customHeight="1" x14ac:dyDescent="0.3">
      <c r="B14" s="21">
        <v>8</v>
      </c>
      <c r="C14" s="15"/>
      <c r="D14" s="15"/>
      <c r="E14" s="15"/>
      <c r="F14" s="15"/>
      <c r="G14" s="33"/>
      <c r="H14" s="33"/>
      <c r="I14" s="37">
        <f t="shared" si="0"/>
        <v>0</v>
      </c>
      <c r="J14" s="37">
        <f t="shared" si="1"/>
        <v>0</v>
      </c>
    </row>
    <row r="15" spans="2:10" ht="15" customHeight="1" x14ac:dyDescent="0.3">
      <c r="B15" s="21">
        <v>9</v>
      </c>
      <c r="C15" s="15"/>
      <c r="D15" s="15"/>
      <c r="E15" s="15"/>
      <c r="F15" s="15"/>
      <c r="G15" s="33"/>
      <c r="H15" s="33"/>
      <c r="I15" s="37">
        <f t="shared" si="0"/>
        <v>0</v>
      </c>
      <c r="J15" s="37">
        <f t="shared" si="1"/>
        <v>0</v>
      </c>
    </row>
    <row r="16" spans="2:10" ht="15" customHeight="1" x14ac:dyDescent="0.3">
      <c r="B16" s="21">
        <v>10</v>
      </c>
      <c r="C16" s="15"/>
      <c r="D16" s="15"/>
      <c r="E16" s="15"/>
      <c r="F16" s="15"/>
      <c r="G16" s="33"/>
      <c r="H16" s="33"/>
      <c r="I16" s="37">
        <f t="shared" si="0"/>
        <v>0</v>
      </c>
      <c r="J16" s="37">
        <f t="shared" si="1"/>
        <v>0</v>
      </c>
    </row>
    <row r="17" spans="2:10" ht="15" customHeight="1" x14ac:dyDescent="0.3">
      <c r="B17" s="21">
        <v>11</v>
      </c>
      <c r="C17" s="15"/>
      <c r="D17" s="15"/>
      <c r="E17" s="15"/>
      <c r="F17" s="15"/>
      <c r="G17" s="33"/>
      <c r="H17" s="33"/>
      <c r="I17" s="37">
        <f t="shared" si="0"/>
        <v>0</v>
      </c>
      <c r="J17" s="37">
        <f t="shared" si="1"/>
        <v>0</v>
      </c>
    </row>
    <row r="18" spans="2:10" ht="15" customHeight="1" x14ac:dyDescent="0.3">
      <c r="B18" s="21">
        <v>12</v>
      </c>
      <c r="C18" s="15"/>
      <c r="D18" s="15"/>
      <c r="E18" s="15"/>
      <c r="F18" s="15"/>
      <c r="G18" s="33"/>
      <c r="H18" s="33"/>
      <c r="I18" s="37">
        <f t="shared" si="0"/>
        <v>0</v>
      </c>
      <c r="J18" s="37">
        <f t="shared" si="1"/>
        <v>0</v>
      </c>
    </row>
    <row r="19" spans="2:10" ht="15" customHeight="1" x14ac:dyDescent="0.3">
      <c r="B19" s="21">
        <v>13</v>
      </c>
      <c r="C19" s="15"/>
      <c r="D19" s="15"/>
      <c r="E19" s="15"/>
      <c r="F19" s="15"/>
      <c r="G19" s="33"/>
      <c r="H19" s="33"/>
      <c r="I19" s="37">
        <f t="shared" si="0"/>
        <v>0</v>
      </c>
      <c r="J19" s="37">
        <f t="shared" si="1"/>
        <v>0</v>
      </c>
    </row>
    <row r="20" spans="2:10" ht="15" customHeight="1" x14ac:dyDescent="0.3">
      <c r="B20" s="21">
        <v>14</v>
      </c>
      <c r="C20" s="15"/>
      <c r="D20" s="15"/>
      <c r="E20" s="15"/>
      <c r="F20" s="15"/>
      <c r="G20" s="33"/>
      <c r="H20" s="33"/>
      <c r="I20" s="37">
        <f t="shared" si="0"/>
        <v>0</v>
      </c>
      <c r="J20" s="37">
        <f t="shared" si="1"/>
        <v>0</v>
      </c>
    </row>
    <row r="21" spans="2:10" ht="15" customHeight="1" x14ac:dyDescent="0.3">
      <c r="B21" s="21">
        <v>15</v>
      </c>
      <c r="C21" s="15"/>
      <c r="D21" s="15"/>
      <c r="E21" s="15"/>
      <c r="F21" s="15"/>
      <c r="G21" s="33"/>
      <c r="H21" s="33"/>
      <c r="I21" s="37">
        <f t="shared" si="0"/>
        <v>0</v>
      </c>
      <c r="J21" s="37">
        <f t="shared" si="1"/>
        <v>0</v>
      </c>
    </row>
    <row r="22" spans="2:10" ht="15" customHeight="1" x14ac:dyDescent="0.3">
      <c r="B22" s="21">
        <v>16</v>
      </c>
      <c r="C22" s="15"/>
      <c r="D22" s="15"/>
      <c r="E22" s="15"/>
      <c r="F22" s="15"/>
      <c r="G22" s="33"/>
      <c r="H22" s="33"/>
      <c r="I22" s="37">
        <f t="shared" si="0"/>
        <v>0</v>
      </c>
      <c r="J22" s="37">
        <f t="shared" si="1"/>
        <v>0</v>
      </c>
    </row>
    <row r="23" spans="2:10" ht="15" customHeight="1" x14ac:dyDescent="0.3">
      <c r="B23" s="21">
        <v>17</v>
      </c>
      <c r="C23" s="15"/>
      <c r="D23" s="15"/>
      <c r="E23" s="15"/>
      <c r="F23" s="15"/>
      <c r="G23" s="33"/>
      <c r="H23" s="33"/>
      <c r="I23" s="37">
        <f t="shared" si="0"/>
        <v>0</v>
      </c>
      <c r="J23" s="37">
        <f t="shared" si="1"/>
        <v>0</v>
      </c>
    </row>
    <row r="24" spans="2:10" ht="15" customHeight="1" x14ac:dyDescent="0.3">
      <c r="B24" s="21">
        <v>18</v>
      </c>
      <c r="C24" s="15"/>
      <c r="D24" s="15"/>
      <c r="E24" s="15"/>
      <c r="F24" s="15"/>
      <c r="G24" s="33"/>
      <c r="H24" s="33"/>
      <c r="I24" s="37">
        <f t="shared" si="0"/>
        <v>0</v>
      </c>
      <c r="J24" s="37">
        <f t="shared" si="1"/>
        <v>0</v>
      </c>
    </row>
    <row r="25" spans="2:10" ht="15" customHeight="1" x14ac:dyDescent="0.3">
      <c r="B25" s="21">
        <v>19</v>
      </c>
      <c r="C25" s="15"/>
      <c r="D25" s="15"/>
      <c r="E25" s="15"/>
      <c r="F25" s="15"/>
      <c r="G25" s="33"/>
      <c r="H25" s="33"/>
      <c r="I25" s="37">
        <f t="shared" si="0"/>
        <v>0</v>
      </c>
      <c r="J25" s="37">
        <f t="shared" si="1"/>
        <v>0</v>
      </c>
    </row>
    <row r="26" spans="2:10" ht="15" customHeight="1" x14ac:dyDescent="0.3">
      <c r="B26" s="21">
        <v>20</v>
      </c>
      <c r="C26" s="15"/>
      <c r="D26" s="15"/>
      <c r="E26" s="15"/>
      <c r="F26" s="15"/>
      <c r="G26" s="33"/>
      <c r="H26" s="33"/>
      <c r="I26" s="37">
        <f t="shared" si="0"/>
        <v>0</v>
      </c>
      <c r="J26" s="37">
        <f t="shared" si="1"/>
        <v>0</v>
      </c>
    </row>
    <row r="27" spans="2:10" ht="15" customHeight="1" x14ac:dyDescent="0.3">
      <c r="B27" s="21">
        <v>21</v>
      </c>
      <c r="C27" s="15"/>
      <c r="D27" s="15"/>
      <c r="E27" s="15"/>
      <c r="F27" s="15"/>
      <c r="G27" s="33"/>
      <c r="H27" s="33"/>
      <c r="I27" s="37">
        <f t="shared" si="0"/>
        <v>0</v>
      </c>
      <c r="J27" s="37">
        <f t="shared" si="1"/>
        <v>0</v>
      </c>
    </row>
    <row r="28" spans="2:10" ht="15" customHeight="1" x14ac:dyDescent="0.3">
      <c r="B28" s="21">
        <v>22</v>
      </c>
      <c r="C28" s="15"/>
      <c r="D28" s="15"/>
      <c r="E28" s="15"/>
      <c r="F28" s="15"/>
      <c r="G28" s="33"/>
      <c r="H28" s="33"/>
      <c r="I28" s="37">
        <f t="shared" si="0"/>
        <v>0</v>
      </c>
      <c r="J28" s="37">
        <f t="shared" si="1"/>
        <v>0</v>
      </c>
    </row>
    <row r="29" spans="2:10" ht="15" customHeight="1" x14ac:dyDescent="0.3">
      <c r="B29" s="21">
        <v>23</v>
      </c>
      <c r="C29" s="15"/>
      <c r="D29" s="15"/>
      <c r="E29" s="15"/>
      <c r="F29" s="15"/>
      <c r="G29" s="33"/>
      <c r="H29" s="33"/>
      <c r="I29" s="37">
        <f t="shared" si="0"/>
        <v>0</v>
      </c>
      <c r="J29" s="37">
        <f t="shared" si="1"/>
        <v>0</v>
      </c>
    </row>
    <row r="30" spans="2:10" ht="15" customHeight="1" x14ac:dyDescent="0.3">
      <c r="B30" s="21">
        <v>24</v>
      </c>
      <c r="C30" s="15"/>
      <c r="D30" s="15"/>
      <c r="E30" s="15"/>
      <c r="F30" s="15"/>
      <c r="G30" s="33"/>
      <c r="H30" s="33"/>
      <c r="I30" s="37">
        <f t="shared" si="0"/>
        <v>0</v>
      </c>
      <c r="J30" s="37">
        <f t="shared" si="1"/>
        <v>0</v>
      </c>
    </row>
    <row r="31" spans="2:10" ht="15" customHeight="1" x14ac:dyDescent="0.3">
      <c r="B31" s="21">
        <v>25</v>
      </c>
      <c r="C31" s="15"/>
      <c r="D31" s="15"/>
      <c r="E31" s="15"/>
      <c r="F31" s="15"/>
      <c r="G31" s="33"/>
      <c r="H31" s="33"/>
      <c r="I31" s="37">
        <f t="shared" si="0"/>
        <v>0</v>
      </c>
      <c r="J31" s="37">
        <f t="shared" si="1"/>
        <v>0</v>
      </c>
    </row>
    <row r="32" spans="2:10" ht="15" customHeight="1" x14ac:dyDescent="0.3">
      <c r="B32" s="21">
        <v>26</v>
      </c>
      <c r="C32" s="15"/>
      <c r="D32" s="15"/>
      <c r="E32" s="15"/>
      <c r="F32" s="15"/>
      <c r="G32" s="33"/>
      <c r="H32" s="33"/>
      <c r="I32" s="37">
        <f t="shared" si="0"/>
        <v>0</v>
      </c>
      <c r="J32" s="37">
        <f t="shared" si="1"/>
        <v>0</v>
      </c>
    </row>
    <row r="33" spans="2:10" ht="15" customHeight="1" x14ac:dyDescent="0.3">
      <c r="B33" s="21">
        <v>27</v>
      </c>
      <c r="C33" s="15"/>
      <c r="D33" s="15"/>
      <c r="E33" s="15"/>
      <c r="F33" s="15"/>
      <c r="G33" s="33"/>
      <c r="H33" s="33"/>
      <c r="I33" s="37">
        <f t="shared" si="0"/>
        <v>0</v>
      </c>
      <c r="J33" s="37">
        <f t="shared" si="1"/>
        <v>0</v>
      </c>
    </row>
    <row r="34" spans="2:10" ht="15" customHeight="1" x14ac:dyDescent="0.3">
      <c r="B34" s="21">
        <v>28</v>
      </c>
      <c r="C34" s="15"/>
      <c r="D34" s="15"/>
      <c r="E34" s="15"/>
      <c r="F34" s="15"/>
      <c r="G34" s="33"/>
      <c r="H34" s="33"/>
      <c r="I34" s="37">
        <f t="shared" si="0"/>
        <v>0</v>
      </c>
      <c r="J34" s="37">
        <f t="shared" si="1"/>
        <v>0</v>
      </c>
    </row>
    <row r="35" spans="2:10" ht="15" customHeight="1" x14ac:dyDescent="0.3">
      <c r="B35" s="21">
        <v>29</v>
      </c>
      <c r="C35" s="15"/>
      <c r="D35" s="15"/>
      <c r="E35" s="15"/>
      <c r="F35" s="15"/>
      <c r="G35" s="33"/>
      <c r="H35" s="33"/>
      <c r="I35" s="37">
        <f t="shared" si="0"/>
        <v>0</v>
      </c>
      <c r="J35" s="37">
        <f t="shared" si="1"/>
        <v>0</v>
      </c>
    </row>
    <row r="36" spans="2:10" ht="15" customHeight="1" x14ac:dyDescent="0.3">
      <c r="B36" s="21">
        <v>30</v>
      </c>
      <c r="C36" s="15"/>
      <c r="D36" s="15"/>
      <c r="E36" s="15"/>
      <c r="F36" s="15"/>
      <c r="G36" s="33"/>
      <c r="H36" s="33"/>
      <c r="I36" s="37">
        <f t="shared" si="0"/>
        <v>0</v>
      </c>
      <c r="J36" s="37">
        <f t="shared" si="1"/>
        <v>0</v>
      </c>
    </row>
    <row r="38" spans="2:10" ht="15" customHeight="1" x14ac:dyDescent="0.3">
      <c r="C38" s="38" t="s">
        <v>212</v>
      </c>
    </row>
    <row r="40" spans="2:10" ht="15" customHeight="1" x14ac:dyDescent="0.3">
      <c r="C40" s="24" t="s">
        <v>211</v>
      </c>
    </row>
  </sheetData>
  <sheetProtection algorithmName="SHA-512" hashValue="2hr4W6mRqueToB2/3Fl8NoAqIKBI/sAqPH+W8WbtX8kguktbM+qOUWqFBi9G9WLdnUwlMORr4yTNy2o2CDn/Gw==" saltValue="LAvx+8DTAGxEPNAATw0XAw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unka8"/>
  <dimension ref="B1:I35"/>
  <sheetViews>
    <sheetView showGridLines="0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ColWidth="8.6640625" defaultRowHeight="14.4" x14ac:dyDescent="0.3"/>
  <cols>
    <col min="2" max="2" width="6" style="1" customWidth="1"/>
    <col min="3" max="6" width="24" style="1" customWidth="1"/>
    <col min="7" max="9" width="20" style="1" customWidth="1"/>
  </cols>
  <sheetData>
    <row r="1" spans="2:9" ht="79.5" customHeight="1" x14ac:dyDescent="0.3"/>
    <row r="3" spans="2:9" ht="19.5" customHeight="1" x14ac:dyDescent="0.4">
      <c r="B3" s="12" t="str">
        <f>INDEX('91_NYELV'!$C$7:$D$303,46,NYELV_IDX)</f>
        <v>6. Közbenső eredmény kiszűrése</v>
      </c>
    </row>
    <row r="4" spans="2:9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9" ht="39.75" customHeight="1" x14ac:dyDescent="0.3">
      <c r="B6" s="20" t="str">
        <f>INDEX('91_NYELV'!$C$7:$D$303,68,NYELV_IDX)</f>
        <v>Ssz.</v>
      </c>
      <c r="C6" s="20" t="str">
        <f>INDEX('91_NYELV'!$C$7:$D$303,113,NYELV_IDX)</f>
        <v>Szállító cég</v>
      </c>
      <c r="D6" s="20" t="str">
        <f>INDEX('91_NYELV'!$C$7:$D$303,114,NYELV_IDX)</f>
        <v>Vevő cég</v>
      </c>
      <c r="E6" s="20" t="str">
        <f>INDEX('91_NYELV'!$C$7:$D$303,115,NYELV_IDX)</f>
        <v>Érintett eszköz mérlegsora</v>
      </c>
      <c r="F6" s="20" t="str">
        <f>INDEX('91_NYELV'!$C$7:$D$303,116,NYELV_IDX)</f>
        <v>Ellentétel eredménysora</v>
      </c>
      <c r="G6" s="20" t="str">
        <f>INDEX('91_NYELV'!$C$7:$D$303,117,NYELV_IDX)</f>
        <v>Záró állomány csoportáron</v>
      </c>
      <c r="H6" s="20" t="str">
        <f>INDEX('91_NYELV'!$C$7:$D$303,118,NYELV_IDX)</f>
        <v>Ugyanez csoportszintű bekerülési értéken</v>
      </c>
      <c r="I6" s="20" t="str">
        <f>INDEX('91_NYELV'!$C$7:$D$303,119,NYELV_IDX)</f>
        <v>Közbenső eredmény (kiszűrendő)</v>
      </c>
    </row>
    <row r="7" spans="2:9" ht="15" customHeight="1" x14ac:dyDescent="0.3">
      <c r="B7" s="21">
        <v>1</v>
      </c>
      <c r="C7" s="15"/>
      <c r="D7" s="15"/>
      <c r="E7" s="15"/>
      <c r="F7" s="15"/>
      <c r="G7" s="33"/>
      <c r="H7" s="33"/>
      <c r="I7" s="37">
        <f t="shared" ref="I7:I31" si="0">$G7-$H7</f>
        <v>0</v>
      </c>
    </row>
    <row r="8" spans="2:9" ht="15" customHeight="1" x14ac:dyDescent="0.3">
      <c r="B8" s="21">
        <v>2</v>
      </c>
      <c r="C8" s="15"/>
      <c r="D8" s="15"/>
      <c r="E8" s="15"/>
      <c r="F8" s="15"/>
      <c r="G8" s="33"/>
      <c r="H8" s="33"/>
      <c r="I8" s="37">
        <f t="shared" si="0"/>
        <v>0</v>
      </c>
    </row>
    <row r="9" spans="2:9" ht="15" customHeight="1" x14ac:dyDescent="0.3">
      <c r="B9" s="21">
        <v>3</v>
      </c>
      <c r="C9" s="15"/>
      <c r="D9" s="15"/>
      <c r="E9" s="15"/>
      <c r="F9" s="15"/>
      <c r="G9" s="33"/>
      <c r="H9" s="33"/>
      <c r="I9" s="37">
        <f t="shared" si="0"/>
        <v>0</v>
      </c>
    </row>
    <row r="10" spans="2:9" ht="15" customHeight="1" x14ac:dyDescent="0.3">
      <c r="B10" s="21">
        <v>4</v>
      </c>
      <c r="C10" s="15"/>
      <c r="D10" s="15"/>
      <c r="E10" s="15"/>
      <c r="F10" s="15"/>
      <c r="G10" s="33"/>
      <c r="H10" s="33"/>
      <c r="I10" s="37">
        <f t="shared" si="0"/>
        <v>0</v>
      </c>
    </row>
    <row r="11" spans="2:9" ht="15" customHeight="1" x14ac:dyDescent="0.3">
      <c r="B11" s="21">
        <v>5</v>
      </c>
      <c r="C11" s="15"/>
      <c r="D11" s="15"/>
      <c r="E11" s="15"/>
      <c r="F11" s="15"/>
      <c r="G11" s="33"/>
      <c r="H11" s="33"/>
      <c r="I11" s="37">
        <f t="shared" si="0"/>
        <v>0</v>
      </c>
    </row>
    <row r="12" spans="2:9" ht="15" customHeight="1" x14ac:dyDescent="0.3">
      <c r="B12" s="21">
        <v>6</v>
      </c>
      <c r="C12" s="15"/>
      <c r="D12" s="15"/>
      <c r="E12" s="15"/>
      <c r="F12" s="15"/>
      <c r="G12" s="33"/>
      <c r="H12" s="33"/>
      <c r="I12" s="37">
        <f t="shared" si="0"/>
        <v>0</v>
      </c>
    </row>
    <row r="13" spans="2:9" ht="15" customHeight="1" x14ac:dyDescent="0.3">
      <c r="B13" s="21">
        <v>7</v>
      </c>
      <c r="C13" s="15"/>
      <c r="D13" s="15"/>
      <c r="E13" s="15"/>
      <c r="F13" s="15"/>
      <c r="G13" s="33"/>
      <c r="H13" s="33"/>
      <c r="I13" s="37">
        <f t="shared" si="0"/>
        <v>0</v>
      </c>
    </row>
    <row r="14" spans="2:9" ht="15" customHeight="1" x14ac:dyDescent="0.3">
      <c r="B14" s="21">
        <v>8</v>
      </c>
      <c r="C14" s="15"/>
      <c r="D14" s="15"/>
      <c r="E14" s="15"/>
      <c r="F14" s="15"/>
      <c r="G14" s="33"/>
      <c r="H14" s="33"/>
      <c r="I14" s="37">
        <f t="shared" si="0"/>
        <v>0</v>
      </c>
    </row>
    <row r="15" spans="2:9" ht="15" customHeight="1" x14ac:dyDescent="0.3">
      <c r="B15" s="21">
        <v>9</v>
      </c>
      <c r="C15" s="15"/>
      <c r="D15" s="15"/>
      <c r="E15" s="15"/>
      <c r="F15" s="15"/>
      <c r="G15" s="33"/>
      <c r="H15" s="33"/>
      <c r="I15" s="37">
        <f t="shared" si="0"/>
        <v>0</v>
      </c>
    </row>
    <row r="16" spans="2:9" ht="15" customHeight="1" x14ac:dyDescent="0.3">
      <c r="B16" s="21">
        <v>10</v>
      </c>
      <c r="C16" s="15"/>
      <c r="D16" s="15"/>
      <c r="E16" s="15"/>
      <c r="F16" s="15"/>
      <c r="G16" s="33"/>
      <c r="H16" s="33"/>
      <c r="I16" s="37">
        <f t="shared" si="0"/>
        <v>0</v>
      </c>
    </row>
    <row r="17" spans="2:9" ht="15" customHeight="1" x14ac:dyDescent="0.3">
      <c r="B17" s="21">
        <v>11</v>
      </c>
      <c r="C17" s="15"/>
      <c r="D17" s="15"/>
      <c r="E17" s="15"/>
      <c r="F17" s="15"/>
      <c r="G17" s="33"/>
      <c r="H17" s="33"/>
      <c r="I17" s="37">
        <f t="shared" si="0"/>
        <v>0</v>
      </c>
    </row>
    <row r="18" spans="2:9" ht="15" customHeight="1" x14ac:dyDescent="0.3">
      <c r="B18" s="21">
        <v>12</v>
      </c>
      <c r="C18" s="15"/>
      <c r="D18" s="15"/>
      <c r="E18" s="15"/>
      <c r="F18" s="15"/>
      <c r="G18" s="33"/>
      <c r="H18" s="33"/>
      <c r="I18" s="37">
        <f t="shared" si="0"/>
        <v>0</v>
      </c>
    </row>
    <row r="19" spans="2:9" ht="15" customHeight="1" x14ac:dyDescent="0.3">
      <c r="B19" s="21">
        <v>13</v>
      </c>
      <c r="C19" s="15"/>
      <c r="D19" s="15"/>
      <c r="E19" s="15"/>
      <c r="F19" s="15"/>
      <c r="G19" s="33"/>
      <c r="H19" s="33"/>
      <c r="I19" s="37">
        <f t="shared" si="0"/>
        <v>0</v>
      </c>
    </row>
    <row r="20" spans="2:9" ht="15" customHeight="1" x14ac:dyDescent="0.3">
      <c r="B20" s="21">
        <v>14</v>
      </c>
      <c r="C20" s="15"/>
      <c r="D20" s="15"/>
      <c r="E20" s="15"/>
      <c r="F20" s="15"/>
      <c r="G20" s="33"/>
      <c r="H20" s="33"/>
      <c r="I20" s="37">
        <f t="shared" si="0"/>
        <v>0</v>
      </c>
    </row>
    <row r="21" spans="2:9" ht="15" customHeight="1" x14ac:dyDescent="0.3">
      <c r="B21" s="21">
        <v>15</v>
      </c>
      <c r="C21" s="15"/>
      <c r="D21" s="15"/>
      <c r="E21" s="15"/>
      <c r="F21" s="15"/>
      <c r="G21" s="33"/>
      <c r="H21" s="33"/>
      <c r="I21" s="37">
        <f t="shared" si="0"/>
        <v>0</v>
      </c>
    </row>
    <row r="22" spans="2:9" ht="15" customHeight="1" x14ac:dyDescent="0.3">
      <c r="B22" s="21">
        <v>16</v>
      </c>
      <c r="C22" s="15"/>
      <c r="D22" s="15"/>
      <c r="E22" s="15"/>
      <c r="F22" s="15"/>
      <c r="G22" s="33"/>
      <c r="H22" s="33"/>
      <c r="I22" s="37">
        <f t="shared" si="0"/>
        <v>0</v>
      </c>
    </row>
    <row r="23" spans="2:9" ht="15" customHeight="1" x14ac:dyDescent="0.3">
      <c r="B23" s="21">
        <v>17</v>
      </c>
      <c r="C23" s="15"/>
      <c r="D23" s="15"/>
      <c r="E23" s="15"/>
      <c r="F23" s="15"/>
      <c r="G23" s="33"/>
      <c r="H23" s="33"/>
      <c r="I23" s="37">
        <f t="shared" si="0"/>
        <v>0</v>
      </c>
    </row>
    <row r="24" spans="2:9" ht="15" customHeight="1" x14ac:dyDescent="0.3">
      <c r="B24" s="21">
        <v>18</v>
      </c>
      <c r="C24" s="15"/>
      <c r="D24" s="15"/>
      <c r="E24" s="15"/>
      <c r="F24" s="15"/>
      <c r="G24" s="33"/>
      <c r="H24" s="33"/>
      <c r="I24" s="37">
        <f t="shared" si="0"/>
        <v>0</v>
      </c>
    </row>
    <row r="25" spans="2:9" ht="15" customHeight="1" x14ac:dyDescent="0.3">
      <c r="B25" s="21">
        <v>19</v>
      </c>
      <c r="C25" s="15"/>
      <c r="D25" s="15"/>
      <c r="E25" s="15"/>
      <c r="F25" s="15"/>
      <c r="G25" s="33"/>
      <c r="H25" s="33"/>
      <c r="I25" s="37">
        <f t="shared" si="0"/>
        <v>0</v>
      </c>
    </row>
    <row r="26" spans="2:9" ht="15" customHeight="1" x14ac:dyDescent="0.3">
      <c r="B26" s="21">
        <v>20</v>
      </c>
      <c r="C26" s="15"/>
      <c r="D26" s="15"/>
      <c r="E26" s="15"/>
      <c r="F26" s="15"/>
      <c r="G26" s="33"/>
      <c r="H26" s="33"/>
      <c r="I26" s="37">
        <f t="shared" si="0"/>
        <v>0</v>
      </c>
    </row>
    <row r="27" spans="2:9" ht="15" customHeight="1" x14ac:dyDescent="0.3">
      <c r="B27" s="21">
        <v>21</v>
      </c>
      <c r="C27" s="15"/>
      <c r="D27" s="15"/>
      <c r="E27" s="15"/>
      <c r="F27" s="15"/>
      <c r="G27" s="33"/>
      <c r="H27" s="33"/>
      <c r="I27" s="37">
        <f t="shared" si="0"/>
        <v>0</v>
      </c>
    </row>
    <row r="28" spans="2:9" ht="15" customHeight="1" x14ac:dyDescent="0.3">
      <c r="B28" s="21">
        <v>22</v>
      </c>
      <c r="C28" s="15"/>
      <c r="D28" s="15"/>
      <c r="E28" s="15"/>
      <c r="F28" s="15"/>
      <c r="G28" s="33"/>
      <c r="H28" s="33"/>
      <c r="I28" s="37">
        <f t="shared" si="0"/>
        <v>0</v>
      </c>
    </row>
    <row r="29" spans="2:9" ht="15" customHeight="1" x14ac:dyDescent="0.3">
      <c r="B29" s="21">
        <v>23</v>
      </c>
      <c r="C29" s="15"/>
      <c r="D29" s="15"/>
      <c r="E29" s="15"/>
      <c r="F29" s="15"/>
      <c r="G29" s="33"/>
      <c r="H29" s="33"/>
      <c r="I29" s="37">
        <f t="shared" si="0"/>
        <v>0</v>
      </c>
    </row>
    <row r="30" spans="2:9" ht="15" customHeight="1" x14ac:dyDescent="0.3">
      <c r="B30" s="21">
        <v>24</v>
      </c>
      <c r="C30" s="15"/>
      <c r="D30" s="15"/>
      <c r="E30" s="15"/>
      <c r="F30" s="15"/>
      <c r="G30" s="33"/>
      <c r="H30" s="33"/>
      <c r="I30" s="37">
        <f t="shared" si="0"/>
        <v>0</v>
      </c>
    </row>
    <row r="31" spans="2:9" ht="15" customHeight="1" x14ac:dyDescent="0.3">
      <c r="B31" s="21">
        <v>25</v>
      </c>
      <c r="C31" s="15"/>
      <c r="D31" s="15"/>
      <c r="E31" s="15"/>
      <c r="F31" s="15"/>
      <c r="G31" s="33"/>
      <c r="H31" s="33"/>
      <c r="I31" s="37">
        <f t="shared" si="0"/>
        <v>0</v>
      </c>
    </row>
    <row r="33" spans="3:3" ht="15" customHeight="1" x14ac:dyDescent="0.3">
      <c r="C33" s="38" t="s">
        <v>213</v>
      </c>
    </row>
    <row r="35" spans="3:3" ht="15" customHeight="1" x14ac:dyDescent="0.3">
      <c r="C35" s="24" t="s">
        <v>211</v>
      </c>
    </row>
  </sheetData>
  <sheetProtection algorithmName="SHA-512" hashValue="wcjLsmeqggqgsw0wJ8AVbP4LTGWXkC87u0iFtixAL9wOPqfH43aYoK94S5pzbx/WjLDBdCIrBAt3XOf/+GqY3w==" saltValue="ESseOlCm3lqXKWYvSecPVw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unka9"/>
  <dimension ref="B1:H40"/>
  <sheetViews>
    <sheetView showGridLines="0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ColWidth="8.6640625" defaultRowHeight="14.4" x14ac:dyDescent="0.3"/>
  <cols>
    <col min="2" max="2" width="6" style="1" customWidth="1"/>
    <col min="3" max="4" width="24" style="1" customWidth="1"/>
    <col min="5" max="5" width="26" style="1" customWidth="1"/>
    <col min="6" max="7" width="24" style="1" customWidth="1"/>
    <col min="8" max="8" width="20" style="1" customWidth="1"/>
  </cols>
  <sheetData>
    <row r="1" spans="2:8" ht="79.5" customHeight="1" x14ac:dyDescent="0.3"/>
    <row r="3" spans="2:8" ht="19.5" customHeight="1" x14ac:dyDescent="0.4">
      <c r="B3" s="12" t="str">
        <f>INDEX('91_NYELV'!$C$7:$D$303,47,NYELV_IDX)</f>
        <v>7. Bevételek és ráfordítások konszolidálása</v>
      </c>
    </row>
    <row r="4" spans="2:8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8" ht="39.75" customHeight="1" x14ac:dyDescent="0.3">
      <c r="B6" s="20" t="str">
        <f>INDEX('91_NYELV'!$C$7:$D$303,68,NYELV_IDX)</f>
        <v>Ssz.</v>
      </c>
      <c r="C6" s="20" t="str">
        <f>INDEX('91_NYELV'!$C$7:$D$303,120,NYELV_IDX)</f>
        <v>Bevételt elszámoló cég</v>
      </c>
      <c r="D6" s="20" t="str">
        <f>INDEX('91_NYELV'!$C$7:$D$303,121,NYELV_IDX)</f>
        <v>Ráfordítást elszámoló cég</v>
      </c>
      <c r="E6" s="20" t="str">
        <f>INDEX('91_NYELV'!$C$7:$D$303,122,NYELV_IDX)</f>
        <v>Jogcím</v>
      </c>
      <c r="F6" s="20" t="str">
        <f>INDEX('91_NYELV'!$C$7:$D$303,123,NYELV_IDX)</f>
        <v>Bevétel sora</v>
      </c>
      <c r="G6" s="20" t="str">
        <f>INDEX('91_NYELV'!$C$7:$D$303,124,NYELV_IDX)</f>
        <v>Ráfordítás sora</v>
      </c>
      <c r="H6" s="20" t="str">
        <f>INDEX('91_NYELV'!$C$7:$D$303,125,NYELV_IDX)</f>
        <v>Összeg</v>
      </c>
    </row>
    <row r="7" spans="2:8" ht="15" customHeight="1" x14ac:dyDescent="0.3">
      <c r="B7" s="21">
        <v>1</v>
      </c>
      <c r="C7" s="15"/>
      <c r="D7" s="15"/>
      <c r="E7" s="15"/>
      <c r="F7" s="15"/>
      <c r="G7" s="15"/>
      <c r="H7" s="33"/>
    </row>
    <row r="8" spans="2:8" ht="15" customHeight="1" x14ac:dyDescent="0.3">
      <c r="B8" s="21">
        <v>2</v>
      </c>
      <c r="C8" s="15"/>
      <c r="D8" s="15"/>
      <c r="E8" s="15"/>
      <c r="F8" s="15"/>
      <c r="G8" s="15"/>
      <c r="H8" s="33"/>
    </row>
    <row r="9" spans="2:8" ht="15" customHeight="1" x14ac:dyDescent="0.3">
      <c r="B9" s="21">
        <v>3</v>
      </c>
      <c r="C9" s="15"/>
      <c r="D9" s="15"/>
      <c r="E9" s="15"/>
      <c r="F9" s="15"/>
      <c r="G9" s="15"/>
      <c r="H9" s="33"/>
    </row>
    <row r="10" spans="2:8" ht="15" customHeight="1" x14ac:dyDescent="0.3">
      <c r="B10" s="21">
        <v>4</v>
      </c>
      <c r="C10" s="15"/>
      <c r="D10" s="15"/>
      <c r="E10" s="15"/>
      <c r="F10" s="15"/>
      <c r="G10" s="15"/>
      <c r="H10" s="33"/>
    </row>
    <row r="11" spans="2:8" ht="15" customHeight="1" x14ac:dyDescent="0.3">
      <c r="B11" s="21">
        <v>5</v>
      </c>
      <c r="C11" s="15"/>
      <c r="D11" s="15"/>
      <c r="E11" s="15"/>
      <c r="F11" s="15"/>
      <c r="G11" s="15"/>
      <c r="H11" s="33"/>
    </row>
    <row r="12" spans="2:8" ht="15" customHeight="1" x14ac:dyDescent="0.3">
      <c r="B12" s="21">
        <v>6</v>
      </c>
      <c r="C12" s="15"/>
      <c r="D12" s="15"/>
      <c r="E12" s="15"/>
      <c r="F12" s="15"/>
      <c r="G12" s="15"/>
      <c r="H12" s="33"/>
    </row>
    <row r="13" spans="2:8" ht="15" customHeight="1" x14ac:dyDescent="0.3">
      <c r="B13" s="21">
        <v>7</v>
      </c>
      <c r="C13" s="15"/>
      <c r="D13" s="15"/>
      <c r="E13" s="15"/>
      <c r="F13" s="15"/>
      <c r="G13" s="15"/>
      <c r="H13" s="33"/>
    </row>
    <row r="14" spans="2:8" ht="15" customHeight="1" x14ac:dyDescent="0.3">
      <c r="B14" s="21">
        <v>8</v>
      </c>
      <c r="C14" s="15"/>
      <c r="D14" s="15"/>
      <c r="E14" s="15"/>
      <c r="F14" s="15"/>
      <c r="G14" s="15"/>
      <c r="H14" s="33"/>
    </row>
    <row r="15" spans="2:8" ht="15" customHeight="1" x14ac:dyDescent="0.3">
      <c r="B15" s="21">
        <v>9</v>
      </c>
      <c r="C15" s="15"/>
      <c r="D15" s="15"/>
      <c r="E15" s="15"/>
      <c r="F15" s="15"/>
      <c r="G15" s="15"/>
      <c r="H15" s="33"/>
    </row>
    <row r="16" spans="2:8" ht="15" customHeight="1" x14ac:dyDescent="0.3">
      <c r="B16" s="21">
        <v>10</v>
      </c>
      <c r="C16" s="15"/>
      <c r="D16" s="15"/>
      <c r="E16" s="15"/>
      <c r="F16" s="15"/>
      <c r="G16" s="15"/>
      <c r="H16" s="33"/>
    </row>
    <row r="17" spans="2:8" ht="15" customHeight="1" x14ac:dyDescent="0.3">
      <c r="B17" s="21">
        <v>11</v>
      </c>
      <c r="C17" s="15"/>
      <c r="D17" s="15"/>
      <c r="E17" s="15"/>
      <c r="F17" s="15"/>
      <c r="G17" s="15"/>
      <c r="H17" s="33"/>
    </row>
    <row r="18" spans="2:8" ht="15" customHeight="1" x14ac:dyDescent="0.3">
      <c r="B18" s="21">
        <v>12</v>
      </c>
      <c r="C18" s="15"/>
      <c r="D18" s="15"/>
      <c r="E18" s="15"/>
      <c r="F18" s="15"/>
      <c r="G18" s="15"/>
      <c r="H18" s="33"/>
    </row>
    <row r="19" spans="2:8" ht="15" customHeight="1" x14ac:dyDescent="0.3">
      <c r="B19" s="21">
        <v>13</v>
      </c>
      <c r="C19" s="15"/>
      <c r="D19" s="15"/>
      <c r="E19" s="15"/>
      <c r="F19" s="15"/>
      <c r="G19" s="15"/>
      <c r="H19" s="33"/>
    </row>
    <row r="20" spans="2:8" ht="15" customHeight="1" x14ac:dyDescent="0.3">
      <c r="B20" s="21">
        <v>14</v>
      </c>
      <c r="C20" s="15"/>
      <c r="D20" s="15"/>
      <c r="E20" s="15"/>
      <c r="F20" s="15"/>
      <c r="G20" s="15"/>
      <c r="H20" s="33"/>
    </row>
    <row r="21" spans="2:8" ht="15" customHeight="1" x14ac:dyDescent="0.3">
      <c r="B21" s="21">
        <v>15</v>
      </c>
      <c r="C21" s="15"/>
      <c r="D21" s="15"/>
      <c r="E21" s="15"/>
      <c r="F21" s="15"/>
      <c r="G21" s="15"/>
      <c r="H21" s="33"/>
    </row>
    <row r="22" spans="2:8" ht="15" customHeight="1" x14ac:dyDescent="0.3">
      <c r="B22" s="21">
        <v>16</v>
      </c>
      <c r="C22" s="15"/>
      <c r="D22" s="15"/>
      <c r="E22" s="15"/>
      <c r="F22" s="15"/>
      <c r="G22" s="15"/>
      <c r="H22" s="33"/>
    </row>
    <row r="23" spans="2:8" ht="15" customHeight="1" x14ac:dyDescent="0.3">
      <c r="B23" s="21">
        <v>17</v>
      </c>
      <c r="C23" s="15"/>
      <c r="D23" s="15"/>
      <c r="E23" s="15"/>
      <c r="F23" s="15"/>
      <c r="G23" s="15"/>
      <c r="H23" s="33"/>
    </row>
    <row r="24" spans="2:8" ht="15" customHeight="1" x14ac:dyDescent="0.3">
      <c r="B24" s="21">
        <v>18</v>
      </c>
      <c r="C24" s="15"/>
      <c r="D24" s="15"/>
      <c r="E24" s="15"/>
      <c r="F24" s="15"/>
      <c r="G24" s="15"/>
      <c r="H24" s="33"/>
    </row>
    <row r="25" spans="2:8" ht="15" customHeight="1" x14ac:dyDescent="0.3">
      <c r="B25" s="21">
        <v>19</v>
      </c>
      <c r="C25" s="15"/>
      <c r="D25" s="15"/>
      <c r="E25" s="15"/>
      <c r="F25" s="15"/>
      <c r="G25" s="15"/>
      <c r="H25" s="33"/>
    </row>
    <row r="26" spans="2:8" ht="15" customHeight="1" x14ac:dyDescent="0.3">
      <c r="B26" s="21">
        <v>20</v>
      </c>
      <c r="C26" s="15"/>
      <c r="D26" s="15"/>
      <c r="E26" s="15"/>
      <c r="F26" s="15"/>
      <c r="G26" s="15"/>
      <c r="H26" s="33"/>
    </row>
    <row r="27" spans="2:8" ht="15" customHeight="1" x14ac:dyDescent="0.3">
      <c r="B27" s="21">
        <v>21</v>
      </c>
      <c r="C27" s="15"/>
      <c r="D27" s="15"/>
      <c r="E27" s="15"/>
      <c r="F27" s="15"/>
      <c r="G27" s="15"/>
      <c r="H27" s="33"/>
    </row>
    <row r="28" spans="2:8" ht="15" customHeight="1" x14ac:dyDescent="0.3">
      <c r="B28" s="21">
        <v>22</v>
      </c>
      <c r="C28" s="15"/>
      <c r="D28" s="15"/>
      <c r="E28" s="15"/>
      <c r="F28" s="15"/>
      <c r="G28" s="15"/>
      <c r="H28" s="33"/>
    </row>
    <row r="29" spans="2:8" ht="15" customHeight="1" x14ac:dyDescent="0.3">
      <c r="B29" s="21">
        <v>23</v>
      </c>
      <c r="C29" s="15"/>
      <c r="D29" s="15"/>
      <c r="E29" s="15"/>
      <c r="F29" s="15"/>
      <c r="G29" s="15"/>
      <c r="H29" s="33"/>
    </row>
    <row r="30" spans="2:8" ht="15" customHeight="1" x14ac:dyDescent="0.3">
      <c r="B30" s="21">
        <v>24</v>
      </c>
      <c r="C30" s="15"/>
      <c r="D30" s="15"/>
      <c r="E30" s="15"/>
      <c r="F30" s="15"/>
      <c r="G30" s="15"/>
      <c r="H30" s="33"/>
    </row>
    <row r="31" spans="2:8" ht="15" customHeight="1" x14ac:dyDescent="0.3">
      <c r="B31" s="21">
        <v>25</v>
      </c>
      <c r="C31" s="15"/>
      <c r="D31" s="15"/>
      <c r="E31" s="15"/>
      <c r="F31" s="15"/>
      <c r="G31" s="15"/>
      <c r="H31" s="33"/>
    </row>
    <row r="32" spans="2:8" ht="15" customHeight="1" x14ac:dyDescent="0.3">
      <c r="B32" s="21">
        <v>26</v>
      </c>
      <c r="C32" s="15"/>
      <c r="D32" s="15"/>
      <c r="E32" s="15"/>
      <c r="F32" s="15"/>
      <c r="G32" s="15"/>
      <c r="H32" s="33"/>
    </row>
    <row r="33" spans="2:8" ht="15" customHeight="1" x14ac:dyDescent="0.3">
      <c r="B33" s="21">
        <v>27</v>
      </c>
      <c r="C33" s="15"/>
      <c r="D33" s="15"/>
      <c r="E33" s="15"/>
      <c r="F33" s="15"/>
      <c r="G33" s="15"/>
      <c r="H33" s="33"/>
    </row>
    <row r="34" spans="2:8" ht="15" customHeight="1" x14ac:dyDescent="0.3">
      <c r="B34" s="21">
        <v>28</v>
      </c>
      <c r="C34" s="15"/>
      <c r="D34" s="15"/>
      <c r="E34" s="15"/>
      <c r="F34" s="15"/>
      <c r="G34" s="15"/>
      <c r="H34" s="33"/>
    </row>
    <row r="35" spans="2:8" ht="15" customHeight="1" x14ac:dyDescent="0.3">
      <c r="B35" s="21">
        <v>29</v>
      </c>
      <c r="C35" s="15"/>
      <c r="D35" s="15"/>
      <c r="E35" s="15"/>
      <c r="F35" s="15"/>
      <c r="G35" s="15"/>
      <c r="H35" s="33"/>
    </row>
    <row r="36" spans="2:8" ht="15" customHeight="1" x14ac:dyDescent="0.3">
      <c r="B36" s="21">
        <v>30</v>
      </c>
      <c r="C36" s="15"/>
      <c r="D36" s="15"/>
      <c r="E36" s="15"/>
      <c r="F36" s="15"/>
      <c r="G36" s="15"/>
      <c r="H36" s="33"/>
    </row>
    <row r="38" spans="2:8" ht="15" customHeight="1" x14ac:dyDescent="0.3">
      <c r="C38" s="38" t="s">
        <v>214</v>
      </c>
    </row>
    <row r="40" spans="2:8" ht="15" customHeight="1" x14ac:dyDescent="0.3">
      <c r="C40" s="24" t="s">
        <v>211</v>
      </c>
    </row>
  </sheetData>
  <sheetProtection algorithmName="SHA-512" hashValue="yg+3o6s58tb2teeoP+CH33M6tYeevGkGbwmuPA4abCthXtTYUvymyT/NR1JSIefstg+wawkYrg2nnAq6EIbIjA==" saltValue="RYFIFW2P7ku5LC5FEYlRjQ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unka10"/>
  <dimension ref="B1:M25"/>
  <sheetViews>
    <sheetView showGridLines="0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ColWidth="8.6640625" defaultRowHeight="14.4" x14ac:dyDescent="0.3"/>
  <cols>
    <col min="2" max="2" width="6" style="1" customWidth="1"/>
    <col min="3" max="3" width="24" style="1" customWidth="1"/>
    <col min="4" max="11" width="20" style="1" customWidth="1"/>
    <col min="12" max="13" width="18" style="1" customWidth="1"/>
  </cols>
  <sheetData>
    <row r="1" spans="2:13" ht="79.5" customHeight="1" x14ac:dyDescent="0.3"/>
    <row r="3" spans="2:13" ht="19.5" customHeight="1" x14ac:dyDescent="0.4">
      <c r="B3" s="12" t="str">
        <f>INDEX('91_NYELV'!$C$7:$D$303,48,NYELV_IDX)</f>
        <v>8. Társult vállalkozások (equity módszer)</v>
      </c>
    </row>
    <row r="4" spans="2:13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13" ht="39.75" customHeight="1" x14ac:dyDescent="0.3">
      <c r="B6" s="20" t="str">
        <f>INDEX('91_NYELV'!$C$7:$D$303,68,NYELV_IDX)</f>
        <v>Ssz.</v>
      </c>
      <c r="C6" s="20" t="str">
        <f>INDEX('91_NYELV'!$C$7:$D$303,126,NYELV_IDX)</f>
        <v>Társult vállalkozás</v>
      </c>
      <c r="D6" s="20" t="str">
        <f>INDEX('91_NYELV'!$C$7:$D$303,127,NYELV_IDX)</f>
        <v>Részesedés könyv szerinti értéke</v>
      </c>
      <c r="E6" s="20" t="str">
        <f>INDEX('91_NYELV'!$C$7:$D$303,128,NYELV_IDX)</f>
        <v>Társult saját tőkéje</v>
      </c>
      <c r="F6" s="20" t="str">
        <f>INDEX('91_NYELV'!$C$7:$D$303,129,NYELV_IDX)</f>
        <v>Tulajdoni hányad</v>
      </c>
      <c r="G6" s="20" t="str">
        <f>INDEX('91_NYELV'!$C$7:$D$303,130,NYELV_IDX)</f>
        <v>Tárgyévi eredmény</v>
      </c>
      <c r="H6" s="20" t="str">
        <f>INDEX('91_NYELV'!$C$7:$D$303,132,NYELV_IDX)</f>
        <v>Equity szerinti érték</v>
      </c>
      <c r="I6" s="20" t="str">
        <f>INDEX('91_NYELV'!$C$7:$D$303,133,NYELV_IDX)</f>
        <v>Teljes különbözet</v>
      </c>
      <c r="J6" s="20" t="str">
        <f>INDEX('91_NYELV'!$C$7:$D$303,134,NYELV_IDX)</f>
        <v>ebből tárgyévi eredményre jutó</v>
      </c>
      <c r="K6" s="20" t="str">
        <f>INDEX('91_NYELV'!$C$7:$D$303,135,NYELV_IDX)</f>
        <v>ebből korábbi évekre jutó</v>
      </c>
      <c r="L6" s="20" t="str">
        <f>INDEX('91_NYELV'!$C$7:$D$303,136,NYELV_IDX)</f>
        <v>Tárgyévi rész célsora</v>
      </c>
      <c r="M6" s="20" t="str">
        <f>INDEX('91_NYELV'!$C$7:$D$303,137,NYELV_IDX)</f>
        <v>Korábbi évek célsora</v>
      </c>
    </row>
    <row r="7" spans="2:13" ht="15" customHeight="1" x14ac:dyDescent="0.3">
      <c r="B7" s="21">
        <v>1</v>
      </c>
      <c r="C7" s="15"/>
      <c r="D7" s="33"/>
      <c r="E7" s="33"/>
      <c r="F7" s="17"/>
      <c r="G7" s="33"/>
      <c r="H7" s="37">
        <f t="shared" ref="H7:H21" si="0">$E7*$F7</f>
        <v>0</v>
      </c>
      <c r="I7" s="37">
        <f t="shared" ref="I7:I21" si="1">$H7-$D7</f>
        <v>0</v>
      </c>
      <c r="J7" s="37">
        <f t="shared" ref="J7:J21" si="2">$G7*$F7</f>
        <v>0</v>
      </c>
      <c r="K7" s="37">
        <f t="shared" ref="K7:K21" si="3">$I7-$J7</f>
        <v>0</v>
      </c>
      <c r="L7" s="15" t="s">
        <v>180</v>
      </c>
      <c r="M7" s="15" t="s">
        <v>106</v>
      </c>
    </row>
    <row r="8" spans="2:13" ht="15" customHeight="1" x14ac:dyDescent="0.3">
      <c r="B8" s="21">
        <v>2</v>
      </c>
      <c r="C8" s="15"/>
      <c r="D8" s="33"/>
      <c r="E8" s="33"/>
      <c r="F8" s="17"/>
      <c r="G8" s="33"/>
      <c r="H8" s="37">
        <f t="shared" si="0"/>
        <v>0</v>
      </c>
      <c r="I8" s="37">
        <f t="shared" si="1"/>
        <v>0</v>
      </c>
      <c r="J8" s="37">
        <f t="shared" si="2"/>
        <v>0</v>
      </c>
      <c r="K8" s="37">
        <f t="shared" si="3"/>
        <v>0</v>
      </c>
      <c r="L8" s="15" t="s">
        <v>180</v>
      </c>
      <c r="M8" s="15" t="s">
        <v>106</v>
      </c>
    </row>
    <row r="9" spans="2:13" ht="15" customHeight="1" x14ac:dyDescent="0.3">
      <c r="B9" s="21">
        <v>3</v>
      </c>
      <c r="C9" s="15"/>
      <c r="D9" s="33"/>
      <c r="E9" s="33"/>
      <c r="F9" s="17"/>
      <c r="G9" s="33"/>
      <c r="H9" s="37">
        <f t="shared" si="0"/>
        <v>0</v>
      </c>
      <c r="I9" s="37">
        <f t="shared" si="1"/>
        <v>0</v>
      </c>
      <c r="J9" s="37">
        <f t="shared" si="2"/>
        <v>0</v>
      </c>
      <c r="K9" s="37">
        <f t="shared" si="3"/>
        <v>0</v>
      </c>
      <c r="L9" s="15" t="s">
        <v>180</v>
      </c>
      <c r="M9" s="15" t="s">
        <v>106</v>
      </c>
    </row>
    <row r="10" spans="2:13" ht="15" customHeight="1" x14ac:dyDescent="0.3">
      <c r="B10" s="21">
        <v>4</v>
      </c>
      <c r="C10" s="15"/>
      <c r="D10" s="33"/>
      <c r="E10" s="33"/>
      <c r="F10" s="17"/>
      <c r="G10" s="33"/>
      <c r="H10" s="37">
        <f t="shared" si="0"/>
        <v>0</v>
      </c>
      <c r="I10" s="37">
        <f t="shared" si="1"/>
        <v>0</v>
      </c>
      <c r="J10" s="37">
        <f t="shared" si="2"/>
        <v>0</v>
      </c>
      <c r="K10" s="37">
        <f t="shared" si="3"/>
        <v>0</v>
      </c>
      <c r="L10" s="15" t="s">
        <v>180</v>
      </c>
      <c r="M10" s="15" t="s">
        <v>106</v>
      </c>
    </row>
    <row r="11" spans="2:13" ht="15" customHeight="1" x14ac:dyDescent="0.3">
      <c r="B11" s="21">
        <v>5</v>
      </c>
      <c r="C11" s="15"/>
      <c r="D11" s="33"/>
      <c r="E11" s="33"/>
      <c r="F11" s="17"/>
      <c r="G11" s="33"/>
      <c r="H11" s="37">
        <f t="shared" si="0"/>
        <v>0</v>
      </c>
      <c r="I11" s="37">
        <f t="shared" si="1"/>
        <v>0</v>
      </c>
      <c r="J11" s="37">
        <f t="shared" si="2"/>
        <v>0</v>
      </c>
      <c r="K11" s="37">
        <f t="shared" si="3"/>
        <v>0</v>
      </c>
      <c r="L11" s="15" t="s">
        <v>180</v>
      </c>
      <c r="M11" s="15" t="s">
        <v>106</v>
      </c>
    </row>
    <row r="12" spans="2:13" ht="15" customHeight="1" x14ac:dyDescent="0.3">
      <c r="B12" s="21">
        <v>6</v>
      </c>
      <c r="C12" s="15"/>
      <c r="D12" s="33"/>
      <c r="E12" s="33"/>
      <c r="F12" s="17"/>
      <c r="G12" s="33"/>
      <c r="H12" s="37">
        <f t="shared" si="0"/>
        <v>0</v>
      </c>
      <c r="I12" s="37">
        <f t="shared" si="1"/>
        <v>0</v>
      </c>
      <c r="J12" s="37">
        <f t="shared" si="2"/>
        <v>0</v>
      </c>
      <c r="K12" s="37">
        <f t="shared" si="3"/>
        <v>0</v>
      </c>
      <c r="L12" s="15" t="s">
        <v>180</v>
      </c>
      <c r="M12" s="15" t="s">
        <v>106</v>
      </c>
    </row>
    <row r="13" spans="2:13" ht="15" customHeight="1" x14ac:dyDescent="0.3">
      <c r="B13" s="21">
        <v>7</v>
      </c>
      <c r="C13" s="15"/>
      <c r="D13" s="33"/>
      <c r="E13" s="33"/>
      <c r="F13" s="17"/>
      <c r="G13" s="33"/>
      <c r="H13" s="37">
        <f t="shared" si="0"/>
        <v>0</v>
      </c>
      <c r="I13" s="37">
        <f t="shared" si="1"/>
        <v>0</v>
      </c>
      <c r="J13" s="37">
        <f t="shared" si="2"/>
        <v>0</v>
      </c>
      <c r="K13" s="37">
        <f t="shared" si="3"/>
        <v>0</v>
      </c>
      <c r="L13" s="15" t="s">
        <v>180</v>
      </c>
      <c r="M13" s="15" t="s">
        <v>106</v>
      </c>
    </row>
    <row r="14" spans="2:13" ht="15" customHeight="1" x14ac:dyDescent="0.3">
      <c r="B14" s="21">
        <v>8</v>
      </c>
      <c r="C14" s="15"/>
      <c r="D14" s="33"/>
      <c r="E14" s="33"/>
      <c r="F14" s="17"/>
      <c r="G14" s="33"/>
      <c r="H14" s="37">
        <f t="shared" si="0"/>
        <v>0</v>
      </c>
      <c r="I14" s="37">
        <f t="shared" si="1"/>
        <v>0</v>
      </c>
      <c r="J14" s="37">
        <f t="shared" si="2"/>
        <v>0</v>
      </c>
      <c r="K14" s="37">
        <f t="shared" si="3"/>
        <v>0</v>
      </c>
      <c r="L14" s="15" t="s">
        <v>180</v>
      </c>
      <c r="M14" s="15" t="s">
        <v>106</v>
      </c>
    </row>
    <row r="15" spans="2:13" ht="15" customHeight="1" x14ac:dyDescent="0.3">
      <c r="B15" s="21">
        <v>9</v>
      </c>
      <c r="C15" s="15"/>
      <c r="D15" s="33"/>
      <c r="E15" s="33"/>
      <c r="F15" s="17"/>
      <c r="G15" s="33"/>
      <c r="H15" s="37">
        <f t="shared" si="0"/>
        <v>0</v>
      </c>
      <c r="I15" s="37">
        <f t="shared" si="1"/>
        <v>0</v>
      </c>
      <c r="J15" s="37">
        <f t="shared" si="2"/>
        <v>0</v>
      </c>
      <c r="K15" s="37">
        <f t="shared" si="3"/>
        <v>0</v>
      </c>
      <c r="L15" s="15" t="s">
        <v>180</v>
      </c>
      <c r="M15" s="15" t="s">
        <v>106</v>
      </c>
    </row>
    <row r="16" spans="2:13" ht="15" customHeight="1" x14ac:dyDescent="0.3">
      <c r="B16" s="21">
        <v>10</v>
      </c>
      <c r="C16" s="15"/>
      <c r="D16" s="33"/>
      <c r="E16" s="33"/>
      <c r="F16" s="17"/>
      <c r="G16" s="33"/>
      <c r="H16" s="37">
        <f t="shared" si="0"/>
        <v>0</v>
      </c>
      <c r="I16" s="37">
        <f t="shared" si="1"/>
        <v>0</v>
      </c>
      <c r="J16" s="37">
        <f t="shared" si="2"/>
        <v>0</v>
      </c>
      <c r="K16" s="37">
        <f t="shared" si="3"/>
        <v>0</v>
      </c>
      <c r="L16" s="15" t="s">
        <v>180</v>
      </c>
      <c r="M16" s="15" t="s">
        <v>106</v>
      </c>
    </row>
    <row r="17" spans="2:13" ht="15" customHeight="1" x14ac:dyDescent="0.3">
      <c r="B17" s="21">
        <v>11</v>
      </c>
      <c r="C17" s="15"/>
      <c r="D17" s="33"/>
      <c r="E17" s="33"/>
      <c r="F17" s="17"/>
      <c r="G17" s="33"/>
      <c r="H17" s="37">
        <f t="shared" si="0"/>
        <v>0</v>
      </c>
      <c r="I17" s="37">
        <f t="shared" si="1"/>
        <v>0</v>
      </c>
      <c r="J17" s="37">
        <f t="shared" si="2"/>
        <v>0</v>
      </c>
      <c r="K17" s="37">
        <f t="shared" si="3"/>
        <v>0</v>
      </c>
      <c r="L17" s="15" t="s">
        <v>180</v>
      </c>
      <c r="M17" s="15" t="s">
        <v>106</v>
      </c>
    </row>
    <row r="18" spans="2:13" ht="15" customHeight="1" x14ac:dyDescent="0.3">
      <c r="B18" s="21">
        <v>12</v>
      </c>
      <c r="C18" s="15"/>
      <c r="D18" s="33"/>
      <c r="E18" s="33"/>
      <c r="F18" s="17"/>
      <c r="G18" s="33"/>
      <c r="H18" s="37">
        <f t="shared" si="0"/>
        <v>0</v>
      </c>
      <c r="I18" s="37">
        <f t="shared" si="1"/>
        <v>0</v>
      </c>
      <c r="J18" s="37">
        <f t="shared" si="2"/>
        <v>0</v>
      </c>
      <c r="K18" s="37">
        <f t="shared" si="3"/>
        <v>0</v>
      </c>
      <c r="L18" s="15" t="s">
        <v>180</v>
      </c>
      <c r="M18" s="15" t="s">
        <v>106</v>
      </c>
    </row>
    <row r="19" spans="2:13" ht="15" customHeight="1" x14ac:dyDescent="0.3">
      <c r="B19" s="21">
        <v>13</v>
      </c>
      <c r="C19" s="15"/>
      <c r="D19" s="33"/>
      <c r="E19" s="33"/>
      <c r="F19" s="17"/>
      <c r="G19" s="33"/>
      <c r="H19" s="37">
        <f t="shared" si="0"/>
        <v>0</v>
      </c>
      <c r="I19" s="37">
        <f t="shared" si="1"/>
        <v>0</v>
      </c>
      <c r="J19" s="37">
        <f t="shared" si="2"/>
        <v>0</v>
      </c>
      <c r="K19" s="37">
        <f t="shared" si="3"/>
        <v>0</v>
      </c>
      <c r="L19" s="15" t="s">
        <v>180</v>
      </c>
      <c r="M19" s="15" t="s">
        <v>106</v>
      </c>
    </row>
    <row r="20" spans="2:13" ht="15" customHeight="1" x14ac:dyDescent="0.3">
      <c r="B20" s="21">
        <v>14</v>
      </c>
      <c r="C20" s="15"/>
      <c r="D20" s="33"/>
      <c r="E20" s="33"/>
      <c r="F20" s="17"/>
      <c r="G20" s="33"/>
      <c r="H20" s="37">
        <f t="shared" si="0"/>
        <v>0</v>
      </c>
      <c r="I20" s="37">
        <f t="shared" si="1"/>
        <v>0</v>
      </c>
      <c r="J20" s="37">
        <f t="shared" si="2"/>
        <v>0</v>
      </c>
      <c r="K20" s="37">
        <f t="shared" si="3"/>
        <v>0</v>
      </c>
      <c r="L20" s="15" t="s">
        <v>180</v>
      </c>
      <c r="M20" s="15" t="s">
        <v>106</v>
      </c>
    </row>
    <row r="21" spans="2:13" ht="15" customHeight="1" x14ac:dyDescent="0.3">
      <c r="B21" s="21">
        <v>15</v>
      </c>
      <c r="C21" s="15"/>
      <c r="D21" s="33"/>
      <c r="E21" s="33"/>
      <c r="F21" s="17"/>
      <c r="G21" s="33"/>
      <c r="H21" s="37">
        <f t="shared" si="0"/>
        <v>0</v>
      </c>
      <c r="I21" s="37">
        <f t="shared" si="1"/>
        <v>0</v>
      </c>
      <c r="J21" s="37">
        <f t="shared" si="2"/>
        <v>0</v>
      </c>
      <c r="K21" s="37">
        <f t="shared" si="3"/>
        <v>0</v>
      </c>
      <c r="L21" s="15" t="s">
        <v>180</v>
      </c>
      <c r="M21" s="15" t="s">
        <v>106</v>
      </c>
    </row>
    <row r="23" spans="2:13" ht="15" customHeight="1" x14ac:dyDescent="0.3">
      <c r="C23" s="38" t="s">
        <v>215</v>
      </c>
    </row>
    <row r="25" spans="2:13" ht="15" customHeight="1" x14ac:dyDescent="0.3">
      <c r="C25" s="24" t="s">
        <v>211</v>
      </c>
    </row>
  </sheetData>
  <sheetProtection algorithmName="SHA-512" hashValue="wwS3wjturhs4NBrIU7A4JbNVYCU0h7S1yUc0Dd6KTAv8nKbrT51g4SGjuozuaBtnYR53gqgnvRnAmsYXeTLCmQ==" saltValue="JxIttmWzxn6xQS+LlrQvPA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unka11"/>
  <dimension ref="B1:F25"/>
  <sheetViews>
    <sheetView showGridLines="0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ColWidth="8.6640625" defaultRowHeight="14.4" x14ac:dyDescent="0.3"/>
  <cols>
    <col min="2" max="2" width="6" style="1" customWidth="1"/>
    <col min="3" max="3" width="46" style="1" customWidth="1"/>
    <col min="4" max="6" width="20" style="1" customWidth="1"/>
  </cols>
  <sheetData>
    <row r="1" spans="2:6" ht="79.5" customHeight="1" x14ac:dyDescent="0.3"/>
    <row r="3" spans="2:6" ht="19.5" customHeight="1" x14ac:dyDescent="0.4">
      <c r="B3" s="12" t="str">
        <f>INDEX('91_NYELV'!$C$7:$D$303,49,NYELV_IDX)</f>
        <v>9. Konszolidálásból adódó adókülönbözet</v>
      </c>
    </row>
    <row r="4" spans="2:6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6" ht="39.75" customHeight="1" x14ac:dyDescent="0.3">
      <c r="B6" s="20" t="str">
        <f>INDEX('91_NYELV'!$C$7:$D$303,68,NYELV_IDX)</f>
        <v>Ssz.</v>
      </c>
      <c r="C6" s="20" t="str">
        <f>INDEX('91_NYELV'!$C$7:$D$303,122,NYELV_IDX)</f>
        <v>Jogcím</v>
      </c>
      <c r="D6" s="20" t="str">
        <f>INDEX('91_NYELV'!$C$7:$D$303,140,NYELV_IDX)</f>
        <v>Adóalap-különbözet</v>
      </c>
      <c r="E6" s="20" t="str">
        <f>INDEX('91_NYELV'!$C$7:$D$303,141,NYELV_IDX)</f>
        <v>Adókulcs</v>
      </c>
      <c r="F6" s="20" t="str">
        <f>INDEX('91_NYELV'!$C$7:$D$303,142,NYELV_IDX)</f>
        <v>Számított adókülönbözet</v>
      </c>
    </row>
    <row r="7" spans="2:6" ht="15" customHeight="1" x14ac:dyDescent="0.3">
      <c r="B7" s="21">
        <v>1</v>
      </c>
      <c r="C7" s="15"/>
      <c r="D7" s="33"/>
      <c r="E7" s="17">
        <f t="shared" ref="E7:E21" si="0">TAO_KULCS</f>
        <v>0.09</v>
      </c>
      <c r="F7" s="37">
        <f t="shared" ref="F7:F21" si="1">$D7*$E7</f>
        <v>0</v>
      </c>
    </row>
    <row r="8" spans="2:6" ht="15" customHeight="1" x14ac:dyDescent="0.3">
      <c r="B8" s="21">
        <v>2</v>
      </c>
      <c r="C8" s="15"/>
      <c r="D8" s="33"/>
      <c r="E8" s="17">
        <f t="shared" si="0"/>
        <v>0.09</v>
      </c>
      <c r="F8" s="37">
        <f t="shared" si="1"/>
        <v>0</v>
      </c>
    </row>
    <row r="9" spans="2:6" ht="15" customHeight="1" x14ac:dyDescent="0.3">
      <c r="B9" s="21">
        <v>3</v>
      </c>
      <c r="C9" s="15"/>
      <c r="D9" s="33"/>
      <c r="E9" s="17">
        <f t="shared" si="0"/>
        <v>0.09</v>
      </c>
      <c r="F9" s="37">
        <f t="shared" si="1"/>
        <v>0</v>
      </c>
    </row>
    <row r="10" spans="2:6" ht="15" customHeight="1" x14ac:dyDescent="0.3">
      <c r="B10" s="21">
        <v>4</v>
      </c>
      <c r="C10" s="15"/>
      <c r="D10" s="33"/>
      <c r="E10" s="17">
        <f t="shared" si="0"/>
        <v>0.09</v>
      </c>
      <c r="F10" s="37">
        <f t="shared" si="1"/>
        <v>0</v>
      </c>
    </row>
    <row r="11" spans="2:6" ht="15" customHeight="1" x14ac:dyDescent="0.3">
      <c r="B11" s="21">
        <v>5</v>
      </c>
      <c r="C11" s="15"/>
      <c r="D11" s="33"/>
      <c r="E11" s="17">
        <f t="shared" si="0"/>
        <v>0.09</v>
      </c>
      <c r="F11" s="37">
        <f t="shared" si="1"/>
        <v>0</v>
      </c>
    </row>
    <row r="12" spans="2:6" ht="15" customHeight="1" x14ac:dyDescent="0.3">
      <c r="B12" s="21">
        <v>6</v>
      </c>
      <c r="C12" s="15"/>
      <c r="D12" s="33"/>
      <c r="E12" s="17">
        <f t="shared" si="0"/>
        <v>0.09</v>
      </c>
      <c r="F12" s="37">
        <f t="shared" si="1"/>
        <v>0</v>
      </c>
    </row>
    <row r="13" spans="2:6" ht="15" customHeight="1" x14ac:dyDescent="0.3">
      <c r="B13" s="21">
        <v>7</v>
      </c>
      <c r="C13" s="15"/>
      <c r="D13" s="33"/>
      <c r="E13" s="17">
        <f t="shared" si="0"/>
        <v>0.09</v>
      </c>
      <c r="F13" s="37">
        <f t="shared" si="1"/>
        <v>0</v>
      </c>
    </row>
    <row r="14" spans="2:6" ht="15" customHeight="1" x14ac:dyDescent="0.3">
      <c r="B14" s="21">
        <v>8</v>
      </c>
      <c r="C14" s="15"/>
      <c r="D14" s="33"/>
      <c r="E14" s="17">
        <f t="shared" si="0"/>
        <v>0.09</v>
      </c>
      <c r="F14" s="37">
        <f t="shared" si="1"/>
        <v>0</v>
      </c>
    </row>
    <row r="15" spans="2:6" ht="15" customHeight="1" x14ac:dyDescent="0.3">
      <c r="B15" s="21">
        <v>9</v>
      </c>
      <c r="C15" s="15"/>
      <c r="D15" s="33"/>
      <c r="E15" s="17">
        <f t="shared" si="0"/>
        <v>0.09</v>
      </c>
      <c r="F15" s="37">
        <f t="shared" si="1"/>
        <v>0</v>
      </c>
    </row>
    <row r="16" spans="2:6" ht="15" customHeight="1" x14ac:dyDescent="0.3">
      <c r="B16" s="21">
        <v>10</v>
      </c>
      <c r="C16" s="15"/>
      <c r="D16" s="33"/>
      <c r="E16" s="17">
        <f t="shared" si="0"/>
        <v>0.09</v>
      </c>
      <c r="F16" s="37">
        <f t="shared" si="1"/>
        <v>0</v>
      </c>
    </row>
    <row r="17" spans="2:6" ht="15" customHeight="1" x14ac:dyDescent="0.3">
      <c r="B17" s="21">
        <v>11</v>
      </c>
      <c r="C17" s="15"/>
      <c r="D17" s="33"/>
      <c r="E17" s="17">
        <f t="shared" si="0"/>
        <v>0.09</v>
      </c>
      <c r="F17" s="37">
        <f t="shared" si="1"/>
        <v>0</v>
      </c>
    </row>
    <row r="18" spans="2:6" ht="15" customHeight="1" x14ac:dyDescent="0.3">
      <c r="B18" s="21">
        <v>12</v>
      </c>
      <c r="C18" s="15"/>
      <c r="D18" s="33"/>
      <c r="E18" s="17">
        <f t="shared" si="0"/>
        <v>0.09</v>
      </c>
      <c r="F18" s="37">
        <f t="shared" si="1"/>
        <v>0</v>
      </c>
    </row>
    <row r="19" spans="2:6" ht="15" customHeight="1" x14ac:dyDescent="0.3">
      <c r="B19" s="21">
        <v>13</v>
      </c>
      <c r="C19" s="15"/>
      <c r="D19" s="33"/>
      <c r="E19" s="17">
        <f t="shared" si="0"/>
        <v>0.09</v>
      </c>
      <c r="F19" s="37">
        <f t="shared" si="1"/>
        <v>0</v>
      </c>
    </row>
    <row r="20" spans="2:6" ht="15" customHeight="1" x14ac:dyDescent="0.3">
      <c r="B20" s="21">
        <v>14</v>
      </c>
      <c r="C20" s="15"/>
      <c r="D20" s="33"/>
      <c r="E20" s="17">
        <f t="shared" si="0"/>
        <v>0.09</v>
      </c>
      <c r="F20" s="37">
        <f t="shared" si="1"/>
        <v>0</v>
      </c>
    </row>
    <row r="21" spans="2:6" ht="15" customHeight="1" x14ac:dyDescent="0.3">
      <c r="B21" s="21">
        <v>15</v>
      </c>
      <c r="C21" s="15"/>
      <c r="D21" s="33"/>
      <c r="E21" s="17">
        <f t="shared" si="0"/>
        <v>0.09</v>
      </c>
      <c r="F21" s="37">
        <f t="shared" si="1"/>
        <v>0</v>
      </c>
    </row>
    <row r="23" spans="2:6" ht="15" customHeight="1" x14ac:dyDescent="0.3">
      <c r="C23" s="38" t="s">
        <v>216</v>
      </c>
    </row>
    <row r="25" spans="2:6" ht="15" customHeight="1" x14ac:dyDescent="0.3">
      <c r="C25" s="24" t="s">
        <v>211</v>
      </c>
    </row>
  </sheetData>
  <sheetProtection algorithmName="SHA-512" hashValue="2IyZrCEbdDuyPh6tUSUDkW/JbBMpH6HpjUIZntP4/A9SlRi/DDyy9vlccVc2m1f/m6FRVmOVTV/uQmj117MCRA==" saltValue="vfNXU3OgCAMruUut5u2Djw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Munka12"/>
  <dimension ref="B1:M806"/>
  <sheetViews>
    <sheetView showGridLines="0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ColWidth="8.6640625" defaultRowHeight="14.4" x14ac:dyDescent="0.3"/>
  <cols>
    <col min="2" max="2" width="6" style="1" customWidth="1"/>
    <col min="3" max="3" width="8" style="1" customWidth="1"/>
    <col min="4" max="4" width="30" style="1" customWidth="1"/>
    <col min="5" max="5" width="18" style="1" customWidth="1"/>
    <col min="6" max="6" width="11" style="1" customWidth="1"/>
    <col min="7" max="7" width="15" style="1" customWidth="1"/>
    <col min="8" max="8" width="52" style="1" customWidth="1"/>
    <col min="9" max="10" width="16" style="1" customWidth="1"/>
    <col min="11" max="11" width="42" style="1" customWidth="1"/>
    <col min="12" max="12" width="11" style="1" customWidth="1"/>
    <col min="13" max="13" width="12" style="1" customWidth="1"/>
  </cols>
  <sheetData>
    <row r="1" spans="2:13" ht="79.5" customHeight="1" x14ac:dyDescent="0.3"/>
    <row r="3" spans="2:13" ht="19.5" customHeight="1" x14ac:dyDescent="0.4">
      <c r="B3" s="12" t="str">
        <f>INDEX('91_NYELV'!$C$7:$D$303,50,NYELV_IDX)</f>
        <v>10. Konszolidációs napló</v>
      </c>
    </row>
    <row r="4" spans="2:13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5" spans="2:13" ht="15" customHeight="1" x14ac:dyDescent="0.3">
      <c r="H5" s="35" t="s">
        <v>217</v>
      </c>
      <c r="I5" s="36">
        <f>SUM(I7:I806)</f>
        <v>0</v>
      </c>
      <c r="J5" s="36">
        <f>SUM(J7:J806)</f>
        <v>0</v>
      </c>
    </row>
    <row r="6" spans="2:13" ht="30" customHeight="1" x14ac:dyDescent="0.3">
      <c r="B6" s="20" t="str">
        <f>INDEX('91_NYELV'!$C$7:$D$303,143,NYELV_IDX)</f>
        <v>Ssz.</v>
      </c>
      <c r="C6" s="20" t="str">
        <f>INDEX('91_NYELV'!$C$7:$D$303,144,NYELV_IDX)</f>
        <v>Év</v>
      </c>
      <c r="D6" s="20" t="str">
        <f>INDEX('91_NYELV'!$C$7:$D$303,145,NYELV_IDX)</f>
        <v>Tétel típusa</v>
      </c>
      <c r="E6" s="20" t="str">
        <f>INDEX('91_NYELV'!$C$7:$D$303,146,NYELV_IDX)</f>
        <v>Hivatkozás</v>
      </c>
      <c r="F6" s="20" t="str">
        <f>INDEX('91_NYELV'!$C$7:$D$303,147,NYELV_IDX)</f>
        <v>Cégkód</v>
      </c>
      <c r="G6" s="20" t="str">
        <f>INDEX('91_NYELV'!$C$7:$D$303,148,NYELV_IDX)</f>
        <v>Séma kód</v>
      </c>
      <c r="H6" s="20" t="str">
        <f>INDEX('91_NYELV'!$C$7:$D$303,149,NYELV_IDX)</f>
        <v>Sor megnevezése</v>
      </c>
      <c r="I6" s="20" t="str">
        <f>INDEX('91_NYELV'!$C$7:$D$303,150,NYELV_IDX)</f>
        <v>Tartozik</v>
      </c>
      <c r="J6" s="20" t="str">
        <f>INDEX('91_NYELV'!$C$7:$D$303,151,NYELV_IDX)</f>
        <v>Követel</v>
      </c>
      <c r="K6" s="20" t="str">
        <f>INDEX('91_NYELV'!$C$7:$D$303,152,NYELV_IDX)</f>
        <v>Leírás</v>
      </c>
      <c r="L6" s="20" t="str">
        <f>INDEX('91_NYELV'!$C$7:$D$303,153,NYELV_IDX)</f>
        <v>Átvihető?</v>
      </c>
      <c r="M6" s="20" t="str">
        <f>INDEX('91_NYELV'!$C$7:$D$303,154,NYELV_IDX)</f>
        <v>Forrás</v>
      </c>
    </row>
    <row r="7" spans="2:13" ht="15" customHeight="1" x14ac:dyDescent="0.3">
      <c r="B7" s="21" t="str">
        <f t="shared" ref="B7:B70" si="0">IF($G7="","",ROW()-6)</f>
        <v/>
      </c>
      <c r="C7" s="15"/>
      <c r="D7" s="15"/>
      <c r="E7" s="15"/>
      <c r="F7" s="15"/>
      <c r="G7" s="15"/>
      <c r="H7" s="39" t="str">
        <f>IF($G7="","",IFERROR(INDEX('90_SEMA'!$G$7:$H$183,MATCH($G7,'90_SEMA'!$B$7:$B$183,0),NYELV_IDX),"### ISMERETLEN KÓD"))</f>
        <v/>
      </c>
      <c r="I7" s="33"/>
      <c r="J7" s="33"/>
      <c r="K7" s="15"/>
      <c r="L7" s="15"/>
      <c r="M7" s="15"/>
    </row>
    <row r="8" spans="2:13" ht="15" customHeight="1" x14ac:dyDescent="0.3">
      <c r="B8" s="21" t="str">
        <f t="shared" si="0"/>
        <v/>
      </c>
      <c r="C8" s="15"/>
      <c r="D8" s="15"/>
      <c r="E8" s="15"/>
      <c r="F8" s="15"/>
      <c r="G8" s="15"/>
      <c r="H8" s="39" t="str">
        <f>IF($G8="","",IFERROR(INDEX('90_SEMA'!$G$7:$H$183,MATCH($G8,'90_SEMA'!$B$7:$B$183,0),NYELV_IDX),"### ISMERETLEN KÓD"))</f>
        <v/>
      </c>
      <c r="I8" s="33"/>
      <c r="J8" s="33"/>
      <c r="K8" s="15"/>
      <c r="L8" s="15"/>
      <c r="M8" s="15"/>
    </row>
    <row r="9" spans="2:13" ht="15" customHeight="1" x14ac:dyDescent="0.3">
      <c r="B9" s="21" t="str">
        <f t="shared" si="0"/>
        <v/>
      </c>
      <c r="C9" s="15"/>
      <c r="D9" s="15"/>
      <c r="E9" s="15"/>
      <c r="F9" s="15"/>
      <c r="G9" s="15"/>
      <c r="H9" s="39" t="str">
        <f>IF($G9="","",IFERROR(INDEX('90_SEMA'!$G$7:$H$183,MATCH($G9,'90_SEMA'!$B$7:$B$183,0),NYELV_IDX),"### ISMERETLEN KÓD"))</f>
        <v/>
      </c>
      <c r="I9" s="33"/>
      <c r="J9" s="33"/>
      <c r="K9" s="15"/>
      <c r="L9" s="15"/>
      <c r="M9" s="15"/>
    </row>
    <row r="10" spans="2:13" ht="15" customHeight="1" x14ac:dyDescent="0.3">
      <c r="B10" s="21" t="str">
        <f t="shared" si="0"/>
        <v/>
      </c>
      <c r="C10" s="15"/>
      <c r="D10" s="15"/>
      <c r="E10" s="15"/>
      <c r="F10" s="15"/>
      <c r="G10" s="15"/>
      <c r="H10" s="39" t="str">
        <f>IF($G10="","",IFERROR(INDEX('90_SEMA'!$G$7:$H$183,MATCH($G10,'90_SEMA'!$B$7:$B$183,0),NYELV_IDX),"### ISMERETLEN KÓD"))</f>
        <v/>
      </c>
      <c r="I10" s="33"/>
      <c r="J10" s="33"/>
      <c r="K10" s="15"/>
      <c r="L10" s="15"/>
      <c r="M10" s="15"/>
    </row>
    <row r="11" spans="2:13" ht="15" customHeight="1" x14ac:dyDescent="0.3">
      <c r="B11" s="21" t="str">
        <f t="shared" si="0"/>
        <v/>
      </c>
      <c r="C11" s="15"/>
      <c r="D11" s="15"/>
      <c r="E11" s="15"/>
      <c r="F11" s="15"/>
      <c r="G11" s="15"/>
      <c r="H11" s="39" t="str">
        <f>IF($G11="","",IFERROR(INDEX('90_SEMA'!$G$7:$H$183,MATCH($G11,'90_SEMA'!$B$7:$B$183,0),NYELV_IDX),"### ISMERETLEN KÓD"))</f>
        <v/>
      </c>
      <c r="I11" s="33"/>
      <c r="J11" s="33"/>
      <c r="K11" s="15"/>
      <c r="L11" s="15"/>
      <c r="M11" s="15"/>
    </row>
    <row r="12" spans="2:13" ht="15" customHeight="1" x14ac:dyDescent="0.3">
      <c r="B12" s="21" t="str">
        <f t="shared" si="0"/>
        <v/>
      </c>
      <c r="C12" s="15"/>
      <c r="D12" s="15"/>
      <c r="E12" s="15"/>
      <c r="F12" s="15"/>
      <c r="G12" s="15"/>
      <c r="H12" s="39" t="str">
        <f>IF($G12="","",IFERROR(INDEX('90_SEMA'!$G$7:$H$183,MATCH($G12,'90_SEMA'!$B$7:$B$183,0),NYELV_IDX),"### ISMERETLEN KÓD"))</f>
        <v/>
      </c>
      <c r="I12" s="33"/>
      <c r="J12" s="33"/>
      <c r="K12" s="15"/>
      <c r="L12" s="15"/>
      <c r="M12" s="15"/>
    </row>
    <row r="13" spans="2:13" ht="15" customHeight="1" x14ac:dyDescent="0.3">
      <c r="B13" s="21" t="str">
        <f t="shared" si="0"/>
        <v/>
      </c>
      <c r="C13" s="15"/>
      <c r="D13" s="15"/>
      <c r="E13" s="15"/>
      <c r="F13" s="15"/>
      <c r="G13" s="15"/>
      <c r="H13" s="39" t="str">
        <f>IF($G13="","",IFERROR(INDEX('90_SEMA'!$G$7:$H$183,MATCH($G13,'90_SEMA'!$B$7:$B$183,0),NYELV_IDX),"### ISMERETLEN KÓD"))</f>
        <v/>
      </c>
      <c r="I13" s="33"/>
      <c r="J13" s="33"/>
      <c r="K13" s="15"/>
      <c r="L13" s="15"/>
      <c r="M13" s="15"/>
    </row>
    <row r="14" spans="2:13" ht="15" customHeight="1" x14ac:dyDescent="0.3">
      <c r="B14" s="21" t="str">
        <f t="shared" si="0"/>
        <v/>
      </c>
      <c r="C14" s="15"/>
      <c r="D14" s="15"/>
      <c r="E14" s="15"/>
      <c r="F14" s="15"/>
      <c r="G14" s="15"/>
      <c r="H14" s="39" t="str">
        <f>IF($G14="","",IFERROR(INDEX('90_SEMA'!$G$7:$H$183,MATCH($G14,'90_SEMA'!$B$7:$B$183,0),NYELV_IDX),"### ISMERETLEN KÓD"))</f>
        <v/>
      </c>
      <c r="I14" s="33"/>
      <c r="J14" s="33"/>
      <c r="K14" s="15"/>
      <c r="L14" s="15"/>
      <c r="M14" s="15"/>
    </row>
    <row r="15" spans="2:13" ht="15" customHeight="1" x14ac:dyDescent="0.3">
      <c r="B15" s="21" t="str">
        <f t="shared" si="0"/>
        <v/>
      </c>
      <c r="C15" s="15"/>
      <c r="D15" s="15"/>
      <c r="E15" s="15"/>
      <c r="F15" s="15"/>
      <c r="G15" s="15"/>
      <c r="H15" s="39" t="str">
        <f>IF($G15="","",IFERROR(INDEX('90_SEMA'!$G$7:$H$183,MATCH($G15,'90_SEMA'!$B$7:$B$183,0),NYELV_IDX),"### ISMERETLEN KÓD"))</f>
        <v/>
      </c>
      <c r="I15" s="33"/>
      <c r="J15" s="33"/>
      <c r="K15" s="15"/>
      <c r="L15" s="15"/>
      <c r="M15" s="15"/>
    </row>
    <row r="16" spans="2:13" ht="15" customHeight="1" x14ac:dyDescent="0.3">
      <c r="B16" s="21" t="str">
        <f t="shared" si="0"/>
        <v/>
      </c>
      <c r="C16" s="15"/>
      <c r="D16" s="15"/>
      <c r="E16" s="15"/>
      <c r="F16" s="15"/>
      <c r="G16" s="15"/>
      <c r="H16" s="39" t="str">
        <f>IF($G16="","",IFERROR(INDEX('90_SEMA'!$G$7:$H$183,MATCH($G16,'90_SEMA'!$B$7:$B$183,0),NYELV_IDX),"### ISMERETLEN KÓD"))</f>
        <v/>
      </c>
      <c r="I16" s="33"/>
      <c r="J16" s="33"/>
      <c r="K16" s="15"/>
      <c r="L16" s="15"/>
      <c r="M16" s="15"/>
    </row>
    <row r="17" spans="2:13" ht="15" customHeight="1" x14ac:dyDescent="0.3">
      <c r="B17" s="21" t="str">
        <f t="shared" si="0"/>
        <v/>
      </c>
      <c r="C17" s="15"/>
      <c r="D17" s="15"/>
      <c r="E17" s="15"/>
      <c r="F17" s="15"/>
      <c r="G17" s="15"/>
      <c r="H17" s="39" t="str">
        <f>IF($G17="","",IFERROR(INDEX('90_SEMA'!$G$7:$H$183,MATCH($G17,'90_SEMA'!$B$7:$B$183,0),NYELV_IDX),"### ISMERETLEN KÓD"))</f>
        <v/>
      </c>
      <c r="I17" s="33"/>
      <c r="J17" s="33"/>
      <c r="K17" s="15"/>
      <c r="L17" s="15"/>
      <c r="M17" s="15"/>
    </row>
    <row r="18" spans="2:13" ht="15" customHeight="1" x14ac:dyDescent="0.3">
      <c r="B18" s="21" t="str">
        <f t="shared" si="0"/>
        <v/>
      </c>
      <c r="C18" s="15"/>
      <c r="D18" s="15"/>
      <c r="E18" s="15"/>
      <c r="F18" s="15"/>
      <c r="G18" s="15"/>
      <c r="H18" s="39" t="str">
        <f>IF($G18="","",IFERROR(INDEX('90_SEMA'!$G$7:$H$183,MATCH($G18,'90_SEMA'!$B$7:$B$183,0),NYELV_IDX),"### ISMERETLEN KÓD"))</f>
        <v/>
      </c>
      <c r="I18" s="33"/>
      <c r="J18" s="33"/>
      <c r="K18" s="15"/>
      <c r="L18" s="15"/>
      <c r="M18" s="15"/>
    </row>
    <row r="19" spans="2:13" ht="15" customHeight="1" x14ac:dyDescent="0.3">
      <c r="B19" s="21" t="str">
        <f t="shared" si="0"/>
        <v/>
      </c>
      <c r="C19" s="15"/>
      <c r="D19" s="15"/>
      <c r="E19" s="15"/>
      <c r="F19" s="15"/>
      <c r="G19" s="15"/>
      <c r="H19" s="39" t="str">
        <f>IF($G19="","",IFERROR(INDEX('90_SEMA'!$G$7:$H$183,MATCH($G19,'90_SEMA'!$B$7:$B$183,0),NYELV_IDX),"### ISMERETLEN KÓD"))</f>
        <v/>
      </c>
      <c r="I19" s="33"/>
      <c r="J19" s="33"/>
      <c r="K19" s="15"/>
      <c r="L19" s="15"/>
      <c r="M19" s="15"/>
    </row>
    <row r="20" spans="2:13" ht="15" customHeight="1" x14ac:dyDescent="0.3">
      <c r="B20" s="21" t="str">
        <f t="shared" si="0"/>
        <v/>
      </c>
      <c r="C20" s="15"/>
      <c r="D20" s="15"/>
      <c r="E20" s="15"/>
      <c r="F20" s="15"/>
      <c r="G20" s="15"/>
      <c r="H20" s="39" t="str">
        <f>IF($G20="","",IFERROR(INDEX('90_SEMA'!$G$7:$H$183,MATCH($G20,'90_SEMA'!$B$7:$B$183,0),NYELV_IDX),"### ISMERETLEN KÓD"))</f>
        <v/>
      </c>
      <c r="I20" s="33"/>
      <c r="J20" s="33"/>
      <c r="K20" s="15"/>
      <c r="L20" s="15"/>
      <c r="M20" s="15"/>
    </row>
    <row r="21" spans="2:13" ht="15" customHeight="1" x14ac:dyDescent="0.3">
      <c r="B21" s="21" t="str">
        <f t="shared" si="0"/>
        <v/>
      </c>
      <c r="C21" s="15"/>
      <c r="D21" s="15"/>
      <c r="E21" s="15"/>
      <c r="F21" s="15"/>
      <c r="G21" s="15"/>
      <c r="H21" s="39" t="str">
        <f>IF($G21="","",IFERROR(INDEX('90_SEMA'!$G$7:$H$183,MATCH($G21,'90_SEMA'!$B$7:$B$183,0),NYELV_IDX),"### ISMERETLEN KÓD"))</f>
        <v/>
      </c>
      <c r="I21" s="33"/>
      <c r="J21" s="33"/>
      <c r="K21" s="15"/>
      <c r="L21" s="15"/>
      <c r="M21" s="15"/>
    </row>
    <row r="22" spans="2:13" ht="15" customHeight="1" x14ac:dyDescent="0.3">
      <c r="B22" s="21" t="str">
        <f t="shared" si="0"/>
        <v/>
      </c>
      <c r="C22" s="15"/>
      <c r="D22" s="15"/>
      <c r="E22" s="15"/>
      <c r="F22" s="15"/>
      <c r="G22" s="15"/>
      <c r="H22" s="39" t="str">
        <f>IF($G22="","",IFERROR(INDEX('90_SEMA'!$G$7:$H$183,MATCH($G22,'90_SEMA'!$B$7:$B$183,0),NYELV_IDX),"### ISMERETLEN KÓD"))</f>
        <v/>
      </c>
      <c r="I22" s="33"/>
      <c r="J22" s="33"/>
      <c r="K22" s="15"/>
      <c r="L22" s="15"/>
      <c r="M22" s="15"/>
    </row>
    <row r="23" spans="2:13" ht="15" customHeight="1" x14ac:dyDescent="0.3">
      <c r="B23" s="21" t="str">
        <f t="shared" si="0"/>
        <v/>
      </c>
      <c r="C23" s="15"/>
      <c r="D23" s="15"/>
      <c r="E23" s="15"/>
      <c r="F23" s="15"/>
      <c r="G23" s="15"/>
      <c r="H23" s="39" t="str">
        <f>IF($G23="","",IFERROR(INDEX('90_SEMA'!$G$7:$H$183,MATCH($G23,'90_SEMA'!$B$7:$B$183,0),NYELV_IDX),"### ISMERETLEN KÓD"))</f>
        <v/>
      </c>
      <c r="I23" s="33"/>
      <c r="J23" s="33"/>
      <c r="K23" s="15"/>
      <c r="L23" s="15"/>
      <c r="M23" s="15"/>
    </row>
    <row r="24" spans="2:13" ht="15" customHeight="1" x14ac:dyDescent="0.3">
      <c r="B24" s="21" t="str">
        <f t="shared" si="0"/>
        <v/>
      </c>
      <c r="C24" s="15"/>
      <c r="D24" s="15"/>
      <c r="E24" s="15"/>
      <c r="F24" s="15"/>
      <c r="G24" s="15"/>
      <c r="H24" s="39" t="str">
        <f>IF($G24="","",IFERROR(INDEX('90_SEMA'!$G$7:$H$183,MATCH($G24,'90_SEMA'!$B$7:$B$183,0),NYELV_IDX),"### ISMERETLEN KÓD"))</f>
        <v/>
      </c>
      <c r="I24" s="33"/>
      <c r="J24" s="33"/>
      <c r="K24" s="15"/>
      <c r="L24" s="15"/>
      <c r="M24" s="15"/>
    </row>
    <row r="25" spans="2:13" ht="15" customHeight="1" x14ac:dyDescent="0.3">
      <c r="B25" s="21" t="str">
        <f t="shared" si="0"/>
        <v/>
      </c>
      <c r="C25" s="15"/>
      <c r="D25" s="15"/>
      <c r="E25" s="15"/>
      <c r="F25" s="15"/>
      <c r="G25" s="15"/>
      <c r="H25" s="39" t="str">
        <f>IF($G25="","",IFERROR(INDEX('90_SEMA'!$G$7:$H$183,MATCH($G25,'90_SEMA'!$B$7:$B$183,0),NYELV_IDX),"### ISMERETLEN KÓD"))</f>
        <v/>
      </c>
      <c r="I25" s="33"/>
      <c r="J25" s="33"/>
      <c r="K25" s="15"/>
      <c r="L25" s="15"/>
      <c r="M25" s="15"/>
    </row>
    <row r="26" spans="2:13" ht="15" customHeight="1" x14ac:dyDescent="0.3">
      <c r="B26" s="21" t="str">
        <f t="shared" si="0"/>
        <v/>
      </c>
      <c r="C26" s="15"/>
      <c r="D26" s="15"/>
      <c r="E26" s="15"/>
      <c r="F26" s="15"/>
      <c r="G26" s="15"/>
      <c r="H26" s="39" t="str">
        <f>IF($G26="","",IFERROR(INDEX('90_SEMA'!$G$7:$H$183,MATCH($G26,'90_SEMA'!$B$7:$B$183,0),NYELV_IDX),"### ISMERETLEN KÓD"))</f>
        <v/>
      </c>
      <c r="I26" s="33"/>
      <c r="J26" s="33"/>
      <c r="K26" s="15"/>
      <c r="L26" s="15"/>
      <c r="M26" s="15"/>
    </row>
    <row r="27" spans="2:13" ht="15" customHeight="1" x14ac:dyDescent="0.3">
      <c r="B27" s="21" t="str">
        <f t="shared" si="0"/>
        <v/>
      </c>
      <c r="C27" s="15"/>
      <c r="D27" s="15"/>
      <c r="E27" s="15"/>
      <c r="F27" s="15"/>
      <c r="G27" s="15"/>
      <c r="H27" s="39" t="str">
        <f>IF($G27="","",IFERROR(INDEX('90_SEMA'!$G$7:$H$183,MATCH($G27,'90_SEMA'!$B$7:$B$183,0),NYELV_IDX),"### ISMERETLEN KÓD"))</f>
        <v/>
      </c>
      <c r="I27" s="33"/>
      <c r="J27" s="33"/>
      <c r="K27" s="15"/>
      <c r="L27" s="15"/>
      <c r="M27" s="15"/>
    </row>
    <row r="28" spans="2:13" ht="15" customHeight="1" x14ac:dyDescent="0.3">
      <c r="B28" s="21" t="str">
        <f t="shared" si="0"/>
        <v/>
      </c>
      <c r="C28" s="15"/>
      <c r="D28" s="15"/>
      <c r="E28" s="15"/>
      <c r="F28" s="15"/>
      <c r="G28" s="15"/>
      <c r="H28" s="39" t="str">
        <f>IF($G28="","",IFERROR(INDEX('90_SEMA'!$G$7:$H$183,MATCH($G28,'90_SEMA'!$B$7:$B$183,0),NYELV_IDX),"### ISMERETLEN KÓD"))</f>
        <v/>
      </c>
      <c r="I28" s="33"/>
      <c r="J28" s="33"/>
      <c r="K28" s="15"/>
      <c r="L28" s="15"/>
      <c r="M28" s="15"/>
    </row>
    <row r="29" spans="2:13" ht="15" customHeight="1" x14ac:dyDescent="0.3">
      <c r="B29" s="21" t="str">
        <f t="shared" si="0"/>
        <v/>
      </c>
      <c r="C29" s="15"/>
      <c r="D29" s="15"/>
      <c r="E29" s="15"/>
      <c r="F29" s="15"/>
      <c r="G29" s="15"/>
      <c r="H29" s="39" t="str">
        <f>IF($G29="","",IFERROR(INDEX('90_SEMA'!$G$7:$H$183,MATCH($G29,'90_SEMA'!$B$7:$B$183,0),NYELV_IDX),"### ISMERETLEN KÓD"))</f>
        <v/>
      </c>
      <c r="I29" s="33"/>
      <c r="J29" s="33"/>
      <c r="K29" s="15"/>
      <c r="L29" s="15"/>
      <c r="M29" s="15"/>
    </row>
    <row r="30" spans="2:13" ht="15" customHeight="1" x14ac:dyDescent="0.3">
      <c r="B30" s="21" t="str">
        <f t="shared" si="0"/>
        <v/>
      </c>
      <c r="C30" s="15"/>
      <c r="D30" s="15"/>
      <c r="E30" s="15"/>
      <c r="F30" s="15"/>
      <c r="G30" s="15"/>
      <c r="H30" s="39" t="str">
        <f>IF($G30="","",IFERROR(INDEX('90_SEMA'!$G$7:$H$183,MATCH($G30,'90_SEMA'!$B$7:$B$183,0),NYELV_IDX),"### ISMERETLEN KÓD"))</f>
        <v/>
      </c>
      <c r="I30" s="33"/>
      <c r="J30" s="33"/>
      <c r="K30" s="15"/>
      <c r="L30" s="15"/>
      <c r="M30" s="15"/>
    </row>
    <row r="31" spans="2:13" ht="15" customHeight="1" x14ac:dyDescent="0.3">
      <c r="B31" s="21" t="str">
        <f t="shared" si="0"/>
        <v/>
      </c>
      <c r="C31" s="15"/>
      <c r="D31" s="15"/>
      <c r="E31" s="15"/>
      <c r="F31" s="15"/>
      <c r="G31" s="15"/>
      <c r="H31" s="39" t="str">
        <f>IF($G31="","",IFERROR(INDEX('90_SEMA'!$G$7:$H$183,MATCH($G31,'90_SEMA'!$B$7:$B$183,0),NYELV_IDX),"### ISMERETLEN KÓD"))</f>
        <v/>
      </c>
      <c r="I31" s="33"/>
      <c r="J31" s="33"/>
      <c r="K31" s="15"/>
      <c r="L31" s="15"/>
      <c r="M31" s="15"/>
    </row>
    <row r="32" spans="2:13" ht="15" customHeight="1" x14ac:dyDescent="0.3">
      <c r="B32" s="21" t="str">
        <f t="shared" si="0"/>
        <v/>
      </c>
      <c r="C32" s="15"/>
      <c r="D32" s="15"/>
      <c r="E32" s="15"/>
      <c r="F32" s="15"/>
      <c r="G32" s="15"/>
      <c r="H32" s="39" t="str">
        <f>IF($G32="","",IFERROR(INDEX('90_SEMA'!$G$7:$H$183,MATCH($G32,'90_SEMA'!$B$7:$B$183,0),NYELV_IDX),"### ISMERETLEN KÓD"))</f>
        <v/>
      </c>
      <c r="I32" s="33"/>
      <c r="J32" s="33"/>
      <c r="K32" s="15"/>
      <c r="L32" s="15"/>
      <c r="M32" s="15"/>
    </row>
    <row r="33" spans="2:13" ht="15" customHeight="1" x14ac:dyDescent="0.3">
      <c r="B33" s="21" t="str">
        <f t="shared" si="0"/>
        <v/>
      </c>
      <c r="C33" s="15"/>
      <c r="D33" s="15"/>
      <c r="E33" s="15"/>
      <c r="F33" s="15"/>
      <c r="G33" s="15"/>
      <c r="H33" s="39" t="str">
        <f>IF($G33="","",IFERROR(INDEX('90_SEMA'!$G$7:$H$183,MATCH($G33,'90_SEMA'!$B$7:$B$183,0),NYELV_IDX),"### ISMERETLEN KÓD"))</f>
        <v/>
      </c>
      <c r="I33" s="33"/>
      <c r="J33" s="33"/>
      <c r="K33" s="15"/>
      <c r="L33" s="15"/>
      <c r="M33" s="15"/>
    </row>
    <row r="34" spans="2:13" ht="15" customHeight="1" x14ac:dyDescent="0.3">
      <c r="B34" s="21" t="str">
        <f t="shared" si="0"/>
        <v/>
      </c>
      <c r="C34" s="15"/>
      <c r="D34" s="15"/>
      <c r="E34" s="15"/>
      <c r="F34" s="15"/>
      <c r="G34" s="15"/>
      <c r="H34" s="39" t="str">
        <f>IF($G34="","",IFERROR(INDEX('90_SEMA'!$G$7:$H$183,MATCH($G34,'90_SEMA'!$B$7:$B$183,0),NYELV_IDX),"### ISMERETLEN KÓD"))</f>
        <v/>
      </c>
      <c r="I34" s="33"/>
      <c r="J34" s="33"/>
      <c r="K34" s="15"/>
      <c r="L34" s="15"/>
      <c r="M34" s="15"/>
    </row>
    <row r="35" spans="2:13" ht="15" customHeight="1" x14ac:dyDescent="0.3">
      <c r="B35" s="21" t="str">
        <f t="shared" si="0"/>
        <v/>
      </c>
      <c r="C35" s="15"/>
      <c r="D35" s="15"/>
      <c r="E35" s="15"/>
      <c r="F35" s="15"/>
      <c r="G35" s="15"/>
      <c r="H35" s="39" t="str">
        <f>IF($G35="","",IFERROR(INDEX('90_SEMA'!$G$7:$H$183,MATCH($G35,'90_SEMA'!$B$7:$B$183,0),NYELV_IDX),"### ISMERETLEN KÓD"))</f>
        <v/>
      </c>
      <c r="I35" s="33"/>
      <c r="J35" s="33"/>
      <c r="K35" s="15"/>
      <c r="L35" s="15"/>
      <c r="M35" s="15"/>
    </row>
    <row r="36" spans="2:13" ht="15" customHeight="1" x14ac:dyDescent="0.3">
      <c r="B36" s="21" t="str">
        <f t="shared" si="0"/>
        <v/>
      </c>
      <c r="C36" s="15"/>
      <c r="D36" s="15"/>
      <c r="E36" s="15"/>
      <c r="F36" s="15"/>
      <c r="G36" s="15"/>
      <c r="H36" s="39" t="str">
        <f>IF($G36="","",IFERROR(INDEX('90_SEMA'!$G$7:$H$183,MATCH($G36,'90_SEMA'!$B$7:$B$183,0),NYELV_IDX),"### ISMERETLEN KÓD"))</f>
        <v/>
      </c>
      <c r="I36" s="33"/>
      <c r="J36" s="33"/>
      <c r="K36" s="15"/>
      <c r="L36" s="15"/>
      <c r="M36" s="15"/>
    </row>
    <row r="37" spans="2:13" ht="15" customHeight="1" x14ac:dyDescent="0.3">
      <c r="B37" s="21" t="str">
        <f t="shared" si="0"/>
        <v/>
      </c>
      <c r="C37" s="15"/>
      <c r="D37" s="15"/>
      <c r="E37" s="15"/>
      <c r="F37" s="15"/>
      <c r="G37" s="15"/>
      <c r="H37" s="39" t="str">
        <f>IF($G37="","",IFERROR(INDEX('90_SEMA'!$G$7:$H$183,MATCH($G37,'90_SEMA'!$B$7:$B$183,0),NYELV_IDX),"### ISMERETLEN KÓD"))</f>
        <v/>
      </c>
      <c r="I37" s="33"/>
      <c r="J37" s="33"/>
      <c r="K37" s="15"/>
      <c r="L37" s="15"/>
      <c r="M37" s="15"/>
    </row>
    <row r="38" spans="2:13" ht="15" customHeight="1" x14ac:dyDescent="0.3">
      <c r="B38" s="21" t="str">
        <f t="shared" si="0"/>
        <v/>
      </c>
      <c r="C38" s="15"/>
      <c r="D38" s="15"/>
      <c r="E38" s="15"/>
      <c r="F38" s="15"/>
      <c r="G38" s="15"/>
      <c r="H38" s="39" t="str">
        <f>IF($G38="","",IFERROR(INDEX('90_SEMA'!$G$7:$H$183,MATCH($G38,'90_SEMA'!$B$7:$B$183,0),NYELV_IDX),"### ISMERETLEN KÓD"))</f>
        <v/>
      </c>
      <c r="I38" s="33"/>
      <c r="J38" s="33"/>
      <c r="K38" s="15"/>
      <c r="L38" s="15"/>
      <c r="M38" s="15"/>
    </row>
    <row r="39" spans="2:13" ht="15" customHeight="1" x14ac:dyDescent="0.3">
      <c r="B39" s="21" t="str">
        <f t="shared" si="0"/>
        <v/>
      </c>
      <c r="C39" s="15"/>
      <c r="D39" s="15"/>
      <c r="E39" s="15"/>
      <c r="F39" s="15"/>
      <c r="G39" s="15"/>
      <c r="H39" s="39" t="str">
        <f>IF($G39="","",IFERROR(INDEX('90_SEMA'!$G$7:$H$183,MATCH($G39,'90_SEMA'!$B$7:$B$183,0),NYELV_IDX),"### ISMERETLEN KÓD"))</f>
        <v/>
      </c>
      <c r="I39" s="33"/>
      <c r="J39" s="33"/>
      <c r="K39" s="15"/>
      <c r="L39" s="15"/>
      <c r="M39" s="15"/>
    </row>
    <row r="40" spans="2:13" ht="15" customHeight="1" x14ac:dyDescent="0.3">
      <c r="B40" s="21" t="str">
        <f t="shared" si="0"/>
        <v/>
      </c>
      <c r="C40" s="15"/>
      <c r="D40" s="15"/>
      <c r="E40" s="15"/>
      <c r="F40" s="15"/>
      <c r="G40" s="15"/>
      <c r="H40" s="39" t="str">
        <f>IF($G40="","",IFERROR(INDEX('90_SEMA'!$G$7:$H$183,MATCH($G40,'90_SEMA'!$B$7:$B$183,0),NYELV_IDX),"### ISMERETLEN KÓD"))</f>
        <v/>
      </c>
      <c r="I40" s="33"/>
      <c r="J40" s="33"/>
      <c r="K40" s="15"/>
      <c r="L40" s="15"/>
      <c r="M40" s="15"/>
    </row>
    <row r="41" spans="2:13" ht="15" customHeight="1" x14ac:dyDescent="0.3">
      <c r="B41" s="21" t="str">
        <f t="shared" si="0"/>
        <v/>
      </c>
      <c r="C41" s="15"/>
      <c r="D41" s="15"/>
      <c r="E41" s="15"/>
      <c r="F41" s="15"/>
      <c r="G41" s="15"/>
      <c r="H41" s="39" t="str">
        <f>IF($G41="","",IFERROR(INDEX('90_SEMA'!$G$7:$H$183,MATCH($G41,'90_SEMA'!$B$7:$B$183,0),NYELV_IDX),"### ISMERETLEN KÓD"))</f>
        <v/>
      </c>
      <c r="I41" s="33"/>
      <c r="J41" s="33"/>
      <c r="K41" s="15"/>
      <c r="L41" s="15"/>
      <c r="M41" s="15"/>
    </row>
    <row r="42" spans="2:13" ht="15" customHeight="1" x14ac:dyDescent="0.3">
      <c r="B42" s="21" t="str">
        <f t="shared" si="0"/>
        <v/>
      </c>
      <c r="C42" s="15"/>
      <c r="D42" s="15"/>
      <c r="E42" s="15"/>
      <c r="F42" s="15"/>
      <c r="G42" s="15"/>
      <c r="H42" s="39" t="str">
        <f>IF($G42="","",IFERROR(INDEX('90_SEMA'!$G$7:$H$183,MATCH($G42,'90_SEMA'!$B$7:$B$183,0),NYELV_IDX),"### ISMERETLEN KÓD"))</f>
        <v/>
      </c>
      <c r="I42" s="33"/>
      <c r="J42" s="33"/>
      <c r="K42" s="15"/>
      <c r="L42" s="15"/>
      <c r="M42" s="15"/>
    </row>
    <row r="43" spans="2:13" ht="15" customHeight="1" x14ac:dyDescent="0.3">
      <c r="B43" s="21" t="str">
        <f t="shared" si="0"/>
        <v/>
      </c>
      <c r="C43" s="15"/>
      <c r="D43" s="15"/>
      <c r="E43" s="15"/>
      <c r="F43" s="15"/>
      <c r="G43" s="15"/>
      <c r="H43" s="39" t="str">
        <f>IF($G43="","",IFERROR(INDEX('90_SEMA'!$G$7:$H$183,MATCH($G43,'90_SEMA'!$B$7:$B$183,0),NYELV_IDX),"### ISMERETLEN KÓD"))</f>
        <v/>
      </c>
      <c r="I43" s="33"/>
      <c r="J43" s="33"/>
      <c r="K43" s="15"/>
      <c r="L43" s="15"/>
      <c r="M43" s="15"/>
    </row>
    <row r="44" spans="2:13" ht="15" customHeight="1" x14ac:dyDescent="0.3">
      <c r="B44" s="21" t="str">
        <f t="shared" si="0"/>
        <v/>
      </c>
      <c r="C44" s="15"/>
      <c r="D44" s="15"/>
      <c r="E44" s="15"/>
      <c r="F44" s="15"/>
      <c r="G44" s="15"/>
      <c r="H44" s="39" t="str">
        <f>IF($G44="","",IFERROR(INDEX('90_SEMA'!$G$7:$H$183,MATCH($G44,'90_SEMA'!$B$7:$B$183,0),NYELV_IDX),"### ISMERETLEN KÓD"))</f>
        <v/>
      </c>
      <c r="I44" s="33"/>
      <c r="J44" s="33"/>
      <c r="K44" s="15"/>
      <c r="L44" s="15"/>
      <c r="M44" s="15"/>
    </row>
    <row r="45" spans="2:13" ht="15" customHeight="1" x14ac:dyDescent="0.3">
      <c r="B45" s="21" t="str">
        <f t="shared" si="0"/>
        <v/>
      </c>
      <c r="C45" s="15"/>
      <c r="D45" s="15"/>
      <c r="E45" s="15"/>
      <c r="F45" s="15"/>
      <c r="G45" s="15"/>
      <c r="H45" s="39" t="str">
        <f>IF($G45="","",IFERROR(INDEX('90_SEMA'!$G$7:$H$183,MATCH($G45,'90_SEMA'!$B$7:$B$183,0),NYELV_IDX),"### ISMERETLEN KÓD"))</f>
        <v/>
      </c>
      <c r="I45" s="33"/>
      <c r="J45" s="33"/>
      <c r="K45" s="15"/>
      <c r="L45" s="15"/>
      <c r="M45" s="15"/>
    </row>
    <row r="46" spans="2:13" ht="15" customHeight="1" x14ac:dyDescent="0.3">
      <c r="B46" s="21" t="str">
        <f t="shared" si="0"/>
        <v/>
      </c>
      <c r="C46" s="15"/>
      <c r="D46" s="15"/>
      <c r="E46" s="15"/>
      <c r="F46" s="15"/>
      <c r="G46" s="15"/>
      <c r="H46" s="39" t="str">
        <f>IF($G46="","",IFERROR(INDEX('90_SEMA'!$G$7:$H$183,MATCH($G46,'90_SEMA'!$B$7:$B$183,0),NYELV_IDX),"### ISMERETLEN KÓD"))</f>
        <v/>
      </c>
      <c r="I46" s="33"/>
      <c r="J46" s="33"/>
      <c r="K46" s="15"/>
      <c r="L46" s="15"/>
      <c r="M46" s="15"/>
    </row>
    <row r="47" spans="2:13" ht="15" customHeight="1" x14ac:dyDescent="0.3">
      <c r="B47" s="21" t="str">
        <f t="shared" si="0"/>
        <v/>
      </c>
      <c r="C47" s="15"/>
      <c r="D47" s="15"/>
      <c r="E47" s="15"/>
      <c r="F47" s="15"/>
      <c r="G47" s="15"/>
      <c r="H47" s="39" t="str">
        <f>IF($G47="","",IFERROR(INDEX('90_SEMA'!$G$7:$H$183,MATCH($G47,'90_SEMA'!$B$7:$B$183,0),NYELV_IDX),"### ISMERETLEN KÓD"))</f>
        <v/>
      </c>
      <c r="I47" s="33"/>
      <c r="J47" s="33"/>
      <c r="K47" s="15"/>
      <c r="L47" s="15"/>
      <c r="M47" s="15"/>
    </row>
    <row r="48" spans="2:13" ht="15" customHeight="1" x14ac:dyDescent="0.3">
      <c r="B48" s="21" t="str">
        <f t="shared" si="0"/>
        <v/>
      </c>
      <c r="C48" s="15"/>
      <c r="D48" s="15"/>
      <c r="E48" s="15"/>
      <c r="F48" s="15"/>
      <c r="G48" s="15"/>
      <c r="H48" s="39" t="str">
        <f>IF($G48="","",IFERROR(INDEX('90_SEMA'!$G$7:$H$183,MATCH($G48,'90_SEMA'!$B$7:$B$183,0),NYELV_IDX),"### ISMERETLEN KÓD"))</f>
        <v/>
      </c>
      <c r="I48" s="33"/>
      <c r="J48" s="33"/>
      <c r="K48" s="15"/>
      <c r="L48" s="15"/>
      <c r="M48" s="15"/>
    </row>
    <row r="49" spans="2:13" ht="15" customHeight="1" x14ac:dyDescent="0.3">
      <c r="B49" s="21" t="str">
        <f t="shared" si="0"/>
        <v/>
      </c>
      <c r="C49" s="15"/>
      <c r="D49" s="15"/>
      <c r="E49" s="15"/>
      <c r="F49" s="15"/>
      <c r="G49" s="15"/>
      <c r="H49" s="39" t="str">
        <f>IF($G49="","",IFERROR(INDEX('90_SEMA'!$G$7:$H$183,MATCH($G49,'90_SEMA'!$B$7:$B$183,0),NYELV_IDX),"### ISMERETLEN KÓD"))</f>
        <v/>
      </c>
      <c r="I49" s="33"/>
      <c r="J49" s="33"/>
      <c r="K49" s="15"/>
      <c r="L49" s="15"/>
      <c r="M49" s="15"/>
    </row>
    <row r="50" spans="2:13" ht="15" customHeight="1" x14ac:dyDescent="0.3">
      <c r="B50" s="21" t="str">
        <f t="shared" si="0"/>
        <v/>
      </c>
      <c r="C50" s="15"/>
      <c r="D50" s="15"/>
      <c r="E50" s="15"/>
      <c r="F50" s="15"/>
      <c r="G50" s="15"/>
      <c r="H50" s="39" t="str">
        <f>IF($G50="","",IFERROR(INDEX('90_SEMA'!$G$7:$H$183,MATCH($G50,'90_SEMA'!$B$7:$B$183,0),NYELV_IDX),"### ISMERETLEN KÓD"))</f>
        <v/>
      </c>
      <c r="I50" s="33"/>
      <c r="J50" s="33"/>
      <c r="K50" s="15"/>
      <c r="L50" s="15"/>
      <c r="M50" s="15"/>
    </row>
    <row r="51" spans="2:13" ht="15" customHeight="1" x14ac:dyDescent="0.3">
      <c r="B51" s="21" t="str">
        <f t="shared" si="0"/>
        <v/>
      </c>
      <c r="C51" s="15"/>
      <c r="D51" s="15"/>
      <c r="E51" s="15"/>
      <c r="F51" s="15"/>
      <c r="G51" s="15"/>
      <c r="H51" s="39" t="str">
        <f>IF($G51="","",IFERROR(INDEX('90_SEMA'!$G$7:$H$183,MATCH($G51,'90_SEMA'!$B$7:$B$183,0),NYELV_IDX),"### ISMERETLEN KÓD"))</f>
        <v/>
      </c>
      <c r="I51" s="33"/>
      <c r="J51" s="33"/>
      <c r="K51" s="15"/>
      <c r="L51" s="15"/>
      <c r="M51" s="15"/>
    </row>
    <row r="52" spans="2:13" ht="15" customHeight="1" x14ac:dyDescent="0.3">
      <c r="B52" s="21" t="str">
        <f t="shared" si="0"/>
        <v/>
      </c>
      <c r="C52" s="15"/>
      <c r="D52" s="15"/>
      <c r="E52" s="15"/>
      <c r="F52" s="15"/>
      <c r="G52" s="15"/>
      <c r="H52" s="39" t="str">
        <f>IF($G52="","",IFERROR(INDEX('90_SEMA'!$G$7:$H$183,MATCH($G52,'90_SEMA'!$B$7:$B$183,0),NYELV_IDX),"### ISMERETLEN KÓD"))</f>
        <v/>
      </c>
      <c r="I52" s="33"/>
      <c r="J52" s="33"/>
      <c r="K52" s="15"/>
      <c r="L52" s="15"/>
      <c r="M52" s="15"/>
    </row>
    <row r="53" spans="2:13" ht="15" customHeight="1" x14ac:dyDescent="0.3">
      <c r="B53" s="21" t="str">
        <f t="shared" si="0"/>
        <v/>
      </c>
      <c r="C53" s="15"/>
      <c r="D53" s="15"/>
      <c r="E53" s="15"/>
      <c r="F53" s="15"/>
      <c r="G53" s="15"/>
      <c r="H53" s="39" t="str">
        <f>IF($G53="","",IFERROR(INDEX('90_SEMA'!$G$7:$H$183,MATCH($G53,'90_SEMA'!$B$7:$B$183,0),NYELV_IDX),"### ISMERETLEN KÓD"))</f>
        <v/>
      </c>
      <c r="I53" s="33"/>
      <c r="J53" s="33"/>
      <c r="K53" s="15"/>
      <c r="L53" s="15"/>
      <c r="M53" s="15"/>
    </row>
    <row r="54" spans="2:13" ht="15" customHeight="1" x14ac:dyDescent="0.3">
      <c r="B54" s="21" t="str">
        <f t="shared" si="0"/>
        <v/>
      </c>
      <c r="C54" s="15"/>
      <c r="D54" s="15"/>
      <c r="E54" s="15"/>
      <c r="F54" s="15"/>
      <c r="G54" s="15"/>
      <c r="H54" s="39" t="str">
        <f>IF($G54="","",IFERROR(INDEX('90_SEMA'!$G$7:$H$183,MATCH($G54,'90_SEMA'!$B$7:$B$183,0),NYELV_IDX),"### ISMERETLEN KÓD"))</f>
        <v/>
      </c>
      <c r="I54" s="33"/>
      <c r="J54" s="33"/>
      <c r="K54" s="15"/>
      <c r="L54" s="15"/>
      <c r="M54" s="15"/>
    </row>
    <row r="55" spans="2:13" ht="15" customHeight="1" x14ac:dyDescent="0.3">
      <c r="B55" s="21" t="str">
        <f t="shared" si="0"/>
        <v/>
      </c>
      <c r="C55" s="15"/>
      <c r="D55" s="15"/>
      <c r="E55" s="15"/>
      <c r="F55" s="15"/>
      <c r="G55" s="15"/>
      <c r="H55" s="39" t="str">
        <f>IF($G55="","",IFERROR(INDEX('90_SEMA'!$G$7:$H$183,MATCH($G55,'90_SEMA'!$B$7:$B$183,0),NYELV_IDX),"### ISMERETLEN KÓD"))</f>
        <v/>
      </c>
      <c r="I55" s="33"/>
      <c r="J55" s="33"/>
      <c r="K55" s="15"/>
      <c r="L55" s="15"/>
      <c r="M55" s="15"/>
    </row>
    <row r="56" spans="2:13" ht="15" customHeight="1" x14ac:dyDescent="0.3">
      <c r="B56" s="21" t="str">
        <f t="shared" si="0"/>
        <v/>
      </c>
      <c r="C56" s="15"/>
      <c r="D56" s="15"/>
      <c r="E56" s="15"/>
      <c r="F56" s="15"/>
      <c r="G56" s="15"/>
      <c r="H56" s="39" t="str">
        <f>IF($G56="","",IFERROR(INDEX('90_SEMA'!$G$7:$H$183,MATCH($G56,'90_SEMA'!$B$7:$B$183,0),NYELV_IDX),"### ISMERETLEN KÓD"))</f>
        <v/>
      </c>
      <c r="I56" s="33"/>
      <c r="J56" s="33"/>
      <c r="K56" s="15"/>
      <c r="L56" s="15"/>
      <c r="M56" s="15"/>
    </row>
    <row r="57" spans="2:13" ht="15" customHeight="1" x14ac:dyDescent="0.3">
      <c r="B57" s="21" t="str">
        <f t="shared" si="0"/>
        <v/>
      </c>
      <c r="C57" s="15"/>
      <c r="D57" s="15"/>
      <c r="E57" s="15"/>
      <c r="F57" s="15"/>
      <c r="G57" s="15"/>
      <c r="H57" s="39" t="str">
        <f>IF($G57="","",IFERROR(INDEX('90_SEMA'!$G$7:$H$183,MATCH($G57,'90_SEMA'!$B$7:$B$183,0),NYELV_IDX),"### ISMERETLEN KÓD"))</f>
        <v/>
      </c>
      <c r="I57" s="33"/>
      <c r="J57" s="33"/>
      <c r="K57" s="15"/>
      <c r="L57" s="15"/>
      <c r="M57" s="15"/>
    </row>
    <row r="58" spans="2:13" ht="15" customHeight="1" x14ac:dyDescent="0.3">
      <c r="B58" s="21" t="str">
        <f t="shared" si="0"/>
        <v/>
      </c>
      <c r="C58" s="15"/>
      <c r="D58" s="15"/>
      <c r="E58" s="15"/>
      <c r="F58" s="15"/>
      <c r="G58" s="15"/>
      <c r="H58" s="39" t="str">
        <f>IF($G58="","",IFERROR(INDEX('90_SEMA'!$G$7:$H$183,MATCH($G58,'90_SEMA'!$B$7:$B$183,0),NYELV_IDX),"### ISMERETLEN KÓD"))</f>
        <v/>
      </c>
      <c r="I58" s="33"/>
      <c r="J58" s="33"/>
      <c r="K58" s="15"/>
      <c r="L58" s="15"/>
      <c r="M58" s="15"/>
    </row>
    <row r="59" spans="2:13" ht="15" customHeight="1" x14ac:dyDescent="0.3">
      <c r="B59" s="21" t="str">
        <f t="shared" si="0"/>
        <v/>
      </c>
      <c r="C59" s="15"/>
      <c r="D59" s="15"/>
      <c r="E59" s="15"/>
      <c r="F59" s="15"/>
      <c r="G59" s="15"/>
      <c r="H59" s="39" t="str">
        <f>IF($G59="","",IFERROR(INDEX('90_SEMA'!$G$7:$H$183,MATCH($G59,'90_SEMA'!$B$7:$B$183,0),NYELV_IDX),"### ISMERETLEN KÓD"))</f>
        <v/>
      </c>
      <c r="I59" s="33"/>
      <c r="J59" s="33"/>
      <c r="K59" s="15"/>
      <c r="L59" s="15"/>
      <c r="M59" s="15"/>
    </row>
    <row r="60" spans="2:13" ht="15" customHeight="1" x14ac:dyDescent="0.3">
      <c r="B60" s="21" t="str">
        <f t="shared" si="0"/>
        <v/>
      </c>
      <c r="C60" s="15"/>
      <c r="D60" s="15"/>
      <c r="E60" s="15"/>
      <c r="F60" s="15"/>
      <c r="G60" s="15"/>
      <c r="H60" s="39" t="str">
        <f>IF($G60="","",IFERROR(INDEX('90_SEMA'!$G$7:$H$183,MATCH($G60,'90_SEMA'!$B$7:$B$183,0),NYELV_IDX),"### ISMERETLEN KÓD"))</f>
        <v/>
      </c>
      <c r="I60" s="33"/>
      <c r="J60" s="33"/>
      <c r="K60" s="15"/>
      <c r="L60" s="15"/>
      <c r="M60" s="15"/>
    </row>
    <row r="61" spans="2:13" ht="15" customHeight="1" x14ac:dyDescent="0.3">
      <c r="B61" s="21" t="str">
        <f t="shared" si="0"/>
        <v/>
      </c>
      <c r="C61" s="15"/>
      <c r="D61" s="15"/>
      <c r="E61" s="15"/>
      <c r="F61" s="15"/>
      <c r="G61" s="15"/>
      <c r="H61" s="39" t="str">
        <f>IF($G61="","",IFERROR(INDEX('90_SEMA'!$G$7:$H$183,MATCH($G61,'90_SEMA'!$B$7:$B$183,0),NYELV_IDX),"### ISMERETLEN KÓD"))</f>
        <v/>
      </c>
      <c r="I61" s="33"/>
      <c r="J61" s="33"/>
      <c r="K61" s="15"/>
      <c r="L61" s="15"/>
      <c r="M61" s="15"/>
    </row>
    <row r="62" spans="2:13" ht="15" customHeight="1" x14ac:dyDescent="0.3">
      <c r="B62" s="21" t="str">
        <f t="shared" si="0"/>
        <v/>
      </c>
      <c r="C62" s="15"/>
      <c r="D62" s="15"/>
      <c r="E62" s="15"/>
      <c r="F62" s="15"/>
      <c r="G62" s="15"/>
      <c r="H62" s="39" t="str">
        <f>IF($G62="","",IFERROR(INDEX('90_SEMA'!$G$7:$H$183,MATCH($G62,'90_SEMA'!$B$7:$B$183,0),NYELV_IDX),"### ISMERETLEN KÓD"))</f>
        <v/>
      </c>
      <c r="I62" s="33"/>
      <c r="J62" s="33"/>
      <c r="K62" s="15"/>
      <c r="L62" s="15"/>
      <c r="M62" s="15"/>
    </row>
    <row r="63" spans="2:13" ht="15" customHeight="1" x14ac:dyDescent="0.3">
      <c r="B63" s="21" t="str">
        <f t="shared" si="0"/>
        <v/>
      </c>
      <c r="C63" s="15"/>
      <c r="D63" s="15"/>
      <c r="E63" s="15"/>
      <c r="F63" s="15"/>
      <c r="G63" s="15"/>
      <c r="H63" s="39" t="str">
        <f>IF($G63="","",IFERROR(INDEX('90_SEMA'!$G$7:$H$183,MATCH($G63,'90_SEMA'!$B$7:$B$183,0),NYELV_IDX),"### ISMERETLEN KÓD"))</f>
        <v/>
      </c>
      <c r="I63" s="33"/>
      <c r="J63" s="33"/>
      <c r="K63" s="15"/>
      <c r="L63" s="15"/>
      <c r="M63" s="15"/>
    </row>
    <row r="64" spans="2:13" ht="15" customHeight="1" x14ac:dyDescent="0.3">
      <c r="B64" s="21" t="str">
        <f t="shared" si="0"/>
        <v/>
      </c>
      <c r="C64" s="15"/>
      <c r="D64" s="15"/>
      <c r="E64" s="15"/>
      <c r="F64" s="15"/>
      <c r="G64" s="15"/>
      <c r="H64" s="39" t="str">
        <f>IF($G64="","",IFERROR(INDEX('90_SEMA'!$G$7:$H$183,MATCH($G64,'90_SEMA'!$B$7:$B$183,0),NYELV_IDX),"### ISMERETLEN KÓD"))</f>
        <v/>
      </c>
      <c r="I64" s="33"/>
      <c r="J64" s="33"/>
      <c r="K64" s="15"/>
      <c r="L64" s="15"/>
      <c r="M64" s="15"/>
    </row>
    <row r="65" spans="2:13" ht="15" customHeight="1" x14ac:dyDescent="0.3">
      <c r="B65" s="21" t="str">
        <f t="shared" si="0"/>
        <v/>
      </c>
      <c r="C65" s="15"/>
      <c r="D65" s="15"/>
      <c r="E65" s="15"/>
      <c r="F65" s="15"/>
      <c r="G65" s="15"/>
      <c r="H65" s="39" t="str">
        <f>IF($G65="","",IFERROR(INDEX('90_SEMA'!$G$7:$H$183,MATCH($G65,'90_SEMA'!$B$7:$B$183,0),NYELV_IDX),"### ISMERETLEN KÓD"))</f>
        <v/>
      </c>
      <c r="I65" s="33"/>
      <c r="J65" s="33"/>
      <c r="K65" s="15"/>
      <c r="L65" s="15"/>
      <c r="M65" s="15"/>
    </row>
    <row r="66" spans="2:13" ht="15" customHeight="1" x14ac:dyDescent="0.3">
      <c r="B66" s="21" t="str">
        <f t="shared" si="0"/>
        <v/>
      </c>
      <c r="C66" s="15"/>
      <c r="D66" s="15"/>
      <c r="E66" s="15"/>
      <c r="F66" s="15"/>
      <c r="G66" s="15"/>
      <c r="H66" s="39" t="str">
        <f>IF($G66="","",IFERROR(INDEX('90_SEMA'!$G$7:$H$183,MATCH($G66,'90_SEMA'!$B$7:$B$183,0),NYELV_IDX),"### ISMERETLEN KÓD"))</f>
        <v/>
      </c>
      <c r="I66" s="33"/>
      <c r="J66" s="33"/>
      <c r="K66" s="15"/>
      <c r="L66" s="15"/>
      <c r="M66" s="15"/>
    </row>
    <row r="67" spans="2:13" ht="15" customHeight="1" x14ac:dyDescent="0.3">
      <c r="B67" s="21" t="str">
        <f t="shared" si="0"/>
        <v/>
      </c>
      <c r="C67" s="15"/>
      <c r="D67" s="15"/>
      <c r="E67" s="15"/>
      <c r="F67" s="15"/>
      <c r="G67" s="15"/>
      <c r="H67" s="39" t="str">
        <f>IF($G67="","",IFERROR(INDEX('90_SEMA'!$G$7:$H$183,MATCH($G67,'90_SEMA'!$B$7:$B$183,0),NYELV_IDX),"### ISMERETLEN KÓD"))</f>
        <v/>
      </c>
      <c r="I67" s="33"/>
      <c r="J67" s="33"/>
      <c r="K67" s="15"/>
      <c r="L67" s="15"/>
      <c r="M67" s="15"/>
    </row>
    <row r="68" spans="2:13" ht="15" customHeight="1" x14ac:dyDescent="0.3">
      <c r="B68" s="21" t="str">
        <f t="shared" si="0"/>
        <v/>
      </c>
      <c r="C68" s="15"/>
      <c r="D68" s="15"/>
      <c r="E68" s="15"/>
      <c r="F68" s="15"/>
      <c r="G68" s="15"/>
      <c r="H68" s="39" t="str">
        <f>IF($G68="","",IFERROR(INDEX('90_SEMA'!$G$7:$H$183,MATCH($G68,'90_SEMA'!$B$7:$B$183,0),NYELV_IDX),"### ISMERETLEN KÓD"))</f>
        <v/>
      </c>
      <c r="I68" s="33"/>
      <c r="J68" s="33"/>
      <c r="K68" s="15"/>
      <c r="L68" s="15"/>
      <c r="M68" s="15"/>
    </row>
    <row r="69" spans="2:13" ht="15" customHeight="1" x14ac:dyDescent="0.3">
      <c r="B69" s="21" t="str">
        <f t="shared" si="0"/>
        <v/>
      </c>
      <c r="C69" s="15"/>
      <c r="D69" s="15"/>
      <c r="E69" s="15"/>
      <c r="F69" s="15"/>
      <c r="G69" s="15"/>
      <c r="H69" s="39" t="str">
        <f>IF($G69="","",IFERROR(INDEX('90_SEMA'!$G$7:$H$183,MATCH($G69,'90_SEMA'!$B$7:$B$183,0),NYELV_IDX),"### ISMERETLEN KÓD"))</f>
        <v/>
      </c>
      <c r="I69" s="33"/>
      <c r="J69" s="33"/>
      <c r="K69" s="15"/>
      <c r="L69" s="15"/>
      <c r="M69" s="15"/>
    </row>
    <row r="70" spans="2:13" ht="15" customHeight="1" x14ac:dyDescent="0.3">
      <c r="B70" s="21" t="str">
        <f t="shared" si="0"/>
        <v/>
      </c>
      <c r="C70" s="15"/>
      <c r="D70" s="15"/>
      <c r="E70" s="15"/>
      <c r="F70" s="15"/>
      <c r="G70" s="15"/>
      <c r="H70" s="39" t="str">
        <f>IF($G70="","",IFERROR(INDEX('90_SEMA'!$G$7:$H$183,MATCH($G70,'90_SEMA'!$B$7:$B$183,0),NYELV_IDX),"### ISMERETLEN KÓD"))</f>
        <v/>
      </c>
      <c r="I70" s="33"/>
      <c r="J70" s="33"/>
      <c r="K70" s="15"/>
      <c r="L70" s="15"/>
      <c r="M70" s="15"/>
    </row>
    <row r="71" spans="2:13" ht="15" customHeight="1" x14ac:dyDescent="0.3">
      <c r="B71" s="21" t="str">
        <f t="shared" ref="B71:B134" si="1">IF($G71="","",ROW()-6)</f>
        <v/>
      </c>
      <c r="C71" s="15"/>
      <c r="D71" s="15"/>
      <c r="E71" s="15"/>
      <c r="F71" s="15"/>
      <c r="G71" s="15"/>
      <c r="H71" s="39" t="str">
        <f>IF($G71="","",IFERROR(INDEX('90_SEMA'!$G$7:$H$183,MATCH($G71,'90_SEMA'!$B$7:$B$183,0),NYELV_IDX),"### ISMERETLEN KÓD"))</f>
        <v/>
      </c>
      <c r="I71" s="33"/>
      <c r="J71" s="33"/>
      <c r="K71" s="15"/>
      <c r="L71" s="15"/>
      <c r="M71" s="15"/>
    </row>
    <row r="72" spans="2:13" ht="15" customHeight="1" x14ac:dyDescent="0.3">
      <c r="B72" s="21" t="str">
        <f t="shared" si="1"/>
        <v/>
      </c>
      <c r="C72" s="15"/>
      <c r="D72" s="15"/>
      <c r="E72" s="15"/>
      <c r="F72" s="15"/>
      <c r="G72" s="15"/>
      <c r="H72" s="39" t="str">
        <f>IF($G72="","",IFERROR(INDEX('90_SEMA'!$G$7:$H$183,MATCH($G72,'90_SEMA'!$B$7:$B$183,0),NYELV_IDX),"### ISMERETLEN KÓD"))</f>
        <v/>
      </c>
      <c r="I72" s="33"/>
      <c r="J72" s="33"/>
      <c r="K72" s="15"/>
      <c r="L72" s="15"/>
      <c r="M72" s="15"/>
    </row>
    <row r="73" spans="2:13" ht="15" customHeight="1" x14ac:dyDescent="0.3">
      <c r="B73" s="21" t="str">
        <f t="shared" si="1"/>
        <v/>
      </c>
      <c r="C73" s="15"/>
      <c r="D73" s="15"/>
      <c r="E73" s="15"/>
      <c r="F73" s="15"/>
      <c r="G73" s="15"/>
      <c r="H73" s="39" t="str">
        <f>IF($G73="","",IFERROR(INDEX('90_SEMA'!$G$7:$H$183,MATCH($G73,'90_SEMA'!$B$7:$B$183,0),NYELV_IDX),"### ISMERETLEN KÓD"))</f>
        <v/>
      </c>
      <c r="I73" s="33"/>
      <c r="J73" s="33"/>
      <c r="K73" s="15"/>
      <c r="L73" s="15"/>
      <c r="M73" s="15"/>
    </row>
    <row r="74" spans="2:13" ht="15" customHeight="1" x14ac:dyDescent="0.3">
      <c r="B74" s="21" t="str">
        <f t="shared" si="1"/>
        <v/>
      </c>
      <c r="C74" s="15"/>
      <c r="D74" s="15"/>
      <c r="E74" s="15"/>
      <c r="F74" s="15"/>
      <c r="G74" s="15"/>
      <c r="H74" s="39" t="str">
        <f>IF($G74="","",IFERROR(INDEX('90_SEMA'!$G$7:$H$183,MATCH($G74,'90_SEMA'!$B$7:$B$183,0),NYELV_IDX),"### ISMERETLEN KÓD"))</f>
        <v/>
      </c>
      <c r="I74" s="33"/>
      <c r="J74" s="33"/>
      <c r="K74" s="15"/>
      <c r="L74" s="15"/>
      <c r="M74" s="15"/>
    </row>
    <row r="75" spans="2:13" ht="15" customHeight="1" x14ac:dyDescent="0.3">
      <c r="B75" s="21" t="str">
        <f t="shared" si="1"/>
        <v/>
      </c>
      <c r="C75" s="15"/>
      <c r="D75" s="15"/>
      <c r="E75" s="15"/>
      <c r="F75" s="15"/>
      <c r="G75" s="15"/>
      <c r="H75" s="39" t="str">
        <f>IF($G75="","",IFERROR(INDEX('90_SEMA'!$G$7:$H$183,MATCH($G75,'90_SEMA'!$B$7:$B$183,0),NYELV_IDX),"### ISMERETLEN KÓD"))</f>
        <v/>
      </c>
      <c r="I75" s="33"/>
      <c r="J75" s="33"/>
      <c r="K75" s="15"/>
      <c r="L75" s="15"/>
      <c r="M75" s="15"/>
    </row>
    <row r="76" spans="2:13" ht="15" customHeight="1" x14ac:dyDescent="0.3">
      <c r="B76" s="21" t="str">
        <f t="shared" si="1"/>
        <v/>
      </c>
      <c r="C76" s="15"/>
      <c r="D76" s="15"/>
      <c r="E76" s="15"/>
      <c r="F76" s="15"/>
      <c r="G76" s="15"/>
      <c r="H76" s="39" t="str">
        <f>IF($G76="","",IFERROR(INDEX('90_SEMA'!$G$7:$H$183,MATCH($G76,'90_SEMA'!$B$7:$B$183,0),NYELV_IDX),"### ISMERETLEN KÓD"))</f>
        <v/>
      </c>
      <c r="I76" s="33"/>
      <c r="J76" s="33"/>
      <c r="K76" s="15"/>
      <c r="L76" s="15"/>
      <c r="M76" s="15"/>
    </row>
    <row r="77" spans="2:13" ht="15" customHeight="1" x14ac:dyDescent="0.3">
      <c r="B77" s="21" t="str">
        <f t="shared" si="1"/>
        <v/>
      </c>
      <c r="C77" s="15"/>
      <c r="D77" s="15"/>
      <c r="E77" s="15"/>
      <c r="F77" s="15"/>
      <c r="G77" s="15"/>
      <c r="H77" s="39" t="str">
        <f>IF($G77="","",IFERROR(INDEX('90_SEMA'!$G$7:$H$183,MATCH($G77,'90_SEMA'!$B$7:$B$183,0),NYELV_IDX),"### ISMERETLEN KÓD"))</f>
        <v/>
      </c>
      <c r="I77" s="33"/>
      <c r="J77" s="33"/>
      <c r="K77" s="15"/>
      <c r="L77" s="15"/>
      <c r="M77" s="15"/>
    </row>
    <row r="78" spans="2:13" ht="15" customHeight="1" x14ac:dyDescent="0.3">
      <c r="B78" s="21" t="str">
        <f t="shared" si="1"/>
        <v/>
      </c>
      <c r="C78" s="15"/>
      <c r="D78" s="15"/>
      <c r="E78" s="15"/>
      <c r="F78" s="15"/>
      <c r="G78" s="15"/>
      <c r="H78" s="39" t="str">
        <f>IF($G78="","",IFERROR(INDEX('90_SEMA'!$G$7:$H$183,MATCH($G78,'90_SEMA'!$B$7:$B$183,0),NYELV_IDX),"### ISMERETLEN KÓD"))</f>
        <v/>
      </c>
      <c r="I78" s="33"/>
      <c r="J78" s="33"/>
      <c r="K78" s="15"/>
      <c r="L78" s="15"/>
      <c r="M78" s="15"/>
    </row>
    <row r="79" spans="2:13" ht="15" customHeight="1" x14ac:dyDescent="0.3">
      <c r="B79" s="21" t="str">
        <f t="shared" si="1"/>
        <v/>
      </c>
      <c r="C79" s="15"/>
      <c r="D79" s="15"/>
      <c r="E79" s="15"/>
      <c r="F79" s="15"/>
      <c r="G79" s="15"/>
      <c r="H79" s="39" t="str">
        <f>IF($G79="","",IFERROR(INDEX('90_SEMA'!$G$7:$H$183,MATCH($G79,'90_SEMA'!$B$7:$B$183,0),NYELV_IDX),"### ISMERETLEN KÓD"))</f>
        <v/>
      </c>
      <c r="I79" s="33"/>
      <c r="J79" s="33"/>
      <c r="K79" s="15"/>
      <c r="L79" s="15"/>
      <c r="M79" s="15"/>
    </row>
    <row r="80" spans="2:13" ht="15" customHeight="1" x14ac:dyDescent="0.3">
      <c r="B80" s="21" t="str">
        <f t="shared" si="1"/>
        <v/>
      </c>
      <c r="C80" s="15"/>
      <c r="D80" s="15"/>
      <c r="E80" s="15"/>
      <c r="F80" s="15"/>
      <c r="G80" s="15"/>
      <c r="H80" s="39" t="str">
        <f>IF($G80="","",IFERROR(INDEX('90_SEMA'!$G$7:$H$183,MATCH($G80,'90_SEMA'!$B$7:$B$183,0),NYELV_IDX),"### ISMERETLEN KÓD"))</f>
        <v/>
      </c>
      <c r="I80" s="33"/>
      <c r="J80" s="33"/>
      <c r="K80" s="15"/>
      <c r="L80" s="15"/>
      <c r="M80" s="15"/>
    </row>
    <row r="81" spans="2:13" ht="15" customHeight="1" x14ac:dyDescent="0.3">
      <c r="B81" s="21" t="str">
        <f t="shared" si="1"/>
        <v/>
      </c>
      <c r="C81" s="15"/>
      <c r="D81" s="15"/>
      <c r="E81" s="15"/>
      <c r="F81" s="15"/>
      <c r="G81" s="15"/>
      <c r="H81" s="39" t="str">
        <f>IF($G81="","",IFERROR(INDEX('90_SEMA'!$G$7:$H$183,MATCH($G81,'90_SEMA'!$B$7:$B$183,0),NYELV_IDX),"### ISMERETLEN KÓD"))</f>
        <v/>
      </c>
      <c r="I81" s="33"/>
      <c r="J81" s="33"/>
      <c r="K81" s="15"/>
      <c r="L81" s="15"/>
      <c r="M81" s="15"/>
    </row>
    <row r="82" spans="2:13" ht="15" customHeight="1" x14ac:dyDescent="0.3">
      <c r="B82" s="21" t="str">
        <f t="shared" si="1"/>
        <v/>
      </c>
      <c r="C82" s="15"/>
      <c r="D82" s="15"/>
      <c r="E82" s="15"/>
      <c r="F82" s="15"/>
      <c r="G82" s="15"/>
      <c r="H82" s="39" t="str">
        <f>IF($G82="","",IFERROR(INDEX('90_SEMA'!$G$7:$H$183,MATCH($G82,'90_SEMA'!$B$7:$B$183,0),NYELV_IDX),"### ISMERETLEN KÓD"))</f>
        <v/>
      </c>
      <c r="I82" s="33"/>
      <c r="J82" s="33"/>
      <c r="K82" s="15"/>
      <c r="L82" s="15"/>
      <c r="M82" s="15"/>
    </row>
    <row r="83" spans="2:13" ht="15" customHeight="1" x14ac:dyDescent="0.3">
      <c r="B83" s="21" t="str">
        <f t="shared" si="1"/>
        <v/>
      </c>
      <c r="C83" s="15"/>
      <c r="D83" s="15"/>
      <c r="E83" s="15"/>
      <c r="F83" s="15"/>
      <c r="G83" s="15"/>
      <c r="H83" s="39" t="str">
        <f>IF($G83="","",IFERROR(INDEX('90_SEMA'!$G$7:$H$183,MATCH($G83,'90_SEMA'!$B$7:$B$183,0),NYELV_IDX),"### ISMERETLEN KÓD"))</f>
        <v/>
      </c>
      <c r="I83" s="33"/>
      <c r="J83" s="33"/>
      <c r="K83" s="15"/>
      <c r="L83" s="15"/>
      <c r="M83" s="15"/>
    </row>
    <row r="84" spans="2:13" ht="15" customHeight="1" x14ac:dyDescent="0.3">
      <c r="B84" s="21" t="str">
        <f t="shared" si="1"/>
        <v/>
      </c>
      <c r="C84" s="15"/>
      <c r="D84" s="15"/>
      <c r="E84" s="15"/>
      <c r="F84" s="15"/>
      <c r="G84" s="15"/>
      <c r="H84" s="39" t="str">
        <f>IF($G84="","",IFERROR(INDEX('90_SEMA'!$G$7:$H$183,MATCH($G84,'90_SEMA'!$B$7:$B$183,0),NYELV_IDX),"### ISMERETLEN KÓD"))</f>
        <v/>
      </c>
      <c r="I84" s="33"/>
      <c r="J84" s="33"/>
      <c r="K84" s="15"/>
      <c r="L84" s="15"/>
      <c r="M84" s="15"/>
    </row>
    <row r="85" spans="2:13" ht="15" customHeight="1" x14ac:dyDescent="0.3">
      <c r="B85" s="21" t="str">
        <f t="shared" si="1"/>
        <v/>
      </c>
      <c r="C85" s="15"/>
      <c r="D85" s="15"/>
      <c r="E85" s="15"/>
      <c r="F85" s="15"/>
      <c r="G85" s="15"/>
      <c r="H85" s="39" t="str">
        <f>IF($G85="","",IFERROR(INDEX('90_SEMA'!$G$7:$H$183,MATCH($G85,'90_SEMA'!$B$7:$B$183,0),NYELV_IDX),"### ISMERETLEN KÓD"))</f>
        <v/>
      </c>
      <c r="I85" s="33"/>
      <c r="J85" s="33"/>
      <c r="K85" s="15"/>
      <c r="L85" s="15"/>
      <c r="M85" s="15"/>
    </row>
    <row r="86" spans="2:13" ht="15" customHeight="1" x14ac:dyDescent="0.3">
      <c r="B86" s="21" t="str">
        <f t="shared" si="1"/>
        <v/>
      </c>
      <c r="C86" s="15"/>
      <c r="D86" s="15"/>
      <c r="E86" s="15"/>
      <c r="F86" s="15"/>
      <c r="G86" s="15"/>
      <c r="H86" s="39" t="str">
        <f>IF($G86="","",IFERROR(INDEX('90_SEMA'!$G$7:$H$183,MATCH($G86,'90_SEMA'!$B$7:$B$183,0),NYELV_IDX),"### ISMERETLEN KÓD"))</f>
        <v/>
      </c>
      <c r="I86" s="33"/>
      <c r="J86" s="33"/>
      <c r="K86" s="15"/>
      <c r="L86" s="15"/>
      <c r="M86" s="15"/>
    </row>
    <row r="87" spans="2:13" ht="15" customHeight="1" x14ac:dyDescent="0.3">
      <c r="B87" s="21" t="str">
        <f t="shared" si="1"/>
        <v/>
      </c>
      <c r="C87" s="15"/>
      <c r="D87" s="15"/>
      <c r="E87" s="15"/>
      <c r="F87" s="15"/>
      <c r="G87" s="15"/>
      <c r="H87" s="39" t="str">
        <f>IF($G87="","",IFERROR(INDEX('90_SEMA'!$G$7:$H$183,MATCH($G87,'90_SEMA'!$B$7:$B$183,0),NYELV_IDX),"### ISMERETLEN KÓD"))</f>
        <v/>
      </c>
      <c r="I87" s="33"/>
      <c r="J87" s="33"/>
      <c r="K87" s="15"/>
      <c r="L87" s="15"/>
      <c r="M87" s="15"/>
    </row>
    <row r="88" spans="2:13" ht="15" customHeight="1" x14ac:dyDescent="0.3">
      <c r="B88" s="21" t="str">
        <f t="shared" si="1"/>
        <v/>
      </c>
      <c r="C88" s="15"/>
      <c r="D88" s="15"/>
      <c r="E88" s="15"/>
      <c r="F88" s="15"/>
      <c r="G88" s="15"/>
      <c r="H88" s="39" t="str">
        <f>IF($G88="","",IFERROR(INDEX('90_SEMA'!$G$7:$H$183,MATCH($G88,'90_SEMA'!$B$7:$B$183,0),NYELV_IDX),"### ISMERETLEN KÓD"))</f>
        <v/>
      </c>
      <c r="I88" s="33"/>
      <c r="J88" s="33"/>
      <c r="K88" s="15"/>
      <c r="L88" s="15"/>
      <c r="M88" s="15"/>
    </row>
    <row r="89" spans="2:13" ht="15" customHeight="1" x14ac:dyDescent="0.3">
      <c r="B89" s="21" t="str">
        <f t="shared" si="1"/>
        <v/>
      </c>
      <c r="C89" s="15"/>
      <c r="D89" s="15"/>
      <c r="E89" s="15"/>
      <c r="F89" s="15"/>
      <c r="G89" s="15"/>
      <c r="H89" s="39" t="str">
        <f>IF($G89="","",IFERROR(INDEX('90_SEMA'!$G$7:$H$183,MATCH($G89,'90_SEMA'!$B$7:$B$183,0),NYELV_IDX),"### ISMERETLEN KÓD"))</f>
        <v/>
      </c>
      <c r="I89" s="33"/>
      <c r="J89" s="33"/>
      <c r="K89" s="15"/>
      <c r="L89" s="15"/>
      <c r="M89" s="15"/>
    </row>
    <row r="90" spans="2:13" ht="15" customHeight="1" x14ac:dyDescent="0.3">
      <c r="B90" s="21" t="str">
        <f t="shared" si="1"/>
        <v/>
      </c>
      <c r="C90" s="15"/>
      <c r="D90" s="15"/>
      <c r="E90" s="15"/>
      <c r="F90" s="15"/>
      <c r="G90" s="15"/>
      <c r="H90" s="39" t="str">
        <f>IF($G90="","",IFERROR(INDEX('90_SEMA'!$G$7:$H$183,MATCH($G90,'90_SEMA'!$B$7:$B$183,0),NYELV_IDX),"### ISMERETLEN KÓD"))</f>
        <v/>
      </c>
      <c r="I90" s="33"/>
      <c r="J90" s="33"/>
      <c r="K90" s="15"/>
      <c r="L90" s="15"/>
      <c r="M90" s="15"/>
    </row>
    <row r="91" spans="2:13" ht="15" customHeight="1" x14ac:dyDescent="0.3">
      <c r="B91" s="21" t="str">
        <f t="shared" si="1"/>
        <v/>
      </c>
      <c r="C91" s="15"/>
      <c r="D91" s="15"/>
      <c r="E91" s="15"/>
      <c r="F91" s="15"/>
      <c r="G91" s="15"/>
      <c r="H91" s="39" t="str">
        <f>IF($G91="","",IFERROR(INDEX('90_SEMA'!$G$7:$H$183,MATCH($G91,'90_SEMA'!$B$7:$B$183,0),NYELV_IDX),"### ISMERETLEN KÓD"))</f>
        <v/>
      </c>
      <c r="I91" s="33"/>
      <c r="J91" s="33"/>
      <c r="K91" s="15"/>
      <c r="L91" s="15"/>
      <c r="M91" s="15"/>
    </row>
    <row r="92" spans="2:13" ht="15" customHeight="1" x14ac:dyDescent="0.3">
      <c r="B92" s="21" t="str">
        <f t="shared" si="1"/>
        <v/>
      </c>
      <c r="C92" s="15"/>
      <c r="D92" s="15"/>
      <c r="E92" s="15"/>
      <c r="F92" s="15"/>
      <c r="G92" s="15"/>
      <c r="H92" s="39" t="str">
        <f>IF($G92="","",IFERROR(INDEX('90_SEMA'!$G$7:$H$183,MATCH($G92,'90_SEMA'!$B$7:$B$183,0),NYELV_IDX),"### ISMERETLEN KÓD"))</f>
        <v/>
      </c>
      <c r="I92" s="33"/>
      <c r="J92" s="33"/>
      <c r="K92" s="15"/>
      <c r="L92" s="15"/>
      <c r="M92" s="15"/>
    </row>
    <row r="93" spans="2:13" ht="15" customHeight="1" x14ac:dyDescent="0.3">
      <c r="B93" s="21" t="str">
        <f t="shared" si="1"/>
        <v/>
      </c>
      <c r="C93" s="15"/>
      <c r="D93" s="15"/>
      <c r="E93" s="15"/>
      <c r="F93" s="15"/>
      <c r="G93" s="15"/>
      <c r="H93" s="39" t="str">
        <f>IF($G93="","",IFERROR(INDEX('90_SEMA'!$G$7:$H$183,MATCH($G93,'90_SEMA'!$B$7:$B$183,0),NYELV_IDX),"### ISMERETLEN KÓD"))</f>
        <v/>
      </c>
      <c r="I93" s="33"/>
      <c r="J93" s="33"/>
      <c r="K93" s="15"/>
      <c r="L93" s="15"/>
      <c r="M93" s="15"/>
    </row>
    <row r="94" spans="2:13" ht="15" customHeight="1" x14ac:dyDescent="0.3">
      <c r="B94" s="21" t="str">
        <f t="shared" si="1"/>
        <v/>
      </c>
      <c r="C94" s="15"/>
      <c r="D94" s="15"/>
      <c r="E94" s="15"/>
      <c r="F94" s="15"/>
      <c r="G94" s="15"/>
      <c r="H94" s="39" t="str">
        <f>IF($G94="","",IFERROR(INDEX('90_SEMA'!$G$7:$H$183,MATCH($G94,'90_SEMA'!$B$7:$B$183,0),NYELV_IDX),"### ISMERETLEN KÓD"))</f>
        <v/>
      </c>
      <c r="I94" s="33"/>
      <c r="J94" s="33"/>
      <c r="K94" s="15"/>
      <c r="L94" s="15"/>
      <c r="M94" s="15"/>
    </row>
    <row r="95" spans="2:13" ht="15" customHeight="1" x14ac:dyDescent="0.3">
      <c r="B95" s="21" t="str">
        <f t="shared" si="1"/>
        <v/>
      </c>
      <c r="C95" s="15"/>
      <c r="D95" s="15"/>
      <c r="E95" s="15"/>
      <c r="F95" s="15"/>
      <c r="G95" s="15"/>
      <c r="H95" s="39" t="str">
        <f>IF($G95="","",IFERROR(INDEX('90_SEMA'!$G$7:$H$183,MATCH($G95,'90_SEMA'!$B$7:$B$183,0),NYELV_IDX),"### ISMERETLEN KÓD"))</f>
        <v/>
      </c>
      <c r="I95" s="33"/>
      <c r="J95" s="33"/>
      <c r="K95" s="15"/>
      <c r="L95" s="15"/>
      <c r="M95" s="15"/>
    </row>
    <row r="96" spans="2:13" ht="15" customHeight="1" x14ac:dyDescent="0.3">
      <c r="B96" s="21" t="str">
        <f t="shared" si="1"/>
        <v/>
      </c>
      <c r="C96" s="15"/>
      <c r="D96" s="15"/>
      <c r="E96" s="15"/>
      <c r="F96" s="15"/>
      <c r="G96" s="15"/>
      <c r="H96" s="39" t="str">
        <f>IF($G96="","",IFERROR(INDEX('90_SEMA'!$G$7:$H$183,MATCH($G96,'90_SEMA'!$B$7:$B$183,0),NYELV_IDX),"### ISMERETLEN KÓD"))</f>
        <v/>
      </c>
      <c r="I96" s="33"/>
      <c r="J96" s="33"/>
      <c r="K96" s="15"/>
      <c r="L96" s="15"/>
      <c r="M96" s="15"/>
    </row>
    <row r="97" spans="2:13" ht="15" customHeight="1" x14ac:dyDescent="0.3">
      <c r="B97" s="21" t="str">
        <f t="shared" si="1"/>
        <v/>
      </c>
      <c r="C97" s="15"/>
      <c r="D97" s="15"/>
      <c r="E97" s="15"/>
      <c r="F97" s="15"/>
      <c r="G97" s="15"/>
      <c r="H97" s="39" t="str">
        <f>IF($G97="","",IFERROR(INDEX('90_SEMA'!$G$7:$H$183,MATCH($G97,'90_SEMA'!$B$7:$B$183,0),NYELV_IDX),"### ISMERETLEN KÓD"))</f>
        <v/>
      </c>
      <c r="I97" s="33"/>
      <c r="J97" s="33"/>
      <c r="K97" s="15"/>
      <c r="L97" s="15"/>
      <c r="M97" s="15"/>
    </row>
    <row r="98" spans="2:13" ht="15" customHeight="1" x14ac:dyDescent="0.3">
      <c r="B98" s="21" t="str">
        <f t="shared" si="1"/>
        <v/>
      </c>
      <c r="C98" s="15"/>
      <c r="D98" s="15"/>
      <c r="E98" s="15"/>
      <c r="F98" s="15"/>
      <c r="G98" s="15"/>
      <c r="H98" s="39" t="str">
        <f>IF($G98="","",IFERROR(INDEX('90_SEMA'!$G$7:$H$183,MATCH($G98,'90_SEMA'!$B$7:$B$183,0),NYELV_IDX),"### ISMERETLEN KÓD"))</f>
        <v/>
      </c>
      <c r="I98" s="33"/>
      <c r="J98" s="33"/>
      <c r="K98" s="15"/>
      <c r="L98" s="15"/>
      <c r="M98" s="15"/>
    </row>
    <row r="99" spans="2:13" ht="15" customHeight="1" x14ac:dyDescent="0.3">
      <c r="B99" s="21" t="str">
        <f t="shared" si="1"/>
        <v/>
      </c>
      <c r="C99" s="15"/>
      <c r="D99" s="15"/>
      <c r="E99" s="15"/>
      <c r="F99" s="15"/>
      <c r="G99" s="15"/>
      <c r="H99" s="39" t="str">
        <f>IF($G99="","",IFERROR(INDEX('90_SEMA'!$G$7:$H$183,MATCH($G99,'90_SEMA'!$B$7:$B$183,0),NYELV_IDX),"### ISMERETLEN KÓD"))</f>
        <v/>
      </c>
      <c r="I99" s="33"/>
      <c r="J99" s="33"/>
      <c r="K99" s="15"/>
      <c r="L99" s="15"/>
      <c r="M99" s="15"/>
    </row>
    <row r="100" spans="2:13" ht="15" customHeight="1" x14ac:dyDescent="0.3">
      <c r="B100" s="21" t="str">
        <f t="shared" si="1"/>
        <v/>
      </c>
      <c r="C100" s="15"/>
      <c r="D100" s="15"/>
      <c r="E100" s="15"/>
      <c r="F100" s="15"/>
      <c r="G100" s="15"/>
      <c r="H100" s="39" t="str">
        <f>IF($G100="","",IFERROR(INDEX('90_SEMA'!$G$7:$H$183,MATCH($G100,'90_SEMA'!$B$7:$B$183,0),NYELV_IDX),"### ISMERETLEN KÓD"))</f>
        <v/>
      </c>
      <c r="I100" s="33"/>
      <c r="J100" s="33"/>
      <c r="K100" s="15"/>
      <c r="L100" s="15"/>
      <c r="M100" s="15"/>
    </row>
    <row r="101" spans="2:13" ht="15" customHeight="1" x14ac:dyDescent="0.3">
      <c r="B101" s="21" t="str">
        <f t="shared" si="1"/>
        <v/>
      </c>
      <c r="C101" s="15"/>
      <c r="D101" s="15"/>
      <c r="E101" s="15"/>
      <c r="F101" s="15"/>
      <c r="G101" s="15"/>
      <c r="H101" s="39" t="str">
        <f>IF($G101="","",IFERROR(INDEX('90_SEMA'!$G$7:$H$183,MATCH($G101,'90_SEMA'!$B$7:$B$183,0),NYELV_IDX),"### ISMERETLEN KÓD"))</f>
        <v/>
      </c>
      <c r="I101" s="33"/>
      <c r="J101" s="33"/>
      <c r="K101" s="15"/>
      <c r="L101" s="15"/>
      <c r="M101" s="15"/>
    </row>
    <row r="102" spans="2:13" ht="15" customHeight="1" x14ac:dyDescent="0.3">
      <c r="B102" s="21" t="str">
        <f t="shared" si="1"/>
        <v/>
      </c>
      <c r="C102" s="15"/>
      <c r="D102" s="15"/>
      <c r="E102" s="15"/>
      <c r="F102" s="15"/>
      <c r="G102" s="15"/>
      <c r="H102" s="39" t="str">
        <f>IF($G102="","",IFERROR(INDEX('90_SEMA'!$G$7:$H$183,MATCH($G102,'90_SEMA'!$B$7:$B$183,0),NYELV_IDX),"### ISMERETLEN KÓD"))</f>
        <v/>
      </c>
      <c r="I102" s="33"/>
      <c r="J102" s="33"/>
      <c r="K102" s="15"/>
      <c r="L102" s="15"/>
      <c r="M102" s="15"/>
    </row>
    <row r="103" spans="2:13" ht="15" customHeight="1" x14ac:dyDescent="0.3">
      <c r="B103" s="21" t="str">
        <f t="shared" si="1"/>
        <v/>
      </c>
      <c r="C103" s="15"/>
      <c r="D103" s="15"/>
      <c r="E103" s="15"/>
      <c r="F103" s="15"/>
      <c r="G103" s="15"/>
      <c r="H103" s="39" t="str">
        <f>IF($G103="","",IFERROR(INDEX('90_SEMA'!$G$7:$H$183,MATCH($G103,'90_SEMA'!$B$7:$B$183,0),NYELV_IDX),"### ISMERETLEN KÓD"))</f>
        <v/>
      </c>
      <c r="I103" s="33"/>
      <c r="J103" s="33"/>
      <c r="K103" s="15"/>
      <c r="L103" s="15"/>
      <c r="M103" s="15"/>
    </row>
    <row r="104" spans="2:13" ht="15" customHeight="1" x14ac:dyDescent="0.3">
      <c r="B104" s="21" t="str">
        <f t="shared" si="1"/>
        <v/>
      </c>
      <c r="C104" s="15"/>
      <c r="D104" s="15"/>
      <c r="E104" s="15"/>
      <c r="F104" s="15"/>
      <c r="G104" s="15"/>
      <c r="H104" s="39" t="str">
        <f>IF($G104="","",IFERROR(INDEX('90_SEMA'!$G$7:$H$183,MATCH($G104,'90_SEMA'!$B$7:$B$183,0),NYELV_IDX),"### ISMERETLEN KÓD"))</f>
        <v/>
      </c>
      <c r="I104" s="33"/>
      <c r="J104" s="33"/>
      <c r="K104" s="15"/>
      <c r="L104" s="15"/>
      <c r="M104" s="15"/>
    </row>
    <row r="105" spans="2:13" ht="15" customHeight="1" x14ac:dyDescent="0.3">
      <c r="B105" s="21" t="str">
        <f t="shared" si="1"/>
        <v/>
      </c>
      <c r="C105" s="15"/>
      <c r="D105" s="15"/>
      <c r="E105" s="15"/>
      <c r="F105" s="15"/>
      <c r="G105" s="15"/>
      <c r="H105" s="39" t="str">
        <f>IF($G105="","",IFERROR(INDEX('90_SEMA'!$G$7:$H$183,MATCH($G105,'90_SEMA'!$B$7:$B$183,0),NYELV_IDX),"### ISMERETLEN KÓD"))</f>
        <v/>
      </c>
      <c r="I105" s="33"/>
      <c r="J105" s="33"/>
      <c r="K105" s="15"/>
      <c r="L105" s="15"/>
      <c r="M105" s="15"/>
    </row>
    <row r="106" spans="2:13" ht="15" customHeight="1" x14ac:dyDescent="0.3">
      <c r="B106" s="21" t="str">
        <f t="shared" si="1"/>
        <v/>
      </c>
      <c r="C106" s="15"/>
      <c r="D106" s="15"/>
      <c r="E106" s="15"/>
      <c r="F106" s="15"/>
      <c r="G106" s="15"/>
      <c r="H106" s="39" t="str">
        <f>IF($G106="","",IFERROR(INDEX('90_SEMA'!$G$7:$H$183,MATCH($G106,'90_SEMA'!$B$7:$B$183,0),NYELV_IDX),"### ISMERETLEN KÓD"))</f>
        <v/>
      </c>
      <c r="I106" s="33"/>
      <c r="J106" s="33"/>
      <c r="K106" s="15"/>
      <c r="L106" s="15"/>
      <c r="M106" s="15"/>
    </row>
    <row r="107" spans="2:13" ht="15" customHeight="1" x14ac:dyDescent="0.3">
      <c r="B107" s="21" t="str">
        <f t="shared" si="1"/>
        <v/>
      </c>
      <c r="C107" s="15"/>
      <c r="D107" s="15"/>
      <c r="E107" s="15"/>
      <c r="F107" s="15"/>
      <c r="G107" s="15"/>
      <c r="H107" s="39" t="str">
        <f>IF($G107="","",IFERROR(INDEX('90_SEMA'!$G$7:$H$183,MATCH($G107,'90_SEMA'!$B$7:$B$183,0),NYELV_IDX),"### ISMERETLEN KÓD"))</f>
        <v/>
      </c>
      <c r="I107" s="33"/>
      <c r="J107" s="33"/>
      <c r="K107" s="15"/>
      <c r="L107" s="15"/>
      <c r="M107" s="15"/>
    </row>
    <row r="108" spans="2:13" ht="15" customHeight="1" x14ac:dyDescent="0.3">
      <c r="B108" s="21" t="str">
        <f t="shared" si="1"/>
        <v/>
      </c>
      <c r="C108" s="15"/>
      <c r="D108" s="15"/>
      <c r="E108" s="15"/>
      <c r="F108" s="15"/>
      <c r="G108" s="15"/>
      <c r="H108" s="39" t="str">
        <f>IF($G108="","",IFERROR(INDEX('90_SEMA'!$G$7:$H$183,MATCH($G108,'90_SEMA'!$B$7:$B$183,0),NYELV_IDX),"### ISMERETLEN KÓD"))</f>
        <v/>
      </c>
      <c r="I108" s="33"/>
      <c r="J108" s="33"/>
      <c r="K108" s="15"/>
      <c r="L108" s="15"/>
      <c r="M108" s="15"/>
    </row>
    <row r="109" spans="2:13" ht="15" customHeight="1" x14ac:dyDescent="0.3">
      <c r="B109" s="21" t="str">
        <f t="shared" si="1"/>
        <v/>
      </c>
      <c r="C109" s="15"/>
      <c r="D109" s="15"/>
      <c r="E109" s="15"/>
      <c r="F109" s="15"/>
      <c r="G109" s="15"/>
      <c r="H109" s="39" t="str">
        <f>IF($G109="","",IFERROR(INDEX('90_SEMA'!$G$7:$H$183,MATCH($G109,'90_SEMA'!$B$7:$B$183,0),NYELV_IDX),"### ISMERETLEN KÓD"))</f>
        <v/>
      </c>
      <c r="I109" s="33"/>
      <c r="J109" s="33"/>
      <c r="K109" s="15"/>
      <c r="L109" s="15"/>
      <c r="M109" s="15"/>
    </row>
    <row r="110" spans="2:13" ht="15" customHeight="1" x14ac:dyDescent="0.3">
      <c r="B110" s="21" t="str">
        <f t="shared" si="1"/>
        <v/>
      </c>
      <c r="C110" s="15"/>
      <c r="D110" s="15"/>
      <c r="E110" s="15"/>
      <c r="F110" s="15"/>
      <c r="G110" s="15"/>
      <c r="H110" s="39" t="str">
        <f>IF($G110="","",IFERROR(INDEX('90_SEMA'!$G$7:$H$183,MATCH($G110,'90_SEMA'!$B$7:$B$183,0),NYELV_IDX),"### ISMERETLEN KÓD"))</f>
        <v/>
      </c>
      <c r="I110" s="33"/>
      <c r="J110" s="33"/>
      <c r="K110" s="15"/>
      <c r="L110" s="15"/>
      <c r="M110" s="15"/>
    </row>
    <row r="111" spans="2:13" ht="15" customHeight="1" x14ac:dyDescent="0.3">
      <c r="B111" s="21" t="str">
        <f t="shared" si="1"/>
        <v/>
      </c>
      <c r="C111" s="15"/>
      <c r="D111" s="15"/>
      <c r="E111" s="15"/>
      <c r="F111" s="15"/>
      <c r="G111" s="15"/>
      <c r="H111" s="39" t="str">
        <f>IF($G111="","",IFERROR(INDEX('90_SEMA'!$G$7:$H$183,MATCH($G111,'90_SEMA'!$B$7:$B$183,0),NYELV_IDX),"### ISMERETLEN KÓD"))</f>
        <v/>
      </c>
      <c r="I111" s="33"/>
      <c r="J111" s="33"/>
      <c r="K111" s="15"/>
      <c r="L111" s="15"/>
      <c r="M111" s="15"/>
    </row>
    <row r="112" spans="2:13" ht="15" customHeight="1" x14ac:dyDescent="0.3">
      <c r="B112" s="21" t="str">
        <f t="shared" si="1"/>
        <v/>
      </c>
      <c r="C112" s="15"/>
      <c r="D112" s="15"/>
      <c r="E112" s="15"/>
      <c r="F112" s="15"/>
      <c r="G112" s="15"/>
      <c r="H112" s="39" t="str">
        <f>IF($G112="","",IFERROR(INDEX('90_SEMA'!$G$7:$H$183,MATCH($G112,'90_SEMA'!$B$7:$B$183,0),NYELV_IDX),"### ISMERETLEN KÓD"))</f>
        <v/>
      </c>
      <c r="I112" s="33"/>
      <c r="J112" s="33"/>
      <c r="K112" s="15"/>
      <c r="L112" s="15"/>
      <c r="M112" s="15"/>
    </row>
    <row r="113" spans="2:13" ht="15" customHeight="1" x14ac:dyDescent="0.3">
      <c r="B113" s="21" t="str">
        <f t="shared" si="1"/>
        <v/>
      </c>
      <c r="C113" s="15"/>
      <c r="D113" s="15"/>
      <c r="E113" s="15"/>
      <c r="F113" s="15"/>
      <c r="G113" s="15"/>
      <c r="H113" s="39" t="str">
        <f>IF($G113="","",IFERROR(INDEX('90_SEMA'!$G$7:$H$183,MATCH($G113,'90_SEMA'!$B$7:$B$183,0),NYELV_IDX),"### ISMERETLEN KÓD"))</f>
        <v/>
      </c>
      <c r="I113" s="33"/>
      <c r="J113" s="33"/>
      <c r="K113" s="15"/>
      <c r="L113" s="15"/>
      <c r="M113" s="15"/>
    </row>
    <row r="114" spans="2:13" ht="15" customHeight="1" x14ac:dyDescent="0.3">
      <c r="B114" s="21" t="str">
        <f t="shared" si="1"/>
        <v/>
      </c>
      <c r="C114" s="15"/>
      <c r="D114" s="15"/>
      <c r="E114" s="15"/>
      <c r="F114" s="15"/>
      <c r="G114" s="15"/>
      <c r="H114" s="39" t="str">
        <f>IF($G114="","",IFERROR(INDEX('90_SEMA'!$G$7:$H$183,MATCH($G114,'90_SEMA'!$B$7:$B$183,0),NYELV_IDX),"### ISMERETLEN KÓD"))</f>
        <v/>
      </c>
      <c r="I114" s="33"/>
      <c r="J114" s="33"/>
      <c r="K114" s="15"/>
      <c r="L114" s="15"/>
      <c r="M114" s="15"/>
    </row>
    <row r="115" spans="2:13" ht="15" customHeight="1" x14ac:dyDescent="0.3">
      <c r="B115" s="21" t="str">
        <f t="shared" si="1"/>
        <v/>
      </c>
      <c r="C115" s="15"/>
      <c r="D115" s="15"/>
      <c r="E115" s="15"/>
      <c r="F115" s="15"/>
      <c r="G115" s="15"/>
      <c r="H115" s="39" t="str">
        <f>IF($G115="","",IFERROR(INDEX('90_SEMA'!$G$7:$H$183,MATCH($G115,'90_SEMA'!$B$7:$B$183,0),NYELV_IDX),"### ISMERETLEN KÓD"))</f>
        <v/>
      </c>
      <c r="I115" s="33"/>
      <c r="J115" s="33"/>
      <c r="K115" s="15"/>
      <c r="L115" s="15"/>
      <c r="M115" s="15"/>
    </row>
    <row r="116" spans="2:13" ht="15" customHeight="1" x14ac:dyDescent="0.3">
      <c r="B116" s="21" t="str">
        <f t="shared" si="1"/>
        <v/>
      </c>
      <c r="C116" s="15"/>
      <c r="D116" s="15"/>
      <c r="E116" s="15"/>
      <c r="F116" s="15"/>
      <c r="G116" s="15"/>
      <c r="H116" s="39" t="str">
        <f>IF($G116="","",IFERROR(INDEX('90_SEMA'!$G$7:$H$183,MATCH($G116,'90_SEMA'!$B$7:$B$183,0),NYELV_IDX),"### ISMERETLEN KÓD"))</f>
        <v/>
      </c>
      <c r="I116" s="33"/>
      <c r="J116" s="33"/>
      <c r="K116" s="15"/>
      <c r="L116" s="15"/>
      <c r="M116" s="15"/>
    </row>
    <row r="117" spans="2:13" ht="15" customHeight="1" x14ac:dyDescent="0.3">
      <c r="B117" s="21" t="str">
        <f t="shared" si="1"/>
        <v/>
      </c>
      <c r="C117" s="15"/>
      <c r="D117" s="15"/>
      <c r="E117" s="15"/>
      <c r="F117" s="15"/>
      <c r="G117" s="15"/>
      <c r="H117" s="39" t="str">
        <f>IF($G117="","",IFERROR(INDEX('90_SEMA'!$G$7:$H$183,MATCH($G117,'90_SEMA'!$B$7:$B$183,0),NYELV_IDX),"### ISMERETLEN KÓD"))</f>
        <v/>
      </c>
      <c r="I117" s="33"/>
      <c r="J117" s="33"/>
      <c r="K117" s="15"/>
      <c r="L117" s="15"/>
      <c r="M117" s="15"/>
    </row>
    <row r="118" spans="2:13" ht="15" customHeight="1" x14ac:dyDescent="0.3">
      <c r="B118" s="21" t="str">
        <f t="shared" si="1"/>
        <v/>
      </c>
      <c r="C118" s="15"/>
      <c r="D118" s="15"/>
      <c r="E118" s="15"/>
      <c r="F118" s="15"/>
      <c r="G118" s="15"/>
      <c r="H118" s="39" t="str">
        <f>IF($G118="","",IFERROR(INDEX('90_SEMA'!$G$7:$H$183,MATCH($G118,'90_SEMA'!$B$7:$B$183,0),NYELV_IDX),"### ISMERETLEN KÓD"))</f>
        <v/>
      </c>
      <c r="I118" s="33"/>
      <c r="J118" s="33"/>
      <c r="K118" s="15"/>
      <c r="L118" s="15"/>
      <c r="M118" s="15"/>
    </row>
    <row r="119" spans="2:13" ht="15" customHeight="1" x14ac:dyDescent="0.3">
      <c r="B119" s="21" t="str">
        <f t="shared" si="1"/>
        <v/>
      </c>
      <c r="C119" s="15"/>
      <c r="D119" s="15"/>
      <c r="E119" s="15"/>
      <c r="F119" s="15"/>
      <c r="G119" s="15"/>
      <c r="H119" s="39" t="str">
        <f>IF($G119="","",IFERROR(INDEX('90_SEMA'!$G$7:$H$183,MATCH($G119,'90_SEMA'!$B$7:$B$183,0),NYELV_IDX),"### ISMERETLEN KÓD"))</f>
        <v/>
      </c>
      <c r="I119" s="33"/>
      <c r="J119" s="33"/>
      <c r="K119" s="15"/>
      <c r="L119" s="15"/>
      <c r="M119" s="15"/>
    </row>
    <row r="120" spans="2:13" ht="15" customHeight="1" x14ac:dyDescent="0.3">
      <c r="B120" s="21" t="str">
        <f t="shared" si="1"/>
        <v/>
      </c>
      <c r="C120" s="15"/>
      <c r="D120" s="15"/>
      <c r="E120" s="15"/>
      <c r="F120" s="15"/>
      <c r="G120" s="15"/>
      <c r="H120" s="39" t="str">
        <f>IF($G120="","",IFERROR(INDEX('90_SEMA'!$G$7:$H$183,MATCH($G120,'90_SEMA'!$B$7:$B$183,0),NYELV_IDX),"### ISMERETLEN KÓD"))</f>
        <v/>
      </c>
      <c r="I120" s="33"/>
      <c r="J120" s="33"/>
      <c r="K120" s="15"/>
      <c r="L120" s="15"/>
      <c r="M120" s="15"/>
    </row>
    <row r="121" spans="2:13" ht="15" customHeight="1" x14ac:dyDescent="0.3">
      <c r="B121" s="21" t="str">
        <f t="shared" si="1"/>
        <v/>
      </c>
      <c r="C121" s="15"/>
      <c r="D121" s="15"/>
      <c r="E121" s="15"/>
      <c r="F121" s="15"/>
      <c r="G121" s="15"/>
      <c r="H121" s="39" t="str">
        <f>IF($G121="","",IFERROR(INDEX('90_SEMA'!$G$7:$H$183,MATCH($G121,'90_SEMA'!$B$7:$B$183,0),NYELV_IDX),"### ISMERETLEN KÓD"))</f>
        <v/>
      </c>
      <c r="I121" s="33"/>
      <c r="J121" s="33"/>
      <c r="K121" s="15"/>
      <c r="L121" s="15"/>
      <c r="M121" s="15"/>
    </row>
    <row r="122" spans="2:13" ht="15" customHeight="1" x14ac:dyDescent="0.3">
      <c r="B122" s="21" t="str">
        <f t="shared" si="1"/>
        <v/>
      </c>
      <c r="C122" s="15"/>
      <c r="D122" s="15"/>
      <c r="E122" s="15"/>
      <c r="F122" s="15"/>
      <c r="G122" s="15"/>
      <c r="H122" s="39" t="str">
        <f>IF($G122="","",IFERROR(INDEX('90_SEMA'!$G$7:$H$183,MATCH($G122,'90_SEMA'!$B$7:$B$183,0),NYELV_IDX),"### ISMERETLEN KÓD"))</f>
        <v/>
      </c>
      <c r="I122" s="33"/>
      <c r="J122" s="33"/>
      <c r="K122" s="15"/>
      <c r="L122" s="15"/>
      <c r="M122" s="15"/>
    </row>
    <row r="123" spans="2:13" ht="15" customHeight="1" x14ac:dyDescent="0.3">
      <c r="B123" s="21" t="str">
        <f t="shared" si="1"/>
        <v/>
      </c>
      <c r="C123" s="15"/>
      <c r="D123" s="15"/>
      <c r="E123" s="15"/>
      <c r="F123" s="15"/>
      <c r="G123" s="15"/>
      <c r="H123" s="39" t="str">
        <f>IF($G123="","",IFERROR(INDEX('90_SEMA'!$G$7:$H$183,MATCH($G123,'90_SEMA'!$B$7:$B$183,0),NYELV_IDX),"### ISMERETLEN KÓD"))</f>
        <v/>
      </c>
      <c r="I123" s="33"/>
      <c r="J123" s="33"/>
      <c r="K123" s="15"/>
      <c r="L123" s="15"/>
      <c r="M123" s="15"/>
    </row>
    <row r="124" spans="2:13" ht="15" customHeight="1" x14ac:dyDescent="0.3">
      <c r="B124" s="21" t="str">
        <f t="shared" si="1"/>
        <v/>
      </c>
      <c r="C124" s="15"/>
      <c r="D124" s="15"/>
      <c r="E124" s="15"/>
      <c r="F124" s="15"/>
      <c r="G124" s="15"/>
      <c r="H124" s="39" t="str">
        <f>IF($G124="","",IFERROR(INDEX('90_SEMA'!$G$7:$H$183,MATCH($G124,'90_SEMA'!$B$7:$B$183,0),NYELV_IDX),"### ISMERETLEN KÓD"))</f>
        <v/>
      </c>
      <c r="I124" s="33"/>
      <c r="J124" s="33"/>
      <c r="K124" s="15"/>
      <c r="L124" s="15"/>
      <c r="M124" s="15"/>
    </row>
    <row r="125" spans="2:13" ht="15" customHeight="1" x14ac:dyDescent="0.3">
      <c r="B125" s="21" t="str">
        <f t="shared" si="1"/>
        <v/>
      </c>
      <c r="C125" s="15"/>
      <c r="D125" s="15"/>
      <c r="E125" s="15"/>
      <c r="F125" s="15"/>
      <c r="G125" s="15"/>
      <c r="H125" s="39" t="str">
        <f>IF($G125="","",IFERROR(INDEX('90_SEMA'!$G$7:$H$183,MATCH($G125,'90_SEMA'!$B$7:$B$183,0),NYELV_IDX),"### ISMERETLEN KÓD"))</f>
        <v/>
      </c>
      <c r="I125" s="33"/>
      <c r="J125" s="33"/>
      <c r="K125" s="15"/>
      <c r="L125" s="15"/>
      <c r="M125" s="15"/>
    </row>
    <row r="126" spans="2:13" ht="15" customHeight="1" x14ac:dyDescent="0.3">
      <c r="B126" s="21" t="str">
        <f t="shared" si="1"/>
        <v/>
      </c>
      <c r="C126" s="15"/>
      <c r="D126" s="15"/>
      <c r="E126" s="15"/>
      <c r="F126" s="15"/>
      <c r="G126" s="15"/>
      <c r="H126" s="39" t="str">
        <f>IF($G126="","",IFERROR(INDEX('90_SEMA'!$G$7:$H$183,MATCH($G126,'90_SEMA'!$B$7:$B$183,0),NYELV_IDX),"### ISMERETLEN KÓD"))</f>
        <v/>
      </c>
      <c r="I126" s="33"/>
      <c r="J126" s="33"/>
      <c r="K126" s="15"/>
      <c r="L126" s="15"/>
      <c r="M126" s="15"/>
    </row>
    <row r="127" spans="2:13" ht="15" customHeight="1" x14ac:dyDescent="0.3">
      <c r="B127" s="21" t="str">
        <f t="shared" si="1"/>
        <v/>
      </c>
      <c r="C127" s="15"/>
      <c r="D127" s="15"/>
      <c r="E127" s="15"/>
      <c r="F127" s="15"/>
      <c r="G127" s="15"/>
      <c r="H127" s="39" t="str">
        <f>IF($G127="","",IFERROR(INDEX('90_SEMA'!$G$7:$H$183,MATCH($G127,'90_SEMA'!$B$7:$B$183,0),NYELV_IDX),"### ISMERETLEN KÓD"))</f>
        <v/>
      </c>
      <c r="I127" s="33"/>
      <c r="J127" s="33"/>
      <c r="K127" s="15"/>
      <c r="L127" s="15"/>
      <c r="M127" s="15"/>
    </row>
    <row r="128" spans="2:13" ht="15" customHeight="1" x14ac:dyDescent="0.3">
      <c r="B128" s="21" t="str">
        <f t="shared" si="1"/>
        <v/>
      </c>
      <c r="C128" s="15"/>
      <c r="D128" s="15"/>
      <c r="E128" s="15"/>
      <c r="F128" s="15"/>
      <c r="G128" s="15"/>
      <c r="H128" s="39" t="str">
        <f>IF($G128="","",IFERROR(INDEX('90_SEMA'!$G$7:$H$183,MATCH($G128,'90_SEMA'!$B$7:$B$183,0),NYELV_IDX),"### ISMERETLEN KÓD"))</f>
        <v/>
      </c>
      <c r="I128" s="33"/>
      <c r="J128" s="33"/>
      <c r="K128" s="15"/>
      <c r="L128" s="15"/>
      <c r="M128" s="15"/>
    </row>
    <row r="129" spans="2:13" ht="15" customHeight="1" x14ac:dyDescent="0.3">
      <c r="B129" s="21" t="str">
        <f t="shared" si="1"/>
        <v/>
      </c>
      <c r="C129" s="15"/>
      <c r="D129" s="15"/>
      <c r="E129" s="15"/>
      <c r="F129" s="15"/>
      <c r="G129" s="15"/>
      <c r="H129" s="39" t="str">
        <f>IF($G129="","",IFERROR(INDEX('90_SEMA'!$G$7:$H$183,MATCH($G129,'90_SEMA'!$B$7:$B$183,0),NYELV_IDX),"### ISMERETLEN KÓD"))</f>
        <v/>
      </c>
      <c r="I129" s="33"/>
      <c r="J129" s="33"/>
      <c r="K129" s="15"/>
      <c r="L129" s="15"/>
      <c r="M129" s="15"/>
    </row>
    <row r="130" spans="2:13" ht="15" customHeight="1" x14ac:dyDescent="0.3">
      <c r="B130" s="21" t="str">
        <f t="shared" si="1"/>
        <v/>
      </c>
      <c r="C130" s="15"/>
      <c r="D130" s="15"/>
      <c r="E130" s="15"/>
      <c r="F130" s="15"/>
      <c r="G130" s="15"/>
      <c r="H130" s="39" t="str">
        <f>IF($G130="","",IFERROR(INDEX('90_SEMA'!$G$7:$H$183,MATCH($G130,'90_SEMA'!$B$7:$B$183,0),NYELV_IDX),"### ISMERETLEN KÓD"))</f>
        <v/>
      </c>
      <c r="I130" s="33"/>
      <c r="J130" s="33"/>
      <c r="K130" s="15"/>
      <c r="L130" s="15"/>
      <c r="M130" s="15"/>
    </row>
    <row r="131" spans="2:13" ht="15" customHeight="1" x14ac:dyDescent="0.3">
      <c r="B131" s="21" t="str">
        <f t="shared" si="1"/>
        <v/>
      </c>
      <c r="C131" s="15"/>
      <c r="D131" s="15"/>
      <c r="E131" s="15"/>
      <c r="F131" s="15"/>
      <c r="G131" s="15"/>
      <c r="H131" s="39" t="str">
        <f>IF($G131="","",IFERROR(INDEX('90_SEMA'!$G$7:$H$183,MATCH($G131,'90_SEMA'!$B$7:$B$183,0),NYELV_IDX),"### ISMERETLEN KÓD"))</f>
        <v/>
      </c>
      <c r="I131" s="33"/>
      <c r="J131" s="33"/>
      <c r="K131" s="15"/>
      <c r="L131" s="15"/>
      <c r="M131" s="15"/>
    </row>
    <row r="132" spans="2:13" ht="15" customHeight="1" x14ac:dyDescent="0.3">
      <c r="B132" s="21" t="str">
        <f t="shared" si="1"/>
        <v/>
      </c>
      <c r="C132" s="15"/>
      <c r="D132" s="15"/>
      <c r="E132" s="15"/>
      <c r="F132" s="15"/>
      <c r="G132" s="15"/>
      <c r="H132" s="39" t="str">
        <f>IF($G132="","",IFERROR(INDEX('90_SEMA'!$G$7:$H$183,MATCH($G132,'90_SEMA'!$B$7:$B$183,0),NYELV_IDX),"### ISMERETLEN KÓD"))</f>
        <v/>
      </c>
      <c r="I132" s="33"/>
      <c r="J132" s="33"/>
      <c r="K132" s="15"/>
      <c r="L132" s="15"/>
      <c r="M132" s="15"/>
    </row>
    <row r="133" spans="2:13" ht="15" customHeight="1" x14ac:dyDescent="0.3">
      <c r="B133" s="21" t="str">
        <f t="shared" si="1"/>
        <v/>
      </c>
      <c r="C133" s="15"/>
      <c r="D133" s="15"/>
      <c r="E133" s="15"/>
      <c r="F133" s="15"/>
      <c r="G133" s="15"/>
      <c r="H133" s="39" t="str">
        <f>IF($G133="","",IFERROR(INDEX('90_SEMA'!$G$7:$H$183,MATCH($G133,'90_SEMA'!$B$7:$B$183,0),NYELV_IDX),"### ISMERETLEN KÓD"))</f>
        <v/>
      </c>
      <c r="I133" s="33"/>
      <c r="J133" s="33"/>
      <c r="K133" s="15"/>
      <c r="L133" s="15"/>
      <c r="M133" s="15"/>
    </row>
    <row r="134" spans="2:13" ht="15" customHeight="1" x14ac:dyDescent="0.3">
      <c r="B134" s="21" t="str">
        <f t="shared" si="1"/>
        <v/>
      </c>
      <c r="C134" s="15"/>
      <c r="D134" s="15"/>
      <c r="E134" s="15"/>
      <c r="F134" s="15"/>
      <c r="G134" s="15"/>
      <c r="H134" s="39" t="str">
        <f>IF($G134="","",IFERROR(INDEX('90_SEMA'!$G$7:$H$183,MATCH($G134,'90_SEMA'!$B$7:$B$183,0),NYELV_IDX),"### ISMERETLEN KÓD"))</f>
        <v/>
      </c>
      <c r="I134" s="33"/>
      <c r="J134" s="33"/>
      <c r="K134" s="15"/>
      <c r="L134" s="15"/>
      <c r="M134" s="15"/>
    </row>
    <row r="135" spans="2:13" ht="15" customHeight="1" x14ac:dyDescent="0.3">
      <c r="B135" s="21" t="str">
        <f t="shared" ref="B135:B198" si="2">IF($G135="","",ROW()-6)</f>
        <v/>
      </c>
      <c r="C135" s="15"/>
      <c r="D135" s="15"/>
      <c r="E135" s="15"/>
      <c r="F135" s="15"/>
      <c r="G135" s="15"/>
      <c r="H135" s="39" t="str">
        <f>IF($G135="","",IFERROR(INDEX('90_SEMA'!$G$7:$H$183,MATCH($G135,'90_SEMA'!$B$7:$B$183,0),NYELV_IDX),"### ISMERETLEN KÓD"))</f>
        <v/>
      </c>
      <c r="I135" s="33"/>
      <c r="J135" s="33"/>
      <c r="K135" s="15"/>
      <c r="L135" s="15"/>
      <c r="M135" s="15"/>
    </row>
    <row r="136" spans="2:13" ht="15" customHeight="1" x14ac:dyDescent="0.3">
      <c r="B136" s="21" t="str">
        <f t="shared" si="2"/>
        <v/>
      </c>
      <c r="C136" s="15"/>
      <c r="D136" s="15"/>
      <c r="E136" s="15"/>
      <c r="F136" s="15"/>
      <c r="G136" s="15"/>
      <c r="H136" s="39" t="str">
        <f>IF($G136="","",IFERROR(INDEX('90_SEMA'!$G$7:$H$183,MATCH($G136,'90_SEMA'!$B$7:$B$183,0),NYELV_IDX),"### ISMERETLEN KÓD"))</f>
        <v/>
      </c>
      <c r="I136" s="33"/>
      <c r="J136" s="33"/>
      <c r="K136" s="15"/>
      <c r="L136" s="15"/>
      <c r="M136" s="15"/>
    </row>
    <row r="137" spans="2:13" ht="15" customHeight="1" x14ac:dyDescent="0.3">
      <c r="B137" s="21" t="str">
        <f t="shared" si="2"/>
        <v/>
      </c>
      <c r="C137" s="15"/>
      <c r="D137" s="15"/>
      <c r="E137" s="15"/>
      <c r="F137" s="15"/>
      <c r="G137" s="15"/>
      <c r="H137" s="39" t="str">
        <f>IF($G137="","",IFERROR(INDEX('90_SEMA'!$G$7:$H$183,MATCH($G137,'90_SEMA'!$B$7:$B$183,0),NYELV_IDX),"### ISMERETLEN KÓD"))</f>
        <v/>
      </c>
      <c r="I137" s="33"/>
      <c r="J137" s="33"/>
      <c r="K137" s="15"/>
      <c r="L137" s="15"/>
      <c r="M137" s="15"/>
    </row>
    <row r="138" spans="2:13" ht="15" customHeight="1" x14ac:dyDescent="0.3">
      <c r="B138" s="21" t="str">
        <f t="shared" si="2"/>
        <v/>
      </c>
      <c r="C138" s="15"/>
      <c r="D138" s="15"/>
      <c r="E138" s="15"/>
      <c r="F138" s="15"/>
      <c r="G138" s="15"/>
      <c r="H138" s="39" t="str">
        <f>IF($G138="","",IFERROR(INDEX('90_SEMA'!$G$7:$H$183,MATCH($G138,'90_SEMA'!$B$7:$B$183,0),NYELV_IDX),"### ISMERETLEN KÓD"))</f>
        <v/>
      </c>
      <c r="I138" s="33"/>
      <c r="J138" s="33"/>
      <c r="K138" s="15"/>
      <c r="L138" s="15"/>
      <c r="M138" s="15"/>
    </row>
    <row r="139" spans="2:13" ht="15" customHeight="1" x14ac:dyDescent="0.3">
      <c r="B139" s="21" t="str">
        <f t="shared" si="2"/>
        <v/>
      </c>
      <c r="C139" s="15"/>
      <c r="D139" s="15"/>
      <c r="E139" s="15"/>
      <c r="F139" s="15"/>
      <c r="G139" s="15"/>
      <c r="H139" s="39" t="str">
        <f>IF($G139="","",IFERROR(INDEX('90_SEMA'!$G$7:$H$183,MATCH($G139,'90_SEMA'!$B$7:$B$183,0),NYELV_IDX),"### ISMERETLEN KÓD"))</f>
        <v/>
      </c>
      <c r="I139" s="33"/>
      <c r="J139" s="33"/>
      <c r="K139" s="15"/>
      <c r="L139" s="15"/>
      <c r="M139" s="15"/>
    </row>
    <row r="140" spans="2:13" ht="15" customHeight="1" x14ac:dyDescent="0.3">
      <c r="B140" s="21" t="str">
        <f t="shared" si="2"/>
        <v/>
      </c>
      <c r="C140" s="15"/>
      <c r="D140" s="15"/>
      <c r="E140" s="15"/>
      <c r="F140" s="15"/>
      <c r="G140" s="15"/>
      <c r="H140" s="39" t="str">
        <f>IF($G140="","",IFERROR(INDEX('90_SEMA'!$G$7:$H$183,MATCH($G140,'90_SEMA'!$B$7:$B$183,0),NYELV_IDX),"### ISMERETLEN KÓD"))</f>
        <v/>
      </c>
      <c r="I140" s="33"/>
      <c r="J140" s="33"/>
      <c r="K140" s="15"/>
      <c r="L140" s="15"/>
      <c r="M140" s="15"/>
    </row>
    <row r="141" spans="2:13" ht="15" customHeight="1" x14ac:dyDescent="0.3">
      <c r="B141" s="21" t="str">
        <f t="shared" si="2"/>
        <v/>
      </c>
      <c r="C141" s="15"/>
      <c r="D141" s="15"/>
      <c r="E141" s="15"/>
      <c r="F141" s="15"/>
      <c r="G141" s="15"/>
      <c r="H141" s="39" t="str">
        <f>IF($G141="","",IFERROR(INDEX('90_SEMA'!$G$7:$H$183,MATCH($G141,'90_SEMA'!$B$7:$B$183,0),NYELV_IDX),"### ISMERETLEN KÓD"))</f>
        <v/>
      </c>
      <c r="I141" s="33"/>
      <c r="J141" s="33"/>
      <c r="K141" s="15"/>
      <c r="L141" s="15"/>
      <c r="M141" s="15"/>
    </row>
    <row r="142" spans="2:13" ht="15" customHeight="1" x14ac:dyDescent="0.3">
      <c r="B142" s="21" t="str">
        <f t="shared" si="2"/>
        <v/>
      </c>
      <c r="C142" s="15"/>
      <c r="D142" s="15"/>
      <c r="E142" s="15"/>
      <c r="F142" s="15"/>
      <c r="G142" s="15"/>
      <c r="H142" s="39" t="str">
        <f>IF($G142="","",IFERROR(INDEX('90_SEMA'!$G$7:$H$183,MATCH($G142,'90_SEMA'!$B$7:$B$183,0),NYELV_IDX),"### ISMERETLEN KÓD"))</f>
        <v/>
      </c>
      <c r="I142" s="33"/>
      <c r="J142" s="33"/>
      <c r="K142" s="15"/>
      <c r="L142" s="15"/>
      <c r="M142" s="15"/>
    </row>
    <row r="143" spans="2:13" ht="15" customHeight="1" x14ac:dyDescent="0.3">
      <c r="B143" s="21" t="str">
        <f t="shared" si="2"/>
        <v/>
      </c>
      <c r="C143" s="15"/>
      <c r="D143" s="15"/>
      <c r="E143" s="15"/>
      <c r="F143" s="15"/>
      <c r="G143" s="15"/>
      <c r="H143" s="39" t="str">
        <f>IF($G143="","",IFERROR(INDEX('90_SEMA'!$G$7:$H$183,MATCH($G143,'90_SEMA'!$B$7:$B$183,0),NYELV_IDX),"### ISMERETLEN KÓD"))</f>
        <v/>
      </c>
      <c r="I143" s="33"/>
      <c r="J143" s="33"/>
      <c r="K143" s="15"/>
      <c r="L143" s="15"/>
      <c r="M143" s="15"/>
    </row>
    <row r="144" spans="2:13" ht="15" customHeight="1" x14ac:dyDescent="0.3">
      <c r="B144" s="21" t="str">
        <f t="shared" si="2"/>
        <v/>
      </c>
      <c r="C144" s="15"/>
      <c r="D144" s="15"/>
      <c r="E144" s="15"/>
      <c r="F144" s="15"/>
      <c r="G144" s="15"/>
      <c r="H144" s="39" t="str">
        <f>IF($G144="","",IFERROR(INDEX('90_SEMA'!$G$7:$H$183,MATCH($G144,'90_SEMA'!$B$7:$B$183,0),NYELV_IDX),"### ISMERETLEN KÓD"))</f>
        <v/>
      </c>
      <c r="I144" s="33"/>
      <c r="J144" s="33"/>
      <c r="K144" s="15"/>
      <c r="L144" s="15"/>
      <c r="M144" s="15"/>
    </row>
    <row r="145" spans="2:13" ht="15" customHeight="1" x14ac:dyDescent="0.3">
      <c r="B145" s="21" t="str">
        <f t="shared" si="2"/>
        <v/>
      </c>
      <c r="C145" s="15"/>
      <c r="D145" s="15"/>
      <c r="E145" s="15"/>
      <c r="F145" s="15"/>
      <c r="G145" s="15"/>
      <c r="H145" s="39" t="str">
        <f>IF($G145="","",IFERROR(INDEX('90_SEMA'!$G$7:$H$183,MATCH($G145,'90_SEMA'!$B$7:$B$183,0),NYELV_IDX),"### ISMERETLEN KÓD"))</f>
        <v/>
      </c>
      <c r="I145" s="33"/>
      <c r="J145" s="33"/>
      <c r="K145" s="15"/>
      <c r="L145" s="15"/>
      <c r="M145" s="15"/>
    </row>
    <row r="146" spans="2:13" ht="15" customHeight="1" x14ac:dyDescent="0.3">
      <c r="B146" s="21" t="str">
        <f t="shared" si="2"/>
        <v/>
      </c>
      <c r="C146" s="15"/>
      <c r="D146" s="15"/>
      <c r="E146" s="15"/>
      <c r="F146" s="15"/>
      <c r="G146" s="15"/>
      <c r="H146" s="39" t="str">
        <f>IF($G146="","",IFERROR(INDEX('90_SEMA'!$G$7:$H$183,MATCH($G146,'90_SEMA'!$B$7:$B$183,0),NYELV_IDX),"### ISMERETLEN KÓD"))</f>
        <v/>
      </c>
      <c r="I146" s="33"/>
      <c r="J146" s="33"/>
      <c r="K146" s="15"/>
      <c r="L146" s="15"/>
      <c r="M146" s="15"/>
    </row>
    <row r="147" spans="2:13" ht="15" customHeight="1" x14ac:dyDescent="0.3">
      <c r="B147" s="21" t="str">
        <f t="shared" si="2"/>
        <v/>
      </c>
      <c r="C147" s="15"/>
      <c r="D147" s="15"/>
      <c r="E147" s="15"/>
      <c r="F147" s="15"/>
      <c r="G147" s="15"/>
      <c r="H147" s="39" t="str">
        <f>IF($G147="","",IFERROR(INDEX('90_SEMA'!$G$7:$H$183,MATCH($G147,'90_SEMA'!$B$7:$B$183,0),NYELV_IDX),"### ISMERETLEN KÓD"))</f>
        <v/>
      </c>
      <c r="I147" s="33"/>
      <c r="J147" s="33"/>
      <c r="K147" s="15"/>
      <c r="L147" s="15"/>
      <c r="M147" s="15"/>
    </row>
    <row r="148" spans="2:13" ht="15" customHeight="1" x14ac:dyDescent="0.3">
      <c r="B148" s="21" t="str">
        <f t="shared" si="2"/>
        <v/>
      </c>
      <c r="C148" s="15"/>
      <c r="D148" s="15"/>
      <c r="E148" s="15"/>
      <c r="F148" s="15"/>
      <c r="G148" s="15"/>
      <c r="H148" s="39" t="str">
        <f>IF($G148="","",IFERROR(INDEX('90_SEMA'!$G$7:$H$183,MATCH($G148,'90_SEMA'!$B$7:$B$183,0),NYELV_IDX),"### ISMERETLEN KÓD"))</f>
        <v/>
      </c>
      <c r="I148" s="33"/>
      <c r="J148" s="33"/>
      <c r="K148" s="15"/>
      <c r="L148" s="15"/>
      <c r="M148" s="15"/>
    </row>
    <row r="149" spans="2:13" ht="15" customHeight="1" x14ac:dyDescent="0.3">
      <c r="B149" s="21" t="str">
        <f t="shared" si="2"/>
        <v/>
      </c>
      <c r="C149" s="15"/>
      <c r="D149" s="15"/>
      <c r="E149" s="15"/>
      <c r="F149" s="15"/>
      <c r="G149" s="15"/>
      <c r="H149" s="39" t="str">
        <f>IF($G149="","",IFERROR(INDEX('90_SEMA'!$G$7:$H$183,MATCH($G149,'90_SEMA'!$B$7:$B$183,0),NYELV_IDX),"### ISMERETLEN KÓD"))</f>
        <v/>
      </c>
      <c r="I149" s="33"/>
      <c r="J149" s="33"/>
      <c r="K149" s="15"/>
      <c r="L149" s="15"/>
      <c r="M149" s="15"/>
    </row>
    <row r="150" spans="2:13" ht="15" customHeight="1" x14ac:dyDescent="0.3">
      <c r="B150" s="21" t="str">
        <f t="shared" si="2"/>
        <v/>
      </c>
      <c r="C150" s="15"/>
      <c r="D150" s="15"/>
      <c r="E150" s="15"/>
      <c r="F150" s="15"/>
      <c r="G150" s="15"/>
      <c r="H150" s="39" t="str">
        <f>IF($G150="","",IFERROR(INDEX('90_SEMA'!$G$7:$H$183,MATCH($G150,'90_SEMA'!$B$7:$B$183,0),NYELV_IDX),"### ISMERETLEN KÓD"))</f>
        <v/>
      </c>
      <c r="I150" s="33"/>
      <c r="J150" s="33"/>
      <c r="K150" s="15"/>
      <c r="L150" s="15"/>
      <c r="M150" s="15"/>
    </row>
    <row r="151" spans="2:13" ht="15" customHeight="1" x14ac:dyDescent="0.3">
      <c r="B151" s="21" t="str">
        <f t="shared" si="2"/>
        <v/>
      </c>
      <c r="C151" s="15"/>
      <c r="D151" s="15"/>
      <c r="E151" s="15"/>
      <c r="F151" s="15"/>
      <c r="G151" s="15"/>
      <c r="H151" s="39" t="str">
        <f>IF($G151="","",IFERROR(INDEX('90_SEMA'!$G$7:$H$183,MATCH($G151,'90_SEMA'!$B$7:$B$183,0),NYELV_IDX),"### ISMERETLEN KÓD"))</f>
        <v/>
      </c>
      <c r="I151" s="33"/>
      <c r="J151" s="33"/>
      <c r="K151" s="15"/>
      <c r="L151" s="15"/>
      <c r="M151" s="15"/>
    </row>
    <row r="152" spans="2:13" ht="15" customHeight="1" x14ac:dyDescent="0.3">
      <c r="B152" s="21" t="str">
        <f t="shared" si="2"/>
        <v/>
      </c>
      <c r="C152" s="15"/>
      <c r="D152" s="15"/>
      <c r="E152" s="15"/>
      <c r="F152" s="15"/>
      <c r="G152" s="15"/>
      <c r="H152" s="39" t="str">
        <f>IF($G152="","",IFERROR(INDEX('90_SEMA'!$G$7:$H$183,MATCH($G152,'90_SEMA'!$B$7:$B$183,0),NYELV_IDX),"### ISMERETLEN KÓD"))</f>
        <v/>
      </c>
      <c r="I152" s="33"/>
      <c r="J152" s="33"/>
      <c r="K152" s="15"/>
      <c r="L152" s="15"/>
      <c r="M152" s="15"/>
    </row>
    <row r="153" spans="2:13" ht="15" customHeight="1" x14ac:dyDescent="0.3">
      <c r="B153" s="21" t="str">
        <f t="shared" si="2"/>
        <v/>
      </c>
      <c r="C153" s="15"/>
      <c r="D153" s="15"/>
      <c r="E153" s="15"/>
      <c r="F153" s="15"/>
      <c r="G153" s="15"/>
      <c r="H153" s="39" t="str">
        <f>IF($G153="","",IFERROR(INDEX('90_SEMA'!$G$7:$H$183,MATCH($G153,'90_SEMA'!$B$7:$B$183,0),NYELV_IDX),"### ISMERETLEN KÓD"))</f>
        <v/>
      </c>
      <c r="I153" s="33"/>
      <c r="J153" s="33"/>
      <c r="K153" s="15"/>
      <c r="L153" s="15"/>
      <c r="M153" s="15"/>
    </row>
    <row r="154" spans="2:13" ht="15" customHeight="1" x14ac:dyDescent="0.3">
      <c r="B154" s="21" t="str">
        <f t="shared" si="2"/>
        <v/>
      </c>
      <c r="C154" s="15"/>
      <c r="D154" s="15"/>
      <c r="E154" s="15"/>
      <c r="F154" s="15"/>
      <c r="G154" s="15"/>
      <c r="H154" s="39" t="str">
        <f>IF($G154="","",IFERROR(INDEX('90_SEMA'!$G$7:$H$183,MATCH($G154,'90_SEMA'!$B$7:$B$183,0),NYELV_IDX),"### ISMERETLEN KÓD"))</f>
        <v/>
      </c>
      <c r="I154" s="33"/>
      <c r="J154" s="33"/>
      <c r="K154" s="15"/>
      <c r="L154" s="15"/>
      <c r="M154" s="15"/>
    </row>
    <row r="155" spans="2:13" ht="15" customHeight="1" x14ac:dyDescent="0.3">
      <c r="B155" s="21" t="str">
        <f t="shared" si="2"/>
        <v/>
      </c>
      <c r="C155" s="15"/>
      <c r="D155" s="15"/>
      <c r="E155" s="15"/>
      <c r="F155" s="15"/>
      <c r="G155" s="15"/>
      <c r="H155" s="39" t="str">
        <f>IF($G155="","",IFERROR(INDEX('90_SEMA'!$G$7:$H$183,MATCH($G155,'90_SEMA'!$B$7:$B$183,0),NYELV_IDX),"### ISMERETLEN KÓD"))</f>
        <v/>
      </c>
      <c r="I155" s="33"/>
      <c r="J155" s="33"/>
      <c r="K155" s="15"/>
      <c r="L155" s="15"/>
      <c r="M155" s="15"/>
    </row>
    <row r="156" spans="2:13" ht="15" customHeight="1" x14ac:dyDescent="0.3">
      <c r="B156" s="21" t="str">
        <f t="shared" si="2"/>
        <v/>
      </c>
      <c r="C156" s="15"/>
      <c r="D156" s="15"/>
      <c r="E156" s="15"/>
      <c r="F156" s="15"/>
      <c r="G156" s="15"/>
      <c r="H156" s="39" t="str">
        <f>IF($G156="","",IFERROR(INDEX('90_SEMA'!$G$7:$H$183,MATCH($G156,'90_SEMA'!$B$7:$B$183,0),NYELV_IDX),"### ISMERETLEN KÓD"))</f>
        <v/>
      </c>
      <c r="I156" s="33"/>
      <c r="J156" s="33"/>
      <c r="K156" s="15"/>
      <c r="L156" s="15"/>
      <c r="M156" s="15"/>
    </row>
    <row r="157" spans="2:13" ht="15" customHeight="1" x14ac:dyDescent="0.3">
      <c r="B157" s="21" t="str">
        <f t="shared" si="2"/>
        <v/>
      </c>
      <c r="C157" s="15"/>
      <c r="D157" s="15"/>
      <c r="E157" s="15"/>
      <c r="F157" s="15"/>
      <c r="G157" s="15"/>
      <c r="H157" s="39" t="str">
        <f>IF($G157="","",IFERROR(INDEX('90_SEMA'!$G$7:$H$183,MATCH($G157,'90_SEMA'!$B$7:$B$183,0),NYELV_IDX),"### ISMERETLEN KÓD"))</f>
        <v/>
      </c>
      <c r="I157" s="33"/>
      <c r="J157" s="33"/>
      <c r="K157" s="15"/>
      <c r="L157" s="15"/>
      <c r="M157" s="15"/>
    </row>
    <row r="158" spans="2:13" ht="15" customHeight="1" x14ac:dyDescent="0.3">
      <c r="B158" s="21" t="str">
        <f t="shared" si="2"/>
        <v/>
      </c>
      <c r="C158" s="15"/>
      <c r="D158" s="15"/>
      <c r="E158" s="15"/>
      <c r="F158" s="15"/>
      <c r="G158" s="15"/>
      <c r="H158" s="39" t="str">
        <f>IF($G158="","",IFERROR(INDEX('90_SEMA'!$G$7:$H$183,MATCH($G158,'90_SEMA'!$B$7:$B$183,0),NYELV_IDX),"### ISMERETLEN KÓD"))</f>
        <v/>
      </c>
      <c r="I158" s="33"/>
      <c r="J158" s="33"/>
      <c r="K158" s="15"/>
      <c r="L158" s="15"/>
      <c r="M158" s="15"/>
    </row>
    <row r="159" spans="2:13" ht="15" customHeight="1" x14ac:dyDescent="0.3">
      <c r="B159" s="21" t="str">
        <f t="shared" si="2"/>
        <v/>
      </c>
      <c r="C159" s="15"/>
      <c r="D159" s="15"/>
      <c r="E159" s="15"/>
      <c r="F159" s="15"/>
      <c r="G159" s="15"/>
      <c r="H159" s="39" t="str">
        <f>IF($G159="","",IFERROR(INDEX('90_SEMA'!$G$7:$H$183,MATCH($G159,'90_SEMA'!$B$7:$B$183,0),NYELV_IDX),"### ISMERETLEN KÓD"))</f>
        <v/>
      </c>
      <c r="I159" s="33"/>
      <c r="J159" s="33"/>
      <c r="K159" s="15"/>
      <c r="L159" s="15"/>
      <c r="M159" s="15"/>
    </row>
    <row r="160" spans="2:13" ht="15" customHeight="1" x14ac:dyDescent="0.3">
      <c r="B160" s="21" t="str">
        <f t="shared" si="2"/>
        <v/>
      </c>
      <c r="C160" s="15"/>
      <c r="D160" s="15"/>
      <c r="E160" s="15"/>
      <c r="F160" s="15"/>
      <c r="G160" s="15"/>
      <c r="H160" s="39" t="str">
        <f>IF($G160="","",IFERROR(INDEX('90_SEMA'!$G$7:$H$183,MATCH($G160,'90_SEMA'!$B$7:$B$183,0),NYELV_IDX),"### ISMERETLEN KÓD"))</f>
        <v/>
      </c>
      <c r="I160" s="33"/>
      <c r="J160" s="33"/>
      <c r="K160" s="15"/>
      <c r="L160" s="15"/>
      <c r="M160" s="15"/>
    </row>
    <row r="161" spans="2:13" ht="15" customHeight="1" x14ac:dyDescent="0.3">
      <c r="B161" s="21" t="str">
        <f t="shared" si="2"/>
        <v/>
      </c>
      <c r="C161" s="15"/>
      <c r="D161" s="15"/>
      <c r="E161" s="15"/>
      <c r="F161" s="15"/>
      <c r="G161" s="15"/>
      <c r="H161" s="39" t="str">
        <f>IF($G161="","",IFERROR(INDEX('90_SEMA'!$G$7:$H$183,MATCH($G161,'90_SEMA'!$B$7:$B$183,0),NYELV_IDX),"### ISMERETLEN KÓD"))</f>
        <v/>
      </c>
      <c r="I161" s="33"/>
      <c r="J161" s="33"/>
      <c r="K161" s="15"/>
      <c r="L161" s="15"/>
      <c r="M161" s="15"/>
    </row>
    <row r="162" spans="2:13" ht="15" customHeight="1" x14ac:dyDescent="0.3">
      <c r="B162" s="21" t="str">
        <f t="shared" si="2"/>
        <v/>
      </c>
      <c r="C162" s="15"/>
      <c r="D162" s="15"/>
      <c r="E162" s="15"/>
      <c r="F162" s="15"/>
      <c r="G162" s="15"/>
      <c r="H162" s="39" t="str">
        <f>IF($G162="","",IFERROR(INDEX('90_SEMA'!$G$7:$H$183,MATCH($G162,'90_SEMA'!$B$7:$B$183,0),NYELV_IDX),"### ISMERETLEN KÓD"))</f>
        <v/>
      </c>
      <c r="I162" s="33"/>
      <c r="J162" s="33"/>
      <c r="K162" s="15"/>
      <c r="L162" s="15"/>
      <c r="M162" s="15"/>
    </row>
    <row r="163" spans="2:13" ht="15" customHeight="1" x14ac:dyDescent="0.3">
      <c r="B163" s="21" t="str">
        <f t="shared" si="2"/>
        <v/>
      </c>
      <c r="C163" s="15"/>
      <c r="D163" s="15"/>
      <c r="E163" s="15"/>
      <c r="F163" s="15"/>
      <c r="G163" s="15"/>
      <c r="H163" s="39" t="str">
        <f>IF($G163="","",IFERROR(INDEX('90_SEMA'!$G$7:$H$183,MATCH($G163,'90_SEMA'!$B$7:$B$183,0),NYELV_IDX),"### ISMERETLEN KÓD"))</f>
        <v/>
      </c>
      <c r="I163" s="33"/>
      <c r="J163" s="33"/>
      <c r="K163" s="15"/>
      <c r="L163" s="15"/>
      <c r="M163" s="15"/>
    </row>
    <row r="164" spans="2:13" ht="15" customHeight="1" x14ac:dyDescent="0.3">
      <c r="B164" s="21" t="str">
        <f t="shared" si="2"/>
        <v/>
      </c>
      <c r="C164" s="15"/>
      <c r="D164" s="15"/>
      <c r="E164" s="15"/>
      <c r="F164" s="15"/>
      <c r="G164" s="15"/>
      <c r="H164" s="39" t="str">
        <f>IF($G164="","",IFERROR(INDEX('90_SEMA'!$G$7:$H$183,MATCH($G164,'90_SEMA'!$B$7:$B$183,0),NYELV_IDX),"### ISMERETLEN KÓD"))</f>
        <v/>
      </c>
      <c r="I164" s="33"/>
      <c r="J164" s="33"/>
      <c r="K164" s="15"/>
      <c r="L164" s="15"/>
      <c r="M164" s="15"/>
    </row>
    <row r="165" spans="2:13" ht="15" customHeight="1" x14ac:dyDescent="0.3">
      <c r="B165" s="21" t="str">
        <f t="shared" si="2"/>
        <v/>
      </c>
      <c r="C165" s="15"/>
      <c r="D165" s="15"/>
      <c r="E165" s="15"/>
      <c r="F165" s="15"/>
      <c r="G165" s="15"/>
      <c r="H165" s="39" t="str">
        <f>IF($G165="","",IFERROR(INDEX('90_SEMA'!$G$7:$H$183,MATCH($G165,'90_SEMA'!$B$7:$B$183,0),NYELV_IDX),"### ISMERETLEN KÓD"))</f>
        <v/>
      </c>
      <c r="I165" s="33"/>
      <c r="J165" s="33"/>
      <c r="K165" s="15"/>
      <c r="L165" s="15"/>
      <c r="M165" s="15"/>
    </row>
    <row r="166" spans="2:13" ht="15" customHeight="1" x14ac:dyDescent="0.3">
      <c r="B166" s="21" t="str">
        <f t="shared" si="2"/>
        <v/>
      </c>
      <c r="C166" s="15"/>
      <c r="D166" s="15"/>
      <c r="E166" s="15"/>
      <c r="F166" s="15"/>
      <c r="G166" s="15"/>
      <c r="H166" s="39" t="str">
        <f>IF($G166="","",IFERROR(INDEX('90_SEMA'!$G$7:$H$183,MATCH($G166,'90_SEMA'!$B$7:$B$183,0),NYELV_IDX),"### ISMERETLEN KÓD"))</f>
        <v/>
      </c>
      <c r="I166" s="33"/>
      <c r="J166" s="33"/>
      <c r="K166" s="15"/>
      <c r="L166" s="15"/>
      <c r="M166" s="15"/>
    </row>
    <row r="167" spans="2:13" ht="15" customHeight="1" x14ac:dyDescent="0.3">
      <c r="B167" s="21" t="str">
        <f t="shared" si="2"/>
        <v/>
      </c>
      <c r="C167" s="15"/>
      <c r="D167" s="15"/>
      <c r="E167" s="15"/>
      <c r="F167" s="15"/>
      <c r="G167" s="15"/>
      <c r="H167" s="39" t="str">
        <f>IF($G167="","",IFERROR(INDEX('90_SEMA'!$G$7:$H$183,MATCH($G167,'90_SEMA'!$B$7:$B$183,0),NYELV_IDX),"### ISMERETLEN KÓD"))</f>
        <v/>
      </c>
      <c r="I167" s="33"/>
      <c r="J167" s="33"/>
      <c r="K167" s="15"/>
      <c r="L167" s="15"/>
      <c r="M167" s="15"/>
    </row>
    <row r="168" spans="2:13" ht="15" customHeight="1" x14ac:dyDescent="0.3">
      <c r="B168" s="21" t="str">
        <f t="shared" si="2"/>
        <v/>
      </c>
      <c r="C168" s="15"/>
      <c r="D168" s="15"/>
      <c r="E168" s="15"/>
      <c r="F168" s="15"/>
      <c r="G168" s="15"/>
      <c r="H168" s="39" t="str">
        <f>IF($G168="","",IFERROR(INDEX('90_SEMA'!$G$7:$H$183,MATCH($G168,'90_SEMA'!$B$7:$B$183,0),NYELV_IDX),"### ISMERETLEN KÓD"))</f>
        <v/>
      </c>
      <c r="I168" s="33"/>
      <c r="J168" s="33"/>
      <c r="K168" s="15"/>
      <c r="L168" s="15"/>
      <c r="M168" s="15"/>
    </row>
    <row r="169" spans="2:13" ht="15" customHeight="1" x14ac:dyDescent="0.3">
      <c r="B169" s="21" t="str">
        <f t="shared" si="2"/>
        <v/>
      </c>
      <c r="C169" s="15"/>
      <c r="D169" s="15"/>
      <c r="E169" s="15"/>
      <c r="F169" s="15"/>
      <c r="G169" s="15"/>
      <c r="H169" s="39" t="str">
        <f>IF($G169="","",IFERROR(INDEX('90_SEMA'!$G$7:$H$183,MATCH($G169,'90_SEMA'!$B$7:$B$183,0),NYELV_IDX),"### ISMERETLEN KÓD"))</f>
        <v/>
      </c>
      <c r="I169" s="33"/>
      <c r="J169" s="33"/>
      <c r="K169" s="15"/>
      <c r="L169" s="15"/>
      <c r="M169" s="15"/>
    </row>
    <row r="170" spans="2:13" ht="15" customHeight="1" x14ac:dyDescent="0.3">
      <c r="B170" s="21" t="str">
        <f t="shared" si="2"/>
        <v/>
      </c>
      <c r="C170" s="15"/>
      <c r="D170" s="15"/>
      <c r="E170" s="15"/>
      <c r="F170" s="15"/>
      <c r="G170" s="15"/>
      <c r="H170" s="39" t="str">
        <f>IF($G170="","",IFERROR(INDEX('90_SEMA'!$G$7:$H$183,MATCH($G170,'90_SEMA'!$B$7:$B$183,0),NYELV_IDX),"### ISMERETLEN KÓD"))</f>
        <v/>
      </c>
      <c r="I170" s="33"/>
      <c r="J170" s="33"/>
      <c r="K170" s="15"/>
      <c r="L170" s="15"/>
      <c r="M170" s="15"/>
    </row>
    <row r="171" spans="2:13" ht="15" customHeight="1" x14ac:dyDescent="0.3">
      <c r="B171" s="21" t="str">
        <f t="shared" si="2"/>
        <v/>
      </c>
      <c r="C171" s="15"/>
      <c r="D171" s="15"/>
      <c r="E171" s="15"/>
      <c r="F171" s="15"/>
      <c r="G171" s="15"/>
      <c r="H171" s="39" t="str">
        <f>IF($G171="","",IFERROR(INDEX('90_SEMA'!$G$7:$H$183,MATCH($G171,'90_SEMA'!$B$7:$B$183,0),NYELV_IDX),"### ISMERETLEN KÓD"))</f>
        <v/>
      </c>
      <c r="I171" s="33"/>
      <c r="J171" s="33"/>
      <c r="K171" s="15"/>
      <c r="L171" s="15"/>
      <c r="M171" s="15"/>
    </row>
    <row r="172" spans="2:13" ht="15" customHeight="1" x14ac:dyDescent="0.3">
      <c r="B172" s="21" t="str">
        <f t="shared" si="2"/>
        <v/>
      </c>
      <c r="C172" s="15"/>
      <c r="D172" s="15"/>
      <c r="E172" s="15"/>
      <c r="F172" s="15"/>
      <c r="G172" s="15"/>
      <c r="H172" s="39" t="str">
        <f>IF($G172="","",IFERROR(INDEX('90_SEMA'!$G$7:$H$183,MATCH($G172,'90_SEMA'!$B$7:$B$183,0),NYELV_IDX),"### ISMERETLEN KÓD"))</f>
        <v/>
      </c>
      <c r="I172" s="33"/>
      <c r="J172" s="33"/>
      <c r="K172" s="15"/>
      <c r="L172" s="15"/>
      <c r="M172" s="15"/>
    </row>
    <row r="173" spans="2:13" ht="15" customHeight="1" x14ac:dyDescent="0.3">
      <c r="B173" s="21" t="str">
        <f t="shared" si="2"/>
        <v/>
      </c>
      <c r="C173" s="15"/>
      <c r="D173" s="15"/>
      <c r="E173" s="15"/>
      <c r="F173" s="15"/>
      <c r="G173" s="15"/>
      <c r="H173" s="39" t="str">
        <f>IF($G173="","",IFERROR(INDEX('90_SEMA'!$G$7:$H$183,MATCH($G173,'90_SEMA'!$B$7:$B$183,0),NYELV_IDX),"### ISMERETLEN KÓD"))</f>
        <v/>
      </c>
      <c r="I173" s="33"/>
      <c r="J173" s="33"/>
      <c r="K173" s="15"/>
      <c r="L173" s="15"/>
      <c r="M173" s="15"/>
    </row>
    <row r="174" spans="2:13" ht="15" customHeight="1" x14ac:dyDescent="0.3">
      <c r="B174" s="21" t="str">
        <f t="shared" si="2"/>
        <v/>
      </c>
      <c r="C174" s="15"/>
      <c r="D174" s="15"/>
      <c r="E174" s="15"/>
      <c r="F174" s="15"/>
      <c r="G174" s="15"/>
      <c r="H174" s="39" t="str">
        <f>IF($G174="","",IFERROR(INDEX('90_SEMA'!$G$7:$H$183,MATCH($G174,'90_SEMA'!$B$7:$B$183,0),NYELV_IDX),"### ISMERETLEN KÓD"))</f>
        <v/>
      </c>
      <c r="I174" s="33"/>
      <c r="J174" s="33"/>
      <c r="K174" s="15"/>
      <c r="L174" s="15"/>
      <c r="M174" s="15"/>
    </row>
    <row r="175" spans="2:13" ht="15" customHeight="1" x14ac:dyDescent="0.3">
      <c r="B175" s="21" t="str">
        <f t="shared" si="2"/>
        <v/>
      </c>
      <c r="C175" s="15"/>
      <c r="D175" s="15"/>
      <c r="E175" s="15"/>
      <c r="F175" s="15"/>
      <c r="G175" s="15"/>
      <c r="H175" s="39" t="str">
        <f>IF($G175="","",IFERROR(INDEX('90_SEMA'!$G$7:$H$183,MATCH($G175,'90_SEMA'!$B$7:$B$183,0),NYELV_IDX),"### ISMERETLEN KÓD"))</f>
        <v/>
      </c>
      <c r="I175" s="33"/>
      <c r="J175" s="33"/>
      <c r="K175" s="15"/>
      <c r="L175" s="15"/>
      <c r="M175" s="15"/>
    </row>
    <row r="176" spans="2:13" ht="15" customHeight="1" x14ac:dyDescent="0.3">
      <c r="B176" s="21" t="str">
        <f t="shared" si="2"/>
        <v/>
      </c>
      <c r="C176" s="15"/>
      <c r="D176" s="15"/>
      <c r="E176" s="15"/>
      <c r="F176" s="15"/>
      <c r="G176" s="15"/>
      <c r="H176" s="39" t="str">
        <f>IF($G176="","",IFERROR(INDEX('90_SEMA'!$G$7:$H$183,MATCH($G176,'90_SEMA'!$B$7:$B$183,0),NYELV_IDX),"### ISMERETLEN KÓD"))</f>
        <v/>
      </c>
      <c r="I176" s="33"/>
      <c r="J176" s="33"/>
      <c r="K176" s="15"/>
      <c r="L176" s="15"/>
      <c r="M176" s="15"/>
    </row>
    <row r="177" spans="2:13" ht="15" customHeight="1" x14ac:dyDescent="0.3">
      <c r="B177" s="21" t="str">
        <f t="shared" si="2"/>
        <v/>
      </c>
      <c r="C177" s="15"/>
      <c r="D177" s="15"/>
      <c r="E177" s="15"/>
      <c r="F177" s="15"/>
      <c r="G177" s="15"/>
      <c r="H177" s="39" t="str">
        <f>IF($G177="","",IFERROR(INDEX('90_SEMA'!$G$7:$H$183,MATCH($G177,'90_SEMA'!$B$7:$B$183,0),NYELV_IDX),"### ISMERETLEN KÓD"))</f>
        <v/>
      </c>
      <c r="I177" s="33"/>
      <c r="J177" s="33"/>
      <c r="K177" s="15"/>
      <c r="L177" s="15"/>
      <c r="M177" s="15"/>
    </row>
    <row r="178" spans="2:13" ht="15" customHeight="1" x14ac:dyDescent="0.3">
      <c r="B178" s="21" t="str">
        <f t="shared" si="2"/>
        <v/>
      </c>
      <c r="C178" s="15"/>
      <c r="D178" s="15"/>
      <c r="E178" s="15"/>
      <c r="F178" s="15"/>
      <c r="G178" s="15"/>
      <c r="H178" s="39" t="str">
        <f>IF($G178="","",IFERROR(INDEX('90_SEMA'!$G$7:$H$183,MATCH($G178,'90_SEMA'!$B$7:$B$183,0),NYELV_IDX),"### ISMERETLEN KÓD"))</f>
        <v/>
      </c>
      <c r="I178" s="33"/>
      <c r="J178" s="33"/>
      <c r="K178" s="15"/>
      <c r="L178" s="15"/>
      <c r="M178" s="15"/>
    </row>
    <row r="179" spans="2:13" ht="15" customHeight="1" x14ac:dyDescent="0.3">
      <c r="B179" s="21" t="str">
        <f t="shared" si="2"/>
        <v/>
      </c>
      <c r="C179" s="15"/>
      <c r="D179" s="15"/>
      <c r="E179" s="15"/>
      <c r="F179" s="15"/>
      <c r="G179" s="15"/>
      <c r="H179" s="39" t="str">
        <f>IF($G179="","",IFERROR(INDEX('90_SEMA'!$G$7:$H$183,MATCH($G179,'90_SEMA'!$B$7:$B$183,0),NYELV_IDX),"### ISMERETLEN KÓD"))</f>
        <v/>
      </c>
      <c r="I179" s="33"/>
      <c r="J179" s="33"/>
      <c r="K179" s="15"/>
      <c r="L179" s="15"/>
      <c r="M179" s="15"/>
    </row>
    <row r="180" spans="2:13" ht="15" customHeight="1" x14ac:dyDescent="0.3">
      <c r="B180" s="21" t="str">
        <f t="shared" si="2"/>
        <v/>
      </c>
      <c r="C180" s="15"/>
      <c r="D180" s="15"/>
      <c r="E180" s="15"/>
      <c r="F180" s="15"/>
      <c r="G180" s="15"/>
      <c r="H180" s="39" t="str">
        <f>IF($G180="","",IFERROR(INDEX('90_SEMA'!$G$7:$H$183,MATCH($G180,'90_SEMA'!$B$7:$B$183,0),NYELV_IDX),"### ISMERETLEN KÓD"))</f>
        <v/>
      </c>
      <c r="I180" s="33"/>
      <c r="J180" s="33"/>
      <c r="K180" s="15"/>
      <c r="L180" s="15"/>
      <c r="M180" s="15"/>
    </row>
    <row r="181" spans="2:13" ht="15" customHeight="1" x14ac:dyDescent="0.3">
      <c r="B181" s="21" t="str">
        <f t="shared" si="2"/>
        <v/>
      </c>
      <c r="C181" s="15"/>
      <c r="D181" s="15"/>
      <c r="E181" s="15"/>
      <c r="F181" s="15"/>
      <c r="G181" s="15"/>
      <c r="H181" s="39" t="str">
        <f>IF($G181="","",IFERROR(INDEX('90_SEMA'!$G$7:$H$183,MATCH($G181,'90_SEMA'!$B$7:$B$183,0),NYELV_IDX),"### ISMERETLEN KÓD"))</f>
        <v/>
      </c>
      <c r="I181" s="33"/>
      <c r="J181" s="33"/>
      <c r="K181" s="15"/>
      <c r="L181" s="15"/>
      <c r="M181" s="15"/>
    </row>
    <row r="182" spans="2:13" ht="15" customHeight="1" x14ac:dyDescent="0.3">
      <c r="B182" s="21" t="str">
        <f t="shared" si="2"/>
        <v/>
      </c>
      <c r="C182" s="15"/>
      <c r="D182" s="15"/>
      <c r="E182" s="15"/>
      <c r="F182" s="15"/>
      <c r="G182" s="15"/>
      <c r="H182" s="39" t="str">
        <f>IF($G182="","",IFERROR(INDEX('90_SEMA'!$G$7:$H$183,MATCH($G182,'90_SEMA'!$B$7:$B$183,0),NYELV_IDX),"### ISMERETLEN KÓD"))</f>
        <v/>
      </c>
      <c r="I182" s="33"/>
      <c r="J182" s="33"/>
      <c r="K182" s="15"/>
      <c r="L182" s="15"/>
      <c r="M182" s="15"/>
    </row>
    <row r="183" spans="2:13" ht="15" customHeight="1" x14ac:dyDescent="0.3">
      <c r="B183" s="21" t="str">
        <f t="shared" si="2"/>
        <v/>
      </c>
      <c r="C183" s="15"/>
      <c r="D183" s="15"/>
      <c r="E183" s="15"/>
      <c r="F183" s="15"/>
      <c r="G183" s="15"/>
      <c r="H183" s="39" t="str">
        <f>IF($G183="","",IFERROR(INDEX('90_SEMA'!$G$7:$H$183,MATCH($G183,'90_SEMA'!$B$7:$B$183,0),NYELV_IDX),"### ISMERETLEN KÓD"))</f>
        <v/>
      </c>
      <c r="I183" s="33"/>
      <c r="J183" s="33"/>
      <c r="K183" s="15"/>
      <c r="L183" s="15"/>
      <c r="M183" s="15"/>
    </row>
    <row r="184" spans="2:13" ht="15" customHeight="1" x14ac:dyDescent="0.3">
      <c r="B184" s="21" t="str">
        <f t="shared" si="2"/>
        <v/>
      </c>
      <c r="C184" s="15"/>
      <c r="D184" s="15"/>
      <c r="E184" s="15"/>
      <c r="F184" s="15"/>
      <c r="G184" s="15"/>
      <c r="H184" s="39" t="str">
        <f>IF($G184="","",IFERROR(INDEX('90_SEMA'!$G$7:$H$183,MATCH($G184,'90_SEMA'!$B$7:$B$183,0),NYELV_IDX),"### ISMERETLEN KÓD"))</f>
        <v/>
      </c>
      <c r="I184" s="33"/>
      <c r="J184" s="33"/>
      <c r="K184" s="15"/>
      <c r="L184" s="15"/>
      <c r="M184" s="15"/>
    </row>
    <row r="185" spans="2:13" ht="15" customHeight="1" x14ac:dyDescent="0.3">
      <c r="B185" s="21" t="str">
        <f t="shared" si="2"/>
        <v/>
      </c>
      <c r="C185" s="15"/>
      <c r="D185" s="15"/>
      <c r="E185" s="15"/>
      <c r="F185" s="15"/>
      <c r="G185" s="15"/>
      <c r="H185" s="39" t="str">
        <f>IF($G185="","",IFERROR(INDEX('90_SEMA'!$G$7:$H$183,MATCH($G185,'90_SEMA'!$B$7:$B$183,0),NYELV_IDX),"### ISMERETLEN KÓD"))</f>
        <v/>
      </c>
      <c r="I185" s="33"/>
      <c r="J185" s="33"/>
      <c r="K185" s="15"/>
      <c r="L185" s="15"/>
      <c r="M185" s="15"/>
    </row>
    <row r="186" spans="2:13" ht="15" customHeight="1" x14ac:dyDescent="0.3">
      <c r="B186" s="21" t="str">
        <f t="shared" si="2"/>
        <v/>
      </c>
      <c r="C186" s="15"/>
      <c r="D186" s="15"/>
      <c r="E186" s="15"/>
      <c r="F186" s="15"/>
      <c r="G186" s="15"/>
      <c r="H186" s="39" t="str">
        <f>IF($G186="","",IFERROR(INDEX('90_SEMA'!$G$7:$H$183,MATCH($G186,'90_SEMA'!$B$7:$B$183,0),NYELV_IDX),"### ISMERETLEN KÓD"))</f>
        <v/>
      </c>
      <c r="I186" s="33"/>
      <c r="J186" s="33"/>
      <c r="K186" s="15"/>
      <c r="L186" s="15"/>
      <c r="M186" s="15"/>
    </row>
    <row r="187" spans="2:13" ht="15" customHeight="1" x14ac:dyDescent="0.3">
      <c r="B187" s="21" t="str">
        <f t="shared" si="2"/>
        <v/>
      </c>
      <c r="C187" s="15"/>
      <c r="D187" s="15"/>
      <c r="E187" s="15"/>
      <c r="F187" s="15"/>
      <c r="G187" s="15"/>
      <c r="H187" s="39" t="str">
        <f>IF($G187="","",IFERROR(INDEX('90_SEMA'!$G$7:$H$183,MATCH($G187,'90_SEMA'!$B$7:$B$183,0),NYELV_IDX),"### ISMERETLEN KÓD"))</f>
        <v/>
      </c>
      <c r="I187" s="33"/>
      <c r="J187" s="33"/>
      <c r="K187" s="15"/>
      <c r="L187" s="15"/>
      <c r="M187" s="15"/>
    </row>
    <row r="188" spans="2:13" ht="15" customHeight="1" x14ac:dyDescent="0.3">
      <c r="B188" s="21" t="str">
        <f t="shared" si="2"/>
        <v/>
      </c>
      <c r="C188" s="15"/>
      <c r="D188" s="15"/>
      <c r="E188" s="15"/>
      <c r="F188" s="15"/>
      <c r="G188" s="15"/>
      <c r="H188" s="39" t="str">
        <f>IF($G188="","",IFERROR(INDEX('90_SEMA'!$G$7:$H$183,MATCH($G188,'90_SEMA'!$B$7:$B$183,0),NYELV_IDX),"### ISMERETLEN KÓD"))</f>
        <v/>
      </c>
      <c r="I188" s="33"/>
      <c r="J188" s="33"/>
      <c r="K188" s="15"/>
      <c r="L188" s="15"/>
      <c r="M188" s="15"/>
    </row>
    <row r="189" spans="2:13" ht="15" customHeight="1" x14ac:dyDescent="0.3">
      <c r="B189" s="21" t="str">
        <f t="shared" si="2"/>
        <v/>
      </c>
      <c r="C189" s="15"/>
      <c r="D189" s="15"/>
      <c r="E189" s="15"/>
      <c r="F189" s="15"/>
      <c r="G189" s="15"/>
      <c r="H189" s="39" t="str">
        <f>IF($G189="","",IFERROR(INDEX('90_SEMA'!$G$7:$H$183,MATCH($G189,'90_SEMA'!$B$7:$B$183,0),NYELV_IDX),"### ISMERETLEN KÓD"))</f>
        <v/>
      </c>
      <c r="I189" s="33"/>
      <c r="J189" s="33"/>
      <c r="K189" s="15"/>
      <c r="L189" s="15"/>
      <c r="M189" s="15"/>
    </row>
    <row r="190" spans="2:13" ht="15" customHeight="1" x14ac:dyDescent="0.3">
      <c r="B190" s="21" t="str">
        <f t="shared" si="2"/>
        <v/>
      </c>
      <c r="C190" s="15"/>
      <c r="D190" s="15"/>
      <c r="E190" s="15"/>
      <c r="F190" s="15"/>
      <c r="G190" s="15"/>
      <c r="H190" s="39" t="str">
        <f>IF($G190="","",IFERROR(INDEX('90_SEMA'!$G$7:$H$183,MATCH($G190,'90_SEMA'!$B$7:$B$183,0),NYELV_IDX),"### ISMERETLEN KÓD"))</f>
        <v/>
      </c>
      <c r="I190" s="33"/>
      <c r="J190" s="33"/>
      <c r="K190" s="15"/>
      <c r="L190" s="15"/>
      <c r="M190" s="15"/>
    </row>
    <row r="191" spans="2:13" ht="15" customHeight="1" x14ac:dyDescent="0.3">
      <c r="B191" s="21" t="str">
        <f t="shared" si="2"/>
        <v/>
      </c>
      <c r="C191" s="15"/>
      <c r="D191" s="15"/>
      <c r="E191" s="15"/>
      <c r="F191" s="15"/>
      <c r="G191" s="15"/>
      <c r="H191" s="39" t="str">
        <f>IF($G191="","",IFERROR(INDEX('90_SEMA'!$G$7:$H$183,MATCH($G191,'90_SEMA'!$B$7:$B$183,0),NYELV_IDX),"### ISMERETLEN KÓD"))</f>
        <v/>
      </c>
      <c r="I191" s="33"/>
      <c r="J191" s="33"/>
      <c r="K191" s="15"/>
      <c r="L191" s="15"/>
      <c r="M191" s="15"/>
    </row>
    <row r="192" spans="2:13" ht="15" customHeight="1" x14ac:dyDescent="0.3">
      <c r="B192" s="21" t="str">
        <f t="shared" si="2"/>
        <v/>
      </c>
      <c r="C192" s="15"/>
      <c r="D192" s="15"/>
      <c r="E192" s="15"/>
      <c r="F192" s="15"/>
      <c r="G192" s="15"/>
      <c r="H192" s="39" t="str">
        <f>IF($G192="","",IFERROR(INDEX('90_SEMA'!$G$7:$H$183,MATCH($G192,'90_SEMA'!$B$7:$B$183,0),NYELV_IDX),"### ISMERETLEN KÓD"))</f>
        <v/>
      </c>
      <c r="I192" s="33"/>
      <c r="J192" s="33"/>
      <c r="K192" s="15"/>
      <c r="L192" s="15"/>
      <c r="M192" s="15"/>
    </row>
    <row r="193" spans="2:13" ht="15" customHeight="1" x14ac:dyDescent="0.3">
      <c r="B193" s="21" t="str">
        <f t="shared" si="2"/>
        <v/>
      </c>
      <c r="C193" s="15"/>
      <c r="D193" s="15"/>
      <c r="E193" s="15"/>
      <c r="F193" s="15"/>
      <c r="G193" s="15"/>
      <c r="H193" s="39" t="str">
        <f>IF($G193="","",IFERROR(INDEX('90_SEMA'!$G$7:$H$183,MATCH($G193,'90_SEMA'!$B$7:$B$183,0),NYELV_IDX),"### ISMERETLEN KÓD"))</f>
        <v/>
      </c>
      <c r="I193" s="33"/>
      <c r="J193" s="33"/>
      <c r="K193" s="15"/>
      <c r="L193" s="15"/>
      <c r="M193" s="15"/>
    </row>
    <row r="194" spans="2:13" ht="15" customHeight="1" x14ac:dyDescent="0.3">
      <c r="B194" s="21" t="str">
        <f t="shared" si="2"/>
        <v/>
      </c>
      <c r="C194" s="15"/>
      <c r="D194" s="15"/>
      <c r="E194" s="15"/>
      <c r="F194" s="15"/>
      <c r="G194" s="15"/>
      <c r="H194" s="39" t="str">
        <f>IF($G194="","",IFERROR(INDEX('90_SEMA'!$G$7:$H$183,MATCH($G194,'90_SEMA'!$B$7:$B$183,0),NYELV_IDX),"### ISMERETLEN KÓD"))</f>
        <v/>
      </c>
      <c r="I194" s="33"/>
      <c r="J194" s="33"/>
      <c r="K194" s="15"/>
      <c r="L194" s="15"/>
      <c r="M194" s="15"/>
    </row>
    <row r="195" spans="2:13" ht="15" customHeight="1" x14ac:dyDescent="0.3">
      <c r="B195" s="21" t="str">
        <f t="shared" si="2"/>
        <v/>
      </c>
      <c r="C195" s="15"/>
      <c r="D195" s="15"/>
      <c r="E195" s="15"/>
      <c r="F195" s="15"/>
      <c r="G195" s="15"/>
      <c r="H195" s="39" t="str">
        <f>IF($G195="","",IFERROR(INDEX('90_SEMA'!$G$7:$H$183,MATCH($G195,'90_SEMA'!$B$7:$B$183,0),NYELV_IDX),"### ISMERETLEN KÓD"))</f>
        <v/>
      </c>
      <c r="I195" s="33"/>
      <c r="J195" s="33"/>
      <c r="K195" s="15"/>
      <c r="L195" s="15"/>
      <c r="M195" s="15"/>
    </row>
    <row r="196" spans="2:13" ht="15" customHeight="1" x14ac:dyDescent="0.3">
      <c r="B196" s="21" t="str">
        <f t="shared" si="2"/>
        <v/>
      </c>
      <c r="C196" s="15"/>
      <c r="D196" s="15"/>
      <c r="E196" s="15"/>
      <c r="F196" s="15"/>
      <c r="G196" s="15"/>
      <c r="H196" s="39" t="str">
        <f>IF($G196="","",IFERROR(INDEX('90_SEMA'!$G$7:$H$183,MATCH($G196,'90_SEMA'!$B$7:$B$183,0),NYELV_IDX),"### ISMERETLEN KÓD"))</f>
        <v/>
      </c>
      <c r="I196" s="33"/>
      <c r="J196" s="33"/>
      <c r="K196" s="15"/>
      <c r="L196" s="15"/>
      <c r="M196" s="15"/>
    </row>
    <row r="197" spans="2:13" ht="15" customHeight="1" x14ac:dyDescent="0.3">
      <c r="B197" s="21" t="str">
        <f t="shared" si="2"/>
        <v/>
      </c>
      <c r="C197" s="15"/>
      <c r="D197" s="15"/>
      <c r="E197" s="15"/>
      <c r="F197" s="15"/>
      <c r="G197" s="15"/>
      <c r="H197" s="39" t="str">
        <f>IF($G197="","",IFERROR(INDEX('90_SEMA'!$G$7:$H$183,MATCH($G197,'90_SEMA'!$B$7:$B$183,0),NYELV_IDX),"### ISMERETLEN KÓD"))</f>
        <v/>
      </c>
      <c r="I197" s="33"/>
      <c r="J197" s="33"/>
      <c r="K197" s="15"/>
      <c r="L197" s="15"/>
      <c r="M197" s="15"/>
    </row>
    <row r="198" spans="2:13" ht="15" customHeight="1" x14ac:dyDescent="0.3">
      <c r="B198" s="21" t="str">
        <f t="shared" si="2"/>
        <v/>
      </c>
      <c r="C198" s="15"/>
      <c r="D198" s="15"/>
      <c r="E198" s="15"/>
      <c r="F198" s="15"/>
      <c r="G198" s="15"/>
      <c r="H198" s="39" t="str">
        <f>IF($G198="","",IFERROR(INDEX('90_SEMA'!$G$7:$H$183,MATCH($G198,'90_SEMA'!$B$7:$B$183,0),NYELV_IDX),"### ISMERETLEN KÓD"))</f>
        <v/>
      </c>
      <c r="I198" s="33"/>
      <c r="J198" s="33"/>
      <c r="K198" s="15"/>
      <c r="L198" s="15"/>
      <c r="M198" s="15"/>
    </row>
    <row r="199" spans="2:13" ht="15" customHeight="1" x14ac:dyDescent="0.3">
      <c r="B199" s="21" t="str">
        <f t="shared" ref="B199:B262" si="3">IF($G199="","",ROW()-6)</f>
        <v/>
      </c>
      <c r="C199" s="15"/>
      <c r="D199" s="15"/>
      <c r="E199" s="15"/>
      <c r="F199" s="15"/>
      <c r="G199" s="15"/>
      <c r="H199" s="39" t="str">
        <f>IF($G199="","",IFERROR(INDEX('90_SEMA'!$G$7:$H$183,MATCH($G199,'90_SEMA'!$B$7:$B$183,0),NYELV_IDX),"### ISMERETLEN KÓD"))</f>
        <v/>
      </c>
      <c r="I199" s="33"/>
      <c r="J199" s="33"/>
      <c r="K199" s="15"/>
      <c r="L199" s="15"/>
      <c r="M199" s="15"/>
    </row>
    <row r="200" spans="2:13" ht="15" customHeight="1" x14ac:dyDescent="0.3">
      <c r="B200" s="21" t="str">
        <f t="shared" si="3"/>
        <v/>
      </c>
      <c r="C200" s="15"/>
      <c r="D200" s="15"/>
      <c r="E200" s="15"/>
      <c r="F200" s="15"/>
      <c r="G200" s="15"/>
      <c r="H200" s="39" t="str">
        <f>IF($G200="","",IFERROR(INDEX('90_SEMA'!$G$7:$H$183,MATCH($G200,'90_SEMA'!$B$7:$B$183,0),NYELV_IDX),"### ISMERETLEN KÓD"))</f>
        <v/>
      </c>
      <c r="I200" s="33"/>
      <c r="J200" s="33"/>
      <c r="K200" s="15"/>
      <c r="L200" s="15"/>
      <c r="M200" s="15"/>
    </row>
    <row r="201" spans="2:13" ht="15" customHeight="1" x14ac:dyDescent="0.3">
      <c r="B201" s="21" t="str">
        <f t="shared" si="3"/>
        <v/>
      </c>
      <c r="C201" s="15"/>
      <c r="D201" s="15"/>
      <c r="E201" s="15"/>
      <c r="F201" s="15"/>
      <c r="G201" s="15"/>
      <c r="H201" s="39" t="str">
        <f>IF($G201="","",IFERROR(INDEX('90_SEMA'!$G$7:$H$183,MATCH($G201,'90_SEMA'!$B$7:$B$183,0),NYELV_IDX),"### ISMERETLEN KÓD"))</f>
        <v/>
      </c>
      <c r="I201" s="33"/>
      <c r="J201" s="33"/>
      <c r="K201" s="15"/>
      <c r="L201" s="15"/>
      <c r="M201" s="15"/>
    </row>
    <row r="202" spans="2:13" ht="15" customHeight="1" x14ac:dyDescent="0.3">
      <c r="B202" s="21" t="str">
        <f t="shared" si="3"/>
        <v/>
      </c>
      <c r="C202" s="15"/>
      <c r="D202" s="15"/>
      <c r="E202" s="15"/>
      <c r="F202" s="15"/>
      <c r="G202" s="15"/>
      <c r="H202" s="39" t="str">
        <f>IF($G202="","",IFERROR(INDEX('90_SEMA'!$G$7:$H$183,MATCH($G202,'90_SEMA'!$B$7:$B$183,0),NYELV_IDX),"### ISMERETLEN KÓD"))</f>
        <v/>
      </c>
      <c r="I202" s="33"/>
      <c r="J202" s="33"/>
      <c r="K202" s="15"/>
      <c r="L202" s="15"/>
      <c r="M202" s="15"/>
    </row>
    <row r="203" spans="2:13" ht="15" customHeight="1" x14ac:dyDescent="0.3">
      <c r="B203" s="21" t="str">
        <f t="shared" si="3"/>
        <v/>
      </c>
      <c r="C203" s="15"/>
      <c r="D203" s="15"/>
      <c r="E203" s="15"/>
      <c r="F203" s="15"/>
      <c r="G203" s="15"/>
      <c r="H203" s="39" t="str">
        <f>IF($G203="","",IFERROR(INDEX('90_SEMA'!$G$7:$H$183,MATCH($G203,'90_SEMA'!$B$7:$B$183,0),NYELV_IDX),"### ISMERETLEN KÓD"))</f>
        <v/>
      </c>
      <c r="I203" s="33"/>
      <c r="J203" s="33"/>
      <c r="K203" s="15"/>
      <c r="L203" s="15"/>
      <c r="M203" s="15"/>
    </row>
    <row r="204" spans="2:13" ht="15" customHeight="1" x14ac:dyDescent="0.3">
      <c r="B204" s="21" t="str">
        <f t="shared" si="3"/>
        <v/>
      </c>
      <c r="C204" s="15"/>
      <c r="D204" s="15"/>
      <c r="E204" s="15"/>
      <c r="F204" s="15"/>
      <c r="G204" s="15"/>
      <c r="H204" s="39" t="str">
        <f>IF($G204="","",IFERROR(INDEX('90_SEMA'!$G$7:$H$183,MATCH($G204,'90_SEMA'!$B$7:$B$183,0),NYELV_IDX),"### ISMERETLEN KÓD"))</f>
        <v/>
      </c>
      <c r="I204" s="33"/>
      <c r="J204" s="33"/>
      <c r="K204" s="15"/>
      <c r="L204" s="15"/>
      <c r="M204" s="15"/>
    </row>
    <row r="205" spans="2:13" ht="15" customHeight="1" x14ac:dyDescent="0.3">
      <c r="B205" s="21" t="str">
        <f t="shared" si="3"/>
        <v/>
      </c>
      <c r="C205" s="15"/>
      <c r="D205" s="15"/>
      <c r="E205" s="15"/>
      <c r="F205" s="15"/>
      <c r="G205" s="15"/>
      <c r="H205" s="39" t="str">
        <f>IF($G205="","",IFERROR(INDEX('90_SEMA'!$G$7:$H$183,MATCH($G205,'90_SEMA'!$B$7:$B$183,0),NYELV_IDX),"### ISMERETLEN KÓD"))</f>
        <v/>
      </c>
      <c r="I205" s="33"/>
      <c r="J205" s="33"/>
      <c r="K205" s="15"/>
      <c r="L205" s="15"/>
      <c r="M205" s="15"/>
    </row>
    <row r="206" spans="2:13" ht="15" customHeight="1" x14ac:dyDescent="0.3">
      <c r="B206" s="21" t="str">
        <f t="shared" si="3"/>
        <v/>
      </c>
      <c r="C206" s="15"/>
      <c r="D206" s="15"/>
      <c r="E206" s="15"/>
      <c r="F206" s="15"/>
      <c r="G206" s="15"/>
      <c r="H206" s="39" t="str">
        <f>IF($G206="","",IFERROR(INDEX('90_SEMA'!$G$7:$H$183,MATCH($G206,'90_SEMA'!$B$7:$B$183,0),NYELV_IDX),"### ISMERETLEN KÓD"))</f>
        <v/>
      </c>
      <c r="I206" s="33"/>
      <c r="J206" s="33"/>
      <c r="K206" s="15"/>
      <c r="L206" s="15"/>
      <c r="M206" s="15"/>
    </row>
    <row r="207" spans="2:13" ht="15" customHeight="1" x14ac:dyDescent="0.3">
      <c r="B207" s="21" t="str">
        <f t="shared" si="3"/>
        <v/>
      </c>
      <c r="C207" s="15"/>
      <c r="D207" s="15"/>
      <c r="E207" s="15"/>
      <c r="F207" s="15"/>
      <c r="G207" s="15"/>
      <c r="H207" s="39" t="str">
        <f>IF($G207="","",IFERROR(INDEX('90_SEMA'!$G$7:$H$183,MATCH($G207,'90_SEMA'!$B$7:$B$183,0),NYELV_IDX),"### ISMERETLEN KÓD"))</f>
        <v/>
      </c>
      <c r="I207" s="33"/>
      <c r="J207" s="33"/>
      <c r="K207" s="15"/>
      <c r="L207" s="15"/>
      <c r="M207" s="15"/>
    </row>
    <row r="208" spans="2:13" ht="15" customHeight="1" x14ac:dyDescent="0.3">
      <c r="B208" s="21" t="str">
        <f t="shared" si="3"/>
        <v/>
      </c>
      <c r="C208" s="15"/>
      <c r="D208" s="15"/>
      <c r="E208" s="15"/>
      <c r="F208" s="15"/>
      <c r="G208" s="15"/>
      <c r="H208" s="39" t="str">
        <f>IF($G208="","",IFERROR(INDEX('90_SEMA'!$G$7:$H$183,MATCH($G208,'90_SEMA'!$B$7:$B$183,0),NYELV_IDX),"### ISMERETLEN KÓD"))</f>
        <v/>
      </c>
      <c r="I208" s="33"/>
      <c r="J208" s="33"/>
      <c r="K208" s="15"/>
      <c r="L208" s="15"/>
      <c r="M208" s="15"/>
    </row>
    <row r="209" spans="2:13" ht="15" customHeight="1" x14ac:dyDescent="0.3">
      <c r="B209" s="21" t="str">
        <f t="shared" si="3"/>
        <v/>
      </c>
      <c r="C209" s="15"/>
      <c r="D209" s="15"/>
      <c r="E209" s="15"/>
      <c r="F209" s="15"/>
      <c r="G209" s="15"/>
      <c r="H209" s="39" t="str">
        <f>IF($G209="","",IFERROR(INDEX('90_SEMA'!$G$7:$H$183,MATCH($G209,'90_SEMA'!$B$7:$B$183,0),NYELV_IDX),"### ISMERETLEN KÓD"))</f>
        <v/>
      </c>
      <c r="I209" s="33"/>
      <c r="J209" s="33"/>
      <c r="K209" s="15"/>
      <c r="L209" s="15"/>
      <c r="M209" s="15"/>
    </row>
    <row r="210" spans="2:13" ht="15" customHeight="1" x14ac:dyDescent="0.3">
      <c r="B210" s="21" t="str">
        <f t="shared" si="3"/>
        <v/>
      </c>
      <c r="C210" s="15"/>
      <c r="D210" s="15"/>
      <c r="E210" s="15"/>
      <c r="F210" s="15"/>
      <c r="G210" s="15"/>
      <c r="H210" s="39" t="str">
        <f>IF($G210="","",IFERROR(INDEX('90_SEMA'!$G$7:$H$183,MATCH($G210,'90_SEMA'!$B$7:$B$183,0),NYELV_IDX),"### ISMERETLEN KÓD"))</f>
        <v/>
      </c>
      <c r="I210" s="33"/>
      <c r="J210" s="33"/>
      <c r="K210" s="15"/>
      <c r="L210" s="15"/>
      <c r="M210" s="15"/>
    </row>
    <row r="211" spans="2:13" ht="15" customHeight="1" x14ac:dyDescent="0.3">
      <c r="B211" s="21" t="str">
        <f t="shared" si="3"/>
        <v/>
      </c>
      <c r="C211" s="15"/>
      <c r="D211" s="15"/>
      <c r="E211" s="15"/>
      <c r="F211" s="15"/>
      <c r="G211" s="15"/>
      <c r="H211" s="39" t="str">
        <f>IF($G211="","",IFERROR(INDEX('90_SEMA'!$G$7:$H$183,MATCH($G211,'90_SEMA'!$B$7:$B$183,0),NYELV_IDX),"### ISMERETLEN KÓD"))</f>
        <v/>
      </c>
      <c r="I211" s="33"/>
      <c r="J211" s="33"/>
      <c r="K211" s="15"/>
      <c r="L211" s="15"/>
      <c r="M211" s="15"/>
    </row>
    <row r="212" spans="2:13" ht="15" customHeight="1" x14ac:dyDescent="0.3">
      <c r="B212" s="21" t="str">
        <f t="shared" si="3"/>
        <v/>
      </c>
      <c r="C212" s="15"/>
      <c r="D212" s="15"/>
      <c r="E212" s="15"/>
      <c r="F212" s="15"/>
      <c r="G212" s="15"/>
      <c r="H212" s="39" t="str">
        <f>IF($G212="","",IFERROR(INDEX('90_SEMA'!$G$7:$H$183,MATCH($G212,'90_SEMA'!$B$7:$B$183,0),NYELV_IDX),"### ISMERETLEN KÓD"))</f>
        <v/>
      </c>
      <c r="I212" s="33"/>
      <c r="J212" s="33"/>
      <c r="K212" s="15"/>
      <c r="L212" s="15"/>
      <c r="M212" s="15"/>
    </row>
    <row r="213" spans="2:13" ht="15" customHeight="1" x14ac:dyDescent="0.3">
      <c r="B213" s="21" t="str">
        <f t="shared" si="3"/>
        <v/>
      </c>
      <c r="C213" s="15"/>
      <c r="D213" s="15"/>
      <c r="E213" s="15"/>
      <c r="F213" s="15"/>
      <c r="G213" s="15"/>
      <c r="H213" s="39" t="str">
        <f>IF($G213="","",IFERROR(INDEX('90_SEMA'!$G$7:$H$183,MATCH($G213,'90_SEMA'!$B$7:$B$183,0),NYELV_IDX),"### ISMERETLEN KÓD"))</f>
        <v/>
      </c>
      <c r="I213" s="33"/>
      <c r="J213" s="33"/>
      <c r="K213" s="15"/>
      <c r="L213" s="15"/>
      <c r="M213" s="15"/>
    </row>
    <row r="214" spans="2:13" ht="15" customHeight="1" x14ac:dyDescent="0.3">
      <c r="B214" s="21" t="str">
        <f t="shared" si="3"/>
        <v/>
      </c>
      <c r="C214" s="15"/>
      <c r="D214" s="15"/>
      <c r="E214" s="15"/>
      <c r="F214" s="15"/>
      <c r="G214" s="15"/>
      <c r="H214" s="39" t="str">
        <f>IF($G214="","",IFERROR(INDEX('90_SEMA'!$G$7:$H$183,MATCH($G214,'90_SEMA'!$B$7:$B$183,0),NYELV_IDX),"### ISMERETLEN KÓD"))</f>
        <v/>
      </c>
      <c r="I214" s="33"/>
      <c r="J214" s="33"/>
      <c r="K214" s="15"/>
      <c r="L214" s="15"/>
      <c r="M214" s="15"/>
    </row>
    <row r="215" spans="2:13" ht="15" customHeight="1" x14ac:dyDescent="0.3">
      <c r="B215" s="21" t="str">
        <f t="shared" si="3"/>
        <v/>
      </c>
      <c r="C215" s="15"/>
      <c r="D215" s="15"/>
      <c r="E215" s="15"/>
      <c r="F215" s="15"/>
      <c r="G215" s="15"/>
      <c r="H215" s="39" t="str">
        <f>IF($G215="","",IFERROR(INDEX('90_SEMA'!$G$7:$H$183,MATCH($G215,'90_SEMA'!$B$7:$B$183,0),NYELV_IDX),"### ISMERETLEN KÓD"))</f>
        <v/>
      </c>
      <c r="I215" s="33"/>
      <c r="J215" s="33"/>
      <c r="K215" s="15"/>
      <c r="L215" s="15"/>
      <c r="M215" s="15"/>
    </row>
    <row r="216" spans="2:13" ht="15" customHeight="1" x14ac:dyDescent="0.3">
      <c r="B216" s="21" t="str">
        <f t="shared" si="3"/>
        <v/>
      </c>
      <c r="C216" s="15"/>
      <c r="D216" s="15"/>
      <c r="E216" s="15"/>
      <c r="F216" s="15"/>
      <c r="G216" s="15"/>
      <c r="H216" s="39" t="str">
        <f>IF($G216="","",IFERROR(INDEX('90_SEMA'!$G$7:$H$183,MATCH($G216,'90_SEMA'!$B$7:$B$183,0),NYELV_IDX),"### ISMERETLEN KÓD"))</f>
        <v/>
      </c>
      <c r="I216" s="33"/>
      <c r="J216" s="33"/>
      <c r="K216" s="15"/>
      <c r="L216" s="15"/>
      <c r="M216" s="15"/>
    </row>
    <row r="217" spans="2:13" ht="15" customHeight="1" x14ac:dyDescent="0.3">
      <c r="B217" s="21" t="str">
        <f t="shared" si="3"/>
        <v/>
      </c>
      <c r="C217" s="15"/>
      <c r="D217" s="15"/>
      <c r="E217" s="15"/>
      <c r="F217" s="15"/>
      <c r="G217" s="15"/>
      <c r="H217" s="39" t="str">
        <f>IF($G217="","",IFERROR(INDEX('90_SEMA'!$G$7:$H$183,MATCH($G217,'90_SEMA'!$B$7:$B$183,0),NYELV_IDX),"### ISMERETLEN KÓD"))</f>
        <v/>
      </c>
      <c r="I217" s="33"/>
      <c r="J217" s="33"/>
      <c r="K217" s="15"/>
      <c r="L217" s="15"/>
      <c r="M217" s="15"/>
    </row>
    <row r="218" spans="2:13" ht="15" customHeight="1" x14ac:dyDescent="0.3">
      <c r="B218" s="21" t="str">
        <f t="shared" si="3"/>
        <v/>
      </c>
      <c r="C218" s="15"/>
      <c r="D218" s="15"/>
      <c r="E218" s="15"/>
      <c r="F218" s="15"/>
      <c r="G218" s="15"/>
      <c r="H218" s="39" t="str">
        <f>IF($G218="","",IFERROR(INDEX('90_SEMA'!$G$7:$H$183,MATCH($G218,'90_SEMA'!$B$7:$B$183,0),NYELV_IDX),"### ISMERETLEN KÓD"))</f>
        <v/>
      </c>
      <c r="I218" s="33"/>
      <c r="J218" s="33"/>
      <c r="K218" s="15"/>
      <c r="L218" s="15"/>
      <c r="M218" s="15"/>
    </row>
    <row r="219" spans="2:13" ht="15" customHeight="1" x14ac:dyDescent="0.3">
      <c r="B219" s="21" t="str">
        <f t="shared" si="3"/>
        <v/>
      </c>
      <c r="C219" s="15"/>
      <c r="D219" s="15"/>
      <c r="E219" s="15"/>
      <c r="F219" s="15"/>
      <c r="G219" s="15"/>
      <c r="H219" s="39" t="str">
        <f>IF($G219="","",IFERROR(INDEX('90_SEMA'!$G$7:$H$183,MATCH($G219,'90_SEMA'!$B$7:$B$183,0),NYELV_IDX),"### ISMERETLEN KÓD"))</f>
        <v/>
      </c>
      <c r="I219" s="33"/>
      <c r="J219" s="33"/>
      <c r="K219" s="15"/>
      <c r="L219" s="15"/>
      <c r="M219" s="15"/>
    </row>
    <row r="220" spans="2:13" ht="15" customHeight="1" x14ac:dyDescent="0.3">
      <c r="B220" s="21" t="str">
        <f t="shared" si="3"/>
        <v/>
      </c>
      <c r="C220" s="15"/>
      <c r="D220" s="15"/>
      <c r="E220" s="15"/>
      <c r="F220" s="15"/>
      <c r="G220" s="15"/>
      <c r="H220" s="39" t="str">
        <f>IF($G220="","",IFERROR(INDEX('90_SEMA'!$G$7:$H$183,MATCH($G220,'90_SEMA'!$B$7:$B$183,0),NYELV_IDX),"### ISMERETLEN KÓD"))</f>
        <v/>
      </c>
      <c r="I220" s="33"/>
      <c r="J220" s="33"/>
      <c r="K220" s="15"/>
      <c r="L220" s="15"/>
      <c r="M220" s="15"/>
    </row>
    <row r="221" spans="2:13" ht="15" customHeight="1" x14ac:dyDescent="0.3">
      <c r="B221" s="21" t="str">
        <f t="shared" si="3"/>
        <v/>
      </c>
      <c r="C221" s="15"/>
      <c r="D221" s="15"/>
      <c r="E221" s="15"/>
      <c r="F221" s="15"/>
      <c r="G221" s="15"/>
      <c r="H221" s="39" t="str">
        <f>IF($G221="","",IFERROR(INDEX('90_SEMA'!$G$7:$H$183,MATCH($G221,'90_SEMA'!$B$7:$B$183,0),NYELV_IDX),"### ISMERETLEN KÓD"))</f>
        <v/>
      </c>
      <c r="I221" s="33"/>
      <c r="J221" s="33"/>
      <c r="K221" s="15"/>
      <c r="L221" s="15"/>
      <c r="M221" s="15"/>
    </row>
    <row r="222" spans="2:13" ht="15" customHeight="1" x14ac:dyDescent="0.3">
      <c r="B222" s="21" t="str">
        <f t="shared" si="3"/>
        <v/>
      </c>
      <c r="C222" s="15"/>
      <c r="D222" s="15"/>
      <c r="E222" s="15"/>
      <c r="F222" s="15"/>
      <c r="G222" s="15"/>
      <c r="H222" s="39" t="str">
        <f>IF($G222="","",IFERROR(INDEX('90_SEMA'!$G$7:$H$183,MATCH($G222,'90_SEMA'!$B$7:$B$183,0),NYELV_IDX),"### ISMERETLEN KÓD"))</f>
        <v/>
      </c>
      <c r="I222" s="33"/>
      <c r="J222" s="33"/>
      <c r="K222" s="15"/>
      <c r="L222" s="15"/>
      <c r="M222" s="15"/>
    </row>
    <row r="223" spans="2:13" ht="15" customHeight="1" x14ac:dyDescent="0.3">
      <c r="B223" s="21" t="str">
        <f t="shared" si="3"/>
        <v/>
      </c>
      <c r="C223" s="15"/>
      <c r="D223" s="15"/>
      <c r="E223" s="15"/>
      <c r="F223" s="15"/>
      <c r="G223" s="15"/>
      <c r="H223" s="39" t="str">
        <f>IF($G223="","",IFERROR(INDEX('90_SEMA'!$G$7:$H$183,MATCH($G223,'90_SEMA'!$B$7:$B$183,0),NYELV_IDX),"### ISMERETLEN KÓD"))</f>
        <v/>
      </c>
      <c r="I223" s="33"/>
      <c r="J223" s="33"/>
      <c r="K223" s="15"/>
      <c r="L223" s="15"/>
      <c r="M223" s="15"/>
    </row>
    <row r="224" spans="2:13" ht="15" customHeight="1" x14ac:dyDescent="0.3">
      <c r="B224" s="21" t="str">
        <f t="shared" si="3"/>
        <v/>
      </c>
      <c r="C224" s="15"/>
      <c r="D224" s="15"/>
      <c r="E224" s="15"/>
      <c r="F224" s="15"/>
      <c r="G224" s="15"/>
      <c r="H224" s="39" t="str">
        <f>IF($G224="","",IFERROR(INDEX('90_SEMA'!$G$7:$H$183,MATCH($G224,'90_SEMA'!$B$7:$B$183,0),NYELV_IDX),"### ISMERETLEN KÓD"))</f>
        <v/>
      </c>
      <c r="I224" s="33"/>
      <c r="J224" s="33"/>
      <c r="K224" s="15"/>
      <c r="L224" s="15"/>
      <c r="M224" s="15"/>
    </row>
    <row r="225" spans="2:13" ht="15" customHeight="1" x14ac:dyDescent="0.3">
      <c r="B225" s="21" t="str">
        <f t="shared" si="3"/>
        <v/>
      </c>
      <c r="C225" s="15"/>
      <c r="D225" s="15"/>
      <c r="E225" s="15"/>
      <c r="F225" s="15"/>
      <c r="G225" s="15"/>
      <c r="H225" s="39" t="str">
        <f>IF($G225="","",IFERROR(INDEX('90_SEMA'!$G$7:$H$183,MATCH($G225,'90_SEMA'!$B$7:$B$183,0),NYELV_IDX),"### ISMERETLEN KÓD"))</f>
        <v/>
      </c>
      <c r="I225" s="33"/>
      <c r="J225" s="33"/>
      <c r="K225" s="15"/>
      <c r="L225" s="15"/>
      <c r="M225" s="15"/>
    </row>
    <row r="226" spans="2:13" ht="15" customHeight="1" x14ac:dyDescent="0.3">
      <c r="B226" s="21" t="str">
        <f t="shared" si="3"/>
        <v/>
      </c>
      <c r="C226" s="15"/>
      <c r="D226" s="15"/>
      <c r="E226" s="15"/>
      <c r="F226" s="15"/>
      <c r="G226" s="15"/>
      <c r="H226" s="39" t="str">
        <f>IF($G226="","",IFERROR(INDEX('90_SEMA'!$G$7:$H$183,MATCH($G226,'90_SEMA'!$B$7:$B$183,0),NYELV_IDX),"### ISMERETLEN KÓD"))</f>
        <v/>
      </c>
      <c r="I226" s="33"/>
      <c r="J226" s="33"/>
      <c r="K226" s="15"/>
      <c r="L226" s="15"/>
      <c r="M226" s="15"/>
    </row>
    <row r="227" spans="2:13" ht="15" customHeight="1" x14ac:dyDescent="0.3">
      <c r="B227" s="21" t="str">
        <f t="shared" si="3"/>
        <v/>
      </c>
      <c r="C227" s="15"/>
      <c r="D227" s="15"/>
      <c r="E227" s="15"/>
      <c r="F227" s="15"/>
      <c r="G227" s="15"/>
      <c r="H227" s="39" t="str">
        <f>IF($G227="","",IFERROR(INDEX('90_SEMA'!$G$7:$H$183,MATCH($G227,'90_SEMA'!$B$7:$B$183,0),NYELV_IDX),"### ISMERETLEN KÓD"))</f>
        <v/>
      </c>
      <c r="I227" s="33"/>
      <c r="J227" s="33"/>
      <c r="K227" s="15"/>
      <c r="L227" s="15"/>
      <c r="M227" s="15"/>
    </row>
    <row r="228" spans="2:13" ht="15" customHeight="1" x14ac:dyDescent="0.3">
      <c r="B228" s="21" t="str">
        <f t="shared" si="3"/>
        <v/>
      </c>
      <c r="C228" s="15"/>
      <c r="D228" s="15"/>
      <c r="E228" s="15"/>
      <c r="F228" s="15"/>
      <c r="G228" s="15"/>
      <c r="H228" s="39" t="str">
        <f>IF($G228="","",IFERROR(INDEX('90_SEMA'!$G$7:$H$183,MATCH($G228,'90_SEMA'!$B$7:$B$183,0),NYELV_IDX),"### ISMERETLEN KÓD"))</f>
        <v/>
      </c>
      <c r="I228" s="33"/>
      <c r="J228" s="33"/>
      <c r="K228" s="15"/>
      <c r="L228" s="15"/>
      <c r="M228" s="15"/>
    </row>
    <row r="229" spans="2:13" ht="15" customHeight="1" x14ac:dyDescent="0.3">
      <c r="B229" s="21" t="str">
        <f t="shared" si="3"/>
        <v/>
      </c>
      <c r="C229" s="15"/>
      <c r="D229" s="15"/>
      <c r="E229" s="15"/>
      <c r="F229" s="15"/>
      <c r="G229" s="15"/>
      <c r="H229" s="39" t="str">
        <f>IF($G229="","",IFERROR(INDEX('90_SEMA'!$G$7:$H$183,MATCH($G229,'90_SEMA'!$B$7:$B$183,0),NYELV_IDX),"### ISMERETLEN KÓD"))</f>
        <v/>
      </c>
      <c r="I229" s="33"/>
      <c r="J229" s="33"/>
      <c r="K229" s="15"/>
      <c r="L229" s="15"/>
      <c r="M229" s="15"/>
    </row>
    <row r="230" spans="2:13" ht="15" customHeight="1" x14ac:dyDescent="0.3">
      <c r="B230" s="21" t="str">
        <f t="shared" si="3"/>
        <v/>
      </c>
      <c r="C230" s="15"/>
      <c r="D230" s="15"/>
      <c r="E230" s="15"/>
      <c r="F230" s="15"/>
      <c r="G230" s="15"/>
      <c r="H230" s="39" t="str">
        <f>IF($G230="","",IFERROR(INDEX('90_SEMA'!$G$7:$H$183,MATCH($G230,'90_SEMA'!$B$7:$B$183,0),NYELV_IDX),"### ISMERETLEN KÓD"))</f>
        <v/>
      </c>
      <c r="I230" s="33"/>
      <c r="J230" s="33"/>
      <c r="K230" s="15"/>
      <c r="L230" s="15"/>
      <c r="M230" s="15"/>
    </row>
    <row r="231" spans="2:13" ht="15" customHeight="1" x14ac:dyDescent="0.3">
      <c r="B231" s="21" t="str">
        <f t="shared" si="3"/>
        <v/>
      </c>
      <c r="C231" s="15"/>
      <c r="D231" s="15"/>
      <c r="E231" s="15"/>
      <c r="F231" s="15"/>
      <c r="G231" s="15"/>
      <c r="H231" s="39" t="str">
        <f>IF($G231="","",IFERROR(INDEX('90_SEMA'!$G$7:$H$183,MATCH($G231,'90_SEMA'!$B$7:$B$183,0),NYELV_IDX),"### ISMERETLEN KÓD"))</f>
        <v/>
      </c>
      <c r="I231" s="33"/>
      <c r="J231" s="33"/>
      <c r="K231" s="15"/>
      <c r="L231" s="15"/>
      <c r="M231" s="15"/>
    </row>
    <row r="232" spans="2:13" ht="15" customHeight="1" x14ac:dyDescent="0.3">
      <c r="B232" s="21" t="str">
        <f t="shared" si="3"/>
        <v/>
      </c>
      <c r="C232" s="15"/>
      <c r="D232" s="15"/>
      <c r="E232" s="15"/>
      <c r="F232" s="15"/>
      <c r="G232" s="15"/>
      <c r="H232" s="39" t="str">
        <f>IF($G232="","",IFERROR(INDEX('90_SEMA'!$G$7:$H$183,MATCH($G232,'90_SEMA'!$B$7:$B$183,0),NYELV_IDX),"### ISMERETLEN KÓD"))</f>
        <v/>
      </c>
      <c r="I232" s="33"/>
      <c r="J232" s="33"/>
      <c r="K232" s="15"/>
      <c r="L232" s="15"/>
      <c r="M232" s="15"/>
    </row>
    <row r="233" spans="2:13" ht="15" customHeight="1" x14ac:dyDescent="0.3">
      <c r="B233" s="21" t="str">
        <f t="shared" si="3"/>
        <v/>
      </c>
      <c r="C233" s="15"/>
      <c r="D233" s="15"/>
      <c r="E233" s="15"/>
      <c r="F233" s="15"/>
      <c r="G233" s="15"/>
      <c r="H233" s="39" t="str">
        <f>IF($G233="","",IFERROR(INDEX('90_SEMA'!$G$7:$H$183,MATCH($G233,'90_SEMA'!$B$7:$B$183,0),NYELV_IDX),"### ISMERETLEN KÓD"))</f>
        <v/>
      </c>
      <c r="I233" s="33"/>
      <c r="J233" s="33"/>
      <c r="K233" s="15"/>
      <c r="L233" s="15"/>
      <c r="M233" s="15"/>
    </row>
    <row r="234" spans="2:13" ht="15" customHeight="1" x14ac:dyDescent="0.3">
      <c r="B234" s="21" t="str">
        <f t="shared" si="3"/>
        <v/>
      </c>
      <c r="C234" s="15"/>
      <c r="D234" s="15"/>
      <c r="E234" s="15"/>
      <c r="F234" s="15"/>
      <c r="G234" s="15"/>
      <c r="H234" s="39" t="str">
        <f>IF($G234="","",IFERROR(INDEX('90_SEMA'!$G$7:$H$183,MATCH($G234,'90_SEMA'!$B$7:$B$183,0),NYELV_IDX),"### ISMERETLEN KÓD"))</f>
        <v/>
      </c>
      <c r="I234" s="33"/>
      <c r="J234" s="33"/>
      <c r="K234" s="15"/>
      <c r="L234" s="15"/>
      <c r="M234" s="15"/>
    </row>
    <row r="235" spans="2:13" ht="15" customHeight="1" x14ac:dyDescent="0.3">
      <c r="B235" s="21" t="str">
        <f t="shared" si="3"/>
        <v/>
      </c>
      <c r="C235" s="15"/>
      <c r="D235" s="15"/>
      <c r="E235" s="15"/>
      <c r="F235" s="15"/>
      <c r="G235" s="15"/>
      <c r="H235" s="39" t="str">
        <f>IF($G235="","",IFERROR(INDEX('90_SEMA'!$G$7:$H$183,MATCH($G235,'90_SEMA'!$B$7:$B$183,0),NYELV_IDX),"### ISMERETLEN KÓD"))</f>
        <v/>
      </c>
      <c r="I235" s="33"/>
      <c r="J235" s="33"/>
      <c r="K235" s="15"/>
      <c r="L235" s="15"/>
      <c r="M235" s="15"/>
    </row>
    <row r="236" spans="2:13" ht="15" customHeight="1" x14ac:dyDescent="0.3">
      <c r="B236" s="21" t="str">
        <f t="shared" si="3"/>
        <v/>
      </c>
      <c r="C236" s="15"/>
      <c r="D236" s="15"/>
      <c r="E236" s="15"/>
      <c r="F236" s="15"/>
      <c r="G236" s="15"/>
      <c r="H236" s="39" t="str">
        <f>IF($G236="","",IFERROR(INDEX('90_SEMA'!$G$7:$H$183,MATCH($G236,'90_SEMA'!$B$7:$B$183,0),NYELV_IDX),"### ISMERETLEN KÓD"))</f>
        <v/>
      </c>
      <c r="I236" s="33"/>
      <c r="J236" s="33"/>
      <c r="K236" s="15"/>
      <c r="L236" s="15"/>
      <c r="M236" s="15"/>
    </row>
    <row r="237" spans="2:13" ht="15" customHeight="1" x14ac:dyDescent="0.3">
      <c r="B237" s="21" t="str">
        <f t="shared" si="3"/>
        <v/>
      </c>
      <c r="C237" s="15"/>
      <c r="D237" s="15"/>
      <c r="E237" s="15"/>
      <c r="F237" s="15"/>
      <c r="G237" s="15"/>
      <c r="H237" s="39" t="str">
        <f>IF($G237="","",IFERROR(INDEX('90_SEMA'!$G$7:$H$183,MATCH($G237,'90_SEMA'!$B$7:$B$183,0),NYELV_IDX),"### ISMERETLEN KÓD"))</f>
        <v/>
      </c>
      <c r="I237" s="33"/>
      <c r="J237" s="33"/>
      <c r="K237" s="15"/>
      <c r="L237" s="15"/>
      <c r="M237" s="15"/>
    </row>
    <row r="238" spans="2:13" ht="15" customHeight="1" x14ac:dyDescent="0.3">
      <c r="B238" s="21" t="str">
        <f t="shared" si="3"/>
        <v/>
      </c>
      <c r="C238" s="15"/>
      <c r="D238" s="15"/>
      <c r="E238" s="15"/>
      <c r="F238" s="15"/>
      <c r="G238" s="15"/>
      <c r="H238" s="39" t="str">
        <f>IF($G238="","",IFERROR(INDEX('90_SEMA'!$G$7:$H$183,MATCH($G238,'90_SEMA'!$B$7:$B$183,0),NYELV_IDX),"### ISMERETLEN KÓD"))</f>
        <v/>
      </c>
      <c r="I238" s="33"/>
      <c r="J238" s="33"/>
      <c r="K238" s="15"/>
      <c r="L238" s="15"/>
      <c r="M238" s="15"/>
    </row>
    <row r="239" spans="2:13" ht="15" customHeight="1" x14ac:dyDescent="0.3">
      <c r="B239" s="21" t="str">
        <f t="shared" si="3"/>
        <v/>
      </c>
      <c r="C239" s="15"/>
      <c r="D239" s="15"/>
      <c r="E239" s="15"/>
      <c r="F239" s="15"/>
      <c r="G239" s="15"/>
      <c r="H239" s="39" t="str">
        <f>IF($G239="","",IFERROR(INDEX('90_SEMA'!$G$7:$H$183,MATCH($G239,'90_SEMA'!$B$7:$B$183,0),NYELV_IDX),"### ISMERETLEN KÓD"))</f>
        <v/>
      </c>
      <c r="I239" s="33"/>
      <c r="J239" s="33"/>
      <c r="K239" s="15"/>
      <c r="L239" s="15"/>
      <c r="M239" s="15"/>
    </row>
    <row r="240" spans="2:13" ht="15" customHeight="1" x14ac:dyDescent="0.3">
      <c r="B240" s="21" t="str">
        <f t="shared" si="3"/>
        <v/>
      </c>
      <c r="C240" s="15"/>
      <c r="D240" s="15"/>
      <c r="E240" s="15"/>
      <c r="F240" s="15"/>
      <c r="G240" s="15"/>
      <c r="H240" s="39" t="str">
        <f>IF($G240="","",IFERROR(INDEX('90_SEMA'!$G$7:$H$183,MATCH($G240,'90_SEMA'!$B$7:$B$183,0),NYELV_IDX),"### ISMERETLEN KÓD"))</f>
        <v/>
      </c>
      <c r="I240" s="33"/>
      <c r="J240" s="33"/>
      <c r="K240" s="15"/>
      <c r="L240" s="15"/>
      <c r="M240" s="15"/>
    </row>
    <row r="241" spans="2:13" ht="15" customHeight="1" x14ac:dyDescent="0.3">
      <c r="B241" s="21" t="str">
        <f t="shared" si="3"/>
        <v/>
      </c>
      <c r="C241" s="15"/>
      <c r="D241" s="15"/>
      <c r="E241" s="15"/>
      <c r="F241" s="15"/>
      <c r="G241" s="15"/>
      <c r="H241" s="39" t="str">
        <f>IF($G241="","",IFERROR(INDEX('90_SEMA'!$G$7:$H$183,MATCH($G241,'90_SEMA'!$B$7:$B$183,0),NYELV_IDX),"### ISMERETLEN KÓD"))</f>
        <v/>
      </c>
      <c r="I241" s="33"/>
      <c r="J241" s="33"/>
      <c r="K241" s="15"/>
      <c r="L241" s="15"/>
      <c r="M241" s="15"/>
    </row>
    <row r="242" spans="2:13" ht="15" customHeight="1" x14ac:dyDescent="0.3">
      <c r="B242" s="21" t="str">
        <f t="shared" si="3"/>
        <v/>
      </c>
      <c r="C242" s="15"/>
      <c r="D242" s="15"/>
      <c r="E242" s="15"/>
      <c r="F242" s="15"/>
      <c r="G242" s="15"/>
      <c r="H242" s="39" t="str">
        <f>IF($G242="","",IFERROR(INDEX('90_SEMA'!$G$7:$H$183,MATCH($G242,'90_SEMA'!$B$7:$B$183,0),NYELV_IDX),"### ISMERETLEN KÓD"))</f>
        <v/>
      </c>
      <c r="I242" s="33"/>
      <c r="J242" s="33"/>
      <c r="K242" s="15"/>
      <c r="L242" s="15"/>
      <c r="M242" s="15"/>
    </row>
    <row r="243" spans="2:13" ht="15" customHeight="1" x14ac:dyDescent="0.3">
      <c r="B243" s="21" t="str">
        <f t="shared" si="3"/>
        <v/>
      </c>
      <c r="C243" s="15"/>
      <c r="D243" s="15"/>
      <c r="E243" s="15"/>
      <c r="F243" s="15"/>
      <c r="G243" s="15"/>
      <c r="H243" s="39" t="str">
        <f>IF($G243="","",IFERROR(INDEX('90_SEMA'!$G$7:$H$183,MATCH($G243,'90_SEMA'!$B$7:$B$183,0),NYELV_IDX),"### ISMERETLEN KÓD"))</f>
        <v/>
      </c>
      <c r="I243" s="33"/>
      <c r="J243" s="33"/>
      <c r="K243" s="15"/>
      <c r="L243" s="15"/>
      <c r="M243" s="15"/>
    </row>
    <row r="244" spans="2:13" ht="15" customHeight="1" x14ac:dyDescent="0.3">
      <c r="B244" s="21" t="str">
        <f t="shared" si="3"/>
        <v/>
      </c>
      <c r="C244" s="15"/>
      <c r="D244" s="15"/>
      <c r="E244" s="15"/>
      <c r="F244" s="15"/>
      <c r="G244" s="15"/>
      <c r="H244" s="39" t="str">
        <f>IF($G244="","",IFERROR(INDEX('90_SEMA'!$G$7:$H$183,MATCH($G244,'90_SEMA'!$B$7:$B$183,0),NYELV_IDX),"### ISMERETLEN KÓD"))</f>
        <v/>
      </c>
      <c r="I244" s="33"/>
      <c r="J244" s="33"/>
      <c r="K244" s="15"/>
      <c r="L244" s="15"/>
      <c r="M244" s="15"/>
    </row>
    <row r="245" spans="2:13" ht="15" customHeight="1" x14ac:dyDescent="0.3">
      <c r="B245" s="21" t="str">
        <f t="shared" si="3"/>
        <v/>
      </c>
      <c r="C245" s="15"/>
      <c r="D245" s="15"/>
      <c r="E245" s="15"/>
      <c r="F245" s="15"/>
      <c r="G245" s="15"/>
      <c r="H245" s="39" t="str">
        <f>IF($G245="","",IFERROR(INDEX('90_SEMA'!$G$7:$H$183,MATCH($G245,'90_SEMA'!$B$7:$B$183,0),NYELV_IDX),"### ISMERETLEN KÓD"))</f>
        <v/>
      </c>
      <c r="I245" s="33"/>
      <c r="J245" s="33"/>
      <c r="K245" s="15"/>
      <c r="L245" s="15"/>
      <c r="M245" s="15"/>
    </row>
    <row r="246" spans="2:13" ht="15" customHeight="1" x14ac:dyDescent="0.3">
      <c r="B246" s="21" t="str">
        <f t="shared" si="3"/>
        <v/>
      </c>
      <c r="C246" s="15"/>
      <c r="D246" s="15"/>
      <c r="E246" s="15"/>
      <c r="F246" s="15"/>
      <c r="G246" s="15"/>
      <c r="H246" s="39" t="str">
        <f>IF($G246="","",IFERROR(INDEX('90_SEMA'!$G$7:$H$183,MATCH($G246,'90_SEMA'!$B$7:$B$183,0),NYELV_IDX),"### ISMERETLEN KÓD"))</f>
        <v/>
      </c>
      <c r="I246" s="33"/>
      <c r="J246" s="33"/>
      <c r="K246" s="15"/>
      <c r="L246" s="15"/>
      <c r="M246" s="15"/>
    </row>
    <row r="247" spans="2:13" ht="15" customHeight="1" x14ac:dyDescent="0.3">
      <c r="B247" s="21" t="str">
        <f t="shared" si="3"/>
        <v/>
      </c>
      <c r="C247" s="15"/>
      <c r="D247" s="15"/>
      <c r="E247" s="15"/>
      <c r="F247" s="15"/>
      <c r="G247" s="15"/>
      <c r="H247" s="39" t="str">
        <f>IF($G247="","",IFERROR(INDEX('90_SEMA'!$G$7:$H$183,MATCH($G247,'90_SEMA'!$B$7:$B$183,0),NYELV_IDX),"### ISMERETLEN KÓD"))</f>
        <v/>
      </c>
      <c r="I247" s="33"/>
      <c r="J247" s="33"/>
      <c r="K247" s="15"/>
      <c r="L247" s="15"/>
      <c r="M247" s="15"/>
    </row>
    <row r="248" spans="2:13" ht="15" customHeight="1" x14ac:dyDescent="0.3">
      <c r="B248" s="21" t="str">
        <f t="shared" si="3"/>
        <v/>
      </c>
      <c r="C248" s="15"/>
      <c r="D248" s="15"/>
      <c r="E248" s="15"/>
      <c r="F248" s="15"/>
      <c r="G248" s="15"/>
      <c r="H248" s="39" t="str">
        <f>IF($G248="","",IFERROR(INDEX('90_SEMA'!$G$7:$H$183,MATCH($G248,'90_SEMA'!$B$7:$B$183,0),NYELV_IDX),"### ISMERETLEN KÓD"))</f>
        <v/>
      </c>
      <c r="I248" s="33"/>
      <c r="J248" s="33"/>
      <c r="K248" s="15"/>
      <c r="L248" s="15"/>
      <c r="M248" s="15"/>
    </row>
    <row r="249" spans="2:13" ht="15" customHeight="1" x14ac:dyDescent="0.3">
      <c r="B249" s="21" t="str">
        <f t="shared" si="3"/>
        <v/>
      </c>
      <c r="C249" s="15"/>
      <c r="D249" s="15"/>
      <c r="E249" s="15"/>
      <c r="F249" s="15"/>
      <c r="G249" s="15"/>
      <c r="H249" s="39" t="str">
        <f>IF($G249="","",IFERROR(INDEX('90_SEMA'!$G$7:$H$183,MATCH($G249,'90_SEMA'!$B$7:$B$183,0),NYELV_IDX),"### ISMERETLEN KÓD"))</f>
        <v/>
      </c>
      <c r="I249" s="33"/>
      <c r="J249" s="33"/>
      <c r="K249" s="15"/>
      <c r="L249" s="15"/>
      <c r="M249" s="15"/>
    </row>
    <row r="250" spans="2:13" ht="15" customHeight="1" x14ac:dyDescent="0.3">
      <c r="B250" s="21" t="str">
        <f t="shared" si="3"/>
        <v/>
      </c>
      <c r="C250" s="15"/>
      <c r="D250" s="15"/>
      <c r="E250" s="15"/>
      <c r="F250" s="15"/>
      <c r="G250" s="15"/>
      <c r="H250" s="39" t="str">
        <f>IF($G250="","",IFERROR(INDEX('90_SEMA'!$G$7:$H$183,MATCH($G250,'90_SEMA'!$B$7:$B$183,0),NYELV_IDX),"### ISMERETLEN KÓD"))</f>
        <v/>
      </c>
      <c r="I250" s="33"/>
      <c r="J250" s="33"/>
      <c r="K250" s="15"/>
      <c r="L250" s="15"/>
      <c r="M250" s="15"/>
    </row>
    <row r="251" spans="2:13" ht="15" customHeight="1" x14ac:dyDescent="0.3">
      <c r="B251" s="21" t="str">
        <f t="shared" si="3"/>
        <v/>
      </c>
      <c r="C251" s="15"/>
      <c r="D251" s="15"/>
      <c r="E251" s="15"/>
      <c r="F251" s="15"/>
      <c r="G251" s="15"/>
      <c r="H251" s="39" t="str">
        <f>IF($G251="","",IFERROR(INDEX('90_SEMA'!$G$7:$H$183,MATCH($G251,'90_SEMA'!$B$7:$B$183,0),NYELV_IDX),"### ISMERETLEN KÓD"))</f>
        <v/>
      </c>
      <c r="I251" s="33"/>
      <c r="J251" s="33"/>
      <c r="K251" s="15"/>
      <c r="L251" s="15"/>
      <c r="M251" s="15"/>
    </row>
    <row r="252" spans="2:13" ht="15" customHeight="1" x14ac:dyDescent="0.3">
      <c r="B252" s="21" t="str">
        <f t="shared" si="3"/>
        <v/>
      </c>
      <c r="C252" s="15"/>
      <c r="D252" s="15"/>
      <c r="E252" s="15"/>
      <c r="F252" s="15"/>
      <c r="G252" s="15"/>
      <c r="H252" s="39" t="str">
        <f>IF($G252="","",IFERROR(INDEX('90_SEMA'!$G$7:$H$183,MATCH($G252,'90_SEMA'!$B$7:$B$183,0),NYELV_IDX),"### ISMERETLEN KÓD"))</f>
        <v/>
      </c>
      <c r="I252" s="33"/>
      <c r="J252" s="33"/>
      <c r="K252" s="15"/>
      <c r="L252" s="15"/>
      <c r="M252" s="15"/>
    </row>
    <row r="253" spans="2:13" ht="15" customHeight="1" x14ac:dyDescent="0.3">
      <c r="B253" s="21" t="str">
        <f t="shared" si="3"/>
        <v/>
      </c>
      <c r="C253" s="15"/>
      <c r="D253" s="15"/>
      <c r="E253" s="15"/>
      <c r="F253" s="15"/>
      <c r="G253" s="15"/>
      <c r="H253" s="39" t="str">
        <f>IF($G253="","",IFERROR(INDEX('90_SEMA'!$G$7:$H$183,MATCH($G253,'90_SEMA'!$B$7:$B$183,0),NYELV_IDX),"### ISMERETLEN KÓD"))</f>
        <v/>
      </c>
      <c r="I253" s="33"/>
      <c r="J253" s="33"/>
      <c r="K253" s="15"/>
      <c r="L253" s="15"/>
      <c r="M253" s="15"/>
    </row>
    <row r="254" spans="2:13" ht="15" customHeight="1" x14ac:dyDescent="0.3">
      <c r="B254" s="21" t="str">
        <f t="shared" si="3"/>
        <v/>
      </c>
      <c r="C254" s="15"/>
      <c r="D254" s="15"/>
      <c r="E254" s="15"/>
      <c r="F254" s="15"/>
      <c r="G254" s="15"/>
      <c r="H254" s="39" t="str">
        <f>IF($G254="","",IFERROR(INDEX('90_SEMA'!$G$7:$H$183,MATCH($G254,'90_SEMA'!$B$7:$B$183,0),NYELV_IDX),"### ISMERETLEN KÓD"))</f>
        <v/>
      </c>
      <c r="I254" s="33"/>
      <c r="J254" s="33"/>
      <c r="K254" s="15"/>
      <c r="L254" s="15"/>
      <c r="M254" s="15"/>
    </row>
    <row r="255" spans="2:13" ht="15" customHeight="1" x14ac:dyDescent="0.3">
      <c r="B255" s="21" t="str">
        <f t="shared" si="3"/>
        <v/>
      </c>
      <c r="C255" s="15"/>
      <c r="D255" s="15"/>
      <c r="E255" s="15"/>
      <c r="F255" s="15"/>
      <c r="G255" s="15"/>
      <c r="H255" s="39" t="str">
        <f>IF($G255="","",IFERROR(INDEX('90_SEMA'!$G$7:$H$183,MATCH($G255,'90_SEMA'!$B$7:$B$183,0),NYELV_IDX),"### ISMERETLEN KÓD"))</f>
        <v/>
      </c>
      <c r="I255" s="33"/>
      <c r="J255" s="33"/>
      <c r="K255" s="15"/>
      <c r="L255" s="15"/>
      <c r="M255" s="15"/>
    </row>
    <row r="256" spans="2:13" ht="15" customHeight="1" x14ac:dyDescent="0.3">
      <c r="B256" s="21" t="str">
        <f t="shared" si="3"/>
        <v/>
      </c>
      <c r="C256" s="15"/>
      <c r="D256" s="15"/>
      <c r="E256" s="15"/>
      <c r="F256" s="15"/>
      <c r="G256" s="15"/>
      <c r="H256" s="39" t="str">
        <f>IF($G256="","",IFERROR(INDEX('90_SEMA'!$G$7:$H$183,MATCH($G256,'90_SEMA'!$B$7:$B$183,0),NYELV_IDX),"### ISMERETLEN KÓD"))</f>
        <v/>
      </c>
      <c r="I256" s="33"/>
      <c r="J256" s="33"/>
      <c r="K256" s="15"/>
      <c r="L256" s="15"/>
      <c r="M256" s="15"/>
    </row>
    <row r="257" spans="2:13" ht="15" customHeight="1" x14ac:dyDescent="0.3">
      <c r="B257" s="21" t="str">
        <f t="shared" si="3"/>
        <v/>
      </c>
      <c r="C257" s="15"/>
      <c r="D257" s="15"/>
      <c r="E257" s="15"/>
      <c r="F257" s="15"/>
      <c r="G257" s="15"/>
      <c r="H257" s="39" t="str">
        <f>IF($G257="","",IFERROR(INDEX('90_SEMA'!$G$7:$H$183,MATCH($G257,'90_SEMA'!$B$7:$B$183,0),NYELV_IDX),"### ISMERETLEN KÓD"))</f>
        <v/>
      </c>
      <c r="I257" s="33"/>
      <c r="J257" s="33"/>
      <c r="K257" s="15"/>
      <c r="L257" s="15"/>
      <c r="M257" s="15"/>
    </row>
    <row r="258" spans="2:13" ht="15" customHeight="1" x14ac:dyDescent="0.3">
      <c r="B258" s="21" t="str">
        <f t="shared" si="3"/>
        <v/>
      </c>
      <c r="C258" s="15"/>
      <c r="D258" s="15"/>
      <c r="E258" s="15"/>
      <c r="F258" s="15"/>
      <c r="G258" s="15"/>
      <c r="H258" s="39" t="str">
        <f>IF($G258="","",IFERROR(INDEX('90_SEMA'!$G$7:$H$183,MATCH($G258,'90_SEMA'!$B$7:$B$183,0),NYELV_IDX),"### ISMERETLEN KÓD"))</f>
        <v/>
      </c>
      <c r="I258" s="33"/>
      <c r="J258" s="33"/>
      <c r="K258" s="15"/>
      <c r="L258" s="15"/>
      <c r="M258" s="15"/>
    </row>
    <row r="259" spans="2:13" ht="15" customHeight="1" x14ac:dyDescent="0.3">
      <c r="B259" s="21" t="str">
        <f t="shared" si="3"/>
        <v/>
      </c>
      <c r="C259" s="15"/>
      <c r="D259" s="15"/>
      <c r="E259" s="15"/>
      <c r="F259" s="15"/>
      <c r="G259" s="15"/>
      <c r="H259" s="39" t="str">
        <f>IF($G259="","",IFERROR(INDEX('90_SEMA'!$G$7:$H$183,MATCH($G259,'90_SEMA'!$B$7:$B$183,0),NYELV_IDX),"### ISMERETLEN KÓD"))</f>
        <v/>
      </c>
      <c r="I259" s="33"/>
      <c r="J259" s="33"/>
      <c r="K259" s="15"/>
      <c r="L259" s="15"/>
      <c r="M259" s="15"/>
    </row>
    <row r="260" spans="2:13" ht="15" customHeight="1" x14ac:dyDescent="0.3">
      <c r="B260" s="21" t="str">
        <f t="shared" si="3"/>
        <v/>
      </c>
      <c r="C260" s="15"/>
      <c r="D260" s="15"/>
      <c r="E260" s="15"/>
      <c r="F260" s="15"/>
      <c r="G260" s="15"/>
      <c r="H260" s="39" t="str">
        <f>IF($G260="","",IFERROR(INDEX('90_SEMA'!$G$7:$H$183,MATCH($G260,'90_SEMA'!$B$7:$B$183,0),NYELV_IDX),"### ISMERETLEN KÓD"))</f>
        <v/>
      </c>
      <c r="I260" s="33"/>
      <c r="J260" s="33"/>
      <c r="K260" s="15"/>
      <c r="L260" s="15"/>
      <c r="M260" s="15"/>
    </row>
    <row r="261" spans="2:13" ht="15" customHeight="1" x14ac:dyDescent="0.3">
      <c r="B261" s="21" t="str">
        <f t="shared" si="3"/>
        <v/>
      </c>
      <c r="C261" s="15"/>
      <c r="D261" s="15"/>
      <c r="E261" s="15"/>
      <c r="F261" s="15"/>
      <c r="G261" s="15"/>
      <c r="H261" s="39" t="str">
        <f>IF($G261="","",IFERROR(INDEX('90_SEMA'!$G$7:$H$183,MATCH($G261,'90_SEMA'!$B$7:$B$183,0),NYELV_IDX),"### ISMERETLEN KÓD"))</f>
        <v/>
      </c>
      <c r="I261" s="33"/>
      <c r="J261" s="33"/>
      <c r="K261" s="15"/>
      <c r="L261" s="15"/>
      <c r="M261" s="15"/>
    </row>
    <row r="262" spans="2:13" ht="15" customHeight="1" x14ac:dyDescent="0.3">
      <c r="B262" s="21" t="str">
        <f t="shared" si="3"/>
        <v/>
      </c>
      <c r="C262" s="15"/>
      <c r="D262" s="15"/>
      <c r="E262" s="15"/>
      <c r="F262" s="15"/>
      <c r="G262" s="15"/>
      <c r="H262" s="39" t="str">
        <f>IF($G262="","",IFERROR(INDEX('90_SEMA'!$G$7:$H$183,MATCH($G262,'90_SEMA'!$B$7:$B$183,0),NYELV_IDX),"### ISMERETLEN KÓD"))</f>
        <v/>
      </c>
      <c r="I262" s="33"/>
      <c r="J262" s="33"/>
      <c r="K262" s="15"/>
      <c r="L262" s="15"/>
      <c r="M262" s="15"/>
    </row>
    <row r="263" spans="2:13" ht="15" customHeight="1" x14ac:dyDescent="0.3">
      <c r="B263" s="21" t="str">
        <f t="shared" ref="B263:B326" si="4">IF($G263="","",ROW()-6)</f>
        <v/>
      </c>
      <c r="C263" s="15"/>
      <c r="D263" s="15"/>
      <c r="E263" s="15"/>
      <c r="F263" s="15"/>
      <c r="G263" s="15"/>
      <c r="H263" s="39" t="str">
        <f>IF($G263="","",IFERROR(INDEX('90_SEMA'!$G$7:$H$183,MATCH($G263,'90_SEMA'!$B$7:$B$183,0),NYELV_IDX),"### ISMERETLEN KÓD"))</f>
        <v/>
      </c>
      <c r="I263" s="33"/>
      <c r="J263" s="33"/>
      <c r="K263" s="15"/>
      <c r="L263" s="15"/>
      <c r="M263" s="15"/>
    </row>
    <row r="264" spans="2:13" ht="15" customHeight="1" x14ac:dyDescent="0.3">
      <c r="B264" s="21" t="str">
        <f t="shared" si="4"/>
        <v/>
      </c>
      <c r="C264" s="15"/>
      <c r="D264" s="15"/>
      <c r="E264" s="15"/>
      <c r="F264" s="15"/>
      <c r="G264" s="15"/>
      <c r="H264" s="39" t="str">
        <f>IF($G264="","",IFERROR(INDEX('90_SEMA'!$G$7:$H$183,MATCH($G264,'90_SEMA'!$B$7:$B$183,0),NYELV_IDX),"### ISMERETLEN KÓD"))</f>
        <v/>
      </c>
      <c r="I264" s="33"/>
      <c r="J264" s="33"/>
      <c r="K264" s="15"/>
      <c r="L264" s="15"/>
      <c r="M264" s="15"/>
    </row>
    <row r="265" spans="2:13" ht="15" customHeight="1" x14ac:dyDescent="0.3">
      <c r="B265" s="21" t="str">
        <f t="shared" si="4"/>
        <v/>
      </c>
      <c r="C265" s="15"/>
      <c r="D265" s="15"/>
      <c r="E265" s="15"/>
      <c r="F265" s="15"/>
      <c r="G265" s="15"/>
      <c r="H265" s="39" t="str">
        <f>IF($G265="","",IFERROR(INDEX('90_SEMA'!$G$7:$H$183,MATCH($G265,'90_SEMA'!$B$7:$B$183,0),NYELV_IDX),"### ISMERETLEN KÓD"))</f>
        <v/>
      </c>
      <c r="I265" s="33"/>
      <c r="J265" s="33"/>
      <c r="K265" s="15"/>
      <c r="L265" s="15"/>
      <c r="M265" s="15"/>
    </row>
    <row r="266" spans="2:13" ht="15" customHeight="1" x14ac:dyDescent="0.3">
      <c r="B266" s="21" t="str">
        <f t="shared" si="4"/>
        <v/>
      </c>
      <c r="C266" s="15"/>
      <c r="D266" s="15"/>
      <c r="E266" s="15"/>
      <c r="F266" s="15"/>
      <c r="G266" s="15"/>
      <c r="H266" s="39" t="str">
        <f>IF($G266="","",IFERROR(INDEX('90_SEMA'!$G$7:$H$183,MATCH($G266,'90_SEMA'!$B$7:$B$183,0),NYELV_IDX),"### ISMERETLEN KÓD"))</f>
        <v/>
      </c>
      <c r="I266" s="33"/>
      <c r="J266" s="33"/>
      <c r="K266" s="15"/>
      <c r="L266" s="15"/>
      <c r="M266" s="15"/>
    </row>
    <row r="267" spans="2:13" ht="15" customHeight="1" x14ac:dyDescent="0.3">
      <c r="B267" s="21" t="str">
        <f t="shared" si="4"/>
        <v/>
      </c>
      <c r="C267" s="15"/>
      <c r="D267" s="15"/>
      <c r="E267" s="15"/>
      <c r="F267" s="15"/>
      <c r="G267" s="15"/>
      <c r="H267" s="39" t="str">
        <f>IF($G267="","",IFERROR(INDEX('90_SEMA'!$G$7:$H$183,MATCH($G267,'90_SEMA'!$B$7:$B$183,0),NYELV_IDX),"### ISMERETLEN KÓD"))</f>
        <v/>
      </c>
      <c r="I267" s="33"/>
      <c r="J267" s="33"/>
      <c r="K267" s="15"/>
      <c r="L267" s="15"/>
      <c r="M267" s="15"/>
    </row>
    <row r="268" spans="2:13" ht="15" customHeight="1" x14ac:dyDescent="0.3">
      <c r="B268" s="21" t="str">
        <f t="shared" si="4"/>
        <v/>
      </c>
      <c r="C268" s="15"/>
      <c r="D268" s="15"/>
      <c r="E268" s="15"/>
      <c r="F268" s="15"/>
      <c r="G268" s="15"/>
      <c r="H268" s="39" t="str">
        <f>IF($G268="","",IFERROR(INDEX('90_SEMA'!$G$7:$H$183,MATCH($G268,'90_SEMA'!$B$7:$B$183,0),NYELV_IDX),"### ISMERETLEN KÓD"))</f>
        <v/>
      </c>
      <c r="I268" s="33"/>
      <c r="J268" s="33"/>
      <c r="K268" s="15"/>
      <c r="L268" s="15"/>
      <c r="M268" s="15"/>
    </row>
    <row r="269" spans="2:13" ht="15" customHeight="1" x14ac:dyDescent="0.3">
      <c r="B269" s="21" t="str">
        <f t="shared" si="4"/>
        <v/>
      </c>
      <c r="C269" s="15"/>
      <c r="D269" s="15"/>
      <c r="E269" s="15"/>
      <c r="F269" s="15"/>
      <c r="G269" s="15"/>
      <c r="H269" s="39" t="str">
        <f>IF($G269="","",IFERROR(INDEX('90_SEMA'!$G$7:$H$183,MATCH($G269,'90_SEMA'!$B$7:$B$183,0),NYELV_IDX),"### ISMERETLEN KÓD"))</f>
        <v/>
      </c>
      <c r="I269" s="33"/>
      <c r="J269" s="33"/>
      <c r="K269" s="15"/>
      <c r="L269" s="15"/>
      <c r="M269" s="15"/>
    </row>
    <row r="270" spans="2:13" ht="15" customHeight="1" x14ac:dyDescent="0.3">
      <c r="B270" s="21" t="str">
        <f t="shared" si="4"/>
        <v/>
      </c>
      <c r="C270" s="15"/>
      <c r="D270" s="15"/>
      <c r="E270" s="15"/>
      <c r="F270" s="15"/>
      <c r="G270" s="15"/>
      <c r="H270" s="39" t="str">
        <f>IF($G270="","",IFERROR(INDEX('90_SEMA'!$G$7:$H$183,MATCH($G270,'90_SEMA'!$B$7:$B$183,0),NYELV_IDX),"### ISMERETLEN KÓD"))</f>
        <v/>
      </c>
      <c r="I270" s="33"/>
      <c r="J270" s="33"/>
      <c r="K270" s="15"/>
      <c r="L270" s="15"/>
      <c r="M270" s="15"/>
    </row>
    <row r="271" spans="2:13" ht="15" customHeight="1" x14ac:dyDescent="0.3">
      <c r="B271" s="21" t="str">
        <f t="shared" si="4"/>
        <v/>
      </c>
      <c r="C271" s="15"/>
      <c r="D271" s="15"/>
      <c r="E271" s="15"/>
      <c r="F271" s="15"/>
      <c r="G271" s="15"/>
      <c r="H271" s="39" t="str">
        <f>IF($G271="","",IFERROR(INDEX('90_SEMA'!$G$7:$H$183,MATCH($G271,'90_SEMA'!$B$7:$B$183,0),NYELV_IDX),"### ISMERETLEN KÓD"))</f>
        <v/>
      </c>
      <c r="I271" s="33"/>
      <c r="J271" s="33"/>
      <c r="K271" s="15"/>
      <c r="L271" s="15"/>
      <c r="M271" s="15"/>
    </row>
    <row r="272" spans="2:13" ht="15" customHeight="1" x14ac:dyDescent="0.3">
      <c r="B272" s="21" t="str">
        <f t="shared" si="4"/>
        <v/>
      </c>
      <c r="C272" s="15"/>
      <c r="D272" s="15"/>
      <c r="E272" s="15"/>
      <c r="F272" s="15"/>
      <c r="G272" s="15"/>
      <c r="H272" s="39" t="str">
        <f>IF($G272="","",IFERROR(INDEX('90_SEMA'!$G$7:$H$183,MATCH($G272,'90_SEMA'!$B$7:$B$183,0),NYELV_IDX),"### ISMERETLEN KÓD"))</f>
        <v/>
      </c>
      <c r="I272" s="33"/>
      <c r="J272" s="33"/>
      <c r="K272" s="15"/>
      <c r="L272" s="15"/>
      <c r="M272" s="15"/>
    </row>
    <row r="273" spans="2:13" ht="15" customHeight="1" x14ac:dyDescent="0.3">
      <c r="B273" s="21" t="str">
        <f t="shared" si="4"/>
        <v/>
      </c>
      <c r="C273" s="15"/>
      <c r="D273" s="15"/>
      <c r="E273" s="15"/>
      <c r="F273" s="15"/>
      <c r="G273" s="15"/>
      <c r="H273" s="39" t="str">
        <f>IF($G273="","",IFERROR(INDEX('90_SEMA'!$G$7:$H$183,MATCH($G273,'90_SEMA'!$B$7:$B$183,0),NYELV_IDX),"### ISMERETLEN KÓD"))</f>
        <v/>
      </c>
      <c r="I273" s="33"/>
      <c r="J273" s="33"/>
      <c r="K273" s="15"/>
      <c r="L273" s="15"/>
      <c r="M273" s="15"/>
    </row>
    <row r="274" spans="2:13" ht="15" customHeight="1" x14ac:dyDescent="0.3">
      <c r="B274" s="21" t="str">
        <f t="shared" si="4"/>
        <v/>
      </c>
      <c r="C274" s="15"/>
      <c r="D274" s="15"/>
      <c r="E274" s="15"/>
      <c r="F274" s="15"/>
      <c r="G274" s="15"/>
      <c r="H274" s="39" t="str">
        <f>IF($G274="","",IFERROR(INDEX('90_SEMA'!$G$7:$H$183,MATCH($G274,'90_SEMA'!$B$7:$B$183,0),NYELV_IDX),"### ISMERETLEN KÓD"))</f>
        <v/>
      </c>
      <c r="I274" s="33"/>
      <c r="J274" s="33"/>
      <c r="K274" s="15"/>
      <c r="L274" s="15"/>
      <c r="M274" s="15"/>
    </row>
    <row r="275" spans="2:13" ht="15" customHeight="1" x14ac:dyDescent="0.3">
      <c r="B275" s="21" t="str">
        <f t="shared" si="4"/>
        <v/>
      </c>
      <c r="C275" s="15"/>
      <c r="D275" s="15"/>
      <c r="E275" s="15"/>
      <c r="F275" s="15"/>
      <c r="G275" s="15"/>
      <c r="H275" s="39" t="str">
        <f>IF($G275="","",IFERROR(INDEX('90_SEMA'!$G$7:$H$183,MATCH($G275,'90_SEMA'!$B$7:$B$183,0),NYELV_IDX),"### ISMERETLEN KÓD"))</f>
        <v/>
      </c>
      <c r="I275" s="33"/>
      <c r="J275" s="33"/>
      <c r="K275" s="15"/>
      <c r="L275" s="15"/>
      <c r="M275" s="15"/>
    </row>
    <row r="276" spans="2:13" ht="15" customHeight="1" x14ac:dyDescent="0.3">
      <c r="B276" s="21" t="str">
        <f t="shared" si="4"/>
        <v/>
      </c>
      <c r="C276" s="15"/>
      <c r="D276" s="15"/>
      <c r="E276" s="15"/>
      <c r="F276" s="15"/>
      <c r="G276" s="15"/>
      <c r="H276" s="39" t="str">
        <f>IF($G276="","",IFERROR(INDEX('90_SEMA'!$G$7:$H$183,MATCH($G276,'90_SEMA'!$B$7:$B$183,0),NYELV_IDX),"### ISMERETLEN KÓD"))</f>
        <v/>
      </c>
      <c r="I276" s="33"/>
      <c r="J276" s="33"/>
      <c r="K276" s="15"/>
      <c r="L276" s="15"/>
      <c r="M276" s="15"/>
    </row>
    <row r="277" spans="2:13" ht="15" customHeight="1" x14ac:dyDescent="0.3">
      <c r="B277" s="21" t="str">
        <f t="shared" si="4"/>
        <v/>
      </c>
      <c r="C277" s="15"/>
      <c r="D277" s="15"/>
      <c r="E277" s="15"/>
      <c r="F277" s="15"/>
      <c r="G277" s="15"/>
      <c r="H277" s="39" t="str">
        <f>IF($G277="","",IFERROR(INDEX('90_SEMA'!$G$7:$H$183,MATCH($G277,'90_SEMA'!$B$7:$B$183,0),NYELV_IDX),"### ISMERETLEN KÓD"))</f>
        <v/>
      </c>
      <c r="I277" s="33"/>
      <c r="J277" s="33"/>
      <c r="K277" s="15"/>
      <c r="L277" s="15"/>
      <c r="M277" s="15"/>
    </row>
    <row r="278" spans="2:13" ht="15" customHeight="1" x14ac:dyDescent="0.3">
      <c r="B278" s="21" t="str">
        <f t="shared" si="4"/>
        <v/>
      </c>
      <c r="C278" s="15"/>
      <c r="D278" s="15"/>
      <c r="E278" s="15"/>
      <c r="F278" s="15"/>
      <c r="G278" s="15"/>
      <c r="H278" s="39" t="str">
        <f>IF($G278="","",IFERROR(INDEX('90_SEMA'!$G$7:$H$183,MATCH($G278,'90_SEMA'!$B$7:$B$183,0),NYELV_IDX),"### ISMERETLEN KÓD"))</f>
        <v/>
      </c>
      <c r="I278" s="33"/>
      <c r="J278" s="33"/>
      <c r="K278" s="15"/>
      <c r="L278" s="15"/>
      <c r="M278" s="15"/>
    </row>
    <row r="279" spans="2:13" ht="15" customHeight="1" x14ac:dyDescent="0.3">
      <c r="B279" s="21" t="str">
        <f t="shared" si="4"/>
        <v/>
      </c>
      <c r="C279" s="15"/>
      <c r="D279" s="15"/>
      <c r="E279" s="15"/>
      <c r="F279" s="15"/>
      <c r="G279" s="15"/>
      <c r="H279" s="39" t="str">
        <f>IF($G279="","",IFERROR(INDEX('90_SEMA'!$G$7:$H$183,MATCH($G279,'90_SEMA'!$B$7:$B$183,0),NYELV_IDX),"### ISMERETLEN KÓD"))</f>
        <v/>
      </c>
      <c r="I279" s="33"/>
      <c r="J279" s="33"/>
      <c r="K279" s="15"/>
      <c r="L279" s="15"/>
      <c r="M279" s="15"/>
    </row>
    <row r="280" spans="2:13" ht="15" customHeight="1" x14ac:dyDescent="0.3">
      <c r="B280" s="21" t="str">
        <f t="shared" si="4"/>
        <v/>
      </c>
      <c r="C280" s="15"/>
      <c r="D280" s="15"/>
      <c r="E280" s="15"/>
      <c r="F280" s="15"/>
      <c r="G280" s="15"/>
      <c r="H280" s="39" t="str">
        <f>IF($G280="","",IFERROR(INDEX('90_SEMA'!$G$7:$H$183,MATCH($G280,'90_SEMA'!$B$7:$B$183,0),NYELV_IDX),"### ISMERETLEN KÓD"))</f>
        <v/>
      </c>
      <c r="I280" s="33"/>
      <c r="J280" s="33"/>
      <c r="K280" s="15"/>
      <c r="L280" s="15"/>
      <c r="M280" s="15"/>
    </row>
    <row r="281" spans="2:13" ht="15" customHeight="1" x14ac:dyDescent="0.3">
      <c r="B281" s="21" t="str">
        <f t="shared" si="4"/>
        <v/>
      </c>
      <c r="C281" s="15"/>
      <c r="D281" s="15"/>
      <c r="E281" s="15"/>
      <c r="F281" s="15"/>
      <c r="G281" s="15"/>
      <c r="H281" s="39" t="str">
        <f>IF($G281="","",IFERROR(INDEX('90_SEMA'!$G$7:$H$183,MATCH($G281,'90_SEMA'!$B$7:$B$183,0),NYELV_IDX),"### ISMERETLEN KÓD"))</f>
        <v/>
      </c>
      <c r="I281" s="33"/>
      <c r="J281" s="33"/>
      <c r="K281" s="15"/>
      <c r="L281" s="15"/>
      <c r="M281" s="15"/>
    </row>
    <row r="282" spans="2:13" ht="15" customHeight="1" x14ac:dyDescent="0.3">
      <c r="B282" s="21" t="str">
        <f t="shared" si="4"/>
        <v/>
      </c>
      <c r="C282" s="15"/>
      <c r="D282" s="15"/>
      <c r="E282" s="15"/>
      <c r="F282" s="15"/>
      <c r="G282" s="15"/>
      <c r="H282" s="39" t="str">
        <f>IF($G282="","",IFERROR(INDEX('90_SEMA'!$G$7:$H$183,MATCH($G282,'90_SEMA'!$B$7:$B$183,0),NYELV_IDX),"### ISMERETLEN KÓD"))</f>
        <v/>
      </c>
      <c r="I282" s="33"/>
      <c r="J282" s="33"/>
      <c r="K282" s="15"/>
      <c r="L282" s="15"/>
      <c r="M282" s="15"/>
    </row>
    <row r="283" spans="2:13" ht="15" customHeight="1" x14ac:dyDescent="0.3">
      <c r="B283" s="21" t="str">
        <f t="shared" si="4"/>
        <v/>
      </c>
      <c r="C283" s="15"/>
      <c r="D283" s="15"/>
      <c r="E283" s="15"/>
      <c r="F283" s="15"/>
      <c r="G283" s="15"/>
      <c r="H283" s="39" t="str">
        <f>IF($G283="","",IFERROR(INDEX('90_SEMA'!$G$7:$H$183,MATCH($G283,'90_SEMA'!$B$7:$B$183,0),NYELV_IDX),"### ISMERETLEN KÓD"))</f>
        <v/>
      </c>
      <c r="I283" s="33"/>
      <c r="J283" s="33"/>
      <c r="K283" s="15"/>
      <c r="L283" s="15"/>
      <c r="M283" s="15"/>
    </row>
    <row r="284" spans="2:13" ht="15" customHeight="1" x14ac:dyDescent="0.3">
      <c r="B284" s="21" t="str">
        <f t="shared" si="4"/>
        <v/>
      </c>
      <c r="C284" s="15"/>
      <c r="D284" s="15"/>
      <c r="E284" s="15"/>
      <c r="F284" s="15"/>
      <c r="G284" s="15"/>
      <c r="H284" s="39" t="str">
        <f>IF($G284="","",IFERROR(INDEX('90_SEMA'!$G$7:$H$183,MATCH($G284,'90_SEMA'!$B$7:$B$183,0),NYELV_IDX),"### ISMERETLEN KÓD"))</f>
        <v/>
      </c>
      <c r="I284" s="33"/>
      <c r="J284" s="33"/>
      <c r="K284" s="15"/>
      <c r="L284" s="15"/>
      <c r="M284" s="15"/>
    </row>
    <row r="285" spans="2:13" ht="15" customHeight="1" x14ac:dyDescent="0.3">
      <c r="B285" s="21" t="str">
        <f t="shared" si="4"/>
        <v/>
      </c>
      <c r="C285" s="15"/>
      <c r="D285" s="15"/>
      <c r="E285" s="15"/>
      <c r="F285" s="15"/>
      <c r="G285" s="15"/>
      <c r="H285" s="39" t="str">
        <f>IF($G285="","",IFERROR(INDEX('90_SEMA'!$G$7:$H$183,MATCH($G285,'90_SEMA'!$B$7:$B$183,0),NYELV_IDX),"### ISMERETLEN KÓD"))</f>
        <v/>
      </c>
      <c r="I285" s="33"/>
      <c r="J285" s="33"/>
      <c r="K285" s="15"/>
      <c r="L285" s="15"/>
      <c r="M285" s="15"/>
    </row>
    <row r="286" spans="2:13" ht="15" customHeight="1" x14ac:dyDescent="0.3">
      <c r="B286" s="21" t="str">
        <f t="shared" si="4"/>
        <v/>
      </c>
      <c r="C286" s="15"/>
      <c r="D286" s="15"/>
      <c r="E286" s="15"/>
      <c r="F286" s="15"/>
      <c r="G286" s="15"/>
      <c r="H286" s="39" t="str">
        <f>IF($G286="","",IFERROR(INDEX('90_SEMA'!$G$7:$H$183,MATCH($G286,'90_SEMA'!$B$7:$B$183,0),NYELV_IDX),"### ISMERETLEN KÓD"))</f>
        <v/>
      </c>
      <c r="I286" s="33"/>
      <c r="J286" s="33"/>
      <c r="K286" s="15"/>
      <c r="L286" s="15"/>
      <c r="M286" s="15"/>
    </row>
    <row r="287" spans="2:13" ht="15" customHeight="1" x14ac:dyDescent="0.3">
      <c r="B287" s="21" t="str">
        <f t="shared" si="4"/>
        <v/>
      </c>
      <c r="C287" s="15"/>
      <c r="D287" s="15"/>
      <c r="E287" s="15"/>
      <c r="F287" s="15"/>
      <c r="G287" s="15"/>
      <c r="H287" s="39" t="str">
        <f>IF($G287="","",IFERROR(INDEX('90_SEMA'!$G$7:$H$183,MATCH($G287,'90_SEMA'!$B$7:$B$183,0),NYELV_IDX),"### ISMERETLEN KÓD"))</f>
        <v/>
      </c>
      <c r="I287" s="33"/>
      <c r="J287" s="33"/>
      <c r="K287" s="15"/>
      <c r="L287" s="15"/>
      <c r="M287" s="15"/>
    </row>
    <row r="288" spans="2:13" ht="15" customHeight="1" x14ac:dyDescent="0.3">
      <c r="B288" s="21" t="str">
        <f t="shared" si="4"/>
        <v/>
      </c>
      <c r="C288" s="15"/>
      <c r="D288" s="15"/>
      <c r="E288" s="15"/>
      <c r="F288" s="15"/>
      <c r="G288" s="15"/>
      <c r="H288" s="39" t="str">
        <f>IF($G288="","",IFERROR(INDEX('90_SEMA'!$G$7:$H$183,MATCH($G288,'90_SEMA'!$B$7:$B$183,0),NYELV_IDX),"### ISMERETLEN KÓD"))</f>
        <v/>
      </c>
      <c r="I288" s="33"/>
      <c r="J288" s="33"/>
      <c r="K288" s="15"/>
      <c r="L288" s="15"/>
      <c r="M288" s="15"/>
    </row>
    <row r="289" spans="2:13" ht="15" customHeight="1" x14ac:dyDescent="0.3">
      <c r="B289" s="21" t="str">
        <f t="shared" si="4"/>
        <v/>
      </c>
      <c r="C289" s="15"/>
      <c r="D289" s="15"/>
      <c r="E289" s="15"/>
      <c r="F289" s="15"/>
      <c r="G289" s="15"/>
      <c r="H289" s="39" t="str">
        <f>IF($G289="","",IFERROR(INDEX('90_SEMA'!$G$7:$H$183,MATCH($G289,'90_SEMA'!$B$7:$B$183,0),NYELV_IDX),"### ISMERETLEN KÓD"))</f>
        <v/>
      </c>
      <c r="I289" s="33"/>
      <c r="J289" s="33"/>
      <c r="K289" s="15"/>
      <c r="L289" s="15"/>
      <c r="M289" s="15"/>
    </row>
    <row r="290" spans="2:13" ht="15" customHeight="1" x14ac:dyDescent="0.3">
      <c r="B290" s="21" t="str">
        <f t="shared" si="4"/>
        <v/>
      </c>
      <c r="C290" s="15"/>
      <c r="D290" s="15"/>
      <c r="E290" s="15"/>
      <c r="F290" s="15"/>
      <c r="G290" s="15"/>
      <c r="H290" s="39" t="str">
        <f>IF($G290="","",IFERROR(INDEX('90_SEMA'!$G$7:$H$183,MATCH($G290,'90_SEMA'!$B$7:$B$183,0),NYELV_IDX),"### ISMERETLEN KÓD"))</f>
        <v/>
      </c>
      <c r="I290" s="33"/>
      <c r="J290" s="33"/>
      <c r="K290" s="15"/>
      <c r="L290" s="15"/>
      <c r="M290" s="15"/>
    </row>
    <row r="291" spans="2:13" ht="15" customHeight="1" x14ac:dyDescent="0.3">
      <c r="B291" s="21" t="str">
        <f t="shared" si="4"/>
        <v/>
      </c>
      <c r="C291" s="15"/>
      <c r="D291" s="15"/>
      <c r="E291" s="15"/>
      <c r="F291" s="15"/>
      <c r="G291" s="15"/>
      <c r="H291" s="39" t="str">
        <f>IF($G291="","",IFERROR(INDEX('90_SEMA'!$G$7:$H$183,MATCH($G291,'90_SEMA'!$B$7:$B$183,0),NYELV_IDX),"### ISMERETLEN KÓD"))</f>
        <v/>
      </c>
      <c r="I291" s="33"/>
      <c r="J291" s="33"/>
      <c r="K291" s="15"/>
      <c r="L291" s="15"/>
      <c r="M291" s="15"/>
    </row>
    <row r="292" spans="2:13" ht="15" customHeight="1" x14ac:dyDescent="0.3">
      <c r="B292" s="21" t="str">
        <f t="shared" si="4"/>
        <v/>
      </c>
      <c r="C292" s="15"/>
      <c r="D292" s="15"/>
      <c r="E292" s="15"/>
      <c r="F292" s="15"/>
      <c r="G292" s="15"/>
      <c r="H292" s="39" t="str">
        <f>IF($G292="","",IFERROR(INDEX('90_SEMA'!$G$7:$H$183,MATCH($G292,'90_SEMA'!$B$7:$B$183,0),NYELV_IDX),"### ISMERETLEN KÓD"))</f>
        <v/>
      </c>
      <c r="I292" s="33"/>
      <c r="J292" s="33"/>
      <c r="K292" s="15"/>
      <c r="L292" s="15"/>
      <c r="M292" s="15"/>
    </row>
    <row r="293" spans="2:13" ht="15" customHeight="1" x14ac:dyDescent="0.3">
      <c r="B293" s="21" t="str">
        <f t="shared" si="4"/>
        <v/>
      </c>
      <c r="C293" s="15"/>
      <c r="D293" s="15"/>
      <c r="E293" s="15"/>
      <c r="F293" s="15"/>
      <c r="G293" s="15"/>
      <c r="H293" s="39" t="str">
        <f>IF($G293="","",IFERROR(INDEX('90_SEMA'!$G$7:$H$183,MATCH($G293,'90_SEMA'!$B$7:$B$183,0),NYELV_IDX),"### ISMERETLEN KÓD"))</f>
        <v/>
      </c>
      <c r="I293" s="33"/>
      <c r="J293" s="33"/>
      <c r="K293" s="15"/>
      <c r="L293" s="15"/>
      <c r="M293" s="15"/>
    </row>
    <row r="294" spans="2:13" ht="15" customHeight="1" x14ac:dyDescent="0.3">
      <c r="B294" s="21" t="str">
        <f t="shared" si="4"/>
        <v/>
      </c>
      <c r="C294" s="15"/>
      <c r="D294" s="15"/>
      <c r="E294" s="15"/>
      <c r="F294" s="15"/>
      <c r="G294" s="15"/>
      <c r="H294" s="39" t="str">
        <f>IF($G294="","",IFERROR(INDEX('90_SEMA'!$G$7:$H$183,MATCH($G294,'90_SEMA'!$B$7:$B$183,0),NYELV_IDX),"### ISMERETLEN KÓD"))</f>
        <v/>
      </c>
      <c r="I294" s="33"/>
      <c r="J294" s="33"/>
      <c r="K294" s="15"/>
      <c r="L294" s="15"/>
      <c r="M294" s="15"/>
    </row>
    <row r="295" spans="2:13" ht="15" customHeight="1" x14ac:dyDescent="0.3">
      <c r="B295" s="21" t="str">
        <f t="shared" si="4"/>
        <v/>
      </c>
      <c r="C295" s="15"/>
      <c r="D295" s="15"/>
      <c r="E295" s="15"/>
      <c r="F295" s="15"/>
      <c r="G295" s="15"/>
      <c r="H295" s="39" t="str">
        <f>IF($G295="","",IFERROR(INDEX('90_SEMA'!$G$7:$H$183,MATCH($G295,'90_SEMA'!$B$7:$B$183,0),NYELV_IDX),"### ISMERETLEN KÓD"))</f>
        <v/>
      </c>
      <c r="I295" s="33"/>
      <c r="J295" s="33"/>
      <c r="K295" s="15"/>
      <c r="L295" s="15"/>
      <c r="M295" s="15"/>
    </row>
    <row r="296" spans="2:13" ht="15" customHeight="1" x14ac:dyDescent="0.3">
      <c r="B296" s="21" t="str">
        <f t="shared" si="4"/>
        <v/>
      </c>
      <c r="C296" s="15"/>
      <c r="D296" s="15"/>
      <c r="E296" s="15"/>
      <c r="F296" s="15"/>
      <c r="G296" s="15"/>
      <c r="H296" s="39" t="str">
        <f>IF($G296="","",IFERROR(INDEX('90_SEMA'!$G$7:$H$183,MATCH($G296,'90_SEMA'!$B$7:$B$183,0),NYELV_IDX),"### ISMERETLEN KÓD"))</f>
        <v/>
      </c>
      <c r="I296" s="33"/>
      <c r="J296" s="33"/>
      <c r="K296" s="15"/>
      <c r="L296" s="15"/>
      <c r="M296" s="15"/>
    </row>
    <row r="297" spans="2:13" ht="15" customHeight="1" x14ac:dyDescent="0.3">
      <c r="B297" s="21" t="str">
        <f t="shared" si="4"/>
        <v/>
      </c>
      <c r="C297" s="15"/>
      <c r="D297" s="15"/>
      <c r="E297" s="15"/>
      <c r="F297" s="15"/>
      <c r="G297" s="15"/>
      <c r="H297" s="39" t="str">
        <f>IF($G297="","",IFERROR(INDEX('90_SEMA'!$G$7:$H$183,MATCH($G297,'90_SEMA'!$B$7:$B$183,0),NYELV_IDX),"### ISMERETLEN KÓD"))</f>
        <v/>
      </c>
      <c r="I297" s="33"/>
      <c r="J297" s="33"/>
      <c r="K297" s="15"/>
      <c r="L297" s="15"/>
      <c r="M297" s="15"/>
    </row>
    <row r="298" spans="2:13" ht="15" customHeight="1" x14ac:dyDescent="0.3">
      <c r="B298" s="21" t="str">
        <f t="shared" si="4"/>
        <v/>
      </c>
      <c r="C298" s="15"/>
      <c r="D298" s="15"/>
      <c r="E298" s="15"/>
      <c r="F298" s="15"/>
      <c r="G298" s="15"/>
      <c r="H298" s="39" t="str">
        <f>IF($G298="","",IFERROR(INDEX('90_SEMA'!$G$7:$H$183,MATCH($G298,'90_SEMA'!$B$7:$B$183,0),NYELV_IDX),"### ISMERETLEN KÓD"))</f>
        <v/>
      </c>
      <c r="I298" s="33"/>
      <c r="J298" s="33"/>
      <c r="K298" s="15"/>
      <c r="L298" s="15"/>
      <c r="M298" s="15"/>
    </row>
    <row r="299" spans="2:13" ht="15" customHeight="1" x14ac:dyDescent="0.3">
      <c r="B299" s="21" t="str">
        <f t="shared" si="4"/>
        <v/>
      </c>
      <c r="C299" s="15"/>
      <c r="D299" s="15"/>
      <c r="E299" s="15"/>
      <c r="F299" s="15"/>
      <c r="G299" s="15"/>
      <c r="H299" s="39" t="str">
        <f>IF($G299="","",IFERROR(INDEX('90_SEMA'!$G$7:$H$183,MATCH($G299,'90_SEMA'!$B$7:$B$183,0),NYELV_IDX),"### ISMERETLEN KÓD"))</f>
        <v/>
      </c>
      <c r="I299" s="33"/>
      <c r="J299" s="33"/>
      <c r="K299" s="15"/>
      <c r="L299" s="15"/>
      <c r="M299" s="15"/>
    </row>
    <row r="300" spans="2:13" ht="15" customHeight="1" x14ac:dyDescent="0.3">
      <c r="B300" s="21" t="str">
        <f t="shared" si="4"/>
        <v/>
      </c>
      <c r="C300" s="15"/>
      <c r="D300" s="15"/>
      <c r="E300" s="15"/>
      <c r="F300" s="15"/>
      <c r="G300" s="15"/>
      <c r="H300" s="39" t="str">
        <f>IF($G300="","",IFERROR(INDEX('90_SEMA'!$G$7:$H$183,MATCH($G300,'90_SEMA'!$B$7:$B$183,0),NYELV_IDX),"### ISMERETLEN KÓD"))</f>
        <v/>
      </c>
      <c r="I300" s="33"/>
      <c r="J300" s="33"/>
      <c r="K300" s="15"/>
      <c r="L300" s="15"/>
      <c r="M300" s="15"/>
    </row>
    <row r="301" spans="2:13" ht="15" customHeight="1" x14ac:dyDescent="0.3">
      <c r="B301" s="21" t="str">
        <f t="shared" si="4"/>
        <v/>
      </c>
      <c r="C301" s="15"/>
      <c r="D301" s="15"/>
      <c r="E301" s="15"/>
      <c r="F301" s="15"/>
      <c r="G301" s="15"/>
      <c r="H301" s="39" t="str">
        <f>IF($G301="","",IFERROR(INDEX('90_SEMA'!$G$7:$H$183,MATCH($G301,'90_SEMA'!$B$7:$B$183,0),NYELV_IDX),"### ISMERETLEN KÓD"))</f>
        <v/>
      </c>
      <c r="I301" s="33"/>
      <c r="J301" s="33"/>
      <c r="K301" s="15"/>
      <c r="L301" s="15"/>
      <c r="M301" s="15"/>
    </row>
    <row r="302" spans="2:13" ht="15" customHeight="1" x14ac:dyDescent="0.3">
      <c r="B302" s="21" t="str">
        <f t="shared" si="4"/>
        <v/>
      </c>
      <c r="C302" s="15"/>
      <c r="D302" s="15"/>
      <c r="E302" s="15"/>
      <c r="F302" s="15"/>
      <c r="G302" s="15"/>
      <c r="H302" s="39" t="str">
        <f>IF($G302="","",IFERROR(INDEX('90_SEMA'!$G$7:$H$183,MATCH($G302,'90_SEMA'!$B$7:$B$183,0),NYELV_IDX),"### ISMERETLEN KÓD"))</f>
        <v/>
      </c>
      <c r="I302" s="33"/>
      <c r="J302" s="33"/>
      <c r="K302" s="15"/>
      <c r="L302" s="15"/>
      <c r="M302" s="15"/>
    </row>
    <row r="303" spans="2:13" ht="15" customHeight="1" x14ac:dyDescent="0.3">
      <c r="B303" s="21" t="str">
        <f t="shared" si="4"/>
        <v/>
      </c>
      <c r="C303" s="15"/>
      <c r="D303" s="15"/>
      <c r="E303" s="15"/>
      <c r="F303" s="15"/>
      <c r="G303" s="15"/>
      <c r="H303" s="39" t="str">
        <f>IF($G303="","",IFERROR(INDEX('90_SEMA'!$G$7:$H$183,MATCH($G303,'90_SEMA'!$B$7:$B$183,0),NYELV_IDX),"### ISMERETLEN KÓD"))</f>
        <v/>
      </c>
      <c r="I303" s="33"/>
      <c r="J303" s="33"/>
      <c r="K303" s="15"/>
      <c r="L303" s="15"/>
      <c r="M303" s="15"/>
    </row>
    <row r="304" spans="2:13" ht="15" customHeight="1" x14ac:dyDescent="0.3">
      <c r="B304" s="21" t="str">
        <f t="shared" si="4"/>
        <v/>
      </c>
      <c r="C304" s="15"/>
      <c r="D304" s="15"/>
      <c r="E304" s="15"/>
      <c r="F304" s="15"/>
      <c r="G304" s="15"/>
      <c r="H304" s="39" t="str">
        <f>IF($G304="","",IFERROR(INDEX('90_SEMA'!$G$7:$H$183,MATCH($G304,'90_SEMA'!$B$7:$B$183,0),NYELV_IDX),"### ISMERETLEN KÓD"))</f>
        <v/>
      </c>
      <c r="I304" s="33"/>
      <c r="J304" s="33"/>
      <c r="K304" s="15"/>
      <c r="L304" s="15"/>
      <c r="M304" s="15"/>
    </row>
    <row r="305" spans="2:13" ht="15" customHeight="1" x14ac:dyDescent="0.3">
      <c r="B305" s="21" t="str">
        <f t="shared" si="4"/>
        <v/>
      </c>
      <c r="C305" s="15"/>
      <c r="D305" s="15"/>
      <c r="E305" s="15"/>
      <c r="F305" s="15"/>
      <c r="G305" s="15"/>
      <c r="H305" s="39" t="str">
        <f>IF($G305="","",IFERROR(INDEX('90_SEMA'!$G$7:$H$183,MATCH($G305,'90_SEMA'!$B$7:$B$183,0),NYELV_IDX),"### ISMERETLEN KÓD"))</f>
        <v/>
      </c>
      <c r="I305" s="33"/>
      <c r="J305" s="33"/>
      <c r="K305" s="15"/>
      <c r="L305" s="15"/>
      <c r="M305" s="15"/>
    </row>
    <row r="306" spans="2:13" ht="15" customHeight="1" x14ac:dyDescent="0.3">
      <c r="B306" s="21" t="str">
        <f t="shared" si="4"/>
        <v/>
      </c>
      <c r="C306" s="15"/>
      <c r="D306" s="15"/>
      <c r="E306" s="15"/>
      <c r="F306" s="15"/>
      <c r="G306" s="15"/>
      <c r="H306" s="39" t="str">
        <f>IF($G306="","",IFERROR(INDEX('90_SEMA'!$G$7:$H$183,MATCH($G306,'90_SEMA'!$B$7:$B$183,0),NYELV_IDX),"### ISMERETLEN KÓD"))</f>
        <v/>
      </c>
      <c r="I306" s="33"/>
      <c r="J306" s="33"/>
      <c r="K306" s="15"/>
      <c r="L306" s="15"/>
      <c r="M306" s="15"/>
    </row>
    <row r="307" spans="2:13" ht="15" customHeight="1" x14ac:dyDescent="0.3">
      <c r="B307" s="21" t="str">
        <f t="shared" si="4"/>
        <v/>
      </c>
      <c r="C307" s="15"/>
      <c r="D307" s="15"/>
      <c r="E307" s="15"/>
      <c r="F307" s="15"/>
      <c r="G307" s="15"/>
      <c r="H307" s="39" t="str">
        <f>IF($G307="","",IFERROR(INDEX('90_SEMA'!$G$7:$H$183,MATCH($G307,'90_SEMA'!$B$7:$B$183,0),NYELV_IDX),"### ISMERETLEN KÓD"))</f>
        <v/>
      </c>
      <c r="I307" s="33"/>
      <c r="J307" s="33"/>
      <c r="K307" s="15"/>
      <c r="L307" s="15"/>
      <c r="M307" s="15"/>
    </row>
    <row r="308" spans="2:13" ht="15" customHeight="1" x14ac:dyDescent="0.3">
      <c r="B308" s="21" t="str">
        <f t="shared" si="4"/>
        <v/>
      </c>
      <c r="C308" s="15"/>
      <c r="D308" s="15"/>
      <c r="E308" s="15"/>
      <c r="F308" s="15"/>
      <c r="G308" s="15"/>
      <c r="H308" s="39" t="str">
        <f>IF($G308="","",IFERROR(INDEX('90_SEMA'!$G$7:$H$183,MATCH($G308,'90_SEMA'!$B$7:$B$183,0),NYELV_IDX),"### ISMERETLEN KÓD"))</f>
        <v/>
      </c>
      <c r="I308" s="33"/>
      <c r="J308" s="33"/>
      <c r="K308" s="15"/>
      <c r="L308" s="15"/>
      <c r="M308" s="15"/>
    </row>
    <row r="309" spans="2:13" ht="15" customHeight="1" x14ac:dyDescent="0.3">
      <c r="B309" s="21" t="str">
        <f t="shared" si="4"/>
        <v/>
      </c>
      <c r="C309" s="15"/>
      <c r="D309" s="15"/>
      <c r="E309" s="15"/>
      <c r="F309" s="15"/>
      <c r="G309" s="15"/>
      <c r="H309" s="39" t="str">
        <f>IF($G309="","",IFERROR(INDEX('90_SEMA'!$G$7:$H$183,MATCH($G309,'90_SEMA'!$B$7:$B$183,0),NYELV_IDX),"### ISMERETLEN KÓD"))</f>
        <v/>
      </c>
      <c r="I309" s="33"/>
      <c r="J309" s="33"/>
      <c r="K309" s="15"/>
      <c r="L309" s="15"/>
      <c r="M309" s="15"/>
    </row>
    <row r="310" spans="2:13" ht="15" customHeight="1" x14ac:dyDescent="0.3">
      <c r="B310" s="21" t="str">
        <f t="shared" si="4"/>
        <v/>
      </c>
      <c r="C310" s="15"/>
      <c r="D310" s="15"/>
      <c r="E310" s="15"/>
      <c r="F310" s="15"/>
      <c r="G310" s="15"/>
      <c r="H310" s="39" t="str">
        <f>IF($G310="","",IFERROR(INDEX('90_SEMA'!$G$7:$H$183,MATCH($G310,'90_SEMA'!$B$7:$B$183,0),NYELV_IDX),"### ISMERETLEN KÓD"))</f>
        <v/>
      </c>
      <c r="I310" s="33"/>
      <c r="J310" s="33"/>
      <c r="K310" s="15"/>
      <c r="L310" s="15"/>
      <c r="M310" s="15"/>
    </row>
    <row r="311" spans="2:13" ht="15" customHeight="1" x14ac:dyDescent="0.3">
      <c r="B311" s="21" t="str">
        <f t="shared" si="4"/>
        <v/>
      </c>
      <c r="C311" s="15"/>
      <c r="D311" s="15"/>
      <c r="E311" s="15"/>
      <c r="F311" s="15"/>
      <c r="G311" s="15"/>
      <c r="H311" s="39" t="str">
        <f>IF($G311="","",IFERROR(INDEX('90_SEMA'!$G$7:$H$183,MATCH($G311,'90_SEMA'!$B$7:$B$183,0),NYELV_IDX),"### ISMERETLEN KÓD"))</f>
        <v/>
      </c>
      <c r="I311" s="33"/>
      <c r="J311" s="33"/>
      <c r="K311" s="15"/>
      <c r="L311" s="15"/>
      <c r="M311" s="15"/>
    </row>
    <row r="312" spans="2:13" ht="15" customHeight="1" x14ac:dyDescent="0.3">
      <c r="B312" s="21" t="str">
        <f t="shared" si="4"/>
        <v/>
      </c>
      <c r="C312" s="15"/>
      <c r="D312" s="15"/>
      <c r="E312" s="15"/>
      <c r="F312" s="15"/>
      <c r="G312" s="15"/>
      <c r="H312" s="39" t="str">
        <f>IF($G312="","",IFERROR(INDEX('90_SEMA'!$G$7:$H$183,MATCH($G312,'90_SEMA'!$B$7:$B$183,0),NYELV_IDX),"### ISMERETLEN KÓD"))</f>
        <v/>
      </c>
      <c r="I312" s="33"/>
      <c r="J312" s="33"/>
      <c r="K312" s="15"/>
      <c r="L312" s="15"/>
      <c r="M312" s="15"/>
    </row>
    <row r="313" spans="2:13" ht="15" customHeight="1" x14ac:dyDescent="0.3">
      <c r="B313" s="21" t="str">
        <f t="shared" si="4"/>
        <v/>
      </c>
      <c r="C313" s="15"/>
      <c r="D313" s="15"/>
      <c r="E313" s="15"/>
      <c r="F313" s="15"/>
      <c r="G313" s="15"/>
      <c r="H313" s="39" t="str">
        <f>IF($G313="","",IFERROR(INDEX('90_SEMA'!$G$7:$H$183,MATCH($G313,'90_SEMA'!$B$7:$B$183,0),NYELV_IDX),"### ISMERETLEN KÓD"))</f>
        <v/>
      </c>
      <c r="I313" s="33"/>
      <c r="J313" s="33"/>
      <c r="K313" s="15"/>
      <c r="L313" s="15"/>
      <c r="M313" s="15"/>
    </row>
    <row r="314" spans="2:13" ht="15" customHeight="1" x14ac:dyDescent="0.3">
      <c r="B314" s="21" t="str">
        <f t="shared" si="4"/>
        <v/>
      </c>
      <c r="C314" s="15"/>
      <c r="D314" s="15"/>
      <c r="E314" s="15"/>
      <c r="F314" s="15"/>
      <c r="G314" s="15"/>
      <c r="H314" s="39" t="str">
        <f>IF($G314="","",IFERROR(INDEX('90_SEMA'!$G$7:$H$183,MATCH($G314,'90_SEMA'!$B$7:$B$183,0),NYELV_IDX),"### ISMERETLEN KÓD"))</f>
        <v/>
      </c>
      <c r="I314" s="33"/>
      <c r="J314" s="33"/>
      <c r="K314" s="15"/>
      <c r="L314" s="15"/>
      <c r="M314" s="15"/>
    </row>
    <row r="315" spans="2:13" ht="15" customHeight="1" x14ac:dyDescent="0.3">
      <c r="B315" s="21" t="str">
        <f t="shared" si="4"/>
        <v/>
      </c>
      <c r="C315" s="15"/>
      <c r="D315" s="15"/>
      <c r="E315" s="15"/>
      <c r="F315" s="15"/>
      <c r="G315" s="15"/>
      <c r="H315" s="39" t="str">
        <f>IF($G315="","",IFERROR(INDEX('90_SEMA'!$G$7:$H$183,MATCH($G315,'90_SEMA'!$B$7:$B$183,0),NYELV_IDX),"### ISMERETLEN KÓD"))</f>
        <v/>
      </c>
      <c r="I315" s="33"/>
      <c r="J315" s="33"/>
      <c r="K315" s="15"/>
      <c r="L315" s="15"/>
      <c r="M315" s="15"/>
    </row>
    <row r="316" spans="2:13" ht="15" customHeight="1" x14ac:dyDescent="0.3">
      <c r="B316" s="21" t="str">
        <f t="shared" si="4"/>
        <v/>
      </c>
      <c r="C316" s="15"/>
      <c r="D316" s="15"/>
      <c r="E316" s="15"/>
      <c r="F316" s="15"/>
      <c r="G316" s="15"/>
      <c r="H316" s="39" t="str">
        <f>IF($G316="","",IFERROR(INDEX('90_SEMA'!$G$7:$H$183,MATCH($G316,'90_SEMA'!$B$7:$B$183,0),NYELV_IDX),"### ISMERETLEN KÓD"))</f>
        <v/>
      </c>
      <c r="I316" s="33"/>
      <c r="J316" s="33"/>
      <c r="K316" s="15"/>
      <c r="L316" s="15"/>
      <c r="M316" s="15"/>
    </row>
    <row r="317" spans="2:13" ht="15" customHeight="1" x14ac:dyDescent="0.3">
      <c r="B317" s="21" t="str">
        <f t="shared" si="4"/>
        <v/>
      </c>
      <c r="C317" s="15"/>
      <c r="D317" s="15"/>
      <c r="E317" s="15"/>
      <c r="F317" s="15"/>
      <c r="G317" s="15"/>
      <c r="H317" s="39" t="str">
        <f>IF($G317="","",IFERROR(INDEX('90_SEMA'!$G$7:$H$183,MATCH($G317,'90_SEMA'!$B$7:$B$183,0),NYELV_IDX),"### ISMERETLEN KÓD"))</f>
        <v/>
      </c>
      <c r="I317" s="33"/>
      <c r="J317" s="33"/>
      <c r="K317" s="15"/>
      <c r="L317" s="15"/>
      <c r="M317" s="15"/>
    </row>
    <row r="318" spans="2:13" ht="15" customHeight="1" x14ac:dyDescent="0.3">
      <c r="B318" s="21" t="str">
        <f t="shared" si="4"/>
        <v/>
      </c>
      <c r="C318" s="15"/>
      <c r="D318" s="15"/>
      <c r="E318" s="15"/>
      <c r="F318" s="15"/>
      <c r="G318" s="15"/>
      <c r="H318" s="39" t="str">
        <f>IF($G318="","",IFERROR(INDEX('90_SEMA'!$G$7:$H$183,MATCH($G318,'90_SEMA'!$B$7:$B$183,0),NYELV_IDX),"### ISMERETLEN KÓD"))</f>
        <v/>
      </c>
      <c r="I318" s="33"/>
      <c r="J318" s="33"/>
      <c r="K318" s="15"/>
      <c r="L318" s="15"/>
      <c r="M318" s="15"/>
    </row>
    <row r="319" spans="2:13" ht="15" customHeight="1" x14ac:dyDescent="0.3">
      <c r="B319" s="21" t="str">
        <f t="shared" si="4"/>
        <v/>
      </c>
      <c r="C319" s="15"/>
      <c r="D319" s="15"/>
      <c r="E319" s="15"/>
      <c r="F319" s="15"/>
      <c r="G319" s="15"/>
      <c r="H319" s="39" t="str">
        <f>IF($G319="","",IFERROR(INDEX('90_SEMA'!$G$7:$H$183,MATCH($G319,'90_SEMA'!$B$7:$B$183,0),NYELV_IDX),"### ISMERETLEN KÓD"))</f>
        <v/>
      </c>
      <c r="I319" s="33"/>
      <c r="J319" s="33"/>
      <c r="K319" s="15"/>
      <c r="L319" s="15"/>
      <c r="M319" s="15"/>
    </row>
    <row r="320" spans="2:13" ht="15" customHeight="1" x14ac:dyDescent="0.3">
      <c r="B320" s="21" t="str">
        <f t="shared" si="4"/>
        <v/>
      </c>
      <c r="C320" s="15"/>
      <c r="D320" s="15"/>
      <c r="E320" s="15"/>
      <c r="F320" s="15"/>
      <c r="G320" s="15"/>
      <c r="H320" s="39" t="str">
        <f>IF($G320="","",IFERROR(INDEX('90_SEMA'!$G$7:$H$183,MATCH($G320,'90_SEMA'!$B$7:$B$183,0),NYELV_IDX),"### ISMERETLEN KÓD"))</f>
        <v/>
      </c>
      <c r="I320" s="33"/>
      <c r="J320" s="33"/>
      <c r="K320" s="15"/>
      <c r="L320" s="15"/>
      <c r="M320" s="15"/>
    </row>
    <row r="321" spans="2:13" ht="15" customHeight="1" x14ac:dyDescent="0.3">
      <c r="B321" s="21" t="str">
        <f t="shared" si="4"/>
        <v/>
      </c>
      <c r="C321" s="15"/>
      <c r="D321" s="15"/>
      <c r="E321" s="15"/>
      <c r="F321" s="15"/>
      <c r="G321" s="15"/>
      <c r="H321" s="39" t="str">
        <f>IF($G321="","",IFERROR(INDEX('90_SEMA'!$G$7:$H$183,MATCH($G321,'90_SEMA'!$B$7:$B$183,0),NYELV_IDX),"### ISMERETLEN KÓD"))</f>
        <v/>
      </c>
      <c r="I321" s="33"/>
      <c r="J321" s="33"/>
      <c r="K321" s="15"/>
      <c r="L321" s="15"/>
      <c r="M321" s="15"/>
    </row>
    <row r="322" spans="2:13" ht="15" customHeight="1" x14ac:dyDescent="0.3">
      <c r="B322" s="21" t="str">
        <f t="shared" si="4"/>
        <v/>
      </c>
      <c r="C322" s="15"/>
      <c r="D322" s="15"/>
      <c r="E322" s="15"/>
      <c r="F322" s="15"/>
      <c r="G322" s="15"/>
      <c r="H322" s="39" t="str">
        <f>IF($G322="","",IFERROR(INDEX('90_SEMA'!$G$7:$H$183,MATCH($G322,'90_SEMA'!$B$7:$B$183,0),NYELV_IDX),"### ISMERETLEN KÓD"))</f>
        <v/>
      </c>
      <c r="I322" s="33"/>
      <c r="J322" s="33"/>
      <c r="K322" s="15"/>
      <c r="L322" s="15"/>
      <c r="M322" s="15"/>
    </row>
    <row r="323" spans="2:13" ht="15" customHeight="1" x14ac:dyDescent="0.3">
      <c r="B323" s="21" t="str">
        <f t="shared" si="4"/>
        <v/>
      </c>
      <c r="C323" s="15"/>
      <c r="D323" s="15"/>
      <c r="E323" s="15"/>
      <c r="F323" s="15"/>
      <c r="G323" s="15"/>
      <c r="H323" s="39" t="str">
        <f>IF($G323="","",IFERROR(INDEX('90_SEMA'!$G$7:$H$183,MATCH($G323,'90_SEMA'!$B$7:$B$183,0),NYELV_IDX),"### ISMERETLEN KÓD"))</f>
        <v/>
      </c>
      <c r="I323" s="33"/>
      <c r="J323" s="33"/>
      <c r="K323" s="15"/>
      <c r="L323" s="15"/>
      <c r="M323" s="15"/>
    </row>
    <row r="324" spans="2:13" ht="15" customHeight="1" x14ac:dyDescent="0.3">
      <c r="B324" s="21" t="str">
        <f t="shared" si="4"/>
        <v/>
      </c>
      <c r="C324" s="15"/>
      <c r="D324" s="15"/>
      <c r="E324" s="15"/>
      <c r="F324" s="15"/>
      <c r="G324" s="15"/>
      <c r="H324" s="39" t="str">
        <f>IF($G324="","",IFERROR(INDEX('90_SEMA'!$G$7:$H$183,MATCH($G324,'90_SEMA'!$B$7:$B$183,0),NYELV_IDX),"### ISMERETLEN KÓD"))</f>
        <v/>
      </c>
      <c r="I324" s="33"/>
      <c r="J324" s="33"/>
      <c r="K324" s="15"/>
      <c r="L324" s="15"/>
      <c r="M324" s="15"/>
    </row>
    <row r="325" spans="2:13" ht="15" customHeight="1" x14ac:dyDescent="0.3">
      <c r="B325" s="21" t="str">
        <f t="shared" si="4"/>
        <v/>
      </c>
      <c r="C325" s="15"/>
      <c r="D325" s="15"/>
      <c r="E325" s="15"/>
      <c r="F325" s="15"/>
      <c r="G325" s="15"/>
      <c r="H325" s="39" t="str">
        <f>IF($G325="","",IFERROR(INDEX('90_SEMA'!$G$7:$H$183,MATCH($G325,'90_SEMA'!$B$7:$B$183,0),NYELV_IDX),"### ISMERETLEN KÓD"))</f>
        <v/>
      </c>
      <c r="I325" s="33"/>
      <c r="J325" s="33"/>
      <c r="K325" s="15"/>
      <c r="L325" s="15"/>
      <c r="M325" s="15"/>
    </row>
    <row r="326" spans="2:13" ht="15" customHeight="1" x14ac:dyDescent="0.3">
      <c r="B326" s="21" t="str">
        <f t="shared" si="4"/>
        <v/>
      </c>
      <c r="C326" s="15"/>
      <c r="D326" s="15"/>
      <c r="E326" s="15"/>
      <c r="F326" s="15"/>
      <c r="G326" s="15"/>
      <c r="H326" s="39" t="str">
        <f>IF($G326="","",IFERROR(INDEX('90_SEMA'!$G$7:$H$183,MATCH($G326,'90_SEMA'!$B$7:$B$183,0),NYELV_IDX),"### ISMERETLEN KÓD"))</f>
        <v/>
      </c>
      <c r="I326" s="33"/>
      <c r="J326" s="33"/>
      <c r="K326" s="15"/>
      <c r="L326" s="15"/>
      <c r="M326" s="15"/>
    </row>
    <row r="327" spans="2:13" ht="15" customHeight="1" x14ac:dyDescent="0.3">
      <c r="B327" s="21" t="str">
        <f t="shared" ref="B327:B390" si="5">IF($G327="","",ROW()-6)</f>
        <v/>
      </c>
      <c r="C327" s="15"/>
      <c r="D327" s="15"/>
      <c r="E327" s="15"/>
      <c r="F327" s="15"/>
      <c r="G327" s="15"/>
      <c r="H327" s="39" t="str">
        <f>IF($G327="","",IFERROR(INDEX('90_SEMA'!$G$7:$H$183,MATCH($G327,'90_SEMA'!$B$7:$B$183,0),NYELV_IDX),"### ISMERETLEN KÓD"))</f>
        <v/>
      </c>
      <c r="I327" s="33"/>
      <c r="J327" s="33"/>
      <c r="K327" s="15"/>
      <c r="L327" s="15"/>
      <c r="M327" s="15"/>
    </row>
    <row r="328" spans="2:13" ht="15" customHeight="1" x14ac:dyDescent="0.3">
      <c r="B328" s="21" t="str">
        <f t="shared" si="5"/>
        <v/>
      </c>
      <c r="C328" s="15"/>
      <c r="D328" s="15"/>
      <c r="E328" s="15"/>
      <c r="F328" s="15"/>
      <c r="G328" s="15"/>
      <c r="H328" s="39" t="str">
        <f>IF($G328="","",IFERROR(INDEX('90_SEMA'!$G$7:$H$183,MATCH($G328,'90_SEMA'!$B$7:$B$183,0),NYELV_IDX),"### ISMERETLEN KÓD"))</f>
        <v/>
      </c>
      <c r="I328" s="33"/>
      <c r="J328" s="33"/>
      <c r="K328" s="15"/>
      <c r="L328" s="15"/>
      <c r="M328" s="15"/>
    </row>
    <row r="329" spans="2:13" ht="15" customHeight="1" x14ac:dyDescent="0.3">
      <c r="B329" s="21" t="str">
        <f t="shared" si="5"/>
        <v/>
      </c>
      <c r="C329" s="15"/>
      <c r="D329" s="15"/>
      <c r="E329" s="15"/>
      <c r="F329" s="15"/>
      <c r="G329" s="15"/>
      <c r="H329" s="39" t="str">
        <f>IF($G329="","",IFERROR(INDEX('90_SEMA'!$G$7:$H$183,MATCH($G329,'90_SEMA'!$B$7:$B$183,0),NYELV_IDX),"### ISMERETLEN KÓD"))</f>
        <v/>
      </c>
      <c r="I329" s="33"/>
      <c r="J329" s="33"/>
      <c r="K329" s="15"/>
      <c r="L329" s="15"/>
      <c r="M329" s="15"/>
    </row>
    <row r="330" spans="2:13" ht="15" customHeight="1" x14ac:dyDescent="0.3">
      <c r="B330" s="21" t="str">
        <f t="shared" si="5"/>
        <v/>
      </c>
      <c r="C330" s="15"/>
      <c r="D330" s="15"/>
      <c r="E330" s="15"/>
      <c r="F330" s="15"/>
      <c r="G330" s="15"/>
      <c r="H330" s="39" t="str">
        <f>IF($G330="","",IFERROR(INDEX('90_SEMA'!$G$7:$H$183,MATCH($G330,'90_SEMA'!$B$7:$B$183,0),NYELV_IDX),"### ISMERETLEN KÓD"))</f>
        <v/>
      </c>
      <c r="I330" s="33"/>
      <c r="J330" s="33"/>
      <c r="K330" s="15"/>
      <c r="L330" s="15"/>
      <c r="M330" s="15"/>
    </row>
    <row r="331" spans="2:13" ht="15" customHeight="1" x14ac:dyDescent="0.3">
      <c r="B331" s="21" t="str">
        <f t="shared" si="5"/>
        <v/>
      </c>
      <c r="C331" s="15"/>
      <c r="D331" s="15"/>
      <c r="E331" s="15"/>
      <c r="F331" s="15"/>
      <c r="G331" s="15"/>
      <c r="H331" s="39" t="str">
        <f>IF($G331="","",IFERROR(INDEX('90_SEMA'!$G$7:$H$183,MATCH($G331,'90_SEMA'!$B$7:$B$183,0),NYELV_IDX),"### ISMERETLEN KÓD"))</f>
        <v/>
      </c>
      <c r="I331" s="33"/>
      <c r="J331" s="33"/>
      <c r="K331" s="15"/>
      <c r="L331" s="15"/>
      <c r="M331" s="15"/>
    </row>
    <row r="332" spans="2:13" ht="15" customHeight="1" x14ac:dyDescent="0.3">
      <c r="B332" s="21" t="str">
        <f t="shared" si="5"/>
        <v/>
      </c>
      <c r="C332" s="15"/>
      <c r="D332" s="15"/>
      <c r="E332" s="15"/>
      <c r="F332" s="15"/>
      <c r="G332" s="15"/>
      <c r="H332" s="39" t="str">
        <f>IF($G332="","",IFERROR(INDEX('90_SEMA'!$G$7:$H$183,MATCH($G332,'90_SEMA'!$B$7:$B$183,0),NYELV_IDX),"### ISMERETLEN KÓD"))</f>
        <v/>
      </c>
      <c r="I332" s="33"/>
      <c r="J332" s="33"/>
      <c r="K332" s="15"/>
      <c r="L332" s="15"/>
      <c r="M332" s="15"/>
    </row>
    <row r="333" spans="2:13" ht="15" customHeight="1" x14ac:dyDescent="0.3">
      <c r="B333" s="21" t="str">
        <f t="shared" si="5"/>
        <v/>
      </c>
      <c r="C333" s="15"/>
      <c r="D333" s="15"/>
      <c r="E333" s="15"/>
      <c r="F333" s="15"/>
      <c r="G333" s="15"/>
      <c r="H333" s="39" t="str">
        <f>IF($G333="","",IFERROR(INDEX('90_SEMA'!$G$7:$H$183,MATCH($G333,'90_SEMA'!$B$7:$B$183,0),NYELV_IDX),"### ISMERETLEN KÓD"))</f>
        <v/>
      </c>
      <c r="I333" s="33"/>
      <c r="J333" s="33"/>
      <c r="K333" s="15"/>
      <c r="L333" s="15"/>
      <c r="M333" s="15"/>
    </row>
    <row r="334" spans="2:13" ht="15" customHeight="1" x14ac:dyDescent="0.3">
      <c r="B334" s="21" t="str">
        <f t="shared" si="5"/>
        <v/>
      </c>
      <c r="C334" s="15"/>
      <c r="D334" s="15"/>
      <c r="E334" s="15"/>
      <c r="F334" s="15"/>
      <c r="G334" s="15"/>
      <c r="H334" s="39" t="str">
        <f>IF($G334="","",IFERROR(INDEX('90_SEMA'!$G$7:$H$183,MATCH($G334,'90_SEMA'!$B$7:$B$183,0),NYELV_IDX),"### ISMERETLEN KÓD"))</f>
        <v/>
      </c>
      <c r="I334" s="33"/>
      <c r="J334" s="33"/>
      <c r="K334" s="15"/>
      <c r="L334" s="15"/>
      <c r="M334" s="15"/>
    </row>
    <row r="335" spans="2:13" ht="15" customHeight="1" x14ac:dyDescent="0.3">
      <c r="B335" s="21" t="str">
        <f t="shared" si="5"/>
        <v/>
      </c>
      <c r="C335" s="15"/>
      <c r="D335" s="15"/>
      <c r="E335" s="15"/>
      <c r="F335" s="15"/>
      <c r="G335" s="15"/>
      <c r="H335" s="39" t="str">
        <f>IF($G335="","",IFERROR(INDEX('90_SEMA'!$G$7:$H$183,MATCH($G335,'90_SEMA'!$B$7:$B$183,0),NYELV_IDX),"### ISMERETLEN KÓD"))</f>
        <v/>
      </c>
      <c r="I335" s="33"/>
      <c r="J335" s="33"/>
      <c r="K335" s="15"/>
      <c r="L335" s="15"/>
      <c r="M335" s="15"/>
    </row>
    <row r="336" spans="2:13" ht="15" customHeight="1" x14ac:dyDescent="0.3">
      <c r="B336" s="21" t="str">
        <f t="shared" si="5"/>
        <v/>
      </c>
      <c r="C336" s="15"/>
      <c r="D336" s="15"/>
      <c r="E336" s="15"/>
      <c r="F336" s="15"/>
      <c r="G336" s="15"/>
      <c r="H336" s="39" t="str">
        <f>IF($G336="","",IFERROR(INDEX('90_SEMA'!$G$7:$H$183,MATCH($G336,'90_SEMA'!$B$7:$B$183,0),NYELV_IDX),"### ISMERETLEN KÓD"))</f>
        <v/>
      </c>
      <c r="I336" s="33"/>
      <c r="J336" s="33"/>
      <c r="K336" s="15"/>
      <c r="L336" s="15"/>
      <c r="M336" s="15"/>
    </row>
    <row r="337" spans="2:13" ht="15" customHeight="1" x14ac:dyDescent="0.3">
      <c r="B337" s="21" t="str">
        <f t="shared" si="5"/>
        <v/>
      </c>
      <c r="C337" s="15"/>
      <c r="D337" s="15"/>
      <c r="E337" s="15"/>
      <c r="F337" s="15"/>
      <c r="G337" s="15"/>
      <c r="H337" s="39" t="str">
        <f>IF($G337="","",IFERROR(INDEX('90_SEMA'!$G$7:$H$183,MATCH($G337,'90_SEMA'!$B$7:$B$183,0),NYELV_IDX),"### ISMERETLEN KÓD"))</f>
        <v/>
      </c>
      <c r="I337" s="33"/>
      <c r="J337" s="33"/>
      <c r="K337" s="15"/>
      <c r="L337" s="15"/>
      <c r="M337" s="15"/>
    </row>
    <row r="338" spans="2:13" ht="15" customHeight="1" x14ac:dyDescent="0.3">
      <c r="B338" s="21" t="str">
        <f t="shared" si="5"/>
        <v/>
      </c>
      <c r="C338" s="15"/>
      <c r="D338" s="15"/>
      <c r="E338" s="15"/>
      <c r="F338" s="15"/>
      <c r="G338" s="15"/>
      <c r="H338" s="39" t="str">
        <f>IF($G338="","",IFERROR(INDEX('90_SEMA'!$G$7:$H$183,MATCH($G338,'90_SEMA'!$B$7:$B$183,0),NYELV_IDX),"### ISMERETLEN KÓD"))</f>
        <v/>
      </c>
      <c r="I338" s="33"/>
      <c r="J338" s="33"/>
      <c r="K338" s="15"/>
      <c r="L338" s="15"/>
      <c r="M338" s="15"/>
    </row>
    <row r="339" spans="2:13" ht="15" customHeight="1" x14ac:dyDescent="0.3">
      <c r="B339" s="21" t="str">
        <f t="shared" si="5"/>
        <v/>
      </c>
      <c r="C339" s="15"/>
      <c r="D339" s="15"/>
      <c r="E339" s="15"/>
      <c r="F339" s="15"/>
      <c r="G339" s="15"/>
      <c r="H339" s="39" t="str">
        <f>IF($G339="","",IFERROR(INDEX('90_SEMA'!$G$7:$H$183,MATCH($G339,'90_SEMA'!$B$7:$B$183,0),NYELV_IDX),"### ISMERETLEN KÓD"))</f>
        <v/>
      </c>
      <c r="I339" s="33"/>
      <c r="J339" s="33"/>
      <c r="K339" s="15"/>
      <c r="L339" s="15"/>
      <c r="M339" s="15"/>
    </row>
    <row r="340" spans="2:13" ht="15" customHeight="1" x14ac:dyDescent="0.3">
      <c r="B340" s="21" t="str">
        <f t="shared" si="5"/>
        <v/>
      </c>
      <c r="C340" s="15"/>
      <c r="D340" s="15"/>
      <c r="E340" s="15"/>
      <c r="F340" s="15"/>
      <c r="G340" s="15"/>
      <c r="H340" s="39" t="str">
        <f>IF($G340="","",IFERROR(INDEX('90_SEMA'!$G$7:$H$183,MATCH($G340,'90_SEMA'!$B$7:$B$183,0),NYELV_IDX),"### ISMERETLEN KÓD"))</f>
        <v/>
      </c>
      <c r="I340" s="33"/>
      <c r="J340" s="33"/>
      <c r="K340" s="15"/>
      <c r="L340" s="15"/>
      <c r="M340" s="15"/>
    </row>
    <row r="341" spans="2:13" ht="15" customHeight="1" x14ac:dyDescent="0.3">
      <c r="B341" s="21" t="str">
        <f t="shared" si="5"/>
        <v/>
      </c>
      <c r="C341" s="15"/>
      <c r="D341" s="15"/>
      <c r="E341" s="15"/>
      <c r="F341" s="15"/>
      <c r="G341" s="15"/>
      <c r="H341" s="39" t="str">
        <f>IF($G341="","",IFERROR(INDEX('90_SEMA'!$G$7:$H$183,MATCH($G341,'90_SEMA'!$B$7:$B$183,0),NYELV_IDX),"### ISMERETLEN KÓD"))</f>
        <v/>
      </c>
      <c r="I341" s="33"/>
      <c r="J341" s="33"/>
      <c r="K341" s="15"/>
      <c r="L341" s="15"/>
      <c r="M341" s="15"/>
    </row>
    <row r="342" spans="2:13" ht="15" customHeight="1" x14ac:dyDescent="0.3">
      <c r="B342" s="21" t="str">
        <f t="shared" si="5"/>
        <v/>
      </c>
      <c r="C342" s="15"/>
      <c r="D342" s="15"/>
      <c r="E342" s="15"/>
      <c r="F342" s="15"/>
      <c r="G342" s="15"/>
      <c r="H342" s="39" t="str">
        <f>IF($G342="","",IFERROR(INDEX('90_SEMA'!$G$7:$H$183,MATCH($G342,'90_SEMA'!$B$7:$B$183,0),NYELV_IDX),"### ISMERETLEN KÓD"))</f>
        <v/>
      </c>
      <c r="I342" s="33"/>
      <c r="J342" s="33"/>
      <c r="K342" s="15"/>
      <c r="L342" s="15"/>
      <c r="M342" s="15"/>
    </row>
    <row r="343" spans="2:13" ht="15" customHeight="1" x14ac:dyDescent="0.3">
      <c r="B343" s="21" t="str">
        <f t="shared" si="5"/>
        <v/>
      </c>
      <c r="C343" s="15"/>
      <c r="D343" s="15"/>
      <c r="E343" s="15"/>
      <c r="F343" s="15"/>
      <c r="G343" s="15"/>
      <c r="H343" s="39" t="str">
        <f>IF($G343="","",IFERROR(INDEX('90_SEMA'!$G$7:$H$183,MATCH($G343,'90_SEMA'!$B$7:$B$183,0),NYELV_IDX),"### ISMERETLEN KÓD"))</f>
        <v/>
      </c>
      <c r="I343" s="33"/>
      <c r="J343" s="33"/>
      <c r="K343" s="15"/>
      <c r="L343" s="15"/>
      <c r="M343" s="15"/>
    </row>
    <row r="344" spans="2:13" ht="15" customHeight="1" x14ac:dyDescent="0.3">
      <c r="B344" s="21" t="str">
        <f t="shared" si="5"/>
        <v/>
      </c>
      <c r="C344" s="15"/>
      <c r="D344" s="15"/>
      <c r="E344" s="15"/>
      <c r="F344" s="15"/>
      <c r="G344" s="15"/>
      <c r="H344" s="39" t="str">
        <f>IF($G344="","",IFERROR(INDEX('90_SEMA'!$G$7:$H$183,MATCH($G344,'90_SEMA'!$B$7:$B$183,0),NYELV_IDX),"### ISMERETLEN KÓD"))</f>
        <v/>
      </c>
      <c r="I344" s="33"/>
      <c r="J344" s="33"/>
      <c r="K344" s="15"/>
      <c r="L344" s="15"/>
      <c r="M344" s="15"/>
    </row>
    <row r="345" spans="2:13" ht="15" customHeight="1" x14ac:dyDescent="0.3">
      <c r="B345" s="21" t="str">
        <f t="shared" si="5"/>
        <v/>
      </c>
      <c r="C345" s="15"/>
      <c r="D345" s="15"/>
      <c r="E345" s="15"/>
      <c r="F345" s="15"/>
      <c r="G345" s="15"/>
      <c r="H345" s="39" t="str">
        <f>IF($G345="","",IFERROR(INDEX('90_SEMA'!$G$7:$H$183,MATCH($G345,'90_SEMA'!$B$7:$B$183,0),NYELV_IDX),"### ISMERETLEN KÓD"))</f>
        <v/>
      </c>
      <c r="I345" s="33"/>
      <c r="J345" s="33"/>
      <c r="K345" s="15"/>
      <c r="L345" s="15"/>
      <c r="M345" s="15"/>
    </row>
    <row r="346" spans="2:13" ht="15" customHeight="1" x14ac:dyDescent="0.3">
      <c r="B346" s="21" t="str">
        <f t="shared" si="5"/>
        <v/>
      </c>
      <c r="C346" s="15"/>
      <c r="D346" s="15"/>
      <c r="E346" s="15"/>
      <c r="F346" s="15"/>
      <c r="G346" s="15"/>
      <c r="H346" s="39" t="str">
        <f>IF($G346="","",IFERROR(INDEX('90_SEMA'!$G$7:$H$183,MATCH($G346,'90_SEMA'!$B$7:$B$183,0),NYELV_IDX),"### ISMERETLEN KÓD"))</f>
        <v/>
      </c>
      <c r="I346" s="33"/>
      <c r="J346" s="33"/>
      <c r="K346" s="15"/>
      <c r="L346" s="15"/>
      <c r="M346" s="15"/>
    </row>
    <row r="347" spans="2:13" ht="15" customHeight="1" x14ac:dyDescent="0.3">
      <c r="B347" s="21" t="str">
        <f t="shared" si="5"/>
        <v/>
      </c>
      <c r="C347" s="15"/>
      <c r="D347" s="15"/>
      <c r="E347" s="15"/>
      <c r="F347" s="15"/>
      <c r="G347" s="15"/>
      <c r="H347" s="39" t="str">
        <f>IF($G347="","",IFERROR(INDEX('90_SEMA'!$G$7:$H$183,MATCH($G347,'90_SEMA'!$B$7:$B$183,0),NYELV_IDX),"### ISMERETLEN KÓD"))</f>
        <v/>
      </c>
      <c r="I347" s="33"/>
      <c r="J347" s="33"/>
      <c r="K347" s="15"/>
      <c r="L347" s="15"/>
      <c r="M347" s="15"/>
    </row>
    <row r="348" spans="2:13" ht="15" customHeight="1" x14ac:dyDescent="0.3">
      <c r="B348" s="21" t="str">
        <f t="shared" si="5"/>
        <v/>
      </c>
      <c r="C348" s="15"/>
      <c r="D348" s="15"/>
      <c r="E348" s="15"/>
      <c r="F348" s="15"/>
      <c r="G348" s="15"/>
      <c r="H348" s="39" t="str">
        <f>IF($G348="","",IFERROR(INDEX('90_SEMA'!$G$7:$H$183,MATCH($G348,'90_SEMA'!$B$7:$B$183,0),NYELV_IDX),"### ISMERETLEN KÓD"))</f>
        <v/>
      </c>
      <c r="I348" s="33"/>
      <c r="J348" s="33"/>
      <c r="K348" s="15"/>
      <c r="L348" s="15"/>
      <c r="M348" s="15"/>
    </row>
    <row r="349" spans="2:13" ht="15" customHeight="1" x14ac:dyDescent="0.3">
      <c r="B349" s="21" t="str">
        <f t="shared" si="5"/>
        <v/>
      </c>
      <c r="C349" s="15"/>
      <c r="D349" s="15"/>
      <c r="E349" s="15"/>
      <c r="F349" s="15"/>
      <c r="G349" s="15"/>
      <c r="H349" s="39" t="str">
        <f>IF($G349="","",IFERROR(INDEX('90_SEMA'!$G$7:$H$183,MATCH($G349,'90_SEMA'!$B$7:$B$183,0),NYELV_IDX),"### ISMERETLEN KÓD"))</f>
        <v/>
      </c>
      <c r="I349" s="33"/>
      <c r="J349" s="33"/>
      <c r="K349" s="15"/>
      <c r="L349" s="15"/>
      <c r="M349" s="15"/>
    </row>
    <row r="350" spans="2:13" ht="15" customHeight="1" x14ac:dyDescent="0.3">
      <c r="B350" s="21" t="str">
        <f t="shared" si="5"/>
        <v/>
      </c>
      <c r="C350" s="15"/>
      <c r="D350" s="15"/>
      <c r="E350" s="15"/>
      <c r="F350" s="15"/>
      <c r="G350" s="15"/>
      <c r="H350" s="39" t="str">
        <f>IF($G350="","",IFERROR(INDEX('90_SEMA'!$G$7:$H$183,MATCH($G350,'90_SEMA'!$B$7:$B$183,0),NYELV_IDX),"### ISMERETLEN KÓD"))</f>
        <v/>
      </c>
      <c r="I350" s="33"/>
      <c r="J350" s="33"/>
      <c r="K350" s="15"/>
      <c r="L350" s="15"/>
      <c r="M350" s="15"/>
    </row>
    <row r="351" spans="2:13" ht="15" customHeight="1" x14ac:dyDescent="0.3">
      <c r="B351" s="21" t="str">
        <f t="shared" si="5"/>
        <v/>
      </c>
      <c r="C351" s="15"/>
      <c r="D351" s="15"/>
      <c r="E351" s="15"/>
      <c r="F351" s="15"/>
      <c r="G351" s="15"/>
      <c r="H351" s="39" t="str">
        <f>IF($G351="","",IFERROR(INDEX('90_SEMA'!$G$7:$H$183,MATCH($G351,'90_SEMA'!$B$7:$B$183,0),NYELV_IDX),"### ISMERETLEN KÓD"))</f>
        <v/>
      </c>
      <c r="I351" s="33"/>
      <c r="J351" s="33"/>
      <c r="K351" s="15"/>
      <c r="L351" s="15"/>
      <c r="M351" s="15"/>
    </row>
    <row r="352" spans="2:13" ht="15" customHeight="1" x14ac:dyDescent="0.3">
      <c r="B352" s="21" t="str">
        <f t="shared" si="5"/>
        <v/>
      </c>
      <c r="C352" s="15"/>
      <c r="D352" s="15"/>
      <c r="E352" s="15"/>
      <c r="F352" s="15"/>
      <c r="G352" s="15"/>
      <c r="H352" s="39" t="str">
        <f>IF($G352="","",IFERROR(INDEX('90_SEMA'!$G$7:$H$183,MATCH($G352,'90_SEMA'!$B$7:$B$183,0),NYELV_IDX),"### ISMERETLEN KÓD"))</f>
        <v/>
      </c>
      <c r="I352" s="33"/>
      <c r="J352" s="33"/>
      <c r="K352" s="15"/>
      <c r="L352" s="15"/>
      <c r="M352" s="15"/>
    </row>
    <row r="353" spans="2:13" ht="15" customHeight="1" x14ac:dyDescent="0.3">
      <c r="B353" s="21" t="str">
        <f t="shared" si="5"/>
        <v/>
      </c>
      <c r="C353" s="15"/>
      <c r="D353" s="15"/>
      <c r="E353" s="15"/>
      <c r="F353" s="15"/>
      <c r="G353" s="15"/>
      <c r="H353" s="39" t="str">
        <f>IF($G353="","",IFERROR(INDEX('90_SEMA'!$G$7:$H$183,MATCH($G353,'90_SEMA'!$B$7:$B$183,0),NYELV_IDX),"### ISMERETLEN KÓD"))</f>
        <v/>
      </c>
      <c r="I353" s="33"/>
      <c r="J353" s="33"/>
      <c r="K353" s="15"/>
      <c r="L353" s="15"/>
      <c r="M353" s="15"/>
    </row>
    <row r="354" spans="2:13" ht="15" customHeight="1" x14ac:dyDescent="0.3">
      <c r="B354" s="21" t="str">
        <f t="shared" si="5"/>
        <v/>
      </c>
      <c r="C354" s="15"/>
      <c r="D354" s="15"/>
      <c r="E354" s="15"/>
      <c r="F354" s="15"/>
      <c r="G354" s="15"/>
      <c r="H354" s="39" t="str">
        <f>IF($G354="","",IFERROR(INDEX('90_SEMA'!$G$7:$H$183,MATCH($G354,'90_SEMA'!$B$7:$B$183,0),NYELV_IDX),"### ISMERETLEN KÓD"))</f>
        <v/>
      </c>
      <c r="I354" s="33"/>
      <c r="J354" s="33"/>
      <c r="K354" s="15"/>
      <c r="L354" s="15"/>
      <c r="M354" s="15"/>
    </row>
    <row r="355" spans="2:13" ht="15" customHeight="1" x14ac:dyDescent="0.3">
      <c r="B355" s="21" t="str">
        <f t="shared" si="5"/>
        <v/>
      </c>
      <c r="C355" s="15"/>
      <c r="D355" s="15"/>
      <c r="E355" s="15"/>
      <c r="F355" s="15"/>
      <c r="G355" s="15"/>
      <c r="H355" s="39" t="str">
        <f>IF($G355="","",IFERROR(INDEX('90_SEMA'!$G$7:$H$183,MATCH($G355,'90_SEMA'!$B$7:$B$183,0),NYELV_IDX),"### ISMERETLEN KÓD"))</f>
        <v/>
      </c>
      <c r="I355" s="33"/>
      <c r="J355" s="33"/>
      <c r="K355" s="15"/>
      <c r="L355" s="15"/>
      <c r="M355" s="15"/>
    </row>
    <row r="356" spans="2:13" ht="15" customHeight="1" x14ac:dyDescent="0.3">
      <c r="B356" s="21" t="str">
        <f t="shared" si="5"/>
        <v/>
      </c>
      <c r="C356" s="15"/>
      <c r="D356" s="15"/>
      <c r="E356" s="15"/>
      <c r="F356" s="15"/>
      <c r="G356" s="15"/>
      <c r="H356" s="39" t="str">
        <f>IF($G356="","",IFERROR(INDEX('90_SEMA'!$G$7:$H$183,MATCH($G356,'90_SEMA'!$B$7:$B$183,0),NYELV_IDX),"### ISMERETLEN KÓD"))</f>
        <v/>
      </c>
      <c r="I356" s="33"/>
      <c r="J356" s="33"/>
      <c r="K356" s="15"/>
      <c r="L356" s="15"/>
      <c r="M356" s="15"/>
    </row>
    <row r="357" spans="2:13" ht="15" customHeight="1" x14ac:dyDescent="0.3">
      <c r="B357" s="21" t="str">
        <f t="shared" si="5"/>
        <v/>
      </c>
      <c r="C357" s="15"/>
      <c r="D357" s="15"/>
      <c r="E357" s="15"/>
      <c r="F357" s="15"/>
      <c r="G357" s="15"/>
      <c r="H357" s="39" t="str">
        <f>IF($G357="","",IFERROR(INDEX('90_SEMA'!$G$7:$H$183,MATCH($G357,'90_SEMA'!$B$7:$B$183,0),NYELV_IDX),"### ISMERETLEN KÓD"))</f>
        <v/>
      </c>
      <c r="I357" s="33"/>
      <c r="J357" s="33"/>
      <c r="K357" s="15"/>
      <c r="L357" s="15"/>
      <c r="M357" s="15"/>
    </row>
    <row r="358" spans="2:13" ht="15" customHeight="1" x14ac:dyDescent="0.3">
      <c r="B358" s="21" t="str">
        <f t="shared" si="5"/>
        <v/>
      </c>
      <c r="C358" s="15"/>
      <c r="D358" s="15"/>
      <c r="E358" s="15"/>
      <c r="F358" s="15"/>
      <c r="G358" s="15"/>
      <c r="H358" s="39" t="str">
        <f>IF($G358="","",IFERROR(INDEX('90_SEMA'!$G$7:$H$183,MATCH($G358,'90_SEMA'!$B$7:$B$183,0),NYELV_IDX),"### ISMERETLEN KÓD"))</f>
        <v/>
      </c>
      <c r="I358" s="33"/>
      <c r="J358" s="33"/>
      <c r="K358" s="15"/>
      <c r="L358" s="15"/>
      <c r="M358" s="15"/>
    </row>
    <row r="359" spans="2:13" ht="15" customHeight="1" x14ac:dyDescent="0.3">
      <c r="B359" s="21" t="str">
        <f t="shared" si="5"/>
        <v/>
      </c>
      <c r="C359" s="15"/>
      <c r="D359" s="15"/>
      <c r="E359" s="15"/>
      <c r="F359" s="15"/>
      <c r="G359" s="15"/>
      <c r="H359" s="39" t="str">
        <f>IF($G359="","",IFERROR(INDEX('90_SEMA'!$G$7:$H$183,MATCH($G359,'90_SEMA'!$B$7:$B$183,0),NYELV_IDX),"### ISMERETLEN KÓD"))</f>
        <v/>
      </c>
      <c r="I359" s="33"/>
      <c r="J359" s="33"/>
      <c r="K359" s="15"/>
      <c r="L359" s="15"/>
      <c r="M359" s="15"/>
    </row>
    <row r="360" spans="2:13" ht="15" customHeight="1" x14ac:dyDescent="0.3">
      <c r="B360" s="21" t="str">
        <f t="shared" si="5"/>
        <v/>
      </c>
      <c r="C360" s="15"/>
      <c r="D360" s="15"/>
      <c r="E360" s="15"/>
      <c r="F360" s="15"/>
      <c r="G360" s="15"/>
      <c r="H360" s="39" t="str">
        <f>IF($G360="","",IFERROR(INDEX('90_SEMA'!$G$7:$H$183,MATCH($G360,'90_SEMA'!$B$7:$B$183,0),NYELV_IDX),"### ISMERETLEN KÓD"))</f>
        <v/>
      </c>
      <c r="I360" s="33"/>
      <c r="J360" s="33"/>
      <c r="K360" s="15"/>
      <c r="L360" s="15"/>
      <c r="M360" s="15"/>
    </row>
    <row r="361" spans="2:13" ht="15" customHeight="1" x14ac:dyDescent="0.3">
      <c r="B361" s="21" t="str">
        <f t="shared" si="5"/>
        <v/>
      </c>
      <c r="C361" s="15"/>
      <c r="D361" s="15"/>
      <c r="E361" s="15"/>
      <c r="F361" s="15"/>
      <c r="G361" s="15"/>
      <c r="H361" s="39" t="str">
        <f>IF($G361="","",IFERROR(INDEX('90_SEMA'!$G$7:$H$183,MATCH($G361,'90_SEMA'!$B$7:$B$183,0),NYELV_IDX),"### ISMERETLEN KÓD"))</f>
        <v/>
      </c>
      <c r="I361" s="33"/>
      <c r="J361" s="33"/>
      <c r="K361" s="15"/>
      <c r="L361" s="15"/>
      <c r="M361" s="15"/>
    </row>
    <row r="362" spans="2:13" ht="15" customHeight="1" x14ac:dyDescent="0.3">
      <c r="B362" s="21" t="str">
        <f t="shared" si="5"/>
        <v/>
      </c>
      <c r="C362" s="15"/>
      <c r="D362" s="15"/>
      <c r="E362" s="15"/>
      <c r="F362" s="15"/>
      <c r="G362" s="15"/>
      <c r="H362" s="39" t="str">
        <f>IF($G362="","",IFERROR(INDEX('90_SEMA'!$G$7:$H$183,MATCH($G362,'90_SEMA'!$B$7:$B$183,0),NYELV_IDX),"### ISMERETLEN KÓD"))</f>
        <v/>
      </c>
      <c r="I362" s="33"/>
      <c r="J362" s="33"/>
      <c r="K362" s="15"/>
      <c r="L362" s="15"/>
      <c r="M362" s="15"/>
    </row>
    <row r="363" spans="2:13" ht="15" customHeight="1" x14ac:dyDescent="0.3">
      <c r="B363" s="21" t="str">
        <f t="shared" si="5"/>
        <v/>
      </c>
      <c r="C363" s="15"/>
      <c r="D363" s="15"/>
      <c r="E363" s="15"/>
      <c r="F363" s="15"/>
      <c r="G363" s="15"/>
      <c r="H363" s="39" t="str">
        <f>IF($G363="","",IFERROR(INDEX('90_SEMA'!$G$7:$H$183,MATCH($G363,'90_SEMA'!$B$7:$B$183,0),NYELV_IDX),"### ISMERETLEN KÓD"))</f>
        <v/>
      </c>
      <c r="I363" s="33"/>
      <c r="J363" s="33"/>
      <c r="K363" s="15"/>
      <c r="L363" s="15"/>
      <c r="M363" s="15"/>
    </row>
    <row r="364" spans="2:13" ht="15" customHeight="1" x14ac:dyDescent="0.3">
      <c r="B364" s="21" t="str">
        <f t="shared" si="5"/>
        <v/>
      </c>
      <c r="C364" s="15"/>
      <c r="D364" s="15"/>
      <c r="E364" s="15"/>
      <c r="F364" s="15"/>
      <c r="G364" s="15"/>
      <c r="H364" s="39" t="str">
        <f>IF($G364="","",IFERROR(INDEX('90_SEMA'!$G$7:$H$183,MATCH($G364,'90_SEMA'!$B$7:$B$183,0),NYELV_IDX),"### ISMERETLEN KÓD"))</f>
        <v/>
      </c>
      <c r="I364" s="33"/>
      <c r="J364" s="33"/>
      <c r="K364" s="15"/>
      <c r="L364" s="15"/>
      <c r="M364" s="15"/>
    </row>
    <row r="365" spans="2:13" ht="15" customHeight="1" x14ac:dyDescent="0.3">
      <c r="B365" s="21" t="str">
        <f t="shared" si="5"/>
        <v/>
      </c>
      <c r="C365" s="15"/>
      <c r="D365" s="15"/>
      <c r="E365" s="15"/>
      <c r="F365" s="15"/>
      <c r="G365" s="15"/>
      <c r="H365" s="39" t="str">
        <f>IF($G365="","",IFERROR(INDEX('90_SEMA'!$G$7:$H$183,MATCH($G365,'90_SEMA'!$B$7:$B$183,0),NYELV_IDX),"### ISMERETLEN KÓD"))</f>
        <v/>
      </c>
      <c r="I365" s="33"/>
      <c r="J365" s="33"/>
      <c r="K365" s="15"/>
      <c r="L365" s="15"/>
      <c r="M365" s="15"/>
    </row>
    <row r="366" spans="2:13" ht="15" customHeight="1" x14ac:dyDescent="0.3">
      <c r="B366" s="21" t="str">
        <f t="shared" si="5"/>
        <v/>
      </c>
      <c r="C366" s="15"/>
      <c r="D366" s="15"/>
      <c r="E366" s="15"/>
      <c r="F366" s="15"/>
      <c r="G366" s="15"/>
      <c r="H366" s="39" t="str">
        <f>IF($G366="","",IFERROR(INDEX('90_SEMA'!$G$7:$H$183,MATCH($G366,'90_SEMA'!$B$7:$B$183,0),NYELV_IDX),"### ISMERETLEN KÓD"))</f>
        <v/>
      </c>
      <c r="I366" s="33"/>
      <c r="J366" s="33"/>
      <c r="K366" s="15"/>
      <c r="L366" s="15"/>
      <c r="M366" s="15"/>
    </row>
    <row r="367" spans="2:13" ht="15" customHeight="1" x14ac:dyDescent="0.3">
      <c r="B367" s="21" t="str">
        <f t="shared" si="5"/>
        <v/>
      </c>
      <c r="C367" s="15"/>
      <c r="D367" s="15"/>
      <c r="E367" s="15"/>
      <c r="F367" s="15"/>
      <c r="G367" s="15"/>
      <c r="H367" s="39" t="str">
        <f>IF($G367="","",IFERROR(INDEX('90_SEMA'!$G$7:$H$183,MATCH($G367,'90_SEMA'!$B$7:$B$183,0),NYELV_IDX),"### ISMERETLEN KÓD"))</f>
        <v/>
      </c>
      <c r="I367" s="33"/>
      <c r="J367" s="33"/>
      <c r="K367" s="15"/>
      <c r="L367" s="15"/>
      <c r="M367" s="15"/>
    </row>
    <row r="368" spans="2:13" ht="15" customHeight="1" x14ac:dyDescent="0.3">
      <c r="B368" s="21" t="str">
        <f t="shared" si="5"/>
        <v/>
      </c>
      <c r="C368" s="15"/>
      <c r="D368" s="15"/>
      <c r="E368" s="15"/>
      <c r="F368" s="15"/>
      <c r="G368" s="15"/>
      <c r="H368" s="39" t="str">
        <f>IF($G368="","",IFERROR(INDEX('90_SEMA'!$G$7:$H$183,MATCH($G368,'90_SEMA'!$B$7:$B$183,0),NYELV_IDX),"### ISMERETLEN KÓD"))</f>
        <v/>
      </c>
      <c r="I368" s="33"/>
      <c r="J368" s="33"/>
      <c r="K368" s="15"/>
      <c r="L368" s="15"/>
      <c r="M368" s="15"/>
    </row>
    <row r="369" spans="2:13" ht="15" customHeight="1" x14ac:dyDescent="0.3">
      <c r="B369" s="21" t="str">
        <f t="shared" si="5"/>
        <v/>
      </c>
      <c r="C369" s="15"/>
      <c r="D369" s="15"/>
      <c r="E369" s="15"/>
      <c r="F369" s="15"/>
      <c r="G369" s="15"/>
      <c r="H369" s="39" t="str">
        <f>IF($G369="","",IFERROR(INDEX('90_SEMA'!$G$7:$H$183,MATCH($G369,'90_SEMA'!$B$7:$B$183,0),NYELV_IDX),"### ISMERETLEN KÓD"))</f>
        <v/>
      </c>
      <c r="I369" s="33"/>
      <c r="J369" s="33"/>
      <c r="K369" s="15"/>
      <c r="L369" s="15"/>
      <c r="M369" s="15"/>
    </row>
    <row r="370" spans="2:13" ht="15" customHeight="1" x14ac:dyDescent="0.3">
      <c r="B370" s="21" t="str">
        <f t="shared" si="5"/>
        <v/>
      </c>
      <c r="C370" s="15"/>
      <c r="D370" s="15"/>
      <c r="E370" s="15"/>
      <c r="F370" s="15"/>
      <c r="G370" s="15"/>
      <c r="H370" s="39" t="str">
        <f>IF($G370="","",IFERROR(INDEX('90_SEMA'!$G$7:$H$183,MATCH($G370,'90_SEMA'!$B$7:$B$183,0),NYELV_IDX),"### ISMERETLEN KÓD"))</f>
        <v/>
      </c>
      <c r="I370" s="33"/>
      <c r="J370" s="33"/>
      <c r="K370" s="15"/>
      <c r="L370" s="15"/>
      <c r="M370" s="15"/>
    </row>
    <row r="371" spans="2:13" ht="15" customHeight="1" x14ac:dyDescent="0.3">
      <c r="B371" s="21" t="str">
        <f t="shared" si="5"/>
        <v/>
      </c>
      <c r="C371" s="15"/>
      <c r="D371" s="15"/>
      <c r="E371" s="15"/>
      <c r="F371" s="15"/>
      <c r="G371" s="15"/>
      <c r="H371" s="39" t="str">
        <f>IF($G371="","",IFERROR(INDEX('90_SEMA'!$G$7:$H$183,MATCH($G371,'90_SEMA'!$B$7:$B$183,0),NYELV_IDX),"### ISMERETLEN KÓD"))</f>
        <v/>
      </c>
      <c r="I371" s="33"/>
      <c r="J371" s="33"/>
      <c r="K371" s="15"/>
      <c r="L371" s="15"/>
      <c r="M371" s="15"/>
    </row>
    <row r="372" spans="2:13" ht="15" customHeight="1" x14ac:dyDescent="0.3">
      <c r="B372" s="21" t="str">
        <f t="shared" si="5"/>
        <v/>
      </c>
      <c r="C372" s="15"/>
      <c r="D372" s="15"/>
      <c r="E372" s="15"/>
      <c r="F372" s="15"/>
      <c r="G372" s="15"/>
      <c r="H372" s="39" t="str">
        <f>IF($G372="","",IFERROR(INDEX('90_SEMA'!$G$7:$H$183,MATCH($G372,'90_SEMA'!$B$7:$B$183,0),NYELV_IDX),"### ISMERETLEN KÓD"))</f>
        <v/>
      </c>
      <c r="I372" s="33"/>
      <c r="J372" s="33"/>
      <c r="K372" s="15"/>
      <c r="L372" s="15"/>
      <c r="M372" s="15"/>
    </row>
    <row r="373" spans="2:13" ht="15" customHeight="1" x14ac:dyDescent="0.3">
      <c r="B373" s="21" t="str">
        <f t="shared" si="5"/>
        <v/>
      </c>
      <c r="C373" s="15"/>
      <c r="D373" s="15"/>
      <c r="E373" s="15"/>
      <c r="F373" s="15"/>
      <c r="G373" s="15"/>
      <c r="H373" s="39" t="str">
        <f>IF($G373="","",IFERROR(INDEX('90_SEMA'!$G$7:$H$183,MATCH($G373,'90_SEMA'!$B$7:$B$183,0),NYELV_IDX),"### ISMERETLEN KÓD"))</f>
        <v/>
      </c>
      <c r="I373" s="33"/>
      <c r="J373" s="33"/>
      <c r="K373" s="15"/>
      <c r="L373" s="15"/>
      <c r="M373" s="15"/>
    </row>
    <row r="374" spans="2:13" ht="15" customHeight="1" x14ac:dyDescent="0.3">
      <c r="B374" s="21" t="str">
        <f t="shared" si="5"/>
        <v/>
      </c>
      <c r="C374" s="15"/>
      <c r="D374" s="15"/>
      <c r="E374" s="15"/>
      <c r="F374" s="15"/>
      <c r="G374" s="15"/>
      <c r="H374" s="39" t="str">
        <f>IF($G374="","",IFERROR(INDEX('90_SEMA'!$G$7:$H$183,MATCH($G374,'90_SEMA'!$B$7:$B$183,0),NYELV_IDX),"### ISMERETLEN KÓD"))</f>
        <v/>
      </c>
      <c r="I374" s="33"/>
      <c r="J374" s="33"/>
      <c r="K374" s="15"/>
      <c r="L374" s="15"/>
      <c r="M374" s="15"/>
    </row>
    <row r="375" spans="2:13" ht="15" customHeight="1" x14ac:dyDescent="0.3">
      <c r="B375" s="21" t="str">
        <f t="shared" si="5"/>
        <v/>
      </c>
      <c r="C375" s="15"/>
      <c r="D375" s="15"/>
      <c r="E375" s="15"/>
      <c r="F375" s="15"/>
      <c r="G375" s="15"/>
      <c r="H375" s="39" t="str">
        <f>IF($G375="","",IFERROR(INDEX('90_SEMA'!$G$7:$H$183,MATCH($G375,'90_SEMA'!$B$7:$B$183,0),NYELV_IDX),"### ISMERETLEN KÓD"))</f>
        <v/>
      </c>
      <c r="I375" s="33"/>
      <c r="J375" s="33"/>
      <c r="K375" s="15"/>
      <c r="L375" s="15"/>
      <c r="M375" s="15"/>
    </row>
    <row r="376" spans="2:13" ht="15" customHeight="1" x14ac:dyDescent="0.3">
      <c r="B376" s="21" t="str">
        <f t="shared" si="5"/>
        <v/>
      </c>
      <c r="C376" s="15"/>
      <c r="D376" s="15"/>
      <c r="E376" s="15"/>
      <c r="F376" s="15"/>
      <c r="G376" s="15"/>
      <c r="H376" s="39" t="str">
        <f>IF($G376="","",IFERROR(INDEX('90_SEMA'!$G$7:$H$183,MATCH($G376,'90_SEMA'!$B$7:$B$183,0),NYELV_IDX),"### ISMERETLEN KÓD"))</f>
        <v/>
      </c>
      <c r="I376" s="33"/>
      <c r="J376" s="33"/>
      <c r="K376" s="15"/>
      <c r="L376" s="15"/>
      <c r="M376" s="15"/>
    </row>
    <row r="377" spans="2:13" ht="15" customHeight="1" x14ac:dyDescent="0.3">
      <c r="B377" s="21" t="str">
        <f t="shared" si="5"/>
        <v/>
      </c>
      <c r="C377" s="15"/>
      <c r="D377" s="15"/>
      <c r="E377" s="15"/>
      <c r="F377" s="15"/>
      <c r="G377" s="15"/>
      <c r="H377" s="39" t="str">
        <f>IF($G377="","",IFERROR(INDEX('90_SEMA'!$G$7:$H$183,MATCH($G377,'90_SEMA'!$B$7:$B$183,0),NYELV_IDX),"### ISMERETLEN KÓD"))</f>
        <v/>
      </c>
      <c r="I377" s="33"/>
      <c r="J377" s="33"/>
      <c r="K377" s="15"/>
      <c r="L377" s="15"/>
      <c r="M377" s="15"/>
    </row>
    <row r="378" spans="2:13" ht="15" customHeight="1" x14ac:dyDescent="0.3">
      <c r="B378" s="21" t="str">
        <f t="shared" si="5"/>
        <v/>
      </c>
      <c r="C378" s="15"/>
      <c r="D378" s="15"/>
      <c r="E378" s="15"/>
      <c r="F378" s="15"/>
      <c r="G378" s="15"/>
      <c r="H378" s="39" t="str">
        <f>IF($G378="","",IFERROR(INDEX('90_SEMA'!$G$7:$H$183,MATCH($G378,'90_SEMA'!$B$7:$B$183,0),NYELV_IDX),"### ISMERETLEN KÓD"))</f>
        <v/>
      </c>
      <c r="I378" s="33"/>
      <c r="J378" s="33"/>
      <c r="K378" s="15"/>
      <c r="L378" s="15"/>
      <c r="M378" s="15"/>
    </row>
    <row r="379" spans="2:13" ht="15" customHeight="1" x14ac:dyDescent="0.3">
      <c r="B379" s="21" t="str">
        <f t="shared" si="5"/>
        <v/>
      </c>
      <c r="C379" s="15"/>
      <c r="D379" s="15"/>
      <c r="E379" s="15"/>
      <c r="F379" s="15"/>
      <c r="G379" s="15"/>
      <c r="H379" s="39" t="str">
        <f>IF($G379="","",IFERROR(INDEX('90_SEMA'!$G$7:$H$183,MATCH($G379,'90_SEMA'!$B$7:$B$183,0),NYELV_IDX),"### ISMERETLEN KÓD"))</f>
        <v/>
      </c>
      <c r="I379" s="33"/>
      <c r="J379" s="33"/>
      <c r="K379" s="15"/>
      <c r="L379" s="15"/>
      <c r="M379" s="15"/>
    </row>
    <row r="380" spans="2:13" ht="15" customHeight="1" x14ac:dyDescent="0.3">
      <c r="B380" s="21" t="str">
        <f t="shared" si="5"/>
        <v/>
      </c>
      <c r="C380" s="15"/>
      <c r="D380" s="15"/>
      <c r="E380" s="15"/>
      <c r="F380" s="15"/>
      <c r="G380" s="15"/>
      <c r="H380" s="39" t="str">
        <f>IF($G380="","",IFERROR(INDEX('90_SEMA'!$G$7:$H$183,MATCH($G380,'90_SEMA'!$B$7:$B$183,0),NYELV_IDX),"### ISMERETLEN KÓD"))</f>
        <v/>
      </c>
      <c r="I380" s="33"/>
      <c r="J380" s="33"/>
      <c r="K380" s="15"/>
      <c r="L380" s="15"/>
      <c r="M380" s="15"/>
    </row>
    <row r="381" spans="2:13" ht="15" customHeight="1" x14ac:dyDescent="0.3">
      <c r="B381" s="21" t="str">
        <f t="shared" si="5"/>
        <v/>
      </c>
      <c r="C381" s="15"/>
      <c r="D381" s="15"/>
      <c r="E381" s="15"/>
      <c r="F381" s="15"/>
      <c r="G381" s="15"/>
      <c r="H381" s="39" t="str">
        <f>IF($G381="","",IFERROR(INDEX('90_SEMA'!$G$7:$H$183,MATCH($G381,'90_SEMA'!$B$7:$B$183,0),NYELV_IDX),"### ISMERETLEN KÓD"))</f>
        <v/>
      </c>
      <c r="I381" s="33"/>
      <c r="J381" s="33"/>
      <c r="K381" s="15"/>
      <c r="L381" s="15"/>
      <c r="M381" s="15"/>
    </row>
    <row r="382" spans="2:13" ht="15" customHeight="1" x14ac:dyDescent="0.3">
      <c r="B382" s="21" t="str">
        <f t="shared" si="5"/>
        <v/>
      </c>
      <c r="C382" s="15"/>
      <c r="D382" s="15"/>
      <c r="E382" s="15"/>
      <c r="F382" s="15"/>
      <c r="G382" s="15"/>
      <c r="H382" s="39" t="str">
        <f>IF($G382="","",IFERROR(INDEX('90_SEMA'!$G$7:$H$183,MATCH($G382,'90_SEMA'!$B$7:$B$183,0),NYELV_IDX),"### ISMERETLEN KÓD"))</f>
        <v/>
      </c>
      <c r="I382" s="33"/>
      <c r="J382" s="33"/>
      <c r="K382" s="15"/>
      <c r="L382" s="15"/>
      <c r="M382" s="15"/>
    </row>
    <row r="383" spans="2:13" ht="15" customHeight="1" x14ac:dyDescent="0.3">
      <c r="B383" s="21" t="str">
        <f t="shared" si="5"/>
        <v/>
      </c>
      <c r="C383" s="15"/>
      <c r="D383" s="15"/>
      <c r="E383" s="15"/>
      <c r="F383" s="15"/>
      <c r="G383" s="15"/>
      <c r="H383" s="39" t="str">
        <f>IF($G383="","",IFERROR(INDEX('90_SEMA'!$G$7:$H$183,MATCH($G383,'90_SEMA'!$B$7:$B$183,0),NYELV_IDX),"### ISMERETLEN KÓD"))</f>
        <v/>
      </c>
      <c r="I383" s="33"/>
      <c r="J383" s="33"/>
      <c r="K383" s="15"/>
      <c r="L383" s="15"/>
      <c r="M383" s="15"/>
    </row>
    <row r="384" spans="2:13" ht="15" customHeight="1" x14ac:dyDescent="0.3">
      <c r="B384" s="21" t="str">
        <f t="shared" si="5"/>
        <v/>
      </c>
      <c r="C384" s="15"/>
      <c r="D384" s="15"/>
      <c r="E384" s="15"/>
      <c r="F384" s="15"/>
      <c r="G384" s="15"/>
      <c r="H384" s="39" t="str">
        <f>IF($G384="","",IFERROR(INDEX('90_SEMA'!$G$7:$H$183,MATCH($G384,'90_SEMA'!$B$7:$B$183,0),NYELV_IDX),"### ISMERETLEN KÓD"))</f>
        <v/>
      </c>
      <c r="I384" s="33"/>
      <c r="J384" s="33"/>
      <c r="K384" s="15"/>
      <c r="L384" s="15"/>
      <c r="M384" s="15"/>
    </row>
    <row r="385" spans="2:13" ht="15" customHeight="1" x14ac:dyDescent="0.3">
      <c r="B385" s="21" t="str">
        <f t="shared" si="5"/>
        <v/>
      </c>
      <c r="C385" s="15"/>
      <c r="D385" s="15"/>
      <c r="E385" s="15"/>
      <c r="F385" s="15"/>
      <c r="G385" s="15"/>
      <c r="H385" s="39" t="str">
        <f>IF($G385="","",IFERROR(INDEX('90_SEMA'!$G$7:$H$183,MATCH($G385,'90_SEMA'!$B$7:$B$183,0),NYELV_IDX),"### ISMERETLEN KÓD"))</f>
        <v/>
      </c>
      <c r="I385" s="33"/>
      <c r="J385" s="33"/>
      <c r="K385" s="15"/>
      <c r="L385" s="15"/>
      <c r="M385" s="15"/>
    </row>
    <row r="386" spans="2:13" ht="15" customHeight="1" x14ac:dyDescent="0.3">
      <c r="B386" s="21" t="str">
        <f t="shared" si="5"/>
        <v/>
      </c>
      <c r="C386" s="15"/>
      <c r="D386" s="15"/>
      <c r="E386" s="15"/>
      <c r="F386" s="15"/>
      <c r="G386" s="15"/>
      <c r="H386" s="39" t="str">
        <f>IF($G386="","",IFERROR(INDEX('90_SEMA'!$G$7:$H$183,MATCH($G386,'90_SEMA'!$B$7:$B$183,0),NYELV_IDX),"### ISMERETLEN KÓD"))</f>
        <v/>
      </c>
      <c r="I386" s="33"/>
      <c r="J386" s="33"/>
      <c r="K386" s="15"/>
      <c r="L386" s="15"/>
      <c r="M386" s="15"/>
    </row>
    <row r="387" spans="2:13" ht="15" customHeight="1" x14ac:dyDescent="0.3">
      <c r="B387" s="21" t="str">
        <f t="shared" si="5"/>
        <v/>
      </c>
      <c r="C387" s="15"/>
      <c r="D387" s="15"/>
      <c r="E387" s="15"/>
      <c r="F387" s="15"/>
      <c r="G387" s="15"/>
      <c r="H387" s="39" t="str">
        <f>IF($G387="","",IFERROR(INDEX('90_SEMA'!$G$7:$H$183,MATCH($G387,'90_SEMA'!$B$7:$B$183,0),NYELV_IDX),"### ISMERETLEN KÓD"))</f>
        <v/>
      </c>
      <c r="I387" s="33"/>
      <c r="J387" s="33"/>
      <c r="K387" s="15"/>
      <c r="L387" s="15"/>
      <c r="M387" s="15"/>
    </row>
    <row r="388" spans="2:13" ht="15" customHeight="1" x14ac:dyDescent="0.3">
      <c r="B388" s="21" t="str">
        <f t="shared" si="5"/>
        <v/>
      </c>
      <c r="C388" s="15"/>
      <c r="D388" s="15"/>
      <c r="E388" s="15"/>
      <c r="F388" s="15"/>
      <c r="G388" s="15"/>
      <c r="H388" s="39" t="str">
        <f>IF($G388="","",IFERROR(INDEX('90_SEMA'!$G$7:$H$183,MATCH($G388,'90_SEMA'!$B$7:$B$183,0),NYELV_IDX),"### ISMERETLEN KÓD"))</f>
        <v/>
      </c>
      <c r="I388" s="33"/>
      <c r="J388" s="33"/>
      <c r="K388" s="15"/>
      <c r="L388" s="15"/>
      <c r="M388" s="15"/>
    </row>
    <row r="389" spans="2:13" ht="15" customHeight="1" x14ac:dyDescent="0.3">
      <c r="B389" s="21" t="str">
        <f t="shared" si="5"/>
        <v/>
      </c>
      <c r="C389" s="15"/>
      <c r="D389" s="15"/>
      <c r="E389" s="15"/>
      <c r="F389" s="15"/>
      <c r="G389" s="15"/>
      <c r="H389" s="39" t="str">
        <f>IF($G389="","",IFERROR(INDEX('90_SEMA'!$G$7:$H$183,MATCH($G389,'90_SEMA'!$B$7:$B$183,0),NYELV_IDX),"### ISMERETLEN KÓD"))</f>
        <v/>
      </c>
      <c r="I389" s="33"/>
      <c r="J389" s="33"/>
      <c r="K389" s="15"/>
      <c r="L389" s="15"/>
      <c r="M389" s="15"/>
    </row>
    <row r="390" spans="2:13" ht="15" customHeight="1" x14ac:dyDescent="0.3">
      <c r="B390" s="21" t="str">
        <f t="shared" si="5"/>
        <v/>
      </c>
      <c r="C390" s="15"/>
      <c r="D390" s="15"/>
      <c r="E390" s="15"/>
      <c r="F390" s="15"/>
      <c r="G390" s="15"/>
      <c r="H390" s="39" t="str">
        <f>IF($G390="","",IFERROR(INDEX('90_SEMA'!$G$7:$H$183,MATCH($G390,'90_SEMA'!$B$7:$B$183,0),NYELV_IDX),"### ISMERETLEN KÓD"))</f>
        <v/>
      </c>
      <c r="I390" s="33"/>
      <c r="J390" s="33"/>
      <c r="K390" s="15"/>
      <c r="L390" s="15"/>
      <c r="M390" s="15"/>
    </row>
    <row r="391" spans="2:13" ht="15" customHeight="1" x14ac:dyDescent="0.3">
      <c r="B391" s="21" t="str">
        <f t="shared" ref="B391:B454" si="6">IF($G391="","",ROW()-6)</f>
        <v/>
      </c>
      <c r="C391" s="15"/>
      <c r="D391" s="15"/>
      <c r="E391" s="15"/>
      <c r="F391" s="15"/>
      <c r="G391" s="15"/>
      <c r="H391" s="39" t="str">
        <f>IF($G391="","",IFERROR(INDEX('90_SEMA'!$G$7:$H$183,MATCH($G391,'90_SEMA'!$B$7:$B$183,0),NYELV_IDX),"### ISMERETLEN KÓD"))</f>
        <v/>
      </c>
      <c r="I391" s="33"/>
      <c r="J391" s="33"/>
      <c r="K391" s="15"/>
      <c r="L391" s="15"/>
      <c r="M391" s="15"/>
    </row>
    <row r="392" spans="2:13" ht="15" customHeight="1" x14ac:dyDescent="0.3">
      <c r="B392" s="21" t="str">
        <f t="shared" si="6"/>
        <v/>
      </c>
      <c r="C392" s="15"/>
      <c r="D392" s="15"/>
      <c r="E392" s="15"/>
      <c r="F392" s="15"/>
      <c r="G392" s="15"/>
      <c r="H392" s="39" t="str">
        <f>IF($G392="","",IFERROR(INDEX('90_SEMA'!$G$7:$H$183,MATCH($G392,'90_SEMA'!$B$7:$B$183,0),NYELV_IDX),"### ISMERETLEN KÓD"))</f>
        <v/>
      </c>
      <c r="I392" s="33"/>
      <c r="J392" s="33"/>
      <c r="K392" s="15"/>
      <c r="L392" s="15"/>
      <c r="M392" s="15"/>
    </row>
    <row r="393" spans="2:13" ht="15" customHeight="1" x14ac:dyDescent="0.3">
      <c r="B393" s="21" t="str">
        <f t="shared" si="6"/>
        <v/>
      </c>
      <c r="C393" s="15"/>
      <c r="D393" s="15"/>
      <c r="E393" s="15"/>
      <c r="F393" s="15"/>
      <c r="G393" s="15"/>
      <c r="H393" s="39" t="str">
        <f>IF($G393="","",IFERROR(INDEX('90_SEMA'!$G$7:$H$183,MATCH($G393,'90_SEMA'!$B$7:$B$183,0),NYELV_IDX),"### ISMERETLEN KÓD"))</f>
        <v/>
      </c>
      <c r="I393" s="33"/>
      <c r="J393" s="33"/>
      <c r="K393" s="15"/>
      <c r="L393" s="15"/>
      <c r="M393" s="15"/>
    </row>
    <row r="394" spans="2:13" ht="15" customHeight="1" x14ac:dyDescent="0.3">
      <c r="B394" s="21" t="str">
        <f t="shared" si="6"/>
        <v/>
      </c>
      <c r="C394" s="15"/>
      <c r="D394" s="15"/>
      <c r="E394" s="15"/>
      <c r="F394" s="15"/>
      <c r="G394" s="15"/>
      <c r="H394" s="39" t="str">
        <f>IF($G394="","",IFERROR(INDEX('90_SEMA'!$G$7:$H$183,MATCH($G394,'90_SEMA'!$B$7:$B$183,0),NYELV_IDX),"### ISMERETLEN KÓD"))</f>
        <v/>
      </c>
      <c r="I394" s="33"/>
      <c r="J394" s="33"/>
      <c r="K394" s="15"/>
      <c r="L394" s="15"/>
      <c r="M394" s="15"/>
    </row>
    <row r="395" spans="2:13" ht="15" customHeight="1" x14ac:dyDescent="0.3">
      <c r="B395" s="21" t="str">
        <f t="shared" si="6"/>
        <v/>
      </c>
      <c r="C395" s="15"/>
      <c r="D395" s="15"/>
      <c r="E395" s="15"/>
      <c r="F395" s="15"/>
      <c r="G395" s="15"/>
      <c r="H395" s="39" t="str">
        <f>IF($G395="","",IFERROR(INDEX('90_SEMA'!$G$7:$H$183,MATCH($G395,'90_SEMA'!$B$7:$B$183,0),NYELV_IDX),"### ISMERETLEN KÓD"))</f>
        <v/>
      </c>
      <c r="I395" s="33"/>
      <c r="J395" s="33"/>
      <c r="K395" s="15"/>
      <c r="L395" s="15"/>
      <c r="M395" s="15"/>
    </row>
    <row r="396" spans="2:13" ht="15" customHeight="1" x14ac:dyDescent="0.3">
      <c r="B396" s="21" t="str">
        <f t="shared" si="6"/>
        <v/>
      </c>
      <c r="C396" s="15"/>
      <c r="D396" s="15"/>
      <c r="E396" s="15"/>
      <c r="F396" s="15"/>
      <c r="G396" s="15"/>
      <c r="H396" s="39" t="str">
        <f>IF($G396="","",IFERROR(INDEX('90_SEMA'!$G$7:$H$183,MATCH($G396,'90_SEMA'!$B$7:$B$183,0),NYELV_IDX),"### ISMERETLEN KÓD"))</f>
        <v/>
      </c>
      <c r="I396" s="33"/>
      <c r="J396" s="33"/>
      <c r="K396" s="15"/>
      <c r="L396" s="15"/>
      <c r="M396" s="15"/>
    </row>
    <row r="397" spans="2:13" ht="15" customHeight="1" x14ac:dyDescent="0.3">
      <c r="B397" s="21" t="str">
        <f t="shared" si="6"/>
        <v/>
      </c>
      <c r="C397" s="15"/>
      <c r="D397" s="15"/>
      <c r="E397" s="15"/>
      <c r="F397" s="15"/>
      <c r="G397" s="15"/>
      <c r="H397" s="39" t="str">
        <f>IF($G397="","",IFERROR(INDEX('90_SEMA'!$G$7:$H$183,MATCH($G397,'90_SEMA'!$B$7:$B$183,0),NYELV_IDX),"### ISMERETLEN KÓD"))</f>
        <v/>
      </c>
      <c r="I397" s="33"/>
      <c r="J397" s="33"/>
      <c r="K397" s="15"/>
      <c r="L397" s="15"/>
      <c r="M397" s="15"/>
    </row>
    <row r="398" spans="2:13" ht="15" customHeight="1" x14ac:dyDescent="0.3">
      <c r="B398" s="21" t="str">
        <f t="shared" si="6"/>
        <v/>
      </c>
      <c r="C398" s="15"/>
      <c r="D398" s="15"/>
      <c r="E398" s="15"/>
      <c r="F398" s="15"/>
      <c r="G398" s="15"/>
      <c r="H398" s="39" t="str">
        <f>IF($G398="","",IFERROR(INDEX('90_SEMA'!$G$7:$H$183,MATCH($G398,'90_SEMA'!$B$7:$B$183,0),NYELV_IDX),"### ISMERETLEN KÓD"))</f>
        <v/>
      </c>
      <c r="I398" s="33"/>
      <c r="J398" s="33"/>
      <c r="K398" s="15"/>
      <c r="L398" s="15"/>
      <c r="M398" s="15"/>
    </row>
    <row r="399" spans="2:13" ht="15" customHeight="1" x14ac:dyDescent="0.3">
      <c r="B399" s="21" t="str">
        <f t="shared" si="6"/>
        <v/>
      </c>
      <c r="C399" s="15"/>
      <c r="D399" s="15"/>
      <c r="E399" s="15"/>
      <c r="F399" s="15"/>
      <c r="G399" s="15"/>
      <c r="H399" s="39" t="str">
        <f>IF($G399="","",IFERROR(INDEX('90_SEMA'!$G$7:$H$183,MATCH($G399,'90_SEMA'!$B$7:$B$183,0),NYELV_IDX),"### ISMERETLEN KÓD"))</f>
        <v/>
      </c>
      <c r="I399" s="33"/>
      <c r="J399" s="33"/>
      <c r="K399" s="15"/>
      <c r="L399" s="15"/>
      <c r="M399" s="15"/>
    </row>
    <row r="400" spans="2:13" ht="15" customHeight="1" x14ac:dyDescent="0.3">
      <c r="B400" s="21" t="str">
        <f t="shared" si="6"/>
        <v/>
      </c>
      <c r="C400" s="15"/>
      <c r="D400" s="15"/>
      <c r="E400" s="15"/>
      <c r="F400" s="15"/>
      <c r="G400" s="15"/>
      <c r="H400" s="39" t="str">
        <f>IF($G400="","",IFERROR(INDEX('90_SEMA'!$G$7:$H$183,MATCH($G400,'90_SEMA'!$B$7:$B$183,0),NYELV_IDX),"### ISMERETLEN KÓD"))</f>
        <v/>
      </c>
      <c r="I400" s="33"/>
      <c r="J400" s="33"/>
      <c r="K400" s="15"/>
      <c r="L400" s="15"/>
      <c r="M400" s="15"/>
    </row>
    <row r="401" spans="2:13" ht="15" customHeight="1" x14ac:dyDescent="0.3">
      <c r="B401" s="21" t="str">
        <f t="shared" si="6"/>
        <v/>
      </c>
      <c r="C401" s="15"/>
      <c r="D401" s="15"/>
      <c r="E401" s="15"/>
      <c r="F401" s="15"/>
      <c r="G401" s="15"/>
      <c r="H401" s="39" t="str">
        <f>IF($G401="","",IFERROR(INDEX('90_SEMA'!$G$7:$H$183,MATCH($G401,'90_SEMA'!$B$7:$B$183,0),NYELV_IDX),"### ISMERETLEN KÓD"))</f>
        <v/>
      </c>
      <c r="I401" s="33"/>
      <c r="J401" s="33"/>
      <c r="K401" s="15"/>
      <c r="L401" s="15"/>
      <c r="M401" s="15"/>
    </row>
    <row r="402" spans="2:13" ht="15" customHeight="1" x14ac:dyDescent="0.3">
      <c r="B402" s="21" t="str">
        <f t="shared" si="6"/>
        <v/>
      </c>
      <c r="C402" s="15"/>
      <c r="D402" s="15"/>
      <c r="E402" s="15"/>
      <c r="F402" s="15"/>
      <c r="G402" s="15"/>
      <c r="H402" s="39" t="str">
        <f>IF($G402="","",IFERROR(INDEX('90_SEMA'!$G$7:$H$183,MATCH($G402,'90_SEMA'!$B$7:$B$183,0),NYELV_IDX),"### ISMERETLEN KÓD"))</f>
        <v/>
      </c>
      <c r="I402" s="33"/>
      <c r="J402" s="33"/>
      <c r="K402" s="15"/>
      <c r="L402" s="15"/>
      <c r="M402" s="15"/>
    </row>
    <row r="403" spans="2:13" ht="15" customHeight="1" x14ac:dyDescent="0.3">
      <c r="B403" s="21" t="str">
        <f t="shared" si="6"/>
        <v/>
      </c>
      <c r="C403" s="15"/>
      <c r="D403" s="15"/>
      <c r="E403" s="15"/>
      <c r="F403" s="15"/>
      <c r="G403" s="15"/>
      <c r="H403" s="39" t="str">
        <f>IF($G403="","",IFERROR(INDEX('90_SEMA'!$G$7:$H$183,MATCH($G403,'90_SEMA'!$B$7:$B$183,0),NYELV_IDX),"### ISMERETLEN KÓD"))</f>
        <v/>
      </c>
      <c r="I403" s="33"/>
      <c r="J403" s="33"/>
      <c r="K403" s="15"/>
      <c r="L403" s="15"/>
      <c r="M403" s="15"/>
    </row>
    <row r="404" spans="2:13" ht="15" customHeight="1" x14ac:dyDescent="0.3">
      <c r="B404" s="21" t="str">
        <f t="shared" si="6"/>
        <v/>
      </c>
      <c r="C404" s="15"/>
      <c r="D404" s="15"/>
      <c r="E404" s="15"/>
      <c r="F404" s="15"/>
      <c r="G404" s="15"/>
      <c r="H404" s="39" t="str">
        <f>IF($G404="","",IFERROR(INDEX('90_SEMA'!$G$7:$H$183,MATCH($G404,'90_SEMA'!$B$7:$B$183,0),NYELV_IDX),"### ISMERETLEN KÓD"))</f>
        <v/>
      </c>
      <c r="I404" s="33"/>
      <c r="J404" s="33"/>
      <c r="K404" s="15"/>
      <c r="L404" s="15"/>
      <c r="M404" s="15"/>
    </row>
    <row r="405" spans="2:13" ht="15" customHeight="1" x14ac:dyDescent="0.3">
      <c r="B405" s="21" t="str">
        <f t="shared" si="6"/>
        <v/>
      </c>
      <c r="C405" s="15"/>
      <c r="D405" s="15"/>
      <c r="E405" s="15"/>
      <c r="F405" s="15"/>
      <c r="G405" s="15"/>
      <c r="H405" s="39" t="str">
        <f>IF($G405="","",IFERROR(INDEX('90_SEMA'!$G$7:$H$183,MATCH($G405,'90_SEMA'!$B$7:$B$183,0),NYELV_IDX),"### ISMERETLEN KÓD"))</f>
        <v/>
      </c>
      <c r="I405" s="33"/>
      <c r="J405" s="33"/>
      <c r="K405" s="15"/>
      <c r="L405" s="15"/>
      <c r="M405" s="15"/>
    </row>
    <row r="406" spans="2:13" ht="15" customHeight="1" x14ac:dyDescent="0.3">
      <c r="B406" s="21" t="str">
        <f t="shared" si="6"/>
        <v/>
      </c>
      <c r="C406" s="15"/>
      <c r="D406" s="15"/>
      <c r="E406" s="15"/>
      <c r="F406" s="15"/>
      <c r="G406" s="15"/>
      <c r="H406" s="39" t="str">
        <f>IF($G406="","",IFERROR(INDEX('90_SEMA'!$G$7:$H$183,MATCH($G406,'90_SEMA'!$B$7:$B$183,0),NYELV_IDX),"### ISMERETLEN KÓD"))</f>
        <v/>
      </c>
      <c r="I406" s="33"/>
      <c r="J406" s="33"/>
      <c r="K406" s="15"/>
      <c r="L406" s="15"/>
      <c r="M406" s="15"/>
    </row>
    <row r="407" spans="2:13" ht="15" customHeight="1" x14ac:dyDescent="0.3">
      <c r="B407" s="21" t="str">
        <f t="shared" si="6"/>
        <v/>
      </c>
      <c r="C407" s="15"/>
      <c r="D407" s="15"/>
      <c r="E407" s="15"/>
      <c r="F407" s="15"/>
      <c r="G407" s="15"/>
      <c r="H407" s="39" t="str">
        <f>IF($G407="","",IFERROR(INDEX('90_SEMA'!$G$7:$H$183,MATCH($G407,'90_SEMA'!$B$7:$B$183,0),NYELV_IDX),"### ISMERETLEN KÓD"))</f>
        <v/>
      </c>
      <c r="I407" s="33"/>
      <c r="J407" s="33"/>
      <c r="K407" s="15"/>
      <c r="L407" s="15"/>
      <c r="M407" s="15"/>
    </row>
    <row r="408" spans="2:13" ht="15" customHeight="1" x14ac:dyDescent="0.3">
      <c r="B408" s="21" t="str">
        <f t="shared" si="6"/>
        <v/>
      </c>
      <c r="C408" s="15"/>
      <c r="D408" s="15"/>
      <c r="E408" s="15"/>
      <c r="F408" s="15"/>
      <c r="G408" s="15"/>
      <c r="H408" s="39" t="str">
        <f>IF($G408="","",IFERROR(INDEX('90_SEMA'!$G$7:$H$183,MATCH($G408,'90_SEMA'!$B$7:$B$183,0),NYELV_IDX),"### ISMERETLEN KÓD"))</f>
        <v/>
      </c>
      <c r="I408" s="33"/>
      <c r="J408" s="33"/>
      <c r="K408" s="15"/>
      <c r="L408" s="15"/>
      <c r="M408" s="15"/>
    </row>
    <row r="409" spans="2:13" ht="15" customHeight="1" x14ac:dyDescent="0.3">
      <c r="B409" s="21" t="str">
        <f t="shared" si="6"/>
        <v/>
      </c>
      <c r="C409" s="15"/>
      <c r="D409" s="15"/>
      <c r="E409" s="15"/>
      <c r="F409" s="15"/>
      <c r="G409" s="15"/>
      <c r="H409" s="39" t="str">
        <f>IF($G409="","",IFERROR(INDEX('90_SEMA'!$G$7:$H$183,MATCH($G409,'90_SEMA'!$B$7:$B$183,0),NYELV_IDX),"### ISMERETLEN KÓD"))</f>
        <v/>
      </c>
      <c r="I409" s="33"/>
      <c r="J409" s="33"/>
      <c r="K409" s="15"/>
      <c r="L409" s="15"/>
      <c r="M409" s="15"/>
    </row>
    <row r="410" spans="2:13" ht="15" customHeight="1" x14ac:dyDescent="0.3">
      <c r="B410" s="21" t="str">
        <f t="shared" si="6"/>
        <v/>
      </c>
      <c r="C410" s="15"/>
      <c r="D410" s="15"/>
      <c r="E410" s="15"/>
      <c r="F410" s="15"/>
      <c r="G410" s="15"/>
      <c r="H410" s="39" t="str">
        <f>IF($G410="","",IFERROR(INDEX('90_SEMA'!$G$7:$H$183,MATCH($G410,'90_SEMA'!$B$7:$B$183,0),NYELV_IDX),"### ISMERETLEN KÓD"))</f>
        <v/>
      </c>
      <c r="I410" s="33"/>
      <c r="J410" s="33"/>
      <c r="K410" s="15"/>
      <c r="L410" s="15"/>
      <c r="M410" s="15"/>
    </row>
    <row r="411" spans="2:13" ht="15" customHeight="1" x14ac:dyDescent="0.3">
      <c r="B411" s="21" t="str">
        <f t="shared" si="6"/>
        <v/>
      </c>
      <c r="C411" s="15"/>
      <c r="D411" s="15"/>
      <c r="E411" s="15"/>
      <c r="F411" s="15"/>
      <c r="G411" s="15"/>
      <c r="H411" s="39" t="str">
        <f>IF($G411="","",IFERROR(INDEX('90_SEMA'!$G$7:$H$183,MATCH($G411,'90_SEMA'!$B$7:$B$183,0),NYELV_IDX),"### ISMERETLEN KÓD"))</f>
        <v/>
      </c>
      <c r="I411" s="33"/>
      <c r="J411" s="33"/>
      <c r="K411" s="15"/>
      <c r="L411" s="15"/>
      <c r="M411" s="15"/>
    </row>
    <row r="412" spans="2:13" ht="15" customHeight="1" x14ac:dyDescent="0.3">
      <c r="B412" s="21" t="str">
        <f t="shared" si="6"/>
        <v/>
      </c>
      <c r="C412" s="15"/>
      <c r="D412" s="15"/>
      <c r="E412" s="15"/>
      <c r="F412" s="15"/>
      <c r="G412" s="15"/>
      <c r="H412" s="39" t="str">
        <f>IF($G412="","",IFERROR(INDEX('90_SEMA'!$G$7:$H$183,MATCH($G412,'90_SEMA'!$B$7:$B$183,0),NYELV_IDX),"### ISMERETLEN KÓD"))</f>
        <v/>
      </c>
      <c r="I412" s="33"/>
      <c r="J412" s="33"/>
      <c r="K412" s="15"/>
      <c r="L412" s="15"/>
      <c r="M412" s="15"/>
    </row>
    <row r="413" spans="2:13" ht="15" customHeight="1" x14ac:dyDescent="0.3">
      <c r="B413" s="21" t="str">
        <f t="shared" si="6"/>
        <v/>
      </c>
      <c r="C413" s="15"/>
      <c r="D413" s="15"/>
      <c r="E413" s="15"/>
      <c r="F413" s="15"/>
      <c r="G413" s="15"/>
      <c r="H413" s="39" t="str">
        <f>IF($G413="","",IFERROR(INDEX('90_SEMA'!$G$7:$H$183,MATCH($G413,'90_SEMA'!$B$7:$B$183,0),NYELV_IDX),"### ISMERETLEN KÓD"))</f>
        <v/>
      </c>
      <c r="I413" s="33"/>
      <c r="J413" s="33"/>
      <c r="K413" s="15"/>
      <c r="L413" s="15"/>
      <c r="M413" s="15"/>
    </row>
    <row r="414" spans="2:13" ht="15" customHeight="1" x14ac:dyDescent="0.3">
      <c r="B414" s="21" t="str">
        <f t="shared" si="6"/>
        <v/>
      </c>
      <c r="C414" s="15"/>
      <c r="D414" s="15"/>
      <c r="E414" s="15"/>
      <c r="F414" s="15"/>
      <c r="G414" s="15"/>
      <c r="H414" s="39" t="str">
        <f>IF($G414="","",IFERROR(INDEX('90_SEMA'!$G$7:$H$183,MATCH($G414,'90_SEMA'!$B$7:$B$183,0),NYELV_IDX),"### ISMERETLEN KÓD"))</f>
        <v/>
      </c>
      <c r="I414" s="33"/>
      <c r="J414" s="33"/>
      <c r="K414" s="15"/>
      <c r="L414" s="15"/>
      <c r="M414" s="15"/>
    </row>
    <row r="415" spans="2:13" ht="15" customHeight="1" x14ac:dyDescent="0.3">
      <c r="B415" s="21" t="str">
        <f t="shared" si="6"/>
        <v/>
      </c>
      <c r="C415" s="15"/>
      <c r="D415" s="15"/>
      <c r="E415" s="15"/>
      <c r="F415" s="15"/>
      <c r="G415" s="15"/>
      <c r="H415" s="39" t="str">
        <f>IF($G415="","",IFERROR(INDEX('90_SEMA'!$G$7:$H$183,MATCH($G415,'90_SEMA'!$B$7:$B$183,0),NYELV_IDX),"### ISMERETLEN KÓD"))</f>
        <v/>
      </c>
      <c r="I415" s="33"/>
      <c r="J415" s="33"/>
      <c r="K415" s="15"/>
      <c r="L415" s="15"/>
      <c r="M415" s="15"/>
    </row>
    <row r="416" spans="2:13" ht="15" customHeight="1" x14ac:dyDescent="0.3">
      <c r="B416" s="21" t="str">
        <f t="shared" si="6"/>
        <v/>
      </c>
      <c r="C416" s="15"/>
      <c r="D416" s="15"/>
      <c r="E416" s="15"/>
      <c r="F416" s="15"/>
      <c r="G416" s="15"/>
      <c r="H416" s="39" t="str">
        <f>IF($G416="","",IFERROR(INDEX('90_SEMA'!$G$7:$H$183,MATCH($G416,'90_SEMA'!$B$7:$B$183,0),NYELV_IDX),"### ISMERETLEN KÓD"))</f>
        <v/>
      </c>
      <c r="I416" s="33"/>
      <c r="J416" s="33"/>
      <c r="K416" s="15"/>
      <c r="L416" s="15"/>
      <c r="M416" s="15"/>
    </row>
    <row r="417" spans="2:13" ht="15" customHeight="1" x14ac:dyDescent="0.3">
      <c r="B417" s="21" t="str">
        <f t="shared" si="6"/>
        <v/>
      </c>
      <c r="C417" s="15"/>
      <c r="D417" s="15"/>
      <c r="E417" s="15"/>
      <c r="F417" s="15"/>
      <c r="G417" s="15"/>
      <c r="H417" s="39" t="str">
        <f>IF($G417="","",IFERROR(INDEX('90_SEMA'!$G$7:$H$183,MATCH($G417,'90_SEMA'!$B$7:$B$183,0),NYELV_IDX),"### ISMERETLEN KÓD"))</f>
        <v/>
      </c>
      <c r="I417" s="33"/>
      <c r="J417" s="33"/>
      <c r="K417" s="15"/>
      <c r="L417" s="15"/>
      <c r="M417" s="15"/>
    </row>
    <row r="418" spans="2:13" ht="15" customHeight="1" x14ac:dyDescent="0.3">
      <c r="B418" s="21" t="str">
        <f t="shared" si="6"/>
        <v/>
      </c>
      <c r="C418" s="15"/>
      <c r="D418" s="15"/>
      <c r="E418" s="15"/>
      <c r="F418" s="15"/>
      <c r="G418" s="15"/>
      <c r="H418" s="39" t="str">
        <f>IF($G418="","",IFERROR(INDEX('90_SEMA'!$G$7:$H$183,MATCH($G418,'90_SEMA'!$B$7:$B$183,0),NYELV_IDX),"### ISMERETLEN KÓD"))</f>
        <v/>
      </c>
      <c r="I418" s="33"/>
      <c r="J418" s="33"/>
      <c r="K418" s="15"/>
      <c r="L418" s="15"/>
      <c r="M418" s="15"/>
    </row>
    <row r="419" spans="2:13" ht="15" customHeight="1" x14ac:dyDescent="0.3">
      <c r="B419" s="21" t="str">
        <f t="shared" si="6"/>
        <v/>
      </c>
      <c r="C419" s="15"/>
      <c r="D419" s="15"/>
      <c r="E419" s="15"/>
      <c r="F419" s="15"/>
      <c r="G419" s="15"/>
      <c r="H419" s="39" t="str">
        <f>IF($G419="","",IFERROR(INDEX('90_SEMA'!$G$7:$H$183,MATCH($G419,'90_SEMA'!$B$7:$B$183,0),NYELV_IDX),"### ISMERETLEN KÓD"))</f>
        <v/>
      </c>
      <c r="I419" s="33"/>
      <c r="J419" s="33"/>
      <c r="K419" s="15"/>
      <c r="L419" s="15"/>
      <c r="M419" s="15"/>
    </row>
    <row r="420" spans="2:13" ht="15" customHeight="1" x14ac:dyDescent="0.3">
      <c r="B420" s="21" t="str">
        <f t="shared" si="6"/>
        <v/>
      </c>
      <c r="C420" s="15"/>
      <c r="D420" s="15"/>
      <c r="E420" s="15"/>
      <c r="F420" s="15"/>
      <c r="G420" s="15"/>
      <c r="H420" s="39" t="str">
        <f>IF($G420="","",IFERROR(INDEX('90_SEMA'!$G$7:$H$183,MATCH($G420,'90_SEMA'!$B$7:$B$183,0),NYELV_IDX),"### ISMERETLEN KÓD"))</f>
        <v/>
      </c>
      <c r="I420" s="33"/>
      <c r="J420" s="33"/>
      <c r="K420" s="15"/>
      <c r="L420" s="15"/>
      <c r="M420" s="15"/>
    </row>
    <row r="421" spans="2:13" ht="15" customHeight="1" x14ac:dyDescent="0.3">
      <c r="B421" s="21" t="str">
        <f t="shared" si="6"/>
        <v/>
      </c>
      <c r="C421" s="15"/>
      <c r="D421" s="15"/>
      <c r="E421" s="15"/>
      <c r="F421" s="15"/>
      <c r="G421" s="15"/>
      <c r="H421" s="39" t="str">
        <f>IF($G421="","",IFERROR(INDEX('90_SEMA'!$G$7:$H$183,MATCH($G421,'90_SEMA'!$B$7:$B$183,0),NYELV_IDX),"### ISMERETLEN KÓD"))</f>
        <v/>
      </c>
      <c r="I421" s="33"/>
      <c r="J421" s="33"/>
      <c r="K421" s="15"/>
      <c r="L421" s="15"/>
      <c r="M421" s="15"/>
    </row>
    <row r="422" spans="2:13" ht="15" customHeight="1" x14ac:dyDescent="0.3">
      <c r="B422" s="21" t="str">
        <f t="shared" si="6"/>
        <v/>
      </c>
      <c r="C422" s="15"/>
      <c r="D422" s="15"/>
      <c r="E422" s="15"/>
      <c r="F422" s="15"/>
      <c r="G422" s="15"/>
      <c r="H422" s="39" t="str">
        <f>IF($G422="","",IFERROR(INDEX('90_SEMA'!$G$7:$H$183,MATCH($G422,'90_SEMA'!$B$7:$B$183,0),NYELV_IDX),"### ISMERETLEN KÓD"))</f>
        <v/>
      </c>
      <c r="I422" s="33"/>
      <c r="J422" s="33"/>
      <c r="K422" s="15"/>
      <c r="L422" s="15"/>
      <c r="M422" s="15"/>
    </row>
    <row r="423" spans="2:13" ht="15" customHeight="1" x14ac:dyDescent="0.3">
      <c r="B423" s="21" t="str">
        <f t="shared" si="6"/>
        <v/>
      </c>
      <c r="C423" s="15"/>
      <c r="D423" s="15"/>
      <c r="E423" s="15"/>
      <c r="F423" s="15"/>
      <c r="G423" s="15"/>
      <c r="H423" s="39" t="str">
        <f>IF($G423="","",IFERROR(INDEX('90_SEMA'!$G$7:$H$183,MATCH($G423,'90_SEMA'!$B$7:$B$183,0),NYELV_IDX),"### ISMERETLEN KÓD"))</f>
        <v/>
      </c>
      <c r="I423" s="33"/>
      <c r="J423" s="33"/>
      <c r="K423" s="15"/>
      <c r="L423" s="15"/>
      <c r="M423" s="15"/>
    </row>
    <row r="424" spans="2:13" ht="15" customHeight="1" x14ac:dyDescent="0.3">
      <c r="B424" s="21" t="str">
        <f t="shared" si="6"/>
        <v/>
      </c>
      <c r="C424" s="15"/>
      <c r="D424" s="15"/>
      <c r="E424" s="15"/>
      <c r="F424" s="15"/>
      <c r="G424" s="15"/>
      <c r="H424" s="39" t="str">
        <f>IF($G424="","",IFERROR(INDEX('90_SEMA'!$G$7:$H$183,MATCH($G424,'90_SEMA'!$B$7:$B$183,0),NYELV_IDX),"### ISMERETLEN KÓD"))</f>
        <v/>
      </c>
      <c r="I424" s="33"/>
      <c r="J424" s="33"/>
      <c r="K424" s="15"/>
      <c r="L424" s="15"/>
      <c r="M424" s="15"/>
    </row>
    <row r="425" spans="2:13" ht="15" customHeight="1" x14ac:dyDescent="0.3">
      <c r="B425" s="21" t="str">
        <f t="shared" si="6"/>
        <v/>
      </c>
      <c r="C425" s="15"/>
      <c r="D425" s="15"/>
      <c r="E425" s="15"/>
      <c r="F425" s="15"/>
      <c r="G425" s="15"/>
      <c r="H425" s="39" t="str">
        <f>IF($G425="","",IFERROR(INDEX('90_SEMA'!$G$7:$H$183,MATCH($G425,'90_SEMA'!$B$7:$B$183,0),NYELV_IDX),"### ISMERETLEN KÓD"))</f>
        <v/>
      </c>
      <c r="I425" s="33"/>
      <c r="J425" s="33"/>
      <c r="K425" s="15"/>
      <c r="L425" s="15"/>
      <c r="M425" s="15"/>
    </row>
    <row r="426" spans="2:13" ht="15" customHeight="1" x14ac:dyDescent="0.3">
      <c r="B426" s="21" t="str">
        <f t="shared" si="6"/>
        <v/>
      </c>
      <c r="C426" s="15"/>
      <c r="D426" s="15"/>
      <c r="E426" s="15"/>
      <c r="F426" s="15"/>
      <c r="G426" s="15"/>
      <c r="H426" s="39" t="str">
        <f>IF($G426="","",IFERROR(INDEX('90_SEMA'!$G$7:$H$183,MATCH($G426,'90_SEMA'!$B$7:$B$183,0),NYELV_IDX),"### ISMERETLEN KÓD"))</f>
        <v/>
      </c>
      <c r="I426" s="33"/>
      <c r="J426" s="33"/>
      <c r="K426" s="15"/>
      <c r="L426" s="15"/>
      <c r="M426" s="15"/>
    </row>
    <row r="427" spans="2:13" ht="15" customHeight="1" x14ac:dyDescent="0.3">
      <c r="B427" s="21" t="str">
        <f t="shared" si="6"/>
        <v/>
      </c>
      <c r="C427" s="15"/>
      <c r="D427" s="15"/>
      <c r="E427" s="15"/>
      <c r="F427" s="15"/>
      <c r="G427" s="15"/>
      <c r="H427" s="39" t="str">
        <f>IF($G427="","",IFERROR(INDEX('90_SEMA'!$G$7:$H$183,MATCH($G427,'90_SEMA'!$B$7:$B$183,0),NYELV_IDX),"### ISMERETLEN KÓD"))</f>
        <v/>
      </c>
      <c r="I427" s="33"/>
      <c r="J427" s="33"/>
      <c r="K427" s="15"/>
      <c r="L427" s="15"/>
      <c r="M427" s="15"/>
    </row>
    <row r="428" spans="2:13" ht="15" customHeight="1" x14ac:dyDescent="0.3">
      <c r="B428" s="21" t="str">
        <f t="shared" si="6"/>
        <v/>
      </c>
      <c r="C428" s="15"/>
      <c r="D428" s="15"/>
      <c r="E428" s="15"/>
      <c r="F428" s="15"/>
      <c r="G428" s="15"/>
      <c r="H428" s="39" t="str">
        <f>IF($G428="","",IFERROR(INDEX('90_SEMA'!$G$7:$H$183,MATCH($G428,'90_SEMA'!$B$7:$B$183,0),NYELV_IDX),"### ISMERETLEN KÓD"))</f>
        <v/>
      </c>
      <c r="I428" s="33"/>
      <c r="J428" s="33"/>
      <c r="K428" s="15"/>
      <c r="L428" s="15"/>
      <c r="M428" s="15"/>
    </row>
    <row r="429" spans="2:13" ht="15" customHeight="1" x14ac:dyDescent="0.3">
      <c r="B429" s="21" t="str">
        <f t="shared" si="6"/>
        <v/>
      </c>
      <c r="C429" s="15"/>
      <c r="D429" s="15"/>
      <c r="E429" s="15"/>
      <c r="F429" s="15"/>
      <c r="G429" s="15"/>
      <c r="H429" s="39" t="str">
        <f>IF($G429="","",IFERROR(INDEX('90_SEMA'!$G$7:$H$183,MATCH($G429,'90_SEMA'!$B$7:$B$183,0),NYELV_IDX),"### ISMERETLEN KÓD"))</f>
        <v/>
      </c>
      <c r="I429" s="33"/>
      <c r="J429" s="33"/>
      <c r="K429" s="15"/>
      <c r="L429" s="15"/>
      <c r="M429" s="15"/>
    </row>
    <row r="430" spans="2:13" ht="15" customHeight="1" x14ac:dyDescent="0.3">
      <c r="B430" s="21" t="str">
        <f t="shared" si="6"/>
        <v/>
      </c>
      <c r="C430" s="15"/>
      <c r="D430" s="15"/>
      <c r="E430" s="15"/>
      <c r="F430" s="15"/>
      <c r="G430" s="15"/>
      <c r="H430" s="39" t="str">
        <f>IF($G430="","",IFERROR(INDEX('90_SEMA'!$G$7:$H$183,MATCH($G430,'90_SEMA'!$B$7:$B$183,0),NYELV_IDX),"### ISMERETLEN KÓD"))</f>
        <v/>
      </c>
      <c r="I430" s="33"/>
      <c r="J430" s="33"/>
      <c r="K430" s="15"/>
      <c r="L430" s="15"/>
      <c r="M430" s="15"/>
    </row>
    <row r="431" spans="2:13" ht="15" customHeight="1" x14ac:dyDescent="0.3">
      <c r="B431" s="21" t="str">
        <f t="shared" si="6"/>
        <v/>
      </c>
      <c r="C431" s="15"/>
      <c r="D431" s="15"/>
      <c r="E431" s="15"/>
      <c r="F431" s="15"/>
      <c r="G431" s="15"/>
      <c r="H431" s="39" t="str">
        <f>IF($G431="","",IFERROR(INDEX('90_SEMA'!$G$7:$H$183,MATCH($G431,'90_SEMA'!$B$7:$B$183,0),NYELV_IDX),"### ISMERETLEN KÓD"))</f>
        <v/>
      </c>
      <c r="I431" s="33"/>
      <c r="J431" s="33"/>
      <c r="K431" s="15"/>
      <c r="L431" s="15"/>
      <c r="M431" s="15"/>
    </row>
    <row r="432" spans="2:13" ht="15" customHeight="1" x14ac:dyDescent="0.3">
      <c r="B432" s="21" t="str">
        <f t="shared" si="6"/>
        <v/>
      </c>
      <c r="C432" s="15"/>
      <c r="D432" s="15"/>
      <c r="E432" s="15"/>
      <c r="F432" s="15"/>
      <c r="G432" s="15"/>
      <c r="H432" s="39" t="str">
        <f>IF($G432="","",IFERROR(INDEX('90_SEMA'!$G$7:$H$183,MATCH($G432,'90_SEMA'!$B$7:$B$183,0),NYELV_IDX),"### ISMERETLEN KÓD"))</f>
        <v/>
      </c>
      <c r="I432" s="33"/>
      <c r="J432" s="33"/>
      <c r="K432" s="15"/>
      <c r="L432" s="15"/>
      <c r="M432" s="15"/>
    </row>
    <row r="433" spans="2:13" ht="15" customHeight="1" x14ac:dyDescent="0.3">
      <c r="B433" s="21" t="str">
        <f t="shared" si="6"/>
        <v/>
      </c>
      <c r="C433" s="15"/>
      <c r="D433" s="15"/>
      <c r="E433" s="15"/>
      <c r="F433" s="15"/>
      <c r="G433" s="15"/>
      <c r="H433" s="39" t="str">
        <f>IF($G433="","",IFERROR(INDEX('90_SEMA'!$G$7:$H$183,MATCH($G433,'90_SEMA'!$B$7:$B$183,0),NYELV_IDX),"### ISMERETLEN KÓD"))</f>
        <v/>
      </c>
      <c r="I433" s="33"/>
      <c r="J433" s="33"/>
      <c r="K433" s="15"/>
      <c r="L433" s="15"/>
      <c r="M433" s="15"/>
    </row>
    <row r="434" spans="2:13" ht="15" customHeight="1" x14ac:dyDescent="0.3">
      <c r="B434" s="21" t="str">
        <f t="shared" si="6"/>
        <v/>
      </c>
      <c r="C434" s="15"/>
      <c r="D434" s="15"/>
      <c r="E434" s="15"/>
      <c r="F434" s="15"/>
      <c r="G434" s="15"/>
      <c r="H434" s="39" t="str">
        <f>IF($G434="","",IFERROR(INDEX('90_SEMA'!$G$7:$H$183,MATCH($G434,'90_SEMA'!$B$7:$B$183,0),NYELV_IDX),"### ISMERETLEN KÓD"))</f>
        <v/>
      </c>
      <c r="I434" s="33"/>
      <c r="J434" s="33"/>
      <c r="K434" s="15"/>
      <c r="L434" s="15"/>
      <c r="M434" s="15"/>
    </row>
    <row r="435" spans="2:13" ht="15" customHeight="1" x14ac:dyDescent="0.3">
      <c r="B435" s="21" t="str">
        <f t="shared" si="6"/>
        <v/>
      </c>
      <c r="C435" s="15"/>
      <c r="D435" s="15"/>
      <c r="E435" s="15"/>
      <c r="F435" s="15"/>
      <c r="G435" s="15"/>
      <c r="H435" s="39" t="str">
        <f>IF($G435="","",IFERROR(INDEX('90_SEMA'!$G$7:$H$183,MATCH($G435,'90_SEMA'!$B$7:$B$183,0),NYELV_IDX),"### ISMERETLEN KÓD"))</f>
        <v/>
      </c>
      <c r="I435" s="33"/>
      <c r="J435" s="33"/>
      <c r="K435" s="15"/>
      <c r="L435" s="15"/>
      <c r="M435" s="15"/>
    </row>
    <row r="436" spans="2:13" ht="15" customHeight="1" x14ac:dyDescent="0.3">
      <c r="B436" s="21" t="str">
        <f t="shared" si="6"/>
        <v/>
      </c>
      <c r="C436" s="15"/>
      <c r="D436" s="15"/>
      <c r="E436" s="15"/>
      <c r="F436" s="15"/>
      <c r="G436" s="15"/>
      <c r="H436" s="39" t="str">
        <f>IF($G436="","",IFERROR(INDEX('90_SEMA'!$G$7:$H$183,MATCH($G436,'90_SEMA'!$B$7:$B$183,0),NYELV_IDX),"### ISMERETLEN KÓD"))</f>
        <v/>
      </c>
      <c r="I436" s="33"/>
      <c r="J436" s="33"/>
      <c r="K436" s="15"/>
      <c r="L436" s="15"/>
      <c r="M436" s="15"/>
    </row>
    <row r="437" spans="2:13" ht="15" customHeight="1" x14ac:dyDescent="0.3">
      <c r="B437" s="21" t="str">
        <f t="shared" si="6"/>
        <v/>
      </c>
      <c r="C437" s="15"/>
      <c r="D437" s="15"/>
      <c r="E437" s="15"/>
      <c r="F437" s="15"/>
      <c r="G437" s="15"/>
      <c r="H437" s="39" t="str">
        <f>IF($G437="","",IFERROR(INDEX('90_SEMA'!$G$7:$H$183,MATCH($G437,'90_SEMA'!$B$7:$B$183,0),NYELV_IDX),"### ISMERETLEN KÓD"))</f>
        <v/>
      </c>
      <c r="I437" s="33"/>
      <c r="J437" s="33"/>
      <c r="K437" s="15"/>
      <c r="L437" s="15"/>
      <c r="M437" s="15"/>
    </row>
    <row r="438" spans="2:13" ht="15" customHeight="1" x14ac:dyDescent="0.3">
      <c r="B438" s="21" t="str">
        <f t="shared" si="6"/>
        <v/>
      </c>
      <c r="C438" s="15"/>
      <c r="D438" s="15"/>
      <c r="E438" s="15"/>
      <c r="F438" s="15"/>
      <c r="G438" s="15"/>
      <c r="H438" s="39" t="str">
        <f>IF($G438="","",IFERROR(INDEX('90_SEMA'!$G$7:$H$183,MATCH($G438,'90_SEMA'!$B$7:$B$183,0),NYELV_IDX),"### ISMERETLEN KÓD"))</f>
        <v/>
      </c>
      <c r="I438" s="33"/>
      <c r="J438" s="33"/>
      <c r="K438" s="15"/>
      <c r="L438" s="15"/>
      <c r="M438" s="15"/>
    </row>
    <row r="439" spans="2:13" ht="15" customHeight="1" x14ac:dyDescent="0.3">
      <c r="B439" s="21" t="str">
        <f t="shared" si="6"/>
        <v/>
      </c>
      <c r="C439" s="15"/>
      <c r="D439" s="15"/>
      <c r="E439" s="15"/>
      <c r="F439" s="15"/>
      <c r="G439" s="15"/>
      <c r="H439" s="39" t="str">
        <f>IF($G439="","",IFERROR(INDEX('90_SEMA'!$G$7:$H$183,MATCH($G439,'90_SEMA'!$B$7:$B$183,0),NYELV_IDX),"### ISMERETLEN KÓD"))</f>
        <v/>
      </c>
      <c r="I439" s="33"/>
      <c r="J439" s="33"/>
      <c r="K439" s="15"/>
      <c r="L439" s="15"/>
      <c r="M439" s="15"/>
    </row>
    <row r="440" spans="2:13" ht="15" customHeight="1" x14ac:dyDescent="0.3">
      <c r="B440" s="21" t="str">
        <f t="shared" si="6"/>
        <v/>
      </c>
      <c r="C440" s="15"/>
      <c r="D440" s="15"/>
      <c r="E440" s="15"/>
      <c r="F440" s="15"/>
      <c r="G440" s="15"/>
      <c r="H440" s="39" t="str">
        <f>IF($G440="","",IFERROR(INDEX('90_SEMA'!$G$7:$H$183,MATCH($G440,'90_SEMA'!$B$7:$B$183,0),NYELV_IDX),"### ISMERETLEN KÓD"))</f>
        <v/>
      </c>
      <c r="I440" s="33"/>
      <c r="J440" s="33"/>
      <c r="K440" s="15"/>
      <c r="L440" s="15"/>
      <c r="M440" s="15"/>
    </row>
    <row r="441" spans="2:13" ht="15" customHeight="1" x14ac:dyDescent="0.3">
      <c r="B441" s="21" t="str">
        <f t="shared" si="6"/>
        <v/>
      </c>
      <c r="C441" s="15"/>
      <c r="D441" s="15"/>
      <c r="E441" s="15"/>
      <c r="F441" s="15"/>
      <c r="G441" s="15"/>
      <c r="H441" s="39" t="str">
        <f>IF($G441="","",IFERROR(INDEX('90_SEMA'!$G$7:$H$183,MATCH($G441,'90_SEMA'!$B$7:$B$183,0),NYELV_IDX),"### ISMERETLEN KÓD"))</f>
        <v/>
      </c>
      <c r="I441" s="33"/>
      <c r="J441" s="33"/>
      <c r="K441" s="15"/>
      <c r="L441" s="15"/>
      <c r="M441" s="15"/>
    </row>
    <row r="442" spans="2:13" ht="15" customHeight="1" x14ac:dyDescent="0.3">
      <c r="B442" s="21" t="str">
        <f t="shared" si="6"/>
        <v/>
      </c>
      <c r="C442" s="15"/>
      <c r="D442" s="15"/>
      <c r="E442" s="15"/>
      <c r="F442" s="15"/>
      <c r="G442" s="15"/>
      <c r="H442" s="39" t="str">
        <f>IF($G442="","",IFERROR(INDEX('90_SEMA'!$G$7:$H$183,MATCH($G442,'90_SEMA'!$B$7:$B$183,0),NYELV_IDX),"### ISMERETLEN KÓD"))</f>
        <v/>
      </c>
      <c r="I442" s="33"/>
      <c r="J442" s="33"/>
      <c r="K442" s="15"/>
      <c r="L442" s="15"/>
      <c r="M442" s="15"/>
    </row>
    <row r="443" spans="2:13" ht="15" customHeight="1" x14ac:dyDescent="0.3">
      <c r="B443" s="21" t="str">
        <f t="shared" si="6"/>
        <v/>
      </c>
      <c r="C443" s="15"/>
      <c r="D443" s="15"/>
      <c r="E443" s="15"/>
      <c r="F443" s="15"/>
      <c r="G443" s="15"/>
      <c r="H443" s="39" t="str">
        <f>IF($G443="","",IFERROR(INDEX('90_SEMA'!$G$7:$H$183,MATCH($G443,'90_SEMA'!$B$7:$B$183,0),NYELV_IDX),"### ISMERETLEN KÓD"))</f>
        <v/>
      </c>
      <c r="I443" s="33"/>
      <c r="J443" s="33"/>
      <c r="K443" s="15"/>
      <c r="L443" s="15"/>
      <c r="M443" s="15"/>
    </row>
    <row r="444" spans="2:13" ht="15" customHeight="1" x14ac:dyDescent="0.3">
      <c r="B444" s="21" t="str">
        <f t="shared" si="6"/>
        <v/>
      </c>
      <c r="C444" s="15"/>
      <c r="D444" s="15"/>
      <c r="E444" s="15"/>
      <c r="F444" s="15"/>
      <c r="G444" s="15"/>
      <c r="H444" s="39" t="str">
        <f>IF($G444="","",IFERROR(INDEX('90_SEMA'!$G$7:$H$183,MATCH($G444,'90_SEMA'!$B$7:$B$183,0),NYELV_IDX),"### ISMERETLEN KÓD"))</f>
        <v/>
      </c>
      <c r="I444" s="33"/>
      <c r="J444" s="33"/>
      <c r="K444" s="15"/>
      <c r="L444" s="15"/>
      <c r="M444" s="15"/>
    </row>
    <row r="445" spans="2:13" ht="15" customHeight="1" x14ac:dyDescent="0.3">
      <c r="B445" s="21" t="str">
        <f t="shared" si="6"/>
        <v/>
      </c>
      <c r="C445" s="15"/>
      <c r="D445" s="15"/>
      <c r="E445" s="15"/>
      <c r="F445" s="15"/>
      <c r="G445" s="15"/>
      <c r="H445" s="39" t="str">
        <f>IF($G445="","",IFERROR(INDEX('90_SEMA'!$G$7:$H$183,MATCH($G445,'90_SEMA'!$B$7:$B$183,0),NYELV_IDX),"### ISMERETLEN KÓD"))</f>
        <v/>
      </c>
      <c r="I445" s="33"/>
      <c r="J445" s="33"/>
      <c r="K445" s="15"/>
      <c r="L445" s="15"/>
      <c r="M445" s="15"/>
    </row>
    <row r="446" spans="2:13" ht="15" customHeight="1" x14ac:dyDescent="0.3">
      <c r="B446" s="21" t="str">
        <f t="shared" si="6"/>
        <v/>
      </c>
      <c r="C446" s="15"/>
      <c r="D446" s="15"/>
      <c r="E446" s="15"/>
      <c r="F446" s="15"/>
      <c r="G446" s="15"/>
      <c r="H446" s="39" t="str">
        <f>IF($G446="","",IFERROR(INDEX('90_SEMA'!$G$7:$H$183,MATCH($G446,'90_SEMA'!$B$7:$B$183,0),NYELV_IDX),"### ISMERETLEN KÓD"))</f>
        <v/>
      </c>
      <c r="I446" s="33"/>
      <c r="J446" s="33"/>
      <c r="K446" s="15"/>
      <c r="L446" s="15"/>
      <c r="M446" s="15"/>
    </row>
    <row r="447" spans="2:13" ht="15" customHeight="1" x14ac:dyDescent="0.3">
      <c r="B447" s="21" t="str">
        <f t="shared" si="6"/>
        <v/>
      </c>
      <c r="C447" s="15"/>
      <c r="D447" s="15"/>
      <c r="E447" s="15"/>
      <c r="F447" s="15"/>
      <c r="G447" s="15"/>
      <c r="H447" s="39" t="str">
        <f>IF($G447="","",IFERROR(INDEX('90_SEMA'!$G$7:$H$183,MATCH($G447,'90_SEMA'!$B$7:$B$183,0),NYELV_IDX),"### ISMERETLEN KÓD"))</f>
        <v/>
      </c>
      <c r="I447" s="33"/>
      <c r="J447" s="33"/>
      <c r="K447" s="15"/>
      <c r="L447" s="15"/>
      <c r="M447" s="15"/>
    </row>
    <row r="448" spans="2:13" ht="15" customHeight="1" x14ac:dyDescent="0.3">
      <c r="B448" s="21" t="str">
        <f t="shared" si="6"/>
        <v/>
      </c>
      <c r="C448" s="15"/>
      <c r="D448" s="15"/>
      <c r="E448" s="15"/>
      <c r="F448" s="15"/>
      <c r="G448" s="15"/>
      <c r="H448" s="39" t="str">
        <f>IF($G448="","",IFERROR(INDEX('90_SEMA'!$G$7:$H$183,MATCH($G448,'90_SEMA'!$B$7:$B$183,0),NYELV_IDX),"### ISMERETLEN KÓD"))</f>
        <v/>
      </c>
      <c r="I448" s="33"/>
      <c r="J448" s="33"/>
      <c r="K448" s="15"/>
      <c r="L448" s="15"/>
      <c r="M448" s="15"/>
    </row>
    <row r="449" spans="2:13" ht="15" customHeight="1" x14ac:dyDescent="0.3">
      <c r="B449" s="21" t="str">
        <f t="shared" si="6"/>
        <v/>
      </c>
      <c r="C449" s="15"/>
      <c r="D449" s="15"/>
      <c r="E449" s="15"/>
      <c r="F449" s="15"/>
      <c r="G449" s="15"/>
      <c r="H449" s="39" t="str">
        <f>IF($G449="","",IFERROR(INDEX('90_SEMA'!$G$7:$H$183,MATCH($G449,'90_SEMA'!$B$7:$B$183,0),NYELV_IDX),"### ISMERETLEN KÓD"))</f>
        <v/>
      </c>
      <c r="I449" s="33"/>
      <c r="J449" s="33"/>
      <c r="K449" s="15"/>
      <c r="L449" s="15"/>
      <c r="M449" s="15"/>
    </row>
    <row r="450" spans="2:13" ht="15" customHeight="1" x14ac:dyDescent="0.3">
      <c r="B450" s="21" t="str">
        <f t="shared" si="6"/>
        <v/>
      </c>
      <c r="C450" s="15"/>
      <c r="D450" s="15"/>
      <c r="E450" s="15"/>
      <c r="F450" s="15"/>
      <c r="G450" s="15"/>
      <c r="H450" s="39" t="str">
        <f>IF($G450="","",IFERROR(INDEX('90_SEMA'!$G$7:$H$183,MATCH($G450,'90_SEMA'!$B$7:$B$183,0),NYELV_IDX),"### ISMERETLEN KÓD"))</f>
        <v/>
      </c>
      <c r="I450" s="33"/>
      <c r="J450" s="33"/>
      <c r="K450" s="15"/>
      <c r="L450" s="15"/>
      <c r="M450" s="15"/>
    </row>
    <row r="451" spans="2:13" ht="15" customHeight="1" x14ac:dyDescent="0.3">
      <c r="B451" s="21" t="str">
        <f t="shared" si="6"/>
        <v/>
      </c>
      <c r="C451" s="15"/>
      <c r="D451" s="15"/>
      <c r="E451" s="15"/>
      <c r="F451" s="15"/>
      <c r="G451" s="15"/>
      <c r="H451" s="39" t="str">
        <f>IF($G451="","",IFERROR(INDEX('90_SEMA'!$G$7:$H$183,MATCH($G451,'90_SEMA'!$B$7:$B$183,0),NYELV_IDX),"### ISMERETLEN KÓD"))</f>
        <v/>
      </c>
      <c r="I451" s="33"/>
      <c r="J451" s="33"/>
      <c r="K451" s="15"/>
      <c r="L451" s="15"/>
      <c r="M451" s="15"/>
    </row>
    <row r="452" spans="2:13" ht="15" customHeight="1" x14ac:dyDescent="0.3">
      <c r="B452" s="21" t="str">
        <f t="shared" si="6"/>
        <v/>
      </c>
      <c r="C452" s="15"/>
      <c r="D452" s="15"/>
      <c r="E452" s="15"/>
      <c r="F452" s="15"/>
      <c r="G452" s="15"/>
      <c r="H452" s="39" t="str">
        <f>IF($G452="","",IFERROR(INDEX('90_SEMA'!$G$7:$H$183,MATCH($G452,'90_SEMA'!$B$7:$B$183,0),NYELV_IDX),"### ISMERETLEN KÓD"))</f>
        <v/>
      </c>
      <c r="I452" s="33"/>
      <c r="J452" s="33"/>
      <c r="K452" s="15"/>
      <c r="L452" s="15"/>
      <c r="M452" s="15"/>
    </row>
    <row r="453" spans="2:13" ht="15" customHeight="1" x14ac:dyDescent="0.3">
      <c r="B453" s="21" t="str">
        <f t="shared" si="6"/>
        <v/>
      </c>
      <c r="C453" s="15"/>
      <c r="D453" s="15"/>
      <c r="E453" s="15"/>
      <c r="F453" s="15"/>
      <c r="G453" s="15"/>
      <c r="H453" s="39" t="str">
        <f>IF($G453="","",IFERROR(INDEX('90_SEMA'!$G$7:$H$183,MATCH($G453,'90_SEMA'!$B$7:$B$183,0),NYELV_IDX),"### ISMERETLEN KÓD"))</f>
        <v/>
      </c>
      <c r="I453" s="33"/>
      <c r="J453" s="33"/>
      <c r="K453" s="15"/>
      <c r="L453" s="15"/>
      <c r="M453" s="15"/>
    </row>
    <row r="454" spans="2:13" ht="15" customHeight="1" x14ac:dyDescent="0.3">
      <c r="B454" s="21" t="str">
        <f t="shared" si="6"/>
        <v/>
      </c>
      <c r="C454" s="15"/>
      <c r="D454" s="15"/>
      <c r="E454" s="15"/>
      <c r="F454" s="15"/>
      <c r="G454" s="15"/>
      <c r="H454" s="39" t="str">
        <f>IF($G454="","",IFERROR(INDEX('90_SEMA'!$G$7:$H$183,MATCH($G454,'90_SEMA'!$B$7:$B$183,0),NYELV_IDX),"### ISMERETLEN KÓD"))</f>
        <v/>
      </c>
      <c r="I454" s="33"/>
      <c r="J454" s="33"/>
      <c r="K454" s="15"/>
      <c r="L454" s="15"/>
      <c r="M454" s="15"/>
    </row>
    <row r="455" spans="2:13" ht="15" customHeight="1" x14ac:dyDescent="0.3">
      <c r="B455" s="21" t="str">
        <f t="shared" ref="B455:B518" si="7">IF($G455="","",ROW()-6)</f>
        <v/>
      </c>
      <c r="C455" s="15"/>
      <c r="D455" s="15"/>
      <c r="E455" s="15"/>
      <c r="F455" s="15"/>
      <c r="G455" s="15"/>
      <c r="H455" s="39" t="str">
        <f>IF($G455="","",IFERROR(INDEX('90_SEMA'!$G$7:$H$183,MATCH($G455,'90_SEMA'!$B$7:$B$183,0),NYELV_IDX),"### ISMERETLEN KÓD"))</f>
        <v/>
      </c>
      <c r="I455" s="33"/>
      <c r="J455" s="33"/>
      <c r="K455" s="15"/>
      <c r="L455" s="15"/>
      <c r="M455" s="15"/>
    </row>
    <row r="456" spans="2:13" ht="15" customHeight="1" x14ac:dyDescent="0.3">
      <c r="B456" s="21" t="str">
        <f t="shared" si="7"/>
        <v/>
      </c>
      <c r="C456" s="15"/>
      <c r="D456" s="15"/>
      <c r="E456" s="15"/>
      <c r="F456" s="15"/>
      <c r="G456" s="15"/>
      <c r="H456" s="39" t="str">
        <f>IF($G456="","",IFERROR(INDEX('90_SEMA'!$G$7:$H$183,MATCH($G456,'90_SEMA'!$B$7:$B$183,0),NYELV_IDX),"### ISMERETLEN KÓD"))</f>
        <v/>
      </c>
      <c r="I456" s="33"/>
      <c r="J456" s="33"/>
      <c r="K456" s="15"/>
      <c r="L456" s="15"/>
      <c r="M456" s="15"/>
    </row>
    <row r="457" spans="2:13" ht="15" customHeight="1" x14ac:dyDescent="0.3">
      <c r="B457" s="21" t="str">
        <f t="shared" si="7"/>
        <v/>
      </c>
      <c r="C457" s="15"/>
      <c r="D457" s="15"/>
      <c r="E457" s="15"/>
      <c r="F457" s="15"/>
      <c r="G457" s="15"/>
      <c r="H457" s="39" t="str">
        <f>IF($G457="","",IFERROR(INDEX('90_SEMA'!$G$7:$H$183,MATCH($G457,'90_SEMA'!$B$7:$B$183,0),NYELV_IDX),"### ISMERETLEN KÓD"))</f>
        <v/>
      </c>
      <c r="I457" s="33"/>
      <c r="J457" s="33"/>
      <c r="K457" s="15"/>
      <c r="L457" s="15"/>
      <c r="M457" s="15"/>
    </row>
    <row r="458" spans="2:13" ht="15" customHeight="1" x14ac:dyDescent="0.3">
      <c r="B458" s="21" t="str">
        <f t="shared" si="7"/>
        <v/>
      </c>
      <c r="C458" s="15"/>
      <c r="D458" s="15"/>
      <c r="E458" s="15"/>
      <c r="F458" s="15"/>
      <c r="G458" s="15"/>
      <c r="H458" s="39" t="str">
        <f>IF($G458="","",IFERROR(INDEX('90_SEMA'!$G$7:$H$183,MATCH($G458,'90_SEMA'!$B$7:$B$183,0),NYELV_IDX),"### ISMERETLEN KÓD"))</f>
        <v/>
      </c>
      <c r="I458" s="33"/>
      <c r="J458" s="33"/>
      <c r="K458" s="15"/>
      <c r="L458" s="15"/>
      <c r="M458" s="15"/>
    </row>
    <row r="459" spans="2:13" ht="15" customHeight="1" x14ac:dyDescent="0.3">
      <c r="B459" s="21" t="str">
        <f t="shared" si="7"/>
        <v/>
      </c>
      <c r="C459" s="15"/>
      <c r="D459" s="15"/>
      <c r="E459" s="15"/>
      <c r="F459" s="15"/>
      <c r="G459" s="15"/>
      <c r="H459" s="39" t="str">
        <f>IF($G459="","",IFERROR(INDEX('90_SEMA'!$G$7:$H$183,MATCH($G459,'90_SEMA'!$B$7:$B$183,0),NYELV_IDX),"### ISMERETLEN KÓD"))</f>
        <v/>
      </c>
      <c r="I459" s="33"/>
      <c r="J459" s="33"/>
      <c r="K459" s="15"/>
      <c r="L459" s="15"/>
      <c r="M459" s="15"/>
    </row>
    <row r="460" spans="2:13" ht="15" customHeight="1" x14ac:dyDescent="0.3">
      <c r="B460" s="21" t="str">
        <f t="shared" si="7"/>
        <v/>
      </c>
      <c r="C460" s="15"/>
      <c r="D460" s="15"/>
      <c r="E460" s="15"/>
      <c r="F460" s="15"/>
      <c r="G460" s="15"/>
      <c r="H460" s="39" t="str">
        <f>IF($G460="","",IFERROR(INDEX('90_SEMA'!$G$7:$H$183,MATCH($G460,'90_SEMA'!$B$7:$B$183,0),NYELV_IDX),"### ISMERETLEN KÓD"))</f>
        <v/>
      </c>
      <c r="I460" s="33"/>
      <c r="J460" s="33"/>
      <c r="K460" s="15"/>
      <c r="L460" s="15"/>
      <c r="M460" s="15"/>
    </row>
    <row r="461" spans="2:13" ht="15" customHeight="1" x14ac:dyDescent="0.3">
      <c r="B461" s="21" t="str">
        <f t="shared" si="7"/>
        <v/>
      </c>
      <c r="C461" s="15"/>
      <c r="D461" s="15"/>
      <c r="E461" s="15"/>
      <c r="F461" s="15"/>
      <c r="G461" s="15"/>
      <c r="H461" s="39" t="str">
        <f>IF($G461="","",IFERROR(INDEX('90_SEMA'!$G$7:$H$183,MATCH($G461,'90_SEMA'!$B$7:$B$183,0),NYELV_IDX),"### ISMERETLEN KÓD"))</f>
        <v/>
      </c>
      <c r="I461" s="33"/>
      <c r="J461" s="33"/>
      <c r="K461" s="15"/>
      <c r="L461" s="15"/>
      <c r="M461" s="15"/>
    </row>
    <row r="462" spans="2:13" ht="15" customHeight="1" x14ac:dyDescent="0.3">
      <c r="B462" s="21" t="str">
        <f t="shared" si="7"/>
        <v/>
      </c>
      <c r="C462" s="15"/>
      <c r="D462" s="15"/>
      <c r="E462" s="15"/>
      <c r="F462" s="15"/>
      <c r="G462" s="15"/>
      <c r="H462" s="39" t="str">
        <f>IF($G462="","",IFERROR(INDEX('90_SEMA'!$G$7:$H$183,MATCH($G462,'90_SEMA'!$B$7:$B$183,0),NYELV_IDX),"### ISMERETLEN KÓD"))</f>
        <v/>
      </c>
      <c r="I462" s="33"/>
      <c r="J462" s="33"/>
      <c r="K462" s="15"/>
      <c r="L462" s="15"/>
      <c r="M462" s="15"/>
    </row>
    <row r="463" spans="2:13" ht="15" customHeight="1" x14ac:dyDescent="0.3">
      <c r="B463" s="21" t="str">
        <f t="shared" si="7"/>
        <v/>
      </c>
      <c r="C463" s="15"/>
      <c r="D463" s="15"/>
      <c r="E463" s="15"/>
      <c r="F463" s="15"/>
      <c r="G463" s="15"/>
      <c r="H463" s="39" t="str">
        <f>IF($G463="","",IFERROR(INDEX('90_SEMA'!$G$7:$H$183,MATCH($G463,'90_SEMA'!$B$7:$B$183,0),NYELV_IDX),"### ISMERETLEN KÓD"))</f>
        <v/>
      </c>
      <c r="I463" s="33"/>
      <c r="J463" s="33"/>
      <c r="K463" s="15"/>
      <c r="L463" s="15"/>
      <c r="M463" s="15"/>
    </row>
    <row r="464" spans="2:13" ht="15" customHeight="1" x14ac:dyDescent="0.3">
      <c r="B464" s="21" t="str">
        <f t="shared" si="7"/>
        <v/>
      </c>
      <c r="C464" s="15"/>
      <c r="D464" s="15"/>
      <c r="E464" s="15"/>
      <c r="F464" s="15"/>
      <c r="G464" s="15"/>
      <c r="H464" s="39" t="str">
        <f>IF($G464="","",IFERROR(INDEX('90_SEMA'!$G$7:$H$183,MATCH($G464,'90_SEMA'!$B$7:$B$183,0),NYELV_IDX),"### ISMERETLEN KÓD"))</f>
        <v/>
      </c>
      <c r="I464" s="33"/>
      <c r="J464" s="33"/>
      <c r="K464" s="15"/>
      <c r="L464" s="15"/>
      <c r="M464" s="15"/>
    </row>
    <row r="465" spans="2:13" ht="15" customHeight="1" x14ac:dyDescent="0.3">
      <c r="B465" s="21" t="str">
        <f t="shared" si="7"/>
        <v/>
      </c>
      <c r="C465" s="15"/>
      <c r="D465" s="15"/>
      <c r="E465" s="15"/>
      <c r="F465" s="15"/>
      <c r="G465" s="15"/>
      <c r="H465" s="39" t="str">
        <f>IF($G465="","",IFERROR(INDEX('90_SEMA'!$G$7:$H$183,MATCH($G465,'90_SEMA'!$B$7:$B$183,0),NYELV_IDX),"### ISMERETLEN KÓD"))</f>
        <v/>
      </c>
      <c r="I465" s="33"/>
      <c r="J465" s="33"/>
      <c r="K465" s="15"/>
      <c r="L465" s="15"/>
      <c r="M465" s="15"/>
    </row>
    <row r="466" spans="2:13" ht="15" customHeight="1" x14ac:dyDescent="0.3">
      <c r="B466" s="21" t="str">
        <f t="shared" si="7"/>
        <v/>
      </c>
      <c r="C466" s="15"/>
      <c r="D466" s="15"/>
      <c r="E466" s="15"/>
      <c r="F466" s="15"/>
      <c r="G466" s="15"/>
      <c r="H466" s="39" t="str">
        <f>IF($G466="","",IFERROR(INDEX('90_SEMA'!$G$7:$H$183,MATCH($G466,'90_SEMA'!$B$7:$B$183,0),NYELV_IDX),"### ISMERETLEN KÓD"))</f>
        <v/>
      </c>
      <c r="I466" s="33"/>
      <c r="J466" s="33"/>
      <c r="K466" s="15"/>
      <c r="L466" s="15"/>
      <c r="M466" s="15"/>
    </row>
    <row r="467" spans="2:13" ht="15" customHeight="1" x14ac:dyDescent="0.3">
      <c r="B467" s="21" t="str">
        <f t="shared" si="7"/>
        <v/>
      </c>
      <c r="C467" s="15"/>
      <c r="D467" s="15"/>
      <c r="E467" s="15"/>
      <c r="F467" s="15"/>
      <c r="G467" s="15"/>
      <c r="H467" s="39" t="str">
        <f>IF($G467="","",IFERROR(INDEX('90_SEMA'!$G$7:$H$183,MATCH($G467,'90_SEMA'!$B$7:$B$183,0),NYELV_IDX),"### ISMERETLEN KÓD"))</f>
        <v/>
      </c>
      <c r="I467" s="33"/>
      <c r="J467" s="33"/>
      <c r="K467" s="15"/>
      <c r="L467" s="15"/>
      <c r="M467" s="15"/>
    </row>
    <row r="468" spans="2:13" ht="15" customHeight="1" x14ac:dyDescent="0.3">
      <c r="B468" s="21" t="str">
        <f t="shared" si="7"/>
        <v/>
      </c>
      <c r="C468" s="15"/>
      <c r="D468" s="15"/>
      <c r="E468" s="15"/>
      <c r="F468" s="15"/>
      <c r="G468" s="15"/>
      <c r="H468" s="39" t="str">
        <f>IF($G468="","",IFERROR(INDEX('90_SEMA'!$G$7:$H$183,MATCH($G468,'90_SEMA'!$B$7:$B$183,0),NYELV_IDX),"### ISMERETLEN KÓD"))</f>
        <v/>
      </c>
      <c r="I468" s="33"/>
      <c r="J468" s="33"/>
      <c r="K468" s="15"/>
      <c r="L468" s="15"/>
      <c r="M468" s="15"/>
    </row>
    <row r="469" spans="2:13" ht="15" customHeight="1" x14ac:dyDescent="0.3">
      <c r="B469" s="21" t="str">
        <f t="shared" si="7"/>
        <v/>
      </c>
      <c r="C469" s="15"/>
      <c r="D469" s="15"/>
      <c r="E469" s="15"/>
      <c r="F469" s="15"/>
      <c r="G469" s="15"/>
      <c r="H469" s="39" t="str">
        <f>IF($G469="","",IFERROR(INDEX('90_SEMA'!$G$7:$H$183,MATCH($G469,'90_SEMA'!$B$7:$B$183,0),NYELV_IDX),"### ISMERETLEN KÓD"))</f>
        <v/>
      </c>
      <c r="I469" s="33"/>
      <c r="J469" s="33"/>
      <c r="K469" s="15"/>
      <c r="L469" s="15"/>
      <c r="M469" s="15"/>
    </row>
    <row r="470" spans="2:13" ht="15" customHeight="1" x14ac:dyDescent="0.3">
      <c r="B470" s="21" t="str">
        <f t="shared" si="7"/>
        <v/>
      </c>
      <c r="C470" s="15"/>
      <c r="D470" s="15"/>
      <c r="E470" s="15"/>
      <c r="F470" s="15"/>
      <c r="G470" s="15"/>
      <c r="H470" s="39" t="str">
        <f>IF($G470="","",IFERROR(INDEX('90_SEMA'!$G$7:$H$183,MATCH($G470,'90_SEMA'!$B$7:$B$183,0),NYELV_IDX),"### ISMERETLEN KÓD"))</f>
        <v/>
      </c>
      <c r="I470" s="33"/>
      <c r="J470" s="33"/>
      <c r="K470" s="15"/>
      <c r="L470" s="15"/>
      <c r="M470" s="15"/>
    </row>
    <row r="471" spans="2:13" ht="15" customHeight="1" x14ac:dyDescent="0.3">
      <c r="B471" s="21" t="str">
        <f t="shared" si="7"/>
        <v/>
      </c>
      <c r="C471" s="15"/>
      <c r="D471" s="15"/>
      <c r="E471" s="15"/>
      <c r="F471" s="15"/>
      <c r="G471" s="15"/>
      <c r="H471" s="39" t="str">
        <f>IF($G471="","",IFERROR(INDEX('90_SEMA'!$G$7:$H$183,MATCH($G471,'90_SEMA'!$B$7:$B$183,0),NYELV_IDX),"### ISMERETLEN KÓD"))</f>
        <v/>
      </c>
      <c r="I471" s="33"/>
      <c r="J471" s="33"/>
      <c r="K471" s="15"/>
      <c r="L471" s="15"/>
      <c r="M471" s="15"/>
    </row>
    <row r="472" spans="2:13" ht="15" customHeight="1" x14ac:dyDescent="0.3">
      <c r="B472" s="21" t="str">
        <f t="shared" si="7"/>
        <v/>
      </c>
      <c r="C472" s="15"/>
      <c r="D472" s="15"/>
      <c r="E472" s="15"/>
      <c r="F472" s="15"/>
      <c r="G472" s="15"/>
      <c r="H472" s="39" t="str">
        <f>IF($G472="","",IFERROR(INDEX('90_SEMA'!$G$7:$H$183,MATCH($G472,'90_SEMA'!$B$7:$B$183,0),NYELV_IDX),"### ISMERETLEN KÓD"))</f>
        <v/>
      </c>
      <c r="I472" s="33"/>
      <c r="J472" s="33"/>
      <c r="K472" s="15"/>
      <c r="L472" s="15"/>
      <c r="M472" s="15"/>
    </row>
    <row r="473" spans="2:13" ht="15" customHeight="1" x14ac:dyDescent="0.3">
      <c r="B473" s="21" t="str">
        <f t="shared" si="7"/>
        <v/>
      </c>
      <c r="C473" s="15"/>
      <c r="D473" s="15"/>
      <c r="E473" s="15"/>
      <c r="F473" s="15"/>
      <c r="G473" s="15"/>
      <c r="H473" s="39" t="str">
        <f>IF($G473="","",IFERROR(INDEX('90_SEMA'!$G$7:$H$183,MATCH($G473,'90_SEMA'!$B$7:$B$183,0),NYELV_IDX),"### ISMERETLEN KÓD"))</f>
        <v/>
      </c>
      <c r="I473" s="33"/>
      <c r="J473" s="33"/>
      <c r="K473" s="15"/>
      <c r="L473" s="15"/>
      <c r="M473" s="15"/>
    </row>
    <row r="474" spans="2:13" ht="15" customHeight="1" x14ac:dyDescent="0.3">
      <c r="B474" s="21" t="str">
        <f t="shared" si="7"/>
        <v/>
      </c>
      <c r="C474" s="15"/>
      <c r="D474" s="15"/>
      <c r="E474" s="15"/>
      <c r="F474" s="15"/>
      <c r="G474" s="15"/>
      <c r="H474" s="39" t="str">
        <f>IF($G474="","",IFERROR(INDEX('90_SEMA'!$G$7:$H$183,MATCH($G474,'90_SEMA'!$B$7:$B$183,0),NYELV_IDX),"### ISMERETLEN KÓD"))</f>
        <v/>
      </c>
      <c r="I474" s="33"/>
      <c r="J474" s="33"/>
      <c r="K474" s="15"/>
      <c r="L474" s="15"/>
      <c r="M474" s="15"/>
    </row>
    <row r="475" spans="2:13" ht="15" customHeight="1" x14ac:dyDescent="0.3">
      <c r="B475" s="21" t="str">
        <f t="shared" si="7"/>
        <v/>
      </c>
      <c r="C475" s="15"/>
      <c r="D475" s="15"/>
      <c r="E475" s="15"/>
      <c r="F475" s="15"/>
      <c r="G475" s="15"/>
      <c r="H475" s="39" t="str">
        <f>IF($G475="","",IFERROR(INDEX('90_SEMA'!$G$7:$H$183,MATCH($G475,'90_SEMA'!$B$7:$B$183,0),NYELV_IDX),"### ISMERETLEN KÓD"))</f>
        <v/>
      </c>
      <c r="I475" s="33"/>
      <c r="J475" s="33"/>
      <c r="K475" s="15"/>
      <c r="L475" s="15"/>
      <c r="M475" s="15"/>
    </row>
    <row r="476" spans="2:13" ht="15" customHeight="1" x14ac:dyDescent="0.3">
      <c r="B476" s="21" t="str">
        <f t="shared" si="7"/>
        <v/>
      </c>
      <c r="C476" s="15"/>
      <c r="D476" s="15"/>
      <c r="E476" s="15"/>
      <c r="F476" s="15"/>
      <c r="G476" s="15"/>
      <c r="H476" s="39" t="str">
        <f>IF($G476="","",IFERROR(INDEX('90_SEMA'!$G$7:$H$183,MATCH($G476,'90_SEMA'!$B$7:$B$183,0),NYELV_IDX),"### ISMERETLEN KÓD"))</f>
        <v/>
      </c>
      <c r="I476" s="33"/>
      <c r="J476" s="33"/>
      <c r="K476" s="15"/>
      <c r="L476" s="15"/>
      <c r="M476" s="15"/>
    </row>
    <row r="477" spans="2:13" ht="15" customHeight="1" x14ac:dyDescent="0.3">
      <c r="B477" s="21" t="str">
        <f t="shared" si="7"/>
        <v/>
      </c>
      <c r="C477" s="15"/>
      <c r="D477" s="15"/>
      <c r="E477" s="15"/>
      <c r="F477" s="15"/>
      <c r="G477" s="15"/>
      <c r="H477" s="39" t="str">
        <f>IF($G477="","",IFERROR(INDEX('90_SEMA'!$G$7:$H$183,MATCH($G477,'90_SEMA'!$B$7:$B$183,0),NYELV_IDX),"### ISMERETLEN KÓD"))</f>
        <v/>
      </c>
      <c r="I477" s="33"/>
      <c r="J477" s="33"/>
      <c r="K477" s="15"/>
      <c r="L477" s="15"/>
      <c r="M477" s="15"/>
    </row>
    <row r="478" spans="2:13" ht="15" customHeight="1" x14ac:dyDescent="0.3">
      <c r="B478" s="21" t="str">
        <f t="shared" si="7"/>
        <v/>
      </c>
      <c r="C478" s="15"/>
      <c r="D478" s="15"/>
      <c r="E478" s="15"/>
      <c r="F478" s="15"/>
      <c r="G478" s="15"/>
      <c r="H478" s="39" t="str">
        <f>IF($G478="","",IFERROR(INDEX('90_SEMA'!$G$7:$H$183,MATCH($G478,'90_SEMA'!$B$7:$B$183,0),NYELV_IDX),"### ISMERETLEN KÓD"))</f>
        <v/>
      </c>
      <c r="I478" s="33"/>
      <c r="J478" s="33"/>
      <c r="K478" s="15"/>
      <c r="L478" s="15"/>
      <c r="M478" s="15"/>
    </row>
    <row r="479" spans="2:13" ht="15" customHeight="1" x14ac:dyDescent="0.3">
      <c r="B479" s="21" t="str">
        <f t="shared" si="7"/>
        <v/>
      </c>
      <c r="C479" s="15"/>
      <c r="D479" s="15"/>
      <c r="E479" s="15"/>
      <c r="F479" s="15"/>
      <c r="G479" s="15"/>
      <c r="H479" s="39" t="str">
        <f>IF($G479="","",IFERROR(INDEX('90_SEMA'!$G$7:$H$183,MATCH($G479,'90_SEMA'!$B$7:$B$183,0),NYELV_IDX),"### ISMERETLEN KÓD"))</f>
        <v/>
      </c>
      <c r="I479" s="33"/>
      <c r="J479" s="33"/>
      <c r="K479" s="15"/>
      <c r="L479" s="15"/>
      <c r="M479" s="15"/>
    </row>
    <row r="480" spans="2:13" ht="15" customHeight="1" x14ac:dyDescent="0.3">
      <c r="B480" s="21" t="str">
        <f t="shared" si="7"/>
        <v/>
      </c>
      <c r="C480" s="15"/>
      <c r="D480" s="15"/>
      <c r="E480" s="15"/>
      <c r="F480" s="15"/>
      <c r="G480" s="15"/>
      <c r="H480" s="39" t="str">
        <f>IF($G480="","",IFERROR(INDEX('90_SEMA'!$G$7:$H$183,MATCH($G480,'90_SEMA'!$B$7:$B$183,0),NYELV_IDX),"### ISMERETLEN KÓD"))</f>
        <v/>
      </c>
      <c r="I480" s="33"/>
      <c r="J480" s="33"/>
      <c r="K480" s="15"/>
      <c r="L480" s="15"/>
      <c r="M480" s="15"/>
    </row>
    <row r="481" spans="2:13" ht="15" customHeight="1" x14ac:dyDescent="0.3">
      <c r="B481" s="21" t="str">
        <f t="shared" si="7"/>
        <v/>
      </c>
      <c r="C481" s="15"/>
      <c r="D481" s="15"/>
      <c r="E481" s="15"/>
      <c r="F481" s="15"/>
      <c r="G481" s="15"/>
      <c r="H481" s="39" t="str">
        <f>IF($G481="","",IFERROR(INDEX('90_SEMA'!$G$7:$H$183,MATCH($G481,'90_SEMA'!$B$7:$B$183,0),NYELV_IDX),"### ISMERETLEN KÓD"))</f>
        <v/>
      </c>
      <c r="I481" s="33"/>
      <c r="J481" s="33"/>
      <c r="K481" s="15"/>
      <c r="L481" s="15"/>
      <c r="M481" s="15"/>
    </row>
    <row r="482" spans="2:13" ht="15" customHeight="1" x14ac:dyDescent="0.3">
      <c r="B482" s="21" t="str">
        <f t="shared" si="7"/>
        <v/>
      </c>
      <c r="C482" s="15"/>
      <c r="D482" s="15"/>
      <c r="E482" s="15"/>
      <c r="F482" s="15"/>
      <c r="G482" s="15"/>
      <c r="H482" s="39" t="str">
        <f>IF($G482="","",IFERROR(INDEX('90_SEMA'!$G$7:$H$183,MATCH($G482,'90_SEMA'!$B$7:$B$183,0),NYELV_IDX),"### ISMERETLEN KÓD"))</f>
        <v/>
      </c>
      <c r="I482" s="33"/>
      <c r="J482" s="33"/>
      <c r="K482" s="15"/>
      <c r="L482" s="15"/>
      <c r="M482" s="15"/>
    </row>
    <row r="483" spans="2:13" ht="15" customHeight="1" x14ac:dyDescent="0.3">
      <c r="B483" s="21" t="str">
        <f t="shared" si="7"/>
        <v/>
      </c>
      <c r="C483" s="15"/>
      <c r="D483" s="15"/>
      <c r="E483" s="15"/>
      <c r="F483" s="15"/>
      <c r="G483" s="15"/>
      <c r="H483" s="39" t="str">
        <f>IF($G483="","",IFERROR(INDEX('90_SEMA'!$G$7:$H$183,MATCH($G483,'90_SEMA'!$B$7:$B$183,0),NYELV_IDX),"### ISMERETLEN KÓD"))</f>
        <v/>
      </c>
      <c r="I483" s="33"/>
      <c r="J483" s="33"/>
      <c r="K483" s="15"/>
      <c r="L483" s="15"/>
      <c r="M483" s="15"/>
    </row>
    <row r="484" spans="2:13" ht="15" customHeight="1" x14ac:dyDescent="0.3">
      <c r="B484" s="21" t="str">
        <f t="shared" si="7"/>
        <v/>
      </c>
      <c r="C484" s="15"/>
      <c r="D484" s="15"/>
      <c r="E484" s="15"/>
      <c r="F484" s="15"/>
      <c r="G484" s="15"/>
      <c r="H484" s="39" t="str">
        <f>IF($G484="","",IFERROR(INDEX('90_SEMA'!$G$7:$H$183,MATCH($G484,'90_SEMA'!$B$7:$B$183,0),NYELV_IDX),"### ISMERETLEN KÓD"))</f>
        <v/>
      </c>
      <c r="I484" s="33"/>
      <c r="J484" s="33"/>
      <c r="K484" s="15"/>
      <c r="L484" s="15"/>
      <c r="M484" s="15"/>
    </row>
    <row r="485" spans="2:13" ht="15" customHeight="1" x14ac:dyDescent="0.3">
      <c r="B485" s="21" t="str">
        <f t="shared" si="7"/>
        <v/>
      </c>
      <c r="C485" s="15"/>
      <c r="D485" s="15"/>
      <c r="E485" s="15"/>
      <c r="F485" s="15"/>
      <c r="G485" s="15"/>
      <c r="H485" s="39" t="str">
        <f>IF($G485="","",IFERROR(INDEX('90_SEMA'!$G$7:$H$183,MATCH($G485,'90_SEMA'!$B$7:$B$183,0),NYELV_IDX),"### ISMERETLEN KÓD"))</f>
        <v/>
      </c>
      <c r="I485" s="33"/>
      <c r="J485" s="33"/>
      <c r="K485" s="15"/>
      <c r="L485" s="15"/>
      <c r="M485" s="15"/>
    </row>
    <row r="486" spans="2:13" ht="15" customHeight="1" x14ac:dyDescent="0.3">
      <c r="B486" s="21" t="str">
        <f t="shared" si="7"/>
        <v/>
      </c>
      <c r="C486" s="15"/>
      <c r="D486" s="15"/>
      <c r="E486" s="15"/>
      <c r="F486" s="15"/>
      <c r="G486" s="15"/>
      <c r="H486" s="39" t="str">
        <f>IF($G486="","",IFERROR(INDEX('90_SEMA'!$G$7:$H$183,MATCH($G486,'90_SEMA'!$B$7:$B$183,0),NYELV_IDX),"### ISMERETLEN KÓD"))</f>
        <v/>
      </c>
      <c r="I486" s="33"/>
      <c r="J486" s="33"/>
      <c r="K486" s="15"/>
      <c r="L486" s="15"/>
      <c r="M486" s="15"/>
    </row>
    <row r="487" spans="2:13" ht="15" customHeight="1" x14ac:dyDescent="0.3">
      <c r="B487" s="21" t="str">
        <f t="shared" si="7"/>
        <v/>
      </c>
      <c r="C487" s="15"/>
      <c r="D487" s="15"/>
      <c r="E487" s="15"/>
      <c r="F487" s="15"/>
      <c r="G487" s="15"/>
      <c r="H487" s="39" t="str">
        <f>IF($G487="","",IFERROR(INDEX('90_SEMA'!$G$7:$H$183,MATCH($G487,'90_SEMA'!$B$7:$B$183,0),NYELV_IDX),"### ISMERETLEN KÓD"))</f>
        <v/>
      </c>
      <c r="I487" s="33"/>
      <c r="J487" s="33"/>
      <c r="K487" s="15"/>
      <c r="L487" s="15"/>
      <c r="M487" s="15"/>
    </row>
    <row r="488" spans="2:13" ht="15" customHeight="1" x14ac:dyDescent="0.3">
      <c r="B488" s="21" t="str">
        <f t="shared" si="7"/>
        <v/>
      </c>
      <c r="C488" s="15"/>
      <c r="D488" s="15"/>
      <c r="E488" s="15"/>
      <c r="F488" s="15"/>
      <c r="G488" s="15"/>
      <c r="H488" s="39" t="str">
        <f>IF($G488="","",IFERROR(INDEX('90_SEMA'!$G$7:$H$183,MATCH($G488,'90_SEMA'!$B$7:$B$183,0),NYELV_IDX),"### ISMERETLEN KÓD"))</f>
        <v/>
      </c>
      <c r="I488" s="33"/>
      <c r="J488" s="33"/>
      <c r="K488" s="15"/>
      <c r="L488" s="15"/>
      <c r="M488" s="15"/>
    </row>
    <row r="489" spans="2:13" ht="15" customHeight="1" x14ac:dyDescent="0.3">
      <c r="B489" s="21" t="str">
        <f t="shared" si="7"/>
        <v/>
      </c>
      <c r="C489" s="15"/>
      <c r="D489" s="15"/>
      <c r="E489" s="15"/>
      <c r="F489" s="15"/>
      <c r="G489" s="15"/>
      <c r="H489" s="39" t="str">
        <f>IF($G489="","",IFERROR(INDEX('90_SEMA'!$G$7:$H$183,MATCH($G489,'90_SEMA'!$B$7:$B$183,0),NYELV_IDX),"### ISMERETLEN KÓD"))</f>
        <v/>
      </c>
      <c r="I489" s="33"/>
      <c r="J489" s="33"/>
      <c r="K489" s="15"/>
      <c r="L489" s="15"/>
      <c r="M489" s="15"/>
    </row>
    <row r="490" spans="2:13" ht="15" customHeight="1" x14ac:dyDescent="0.3">
      <c r="B490" s="21" t="str">
        <f t="shared" si="7"/>
        <v/>
      </c>
      <c r="C490" s="15"/>
      <c r="D490" s="15"/>
      <c r="E490" s="15"/>
      <c r="F490" s="15"/>
      <c r="G490" s="15"/>
      <c r="H490" s="39" t="str">
        <f>IF($G490="","",IFERROR(INDEX('90_SEMA'!$G$7:$H$183,MATCH($G490,'90_SEMA'!$B$7:$B$183,0),NYELV_IDX),"### ISMERETLEN KÓD"))</f>
        <v/>
      </c>
      <c r="I490" s="33"/>
      <c r="J490" s="33"/>
      <c r="K490" s="15"/>
      <c r="L490" s="15"/>
      <c r="M490" s="15"/>
    </row>
    <row r="491" spans="2:13" ht="15" customHeight="1" x14ac:dyDescent="0.3">
      <c r="B491" s="21" t="str">
        <f t="shared" si="7"/>
        <v/>
      </c>
      <c r="C491" s="15"/>
      <c r="D491" s="15"/>
      <c r="E491" s="15"/>
      <c r="F491" s="15"/>
      <c r="G491" s="15"/>
      <c r="H491" s="39" t="str">
        <f>IF($G491="","",IFERROR(INDEX('90_SEMA'!$G$7:$H$183,MATCH($G491,'90_SEMA'!$B$7:$B$183,0),NYELV_IDX),"### ISMERETLEN KÓD"))</f>
        <v/>
      </c>
      <c r="I491" s="33"/>
      <c r="J491" s="33"/>
      <c r="K491" s="15"/>
      <c r="L491" s="15"/>
      <c r="M491" s="15"/>
    </row>
    <row r="492" spans="2:13" ht="15" customHeight="1" x14ac:dyDescent="0.3">
      <c r="B492" s="21" t="str">
        <f t="shared" si="7"/>
        <v/>
      </c>
      <c r="C492" s="15"/>
      <c r="D492" s="15"/>
      <c r="E492" s="15"/>
      <c r="F492" s="15"/>
      <c r="G492" s="15"/>
      <c r="H492" s="39" t="str">
        <f>IF($G492="","",IFERROR(INDEX('90_SEMA'!$G$7:$H$183,MATCH($G492,'90_SEMA'!$B$7:$B$183,0),NYELV_IDX),"### ISMERETLEN KÓD"))</f>
        <v/>
      </c>
      <c r="I492" s="33"/>
      <c r="J492" s="33"/>
      <c r="K492" s="15"/>
      <c r="L492" s="15"/>
      <c r="M492" s="15"/>
    </row>
    <row r="493" spans="2:13" ht="15" customHeight="1" x14ac:dyDescent="0.3">
      <c r="B493" s="21" t="str">
        <f t="shared" si="7"/>
        <v/>
      </c>
      <c r="C493" s="15"/>
      <c r="D493" s="15"/>
      <c r="E493" s="15"/>
      <c r="F493" s="15"/>
      <c r="G493" s="15"/>
      <c r="H493" s="39" t="str">
        <f>IF($G493="","",IFERROR(INDEX('90_SEMA'!$G$7:$H$183,MATCH($G493,'90_SEMA'!$B$7:$B$183,0),NYELV_IDX),"### ISMERETLEN KÓD"))</f>
        <v/>
      </c>
      <c r="I493" s="33"/>
      <c r="J493" s="33"/>
      <c r="K493" s="15"/>
      <c r="L493" s="15"/>
      <c r="M493" s="15"/>
    </row>
    <row r="494" spans="2:13" ht="15" customHeight="1" x14ac:dyDescent="0.3">
      <c r="B494" s="21" t="str">
        <f t="shared" si="7"/>
        <v/>
      </c>
      <c r="C494" s="15"/>
      <c r="D494" s="15"/>
      <c r="E494" s="15"/>
      <c r="F494" s="15"/>
      <c r="G494" s="15"/>
      <c r="H494" s="39" t="str">
        <f>IF($G494="","",IFERROR(INDEX('90_SEMA'!$G$7:$H$183,MATCH($G494,'90_SEMA'!$B$7:$B$183,0),NYELV_IDX),"### ISMERETLEN KÓD"))</f>
        <v/>
      </c>
      <c r="I494" s="33"/>
      <c r="J494" s="33"/>
      <c r="K494" s="15"/>
      <c r="L494" s="15"/>
      <c r="M494" s="15"/>
    </row>
    <row r="495" spans="2:13" ht="15" customHeight="1" x14ac:dyDescent="0.3">
      <c r="B495" s="21" t="str">
        <f t="shared" si="7"/>
        <v/>
      </c>
      <c r="C495" s="15"/>
      <c r="D495" s="15"/>
      <c r="E495" s="15"/>
      <c r="F495" s="15"/>
      <c r="G495" s="15"/>
      <c r="H495" s="39" t="str">
        <f>IF($G495="","",IFERROR(INDEX('90_SEMA'!$G$7:$H$183,MATCH($G495,'90_SEMA'!$B$7:$B$183,0),NYELV_IDX),"### ISMERETLEN KÓD"))</f>
        <v/>
      </c>
      <c r="I495" s="33"/>
      <c r="J495" s="33"/>
      <c r="K495" s="15"/>
      <c r="L495" s="15"/>
      <c r="M495" s="15"/>
    </row>
    <row r="496" spans="2:13" ht="15" customHeight="1" x14ac:dyDescent="0.3">
      <c r="B496" s="21" t="str">
        <f t="shared" si="7"/>
        <v/>
      </c>
      <c r="C496" s="15"/>
      <c r="D496" s="15"/>
      <c r="E496" s="15"/>
      <c r="F496" s="15"/>
      <c r="G496" s="15"/>
      <c r="H496" s="39" t="str">
        <f>IF($G496="","",IFERROR(INDEX('90_SEMA'!$G$7:$H$183,MATCH($G496,'90_SEMA'!$B$7:$B$183,0),NYELV_IDX),"### ISMERETLEN KÓD"))</f>
        <v/>
      </c>
      <c r="I496" s="33"/>
      <c r="J496" s="33"/>
      <c r="K496" s="15"/>
      <c r="L496" s="15"/>
      <c r="M496" s="15"/>
    </row>
    <row r="497" spans="2:13" ht="15" customHeight="1" x14ac:dyDescent="0.3">
      <c r="B497" s="21" t="str">
        <f t="shared" si="7"/>
        <v/>
      </c>
      <c r="C497" s="15"/>
      <c r="D497" s="15"/>
      <c r="E497" s="15"/>
      <c r="F497" s="15"/>
      <c r="G497" s="15"/>
      <c r="H497" s="39" t="str">
        <f>IF($G497="","",IFERROR(INDEX('90_SEMA'!$G$7:$H$183,MATCH($G497,'90_SEMA'!$B$7:$B$183,0),NYELV_IDX),"### ISMERETLEN KÓD"))</f>
        <v/>
      </c>
      <c r="I497" s="33"/>
      <c r="J497" s="33"/>
      <c r="K497" s="15"/>
      <c r="L497" s="15"/>
      <c r="M497" s="15"/>
    </row>
    <row r="498" spans="2:13" ht="15" customHeight="1" x14ac:dyDescent="0.3">
      <c r="B498" s="21" t="str">
        <f t="shared" si="7"/>
        <v/>
      </c>
      <c r="C498" s="15"/>
      <c r="D498" s="15"/>
      <c r="E498" s="15"/>
      <c r="F498" s="15"/>
      <c r="G498" s="15"/>
      <c r="H498" s="39" t="str">
        <f>IF($G498="","",IFERROR(INDEX('90_SEMA'!$G$7:$H$183,MATCH($G498,'90_SEMA'!$B$7:$B$183,0),NYELV_IDX),"### ISMERETLEN KÓD"))</f>
        <v/>
      </c>
      <c r="I498" s="33"/>
      <c r="J498" s="33"/>
      <c r="K498" s="15"/>
      <c r="L498" s="15"/>
      <c r="M498" s="15"/>
    </row>
    <row r="499" spans="2:13" ht="15" customHeight="1" x14ac:dyDescent="0.3">
      <c r="B499" s="21" t="str">
        <f t="shared" si="7"/>
        <v/>
      </c>
      <c r="C499" s="15"/>
      <c r="D499" s="15"/>
      <c r="E499" s="15"/>
      <c r="F499" s="15"/>
      <c r="G499" s="15"/>
      <c r="H499" s="39" t="str">
        <f>IF($G499="","",IFERROR(INDEX('90_SEMA'!$G$7:$H$183,MATCH($G499,'90_SEMA'!$B$7:$B$183,0),NYELV_IDX),"### ISMERETLEN KÓD"))</f>
        <v/>
      </c>
      <c r="I499" s="33"/>
      <c r="J499" s="33"/>
      <c r="K499" s="15"/>
      <c r="L499" s="15"/>
      <c r="M499" s="15"/>
    </row>
    <row r="500" spans="2:13" ht="15" customHeight="1" x14ac:dyDescent="0.3">
      <c r="B500" s="21" t="str">
        <f t="shared" si="7"/>
        <v/>
      </c>
      <c r="C500" s="15"/>
      <c r="D500" s="15"/>
      <c r="E500" s="15"/>
      <c r="F500" s="15"/>
      <c r="G500" s="15"/>
      <c r="H500" s="39" t="str">
        <f>IF($G500="","",IFERROR(INDEX('90_SEMA'!$G$7:$H$183,MATCH($G500,'90_SEMA'!$B$7:$B$183,0),NYELV_IDX),"### ISMERETLEN KÓD"))</f>
        <v/>
      </c>
      <c r="I500" s="33"/>
      <c r="J500" s="33"/>
      <c r="K500" s="15"/>
      <c r="L500" s="15"/>
      <c r="M500" s="15"/>
    </row>
    <row r="501" spans="2:13" ht="15" customHeight="1" x14ac:dyDescent="0.3">
      <c r="B501" s="21" t="str">
        <f t="shared" si="7"/>
        <v/>
      </c>
      <c r="C501" s="15"/>
      <c r="D501" s="15"/>
      <c r="E501" s="15"/>
      <c r="F501" s="15"/>
      <c r="G501" s="15"/>
      <c r="H501" s="39" t="str">
        <f>IF($G501="","",IFERROR(INDEX('90_SEMA'!$G$7:$H$183,MATCH($G501,'90_SEMA'!$B$7:$B$183,0),NYELV_IDX),"### ISMERETLEN KÓD"))</f>
        <v/>
      </c>
      <c r="I501" s="33"/>
      <c r="J501" s="33"/>
      <c r="K501" s="15"/>
      <c r="L501" s="15"/>
      <c r="M501" s="15"/>
    </row>
    <row r="502" spans="2:13" ht="15" customHeight="1" x14ac:dyDescent="0.3">
      <c r="B502" s="21" t="str">
        <f t="shared" si="7"/>
        <v/>
      </c>
      <c r="C502" s="15"/>
      <c r="D502" s="15"/>
      <c r="E502" s="15"/>
      <c r="F502" s="15"/>
      <c r="G502" s="15"/>
      <c r="H502" s="39" t="str">
        <f>IF($G502="","",IFERROR(INDEX('90_SEMA'!$G$7:$H$183,MATCH($G502,'90_SEMA'!$B$7:$B$183,0),NYELV_IDX),"### ISMERETLEN KÓD"))</f>
        <v/>
      </c>
      <c r="I502" s="33"/>
      <c r="J502" s="33"/>
      <c r="K502" s="15"/>
      <c r="L502" s="15"/>
      <c r="M502" s="15"/>
    </row>
    <row r="503" spans="2:13" ht="15" customHeight="1" x14ac:dyDescent="0.3">
      <c r="B503" s="21" t="str">
        <f t="shared" si="7"/>
        <v/>
      </c>
      <c r="C503" s="15"/>
      <c r="D503" s="15"/>
      <c r="E503" s="15"/>
      <c r="F503" s="15"/>
      <c r="G503" s="15"/>
      <c r="H503" s="39" t="str">
        <f>IF($G503="","",IFERROR(INDEX('90_SEMA'!$G$7:$H$183,MATCH($G503,'90_SEMA'!$B$7:$B$183,0),NYELV_IDX),"### ISMERETLEN KÓD"))</f>
        <v/>
      </c>
      <c r="I503" s="33"/>
      <c r="J503" s="33"/>
      <c r="K503" s="15"/>
      <c r="L503" s="15"/>
      <c r="M503" s="15"/>
    </row>
    <row r="504" spans="2:13" ht="15" customHeight="1" x14ac:dyDescent="0.3">
      <c r="B504" s="21" t="str">
        <f t="shared" si="7"/>
        <v/>
      </c>
      <c r="C504" s="15"/>
      <c r="D504" s="15"/>
      <c r="E504" s="15"/>
      <c r="F504" s="15"/>
      <c r="G504" s="15"/>
      <c r="H504" s="39" t="str">
        <f>IF($G504="","",IFERROR(INDEX('90_SEMA'!$G$7:$H$183,MATCH($G504,'90_SEMA'!$B$7:$B$183,0),NYELV_IDX),"### ISMERETLEN KÓD"))</f>
        <v/>
      </c>
      <c r="I504" s="33"/>
      <c r="J504" s="33"/>
      <c r="K504" s="15"/>
      <c r="L504" s="15"/>
      <c r="M504" s="15"/>
    </row>
    <row r="505" spans="2:13" ht="15" customHeight="1" x14ac:dyDescent="0.3">
      <c r="B505" s="21" t="str">
        <f t="shared" si="7"/>
        <v/>
      </c>
      <c r="C505" s="15"/>
      <c r="D505" s="15"/>
      <c r="E505" s="15"/>
      <c r="F505" s="15"/>
      <c r="G505" s="15"/>
      <c r="H505" s="39" t="str">
        <f>IF($G505="","",IFERROR(INDEX('90_SEMA'!$G$7:$H$183,MATCH($G505,'90_SEMA'!$B$7:$B$183,0),NYELV_IDX),"### ISMERETLEN KÓD"))</f>
        <v/>
      </c>
      <c r="I505" s="33"/>
      <c r="J505" s="33"/>
      <c r="K505" s="15"/>
      <c r="L505" s="15"/>
      <c r="M505" s="15"/>
    </row>
    <row r="506" spans="2:13" ht="15" customHeight="1" x14ac:dyDescent="0.3">
      <c r="B506" s="21" t="str">
        <f t="shared" si="7"/>
        <v/>
      </c>
      <c r="C506" s="15"/>
      <c r="D506" s="15"/>
      <c r="E506" s="15"/>
      <c r="F506" s="15"/>
      <c r="G506" s="15"/>
      <c r="H506" s="39" t="str">
        <f>IF($G506="","",IFERROR(INDEX('90_SEMA'!$G$7:$H$183,MATCH($G506,'90_SEMA'!$B$7:$B$183,0),NYELV_IDX),"### ISMERETLEN KÓD"))</f>
        <v/>
      </c>
      <c r="I506" s="33"/>
      <c r="J506" s="33"/>
      <c r="K506" s="15"/>
      <c r="L506" s="15"/>
      <c r="M506" s="15"/>
    </row>
    <row r="507" spans="2:13" ht="15" customHeight="1" x14ac:dyDescent="0.3">
      <c r="B507" s="21" t="str">
        <f t="shared" si="7"/>
        <v/>
      </c>
      <c r="C507" s="15"/>
      <c r="D507" s="15"/>
      <c r="E507" s="15"/>
      <c r="F507" s="15"/>
      <c r="G507" s="15"/>
      <c r="H507" s="39" t="str">
        <f>IF($G507="","",IFERROR(INDEX('90_SEMA'!$G$7:$H$183,MATCH($G507,'90_SEMA'!$B$7:$B$183,0),NYELV_IDX),"### ISMERETLEN KÓD"))</f>
        <v/>
      </c>
      <c r="I507" s="33"/>
      <c r="J507" s="33"/>
      <c r="K507" s="15"/>
      <c r="L507" s="15"/>
      <c r="M507" s="15"/>
    </row>
    <row r="508" spans="2:13" ht="15" customHeight="1" x14ac:dyDescent="0.3">
      <c r="B508" s="21" t="str">
        <f t="shared" si="7"/>
        <v/>
      </c>
      <c r="C508" s="15"/>
      <c r="D508" s="15"/>
      <c r="E508" s="15"/>
      <c r="F508" s="15"/>
      <c r="G508" s="15"/>
      <c r="H508" s="39" t="str">
        <f>IF($G508="","",IFERROR(INDEX('90_SEMA'!$G$7:$H$183,MATCH($G508,'90_SEMA'!$B$7:$B$183,0),NYELV_IDX),"### ISMERETLEN KÓD"))</f>
        <v/>
      </c>
      <c r="I508" s="33"/>
      <c r="J508" s="33"/>
      <c r="K508" s="15"/>
      <c r="L508" s="15"/>
      <c r="M508" s="15"/>
    </row>
    <row r="509" spans="2:13" ht="15" customHeight="1" x14ac:dyDescent="0.3">
      <c r="B509" s="21" t="str">
        <f t="shared" si="7"/>
        <v/>
      </c>
      <c r="C509" s="15"/>
      <c r="D509" s="15"/>
      <c r="E509" s="15"/>
      <c r="F509" s="15"/>
      <c r="G509" s="15"/>
      <c r="H509" s="39" t="str">
        <f>IF($G509="","",IFERROR(INDEX('90_SEMA'!$G$7:$H$183,MATCH($G509,'90_SEMA'!$B$7:$B$183,0),NYELV_IDX),"### ISMERETLEN KÓD"))</f>
        <v/>
      </c>
      <c r="I509" s="33"/>
      <c r="J509" s="33"/>
      <c r="K509" s="15"/>
      <c r="L509" s="15"/>
      <c r="M509" s="15"/>
    </row>
    <row r="510" spans="2:13" ht="15" customHeight="1" x14ac:dyDescent="0.3">
      <c r="B510" s="21" t="str">
        <f t="shared" si="7"/>
        <v/>
      </c>
      <c r="C510" s="15"/>
      <c r="D510" s="15"/>
      <c r="E510" s="15"/>
      <c r="F510" s="15"/>
      <c r="G510" s="15"/>
      <c r="H510" s="39" t="str">
        <f>IF($G510="","",IFERROR(INDEX('90_SEMA'!$G$7:$H$183,MATCH($G510,'90_SEMA'!$B$7:$B$183,0),NYELV_IDX),"### ISMERETLEN KÓD"))</f>
        <v/>
      </c>
      <c r="I510" s="33"/>
      <c r="J510" s="33"/>
      <c r="K510" s="15"/>
      <c r="L510" s="15"/>
      <c r="M510" s="15"/>
    </row>
    <row r="511" spans="2:13" ht="15" customHeight="1" x14ac:dyDescent="0.3">
      <c r="B511" s="21" t="str">
        <f t="shared" si="7"/>
        <v/>
      </c>
      <c r="C511" s="15"/>
      <c r="D511" s="15"/>
      <c r="E511" s="15"/>
      <c r="F511" s="15"/>
      <c r="G511" s="15"/>
      <c r="H511" s="39" t="str">
        <f>IF($G511="","",IFERROR(INDEX('90_SEMA'!$G$7:$H$183,MATCH($G511,'90_SEMA'!$B$7:$B$183,0),NYELV_IDX),"### ISMERETLEN KÓD"))</f>
        <v/>
      </c>
      <c r="I511" s="33"/>
      <c r="J511" s="33"/>
      <c r="K511" s="15"/>
      <c r="L511" s="15"/>
      <c r="M511" s="15"/>
    </row>
    <row r="512" spans="2:13" ht="15" customHeight="1" x14ac:dyDescent="0.3">
      <c r="B512" s="21" t="str">
        <f t="shared" si="7"/>
        <v/>
      </c>
      <c r="C512" s="15"/>
      <c r="D512" s="15"/>
      <c r="E512" s="15"/>
      <c r="F512" s="15"/>
      <c r="G512" s="15"/>
      <c r="H512" s="39" t="str">
        <f>IF($G512="","",IFERROR(INDEX('90_SEMA'!$G$7:$H$183,MATCH($G512,'90_SEMA'!$B$7:$B$183,0),NYELV_IDX),"### ISMERETLEN KÓD"))</f>
        <v/>
      </c>
      <c r="I512" s="33"/>
      <c r="J512" s="33"/>
      <c r="K512" s="15"/>
      <c r="L512" s="15"/>
      <c r="M512" s="15"/>
    </row>
    <row r="513" spans="2:13" ht="15" customHeight="1" x14ac:dyDescent="0.3">
      <c r="B513" s="21" t="str">
        <f t="shared" si="7"/>
        <v/>
      </c>
      <c r="C513" s="15"/>
      <c r="D513" s="15"/>
      <c r="E513" s="15"/>
      <c r="F513" s="15"/>
      <c r="G513" s="15"/>
      <c r="H513" s="39" t="str">
        <f>IF($G513="","",IFERROR(INDEX('90_SEMA'!$G$7:$H$183,MATCH($G513,'90_SEMA'!$B$7:$B$183,0),NYELV_IDX),"### ISMERETLEN KÓD"))</f>
        <v/>
      </c>
      <c r="I513" s="33"/>
      <c r="J513" s="33"/>
      <c r="K513" s="15"/>
      <c r="L513" s="15"/>
      <c r="M513" s="15"/>
    </row>
    <row r="514" spans="2:13" ht="15" customHeight="1" x14ac:dyDescent="0.3">
      <c r="B514" s="21" t="str">
        <f t="shared" si="7"/>
        <v/>
      </c>
      <c r="C514" s="15"/>
      <c r="D514" s="15"/>
      <c r="E514" s="15"/>
      <c r="F514" s="15"/>
      <c r="G514" s="15"/>
      <c r="H514" s="39" t="str">
        <f>IF($G514="","",IFERROR(INDEX('90_SEMA'!$G$7:$H$183,MATCH($G514,'90_SEMA'!$B$7:$B$183,0),NYELV_IDX),"### ISMERETLEN KÓD"))</f>
        <v/>
      </c>
      <c r="I514" s="33"/>
      <c r="J514" s="33"/>
      <c r="K514" s="15"/>
      <c r="L514" s="15"/>
      <c r="M514" s="15"/>
    </row>
    <row r="515" spans="2:13" ht="15" customHeight="1" x14ac:dyDescent="0.3">
      <c r="B515" s="21" t="str">
        <f t="shared" si="7"/>
        <v/>
      </c>
      <c r="C515" s="15"/>
      <c r="D515" s="15"/>
      <c r="E515" s="15"/>
      <c r="F515" s="15"/>
      <c r="G515" s="15"/>
      <c r="H515" s="39" t="str">
        <f>IF($G515="","",IFERROR(INDEX('90_SEMA'!$G$7:$H$183,MATCH($G515,'90_SEMA'!$B$7:$B$183,0),NYELV_IDX),"### ISMERETLEN KÓD"))</f>
        <v/>
      </c>
      <c r="I515" s="33"/>
      <c r="J515" s="33"/>
      <c r="K515" s="15"/>
      <c r="L515" s="15"/>
      <c r="M515" s="15"/>
    </row>
    <row r="516" spans="2:13" ht="15" customHeight="1" x14ac:dyDescent="0.3">
      <c r="B516" s="21" t="str">
        <f t="shared" si="7"/>
        <v/>
      </c>
      <c r="C516" s="15"/>
      <c r="D516" s="15"/>
      <c r="E516" s="15"/>
      <c r="F516" s="15"/>
      <c r="G516" s="15"/>
      <c r="H516" s="39" t="str">
        <f>IF($G516="","",IFERROR(INDEX('90_SEMA'!$G$7:$H$183,MATCH($G516,'90_SEMA'!$B$7:$B$183,0),NYELV_IDX),"### ISMERETLEN KÓD"))</f>
        <v/>
      </c>
      <c r="I516" s="33"/>
      <c r="J516" s="33"/>
      <c r="K516" s="15"/>
      <c r="L516" s="15"/>
      <c r="M516" s="15"/>
    </row>
    <row r="517" spans="2:13" ht="15" customHeight="1" x14ac:dyDescent="0.3">
      <c r="B517" s="21" t="str">
        <f t="shared" si="7"/>
        <v/>
      </c>
      <c r="C517" s="15"/>
      <c r="D517" s="15"/>
      <c r="E517" s="15"/>
      <c r="F517" s="15"/>
      <c r="G517" s="15"/>
      <c r="H517" s="39" t="str">
        <f>IF($G517="","",IFERROR(INDEX('90_SEMA'!$G$7:$H$183,MATCH($G517,'90_SEMA'!$B$7:$B$183,0),NYELV_IDX),"### ISMERETLEN KÓD"))</f>
        <v/>
      </c>
      <c r="I517" s="33"/>
      <c r="J517" s="33"/>
      <c r="K517" s="15"/>
      <c r="L517" s="15"/>
      <c r="M517" s="15"/>
    </row>
    <row r="518" spans="2:13" ht="15" customHeight="1" x14ac:dyDescent="0.3">
      <c r="B518" s="21" t="str">
        <f t="shared" si="7"/>
        <v/>
      </c>
      <c r="C518" s="15"/>
      <c r="D518" s="15"/>
      <c r="E518" s="15"/>
      <c r="F518" s="15"/>
      <c r="G518" s="15"/>
      <c r="H518" s="39" t="str">
        <f>IF($G518="","",IFERROR(INDEX('90_SEMA'!$G$7:$H$183,MATCH($G518,'90_SEMA'!$B$7:$B$183,0),NYELV_IDX),"### ISMERETLEN KÓD"))</f>
        <v/>
      </c>
      <c r="I518" s="33"/>
      <c r="J518" s="33"/>
      <c r="K518" s="15"/>
      <c r="L518" s="15"/>
      <c r="M518" s="15"/>
    </row>
    <row r="519" spans="2:13" ht="15" customHeight="1" x14ac:dyDescent="0.3">
      <c r="B519" s="21" t="str">
        <f t="shared" ref="B519:B582" si="8">IF($G519="","",ROW()-6)</f>
        <v/>
      </c>
      <c r="C519" s="15"/>
      <c r="D519" s="15"/>
      <c r="E519" s="15"/>
      <c r="F519" s="15"/>
      <c r="G519" s="15"/>
      <c r="H519" s="39" t="str">
        <f>IF($G519="","",IFERROR(INDEX('90_SEMA'!$G$7:$H$183,MATCH($G519,'90_SEMA'!$B$7:$B$183,0),NYELV_IDX),"### ISMERETLEN KÓD"))</f>
        <v/>
      </c>
      <c r="I519" s="33"/>
      <c r="J519" s="33"/>
      <c r="K519" s="15"/>
      <c r="L519" s="15"/>
      <c r="M519" s="15"/>
    </row>
    <row r="520" spans="2:13" ht="15" customHeight="1" x14ac:dyDescent="0.3">
      <c r="B520" s="21" t="str">
        <f t="shared" si="8"/>
        <v/>
      </c>
      <c r="C520" s="15"/>
      <c r="D520" s="15"/>
      <c r="E520" s="15"/>
      <c r="F520" s="15"/>
      <c r="G520" s="15"/>
      <c r="H520" s="39" t="str">
        <f>IF($G520="","",IFERROR(INDEX('90_SEMA'!$G$7:$H$183,MATCH($G520,'90_SEMA'!$B$7:$B$183,0),NYELV_IDX),"### ISMERETLEN KÓD"))</f>
        <v/>
      </c>
      <c r="I520" s="33"/>
      <c r="J520" s="33"/>
      <c r="K520" s="15"/>
      <c r="L520" s="15"/>
      <c r="M520" s="15"/>
    </row>
    <row r="521" spans="2:13" ht="15" customHeight="1" x14ac:dyDescent="0.3">
      <c r="B521" s="21" t="str">
        <f t="shared" si="8"/>
        <v/>
      </c>
      <c r="C521" s="15"/>
      <c r="D521" s="15"/>
      <c r="E521" s="15"/>
      <c r="F521" s="15"/>
      <c r="G521" s="15"/>
      <c r="H521" s="39" t="str">
        <f>IF($G521="","",IFERROR(INDEX('90_SEMA'!$G$7:$H$183,MATCH($G521,'90_SEMA'!$B$7:$B$183,0),NYELV_IDX),"### ISMERETLEN KÓD"))</f>
        <v/>
      </c>
      <c r="I521" s="33"/>
      <c r="J521" s="33"/>
      <c r="K521" s="15"/>
      <c r="L521" s="15"/>
      <c r="M521" s="15"/>
    </row>
    <row r="522" spans="2:13" ht="15" customHeight="1" x14ac:dyDescent="0.3">
      <c r="B522" s="21" t="str">
        <f t="shared" si="8"/>
        <v/>
      </c>
      <c r="C522" s="15"/>
      <c r="D522" s="15"/>
      <c r="E522" s="15"/>
      <c r="F522" s="15"/>
      <c r="G522" s="15"/>
      <c r="H522" s="39" t="str">
        <f>IF($G522="","",IFERROR(INDEX('90_SEMA'!$G$7:$H$183,MATCH($G522,'90_SEMA'!$B$7:$B$183,0),NYELV_IDX),"### ISMERETLEN KÓD"))</f>
        <v/>
      </c>
      <c r="I522" s="33"/>
      <c r="J522" s="33"/>
      <c r="K522" s="15"/>
      <c r="L522" s="15"/>
      <c r="M522" s="15"/>
    </row>
    <row r="523" spans="2:13" ht="15" customHeight="1" x14ac:dyDescent="0.3">
      <c r="B523" s="21" t="str">
        <f t="shared" si="8"/>
        <v/>
      </c>
      <c r="C523" s="15"/>
      <c r="D523" s="15"/>
      <c r="E523" s="15"/>
      <c r="F523" s="15"/>
      <c r="G523" s="15"/>
      <c r="H523" s="39" t="str">
        <f>IF($G523="","",IFERROR(INDEX('90_SEMA'!$G$7:$H$183,MATCH($G523,'90_SEMA'!$B$7:$B$183,0),NYELV_IDX),"### ISMERETLEN KÓD"))</f>
        <v/>
      </c>
      <c r="I523" s="33"/>
      <c r="J523" s="33"/>
      <c r="K523" s="15"/>
      <c r="L523" s="15"/>
      <c r="M523" s="15"/>
    </row>
    <row r="524" spans="2:13" ht="15" customHeight="1" x14ac:dyDescent="0.3">
      <c r="B524" s="21" t="str">
        <f t="shared" si="8"/>
        <v/>
      </c>
      <c r="C524" s="15"/>
      <c r="D524" s="15"/>
      <c r="E524" s="15"/>
      <c r="F524" s="15"/>
      <c r="G524" s="15"/>
      <c r="H524" s="39" t="str">
        <f>IF($G524="","",IFERROR(INDEX('90_SEMA'!$G$7:$H$183,MATCH($G524,'90_SEMA'!$B$7:$B$183,0),NYELV_IDX),"### ISMERETLEN KÓD"))</f>
        <v/>
      </c>
      <c r="I524" s="33"/>
      <c r="J524" s="33"/>
      <c r="K524" s="15"/>
      <c r="L524" s="15"/>
      <c r="M524" s="15"/>
    </row>
    <row r="525" spans="2:13" ht="15" customHeight="1" x14ac:dyDescent="0.3">
      <c r="B525" s="21" t="str">
        <f t="shared" si="8"/>
        <v/>
      </c>
      <c r="C525" s="15"/>
      <c r="D525" s="15"/>
      <c r="E525" s="15"/>
      <c r="F525" s="15"/>
      <c r="G525" s="15"/>
      <c r="H525" s="39" t="str">
        <f>IF($G525="","",IFERROR(INDEX('90_SEMA'!$G$7:$H$183,MATCH($G525,'90_SEMA'!$B$7:$B$183,0),NYELV_IDX),"### ISMERETLEN KÓD"))</f>
        <v/>
      </c>
      <c r="I525" s="33"/>
      <c r="J525" s="33"/>
      <c r="K525" s="15"/>
      <c r="L525" s="15"/>
      <c r="M525" s="15"/>
    </row>
    <row r="526" spans="2:13" ht="15" customHeight="1" x14ac:dyDescent="0.3">
      <c r="B526" s="21" t="str">
        <f t="shared" si="8"/>
        <v/>
      </c>
      <c r="C526" s="15"/>
      <c r="D526" s="15"/>
      <c r="E526" s="15"/>
      <c r="F526" s="15"/>
      <c r="G526" s="15"/>
      <c r="H526" s="39" t="str">
        <f>IF($G526="","",IFERROR(INDEX('90_SEMA'!$G$7:$H$183,MATCH($G526,'90_SEMA'!$B$7:$B$183,0),NYELV_IDX),"### ISMERETLEN KÓD"))</f>
        <v/>
      </c>
      <c r="I526" s="33"/>
      <c r="J526" s="33"/>
      <c r="K526" s="15"/>
      <c r="L526" s="15"/>
      <c r="M526" s="15"/>
    </row>
    <row r="527" spans="2:13" ht="15" customHeight="1" x14ac:dyDescent="0.3">
      <c r="B527" s="21" t="str">
        <f t="shared" si="8"/>
        <v/>
      </c>
      <c r="C527" s="15"/>
      <c r="D527" s="15"/>
      <c r="E527" s="15"/>
      <c r="F527" s="15"/>
      <c r="G527" s="15"/>
      <c r="H527" s="39" t="str">
        <f>IF($G527="","",IFERROR(INDEX('90_SEMA'!$G$7:$H$183,MATCH($G527,'90_SEMA'!$B$7:$B$183,0),NYELV_IDX),"### ISMERETLEN KÓD"))</f>
        <v/>
      </c>
      <c r="I527" s="33"/>
      <c r="J527" s="33"/>
      <c r="K527" s="15"/>
      <c r="L527" s="15"/>
      <c r="M527" s="15"/>
    </row>
    <row r="528" spans="2:13" ht="15" customHeight="1" x14ac:dyDescent="0.3">
      <c r="B528" s="21" t="str">
        <f t="shared" si="8"/>
        <v/>
      </c>
      <c r="C528" s="15"/>
      <c r="D528" s="15"/>
      <c r="E528" s="15"/>
      <c r="F528" s="15"/>
      <c r="G528" s="15"/>
      <c r="H528" s="39" t="str">
        <f>IF($G528="","",IFERROR(INDEX('90_SEMA'!$G$7:$H$183,MATCH($G528,'90_SEMA'!$B$7:$B$183,0),NYELV_IDX),"### ISMERETLEN KÓD"))</f>
        <v/>
      </c>
      <c r="I528" s="33"/>
      <c r="J528" s="33"/>
      <c r="K528" s="15"/>
      <c r="L528" s="15"/>
      <c r="M528" s="15"/>
    </row>
    <row r="529" spans="2:13" ht="15" customHeight="1" x14ac:dyDescent="0.3">
      <c r="B529" s="21" t="str">
        <f t="shared" si="8"/>
        <v/>
      </c>
      <c r="C529" s="15"/>
      <c r="D529" s="15"/>
      <c r="E529" s="15"/>
      <c r="F529" s="15"/>
      <c r="G529" s="15"/>
      <c r="H529" s="39" t="str">
        <f>IF($G529="","",IFERROR(INDEX('90_SEMA'!$G$7:$H$183,MATCH($G529,'90_SEMA'!$B$7:$B$183,0),NYELV_IDX),"### ISMERETLEN KÓD"))</f>
        <v/>
      </c>
      <c r="I529" s="33"/>
      <c r="J529" s="33"/>
      <c r="K529" s="15"/>
      <c r="L529" s="15"/>
      <c r="M529" s="15"/>
    </row>
    <row r="530" spans="2:13" ht="15" customHeight="1" x14ac:dyDescent="0.3">
      <c r="B530" s="21" t="str">
        <f t="shared" si="8"/>
        <v/>
      </c>
      <c r="C530" s="15"/>
      <c r="D530" s="15"/>
      <c r="E530" s="15"/>
      <c r="F530" s="15"/>
      <c r="G530" s="15"/>
      <c r="H530" s="39" t="str">
        <f>IF($G530="","",IFERROR(INDEX('90_SEMA'!$G$7:$H$183,MATCH($G530,'90_SEMA'!$B$7:$B$183,0),NYELV_IDX),"### ISMERETLEN KÓD"))</f>
        <v/>
      </c>
      <c r="I530" s="33"/>
      <c r="J530" s="33"/>
      <c r="K530" s="15"/>
      <c r="L530" s="15"/>
      <c r="M530" s="15"/>
    </row>
    <row r="531" spans="2:13" ht="15" customHeight="1" x14ac:dyDescent="0.3">
      <c r="B531" s="21" t="str">
        <f t="shared" si="8"/>
        <v/>
      </c>
      <c r="C531" s="15"/>
      <c r="D531" s="15"/>
      <c r="E531" s="15"/>
      <c r="F531" s="15"/>
      <c r="G531" s="15"/>
      <c r="H531" s="39" t="str">
        <f>IF($G531="","",IFERROR(INDEX('90_SEMA'!$G$7:$H$183,MATCH($G531,'90_SEMA'!$B$7:$B$183,0),NYELV_IDX),"### ISMERETLEN KÓD"))</f>
        <v/>
      </c>
      <c r="I531" s="33"/>
      <c r="J531" s="33"/>
      <c r="K531" s="15"/>
      <c r="L531" s="15"/>
      <c r="M531" s="15"/>
    </row>
    <row r="532" spans="2:13" ht="15" customHeight="1" x14ac:dyDescent="0.3">
      <c r="B532" s="21" t="str">
        <f t="shared" si="8"/>
        <v/>
      </c>
      <c r="C532" s="15"/>
      <c r="D532" s="15"/>
      <c r="E532" s="15"/>
      <c r="F532" s="15"/>
      <c r="G532" s="15"/>
      <c r="H532" s="39" t="str">
        <f>IF($G532="","",IFERROR(INDEX('90_SEMA'!$G$7:$H$183,MATCH($G532,'90_SEMA'!$B$7:$B$183,0),NYELV_IDX),"### ISMERETLEN KÓD"))</f>
        <v/>
      </c>
      <c r="I532" s="33"/>
      <c r="J532" s="33"/>
      <c r="K532" s="15"/>
      <c r="L532" s="15"/>
      <c r="M532" s="15"/>
    </row>
    <row r="533" spans="2:13" ht="15" customHeight="1" x14ac:dyDescent="0.3">
      <c r="B533" s="21" t="str">
        <f t="shared" si="8"/>
        <v/>
      </c>
      <c r="C533" s="15"/>
      <c r="D533" s="15"/>
      <c r="E533" s="15"/>
      <c r="F533" s="15"/>
      <c r="G533" s="15"/>
      <c r="H533" s="39" t="str">
        <f>IF($G533="","",IFERROR(INDEX('90_SEMA'!$G$7:$H$183,MATCH($G533,'90_SEMA'!$B$7:$B$183,0),NYELV_IDX),"### ISMERETLEN KÓD"))</f>
        <v/>
      </c>
      <c r="I533" s="33"/>
      <c r="J533" s="33"/>
      <c r="K533" s="15"/>
      <c r="L533" s="15"/>
      <c r="M533" s="15"/>
    </row>
    <row r="534" spans="2:13" ht="15" customHeight="1" x14ac:dyDescent="0.3">
      <c r="B534" s="21" t="str">
        <f t="shared" si="8"/>
        <v/>
      </c>
      <c r="C534" s="15"/>
      <c r="D534" s="15"/>
      <c r="E534" s="15"/>
      <c r="F534" s="15"/>
      <c r="G534" s="15"/>
      <c r="H534" s="39" t="str">
        <f>IF($G534="","",IFERROR(INDEX('90_SEMA'!$G$7:$H$183,MATCH($G534,'90_SEMA'!$B$7:$B$183,0),NYELV_IDX),"### ISMERETLEN KÓD"))</f>
        <v/>
      </c>
      <c r="I534" s="33"/>
      <c r="J534" s="33"/>
      <c r="K534" s="15"/>
      <c r="L534" s="15"/>
      <c r="M534" s="15"/>
    </row>
    <row r="535" spans="2:13" ht="15" customHeight="1" x14ac:dyDescent="0.3">
      <c r="B535" s="21" t="str">
        <f t="shared" si="8"/>
        <v/>
      </c>
      <c r="C535" s="15"/>
      <c r="D535" s="15"/>
      <c r="E535" s="15"/>
      <c r="F535" s="15"/>
      <c r="G535" s="15"/>
      <c r="H535" s="39" t="str">
        <f>IF($G535="","",IFERROR(INDEX('90_SEMA'!$G$7:$H$183,MATCH($G535,'90_SEMA'!$B$7:$B$183,0),NYELV_IDX),"### ISMERETLEN KÓD"))</f>
        <v/>
      </c>
      <c r="I535" s="33"/>
      <c r="J535" s="33"/>
      <c r="K535" s="15"/>
      <c r="L535" s="15"/>
      <c r="M535" s="15"/>
    </row>
    <row r="536" spans="2:13" ht="15" customHeight="1" x14ac:dyDescent="0.3">
      <c r="B536" s="21" t="str">
        <f t="shared" si="8"/>
        <v/>
      </c>
      <c r="C536" s="15"/>
      <c r="D536" s="15"/>
      <c r="E536" s="15"/>
      <c r="F536" s="15"/>
      <c r="G536" s="15"/>
      <c r="H536" s="39" t="str">
        <f>IF($G536="","",IFERROR(INDEX('90_SEMA'!$G$7:$H$183,MATCH($G536,'90_SEMA'!$B$7:$B$183,0),NYELV_IDX),"### ISMERETLEN KÓD"))</f>
        <v/>
      </c>
      <c r="I536" s="33"/>
      <c r="J536" s="33"/>
      <c r="K536" s="15"/>
      <c r="L536" s="15"/>
      <c r="M536" s="15"/>
    </row>
    <row r="537" spans="2:13" ht="15" customHeight="1" x14ac:dyDescent="0.3">
      <c r="B537" s="21" t="str">
        <f t="shared" si="8"/>
        <v/>
      </c>
      <c r="C537" s="15"/>
      <c r="D537" s="15"/>
      <c r="E537" s="15"/>
      <c r="F537" s="15"/>
      <c r="G537" s="15"/>
      <c r="H537" s="39" t="str">
        <f>IF($G537="","",IFERROR(INDEX('90_SEMA'!$G$7:$H$183,MATCH($G537,'90_SEMA'!$B$7:$B$183,0),NYELV_IDX),"### ISMERETLEN KÓD"))</f>
        <v/>
      </c>
      <c r="I537" s="33"/>
      <c r="J537" s="33"/>
      <c r="K537" s="15"/>
      <c r="L537" s="15"/>
      <c r="M537" s="15"/>
    </row>
    <row r="538" spans="2:13" ht="15" customHeight="1" x14ac:dyDescent="0.3">
      <c r="B538" s="21" t="str">
        <f t="shared" si="8"/>
        <v/>
      </c>
      <c r="C538" s="15"/>
      <c r="D538" s="15"/>
      <c r="E538" s="15"/>
      <c r="F538" s="15"/>
      <c r="G538" s="15"/>
      <c r="H538" s="39" t="str">
        <f>IF($G538="","",IFERROR(INDEX('90_SEMA'!$G$7:$H$183,MATCH($G538,'90_SEMA'!$B$7:$B$183,0),NYELV_IDX),"### ISMERETLEN KÓD"))</f>
        <v/>
      </c>
      <c r="I538" s="33"/>
      <c r="J538" s="33"/>
      <c r="K538" s="15"/>
      <c r="L538" s="15"/>
      <c r="M538" s="15"/>
    </row>
    <row r="539" spans="2:13" ht="15" customHeight="1" x14ac:dyDescent="0.3">
      <c r="B539" s="21" t="str">
        <f t="shared" si="8"/>
        <v/>
      </c>
      <c r="C539" s="15"/>
      <c r="D539" s="15"/>
      <c r="E539" s="15"/>
      <c r="F539" s="15"/>
      <c r="G539" s="15"/>
      <c r="H539" s="39" t="str">
        <f>IF($G539="","",IFERROR(INDEX('90_SEMA'!$G$7:$H$183,MATCH($G539,'90_SEMA'!$B$7:$B$183,0),NYELV_IDX),"### ISMERETLEN KÓD"))</f>
        <v/>
      </c>
      <c r="I539" s="33"/>
      <c r="J539" s="33"/>
      <c r="K539" s="15"/>
      <c r="L539" s="15"/>
      <c r="M539" s="15"/>
    </row>
    <row r="540" spans="2:13" ht="15" customHeight="1" x14ac:dyDescent="0.3">
      <c r="B540" s="21" t="str">
        <f t="shared" si="8"/>
        <v/>
      </c>
      <c r="C540" s="15"/>
      <c r="D540" s="15"/>
      <c r="E540" s="15"/>
      <c r="F540" s="15"/>
      <c r="G540" s="15"/>
      <c r="H540" s="39" t="str">
        <f>IF($G540="","",IFERROR(INDEX('90_SEMA'!$G$7:$H$183,MATCH($G540,'90_SEMA'!$B$7:$B$183,0),NYELV_IDX),"### ISMERETLEN KÓD"))</f>
        <v/>
      </c>
      <c r="I540" s="33"/>
      <c r="J540" s="33"/>
      <c r="K540" s="15"/>
      <c r="L540" s="15"/>
      <c r="M540" s="15"/>
    </row>
    <row r="541" spans="2:13" ht="15" customHeight="1" x14ac:dyDescent="0.3">
      <c r="B541" s="21" t="str">
        <f t="shared" si="8"/>
        <v/>
      </c>
      <c r="C541" s="15"/>
      <c r="D541" s="15"/>
      <c r="E541" s="15"/>
      <c r="F541" s="15"/>
      <c r="G541" s="15"/>
      <c r="H541" s="39" t="str">
        <f>IF($G541="","",IFERROR(INDEX('90_SEMA'!$G$7:$H$183,MATCH($G541,'90_SEMA'!$B$7:$B$183,0),NYELV_IDX),"### ISMERETLEN KÓD"))</f>
        <v/>
      </c>
      <c r="I541" s="33"/>
      <c r="J541" s="33"/>
      <c r="K541" s="15"/>
      <c r="L541" s="15"/>
      <c r="M541" s="15"/>
    </row>
    <row r="542" spans="2:13" ht="15" customHeight="1" x14ac:dyDescent="0.3">
      <c r="B542" s="21" t="str">
        <f t="shared" si="8"/>
        <v/>
      </c>
      <c r="C542" s="15"/>
      <c r="D542" s="15"/>
      <c r="E542" s="15"/>
      <c r="F542" s="15"/>
      <c r="G542" s="15"/>
      <c r="H542" s="39" t="str">
        <f>IF($G542="","",IFERROR(INDEX('90_SEMA'!$G$7:$H$183,MATCH($G542,'90_SEMA'!$B$7:$B$183,0),NYELV_IDX),"### ISMERETLEN KÓD"))</f>
        <v/>
      </c>
      <c r="I542" s="33"/>
      <c r="J542" s="33"/>
      <c r="K542" s="15"/>
      <c r="L542" s="15"/>
      <c r="M542" s="15"/>
    </row>
    <row r="543" spans="2:13" ht="15" customHeight="1" x14ac:dyDescent="0.3">
      <c r="B543" s="21" t="str">
        <f t="shared" si="8"/>
        <v/>
      </c>
      <c r="C543" s="15"/>
      <c r="D543" s="15"/>
      <c r="E543" s="15"/>
      <c r="F543" s="15"/>
      <c r="G543" s="15"/>
      <c r="H543" s="39" t="str">
        <f>IF($G543="","",IFERROR(INDEX('90_SEMA'!$G$7:$H$183,MATCH($G543,'90_SEMA'!$B$7:$B$183,0),NYELV_IDX),"### ISMERETLEN KÓD"))</f>
        <v/>
      </c>
      <c r="I543" s="33"/>
      <c r="J543" s="33"/>
      <c r="K543" s="15"/>
      <c r="L543" s="15"/>
      <c r="M543" s="15"/>
    </row>
    <row r="544" spans="2:13" ht="15" customHeight="1" x14ac:dyDescent="0.3">
      <c r="B544" s="21" t="str">
        <f t="shared" si="8"/>
        <v/>
      </c>
      <c r="C544" s="15"/>
      <c r="D544" s="15"/>
      <c r="E544" s="15"/>
      <c r="F544" s="15"/>
      <c r="G544" s="15"/>
      <c r="H544" s="39" t="str">
        <f>IF($G544="","",IFERROR(INDEX('90_SEMA'!$G$7:$H$183,MATCH($G544,'90_SEMA'!$B$7:$B$183,0),NYELV_IDX),"### ISMERETLEN KÓD"))</f>
        <v/>
      </c>
      <c r="I544" s="33"/>
      <c r="J544" s="33"/>
      <c r="K544" s="15"/>
      <c r="L544" s="15"/>
      <c r="M544" s="15"/>
    </row>
    <row r="545" spans="2:13" ht="15" customHeight="1" x14ac:dyDescent="0.3">
      <c r="B545" s="21" t="str">
        <f t="shared" si="8"/>
        <v/>
      </c>
      <c r="C545" s="15"/>
      <c r="D545" s="15"/>
      <c r="E545" s="15"/>
      <c r="F545" s="15"/>
      <c r="G545" s="15"/>
      <c r="H545" s="39" t="str">
        <f>IF($G545="","",IFERROR(INDEX('90_SEMA'!$G$7:$H$183,MATCH($G545,'90_SEMA'!$B$7:$B$183,0),NYELV_IDX),"### ISMERETLEN KÓD"))</f>
        <v/>
      </c>
      <c r="I545" s="33"/>
      <c r="J545" s="33"/>
      <c r="K545" s="15"/>
      <c r="L545" s="15"/>
      <c r="M545" s="15"/>
    </row>
    <row r="546" spans="2:13" ht="15" customHeight="1" x14ac:dyDescent="0.3">
      <c r="B546" s="21" t="str">
        <f t="shared" si="8"/>
        <v/>
      </c>
      <c r="C546" s="15"/>
      <c r="D546" s="15"/>
      <c r="E546" s="15"/>
      <c r="F546" s="15"/>
      <c r="G546" s="15"/>
      <c r="H546" s="39" t="str">
        <f>IF($G546="","",IFERROR(INDEX('90_SEMA'!$G$7:$H$183,MATCH($G546,'90_SEMA'!$B$7:$B$183,0),NYELV_IDX),"### ISMERETLEN KÓD"))</f>
        <v/>
      </c>
      <c r="I546" s="33"/>
      <c r="J546" s="33"/>
      <c r="K546" s="15"/>
      <c r="L546" s="15"/>
      <c r="M546" s="15"/>
    </row>
    <row r="547" spans="2:13" ht="15" customHeight="1" x14ac:dyDescent="0.3">
      <c r="B547" s="21" t="str">
        <f t="shared" si="8"/>
        <v/>
      </c>
      <c r="C547" s="15"/>
      <c r="D547" s="15"/>
      <c r="E547" s="15"/>
      <c r="F547" s="15"/>
      <c r="G547" s="15"/>
      <c r="H547" s="39" t="str">
        <f>IF($G547="","",IFERROR(INDEX('90_SEMA'!$G$7:$H$183,MATCH($G547,'90_SEMA'!$B$7:$B$183,0),NYELV_IDX),"### ISMERETLEN KÓD"))</f>
        <v/>
      </c>
      <c r="I547" s="33"/>
      <c r="J547" s="33"/>
      <c r="K547" s="15"/>
      <c r="L547" s="15"/>
      <c r="M547" s="15"/>
    </row>
    <row r="548" spans="2:13" ht="15" customHeight="1" x14ac:dyDescent="0.3">
      <c r="B548" s="21" t="str">
        <f t="shared" si="8"/>
        <v/>
      </c>
      <c r="C548" s="15"/>
      <c r="D548" s="15"/>
      <c r="E548" s="15"/>
      <c r="F548" s="15"/>
      <c r="G548" s="15"/>
      <c r="H548" s="39" t="str">
        <f>IF($G548="","",IFERROR(INDEX('90_SEMA'!$G$7:$H$183,MATCH($G548,'90_SEMA'!$B$7:$B$183,0),NYELV_IDX),"### ISMERETLEN KÓD"))</f>
        <v/>
      </c>
      <c r="I548" s="33"/>
      <c r="J548" s="33"/>
      <c r="K548" s="15"/>
      <c r="L548" s="15"/>
      <c r="M548" s="15"/>
    </row>
    <row r="549" spans="2:13" ht="15" customHeight="1" x14ac:dyDescent="0.3">
      <c r="B549" s="21" t="str">
        <f t="shared" si="8"/>
        <v/>
      </c>
      <c r="C549" s="15"/>
      <c r="D549" s="15"/>
      <c r="E549" s="15"/>
      <c r="F549" s="15"/>
      <c r="G549" s="15"/>
      <c r="H549" s="39" t="str">
        <f>IF($G549="","",IFERROR(INDEX('90_SEMA'!$G$7:$H$183,MATCH($G549,'90_SEMA'!$B$7:$B$183,0),NYELV_IDX),"### ISMERETLEN KÓD"))</f>
        <v/>
      </c>
      <c r="I549" s="33"/>
      <c r="J549" s="33"/>
      <c r="K549" s="15"/>
      <c r="L549" s="15"/>
      <c r="M549" s="15"/>
    </row>
    <row r="550" spans="2:13" ht="15" customHeight="1" x14ac:dyDescent="0.3">
      <c r="B550" s="21" t="str">
        <f t="shared" si="8"/>
        <v/>
      </c>
      <c r="C550" s="15"/>
      <c r="D550" s="15"/>
      <c r="E550" s="15"/>
      <c r="F550" s="15"/>
      <c r="G550" s="15"/>
      <c r="H550" s="39" t="str">
        <f>IF($G550="","",IFERROR(INDEX('90_SEMA'!$G$7:$H$183,MATCH($G550,'90_SEMA'!$B$7:$B$183,0),NYELV_IDX),"### ISMERETLEN KÓD"))</f>
        <v/>
      </c>
      <c r="I550" s="33"/>
      <c r="J550" s="33"/>
      <c r="K550" s="15"/>
      <c r="L550" s="15"/>
      <c r="M550" s="15"/>
    </row>
    <row r="551" spans="2:13" ht="15" customHeight="1" x14ac:dyDescent="0.3">
      <c r="B551" s="21" t="str">
        <f t="shared" si="8"/>
        <v/>
      </c>
      <c r="C551" s="15"/>
      <c r="D551" s="15"/>
      <c r="E551" s="15"/>
      <c r="F551" s="15"/>
      <c r="G551" s="15"/>
      <c r="H551" s="39" t="str">
        <f>IF($G551="","",IFERROR(INDEX('90_SEMA'!$G$7:$H$183,MATCH($G551,'90_SEMA'!$B$7:$B$183,0),NYELV_IDX),"### ISMERETLEN KÓD"))</f>
        <v/>
      </c>
      <c r="I551" s="33"/>
      <c r="J551" s="33"/>
      <c r="K551" s="15"/>
      <c r="L551" s="15"/>
      <c r="M551" s="15"/>
    </row>
    <row r="552" spans="2:13" ht="15" customHeight="1" x14ac:dyDescent="0.3">
      <c r="B552" s="21" t="str">
        <f t="shared" si="8"/>
        <v/>
      </c>
      <c r="C552" s="15"/>
      <c r="D552" s="15"/>
      <c r="E552" s="15"/>
      <c r="F552" s="15"/>
      <c r="G552" s="15"/>
      <c r="H552" s="39" t="str">
        <f>IF($G552="","",IFERROR(INDEX('90_SEMA'!$G$7:$H$183,MATCH($G552,'90_SEMA'!$B$7:$B$183,0),NYELV_IDX),"### ISMERETLEN KÓD"))</f>
        <v/>
      </c>
      <c r="I552" s="33"/>
      <c r="J552" s="33"/>
      <c r="K552" s="15"/>
      <c r="L552" s="15"/>
      <c r="M552" s="15"/>
    </row>
    <row r="553" spans="2:13" ht="15" customHeight="1" x14ac:dyDescent="0.3">
      <c r="B553" s="21" t="str">
        <f t="shared" si="8"/>
        <v/>
      </c>
      <c r="C553" s="15"/>
      <c r="D553" s="15"/>
      <c r="E553" s="15"/>
      <c r="F553" s="15"/>
      <c r="G553" s="15"/>
      <c r="H553" s="39" t="str">
        <f>IF($G553="","",IFERROR(INDEX('90_SEMA'!$G$7:$H$183,MATCH($G553,'90_SEMA'!$B$7:$B$183,0),NYELV_IDX),"### ISMERETLEN KÓD"))</f>
        <v/>
      </c>
      <c r="I553" s="33"/>
      <c r="J553" s="33"/>
      <c r="K553" s="15"/>
      <c r="L553" s="15"/>
      <c r="M553" s="15"/>
    </row>
    <row r="554" spans="2:13" ht="15" customHeight="1" x14ac:dyDescent="0.3">
      <c r="B554" s="21" t="str">
        <f t="shared" si="8"/>
        <v/>
      </c>
      <c r="C554" s="15"/>
      <c r="D554" s="15"/>
      <c r="E554" s="15"/>
      <c r="F554" s="15"/>
      <c r="G554" s="15"/>
      <c r="H554" s="39" t="str">
        <f>IF($G554="","",IFERROR(INDEX('90_SEMA'!$G$7:$H$183,MATCH($G554,'90_SEMA'!$B$7:$B$183,0),NYELV_IDX),"### ISMERETLEN KÓD"))</f>
        <v/>
      </c>
      <c r="I554" s="33"/>
      <c r="J554" s="33"/>
      <c r="K554" s="15"/>
      <c r="L554" s="15"/>
      <c r="M554" s="15"/>
    </row>
    <row r="555" spans="2:13" ht="15" customHeight="1" x14ac:dyDescent="0.3">
      <c r="B555" s="21" t="str">
        <f t="shared" si="8"/>
        <v/>
      </c>
      <c r="C555" s="15"/>
      <c r="D555" s="15"/>
      <c r="E555" s="15"/>
      <c r="F555" s="15"/>
      <c r="G555" s="15"/>
      <c r="H555" s="39" t="str">
        <f>IF($G555="","",IFERROR(INDEX('90_SEMA'!$G$7:$H$183,MATCH($G555,'90_SEMA'!$B$7:$B$183,0),NYELV_IDX),"### ISMERETLEN KÓD"))</f>
        <v/>
      </c>
      <c r="I555" s="33"/>
      <c r="J555" s="33"/>
      <c r="K555" s="15"/>
      <c r="L555" s="15"/>
      <c r="M555" s="15"/>
    </row>
    <row r="556" spans="2:13" ht="15" customHeight="1" x14ac:dyDescent="0.3">
      <c r="B556" s="21" t="str">
        <f t="shared" si="8"/>
        <v/>
      </c>
      <c r="C556" s="15"/>
      <c r="D556" s="15"/>
      <c r="E556" s="15"/>
      <c r="F556" s="15"/>
      <c r="G556" s="15"/>
      <c r="H556" s="39" t="str">
        <f>IF($G556="","",IFERROR(INDEX('90_SEMA'!$G$7:$H$183,MATCH($G556,'90_SEMA'!$B$7:$B$183,0),NYELV_IDX),"### ISMERETLEN KÓD"))</f>
        <v/>
      </c>
      <c r="I556" s="33"/>
      <c r="J556" s="33"/>
      <c r="K556" s="15"/>
      <c r="L556" s="15"/>
      <c r="M556" s="15"/>
    </row>
    <row r="557" spans="2:13" ht="15" customHeight="1" x14ac:dyDescent="0.3">
      <c r="B557" s="21" t="str">
        <f t="shared" si="8"/>
        <v/>
      </c>
      <c r="C557" s="15"/>
      <c r="D557" s="15"/>
      <c r="E557" s="15"/>
      <c r="F557" s="15"/>
      <c r="G557" s="15"/>
      <c r="H557" s="39" t="str">
        <f>IF($G557="","",IFERROR(INDEX('90_SEMA'!$G$7:$H$183,MATCH($G557,'90_SEMA'!$B$7:$B$183,0),NYELV_IDX),"### ISMERETLEN KÓD"))</f>
        <v/>
      </c>
      <c r="I557" s="33"/>
      <c r="J557" s="33"/>
      <c r="K557" s="15"/>
      <c r="L557" s="15"/>
      <c r="M557" s="15"/>
    </row>
    <row r="558" spans="2:13" ht="15" customHeight="1" x14ac:dyDescent="0.3">
      <c r="B558" s="21" t="str">
        <f t="shared" si="8"/>
        <v/>
      </c>
      <c r="C558" s="15"/>
      <c r="D558" s="15"/>
      <c r="E558" s="15"/>
      <c r="F558" s="15"/>
      <c r="G558" s="15"/>
      <c r="H558" s="39" t="str">
        <f>IF($G558="","",IFERROR(INDEX('90_SEMA'!$G$7:$H$183,MATCH($G558,'90_SEMA'!$B$7:$B$183,0),NYELV_IDX),"### ISMERETLEN KÓD"))</f>
        <v/>
      </c>
      <c r="I558" s="33"/>
      <c r="J558" s="33"/>
      <c r="K558" s="15"/>
      <c r="L558" s="15"/>
      <c r="M558" s="15"/>
    </row>
    <row r="559" spans="2:13" ht="15" customHeight="1" x14ac:dyDescent="0.3">
      <c r="B559" s="21" t="str">
        <f t="shared" si="8"/>
        <v/>
      </c>
      <c r="C559" s="15"/>
      <c r="D559" s="15"/>
      <c r="E559" s="15"/>
      <c r="F559" s="15"/>
      <c r="G559" s="15"/>
      <c r="H559" s="39" t="str">
        <f>IF($G559="","",IFERROR(INDEX('90_SEMA'!$G$7:$H$183,MATCH($G559,'90_SEMA'!$B$7:$B$183,0),NYELV_IDX),"### ISMERETLEN KÓD"))</f>
        <v/>
      </c>
      <c r="I559" s="33"/>
      <c r="J559" s="33"/>
      <c r="K559" s="15"/>
      <c r="L559" s="15"/>
      <c r="M559" s="15"/>
    </row>
    <row r="560" spans="2:13" ht="15" customHeight="1" x14ac:dyDescent="0.3">
      <c r="B560" s="21" t="str">
        <f t="shared" si="8"/>
        <v/>
      </c>
      <c r="C560" s="15"/>
      <c r="D560" s="15"/>
      <c r="E560" s="15"/>
      <c r="F560" s="15"/>
      <c r="G560" s="15"/>
      <c r="H560" s="39" t="str">
        <f>IF($G560="","",IFERROR(INDEX('90_SEMA'!$G$7:$H$183,MATCH($G560,'90_SEMA'!$B$7:$B$183,0),NYELV_IDX),"### ISMERETLEN KÓD"))</f>
        <v/>
      </c>
      <c r="I560" s="33"/>
      <c r="J560" s="33"/>
      <c r="K560" s="15"/>
      <c r="L560" s="15"/>
      <c r="M560" s="15"/>
    </row>
    <row r="561" spans="2:13" ht="15" customHeight="1" x14ac:dyDescent="0.3">
      <c r="B561" s="21" t="str">
        <f t="shared" si="8"/>
        <v/>
      </c>
      <c r="C561" s="15"/>
      <c r="D561" s="15"/>
      <c r="E561" s="15"/>
      <c r="F561" s="15"/>
      <c r="G561" s="15"/>
      <c r="H561" s="39" t="str">
        <f>IF($G561="","",IFERROR(INDEX('90_SEMA'!$G$7:$H$183,MATCH($G561,'90_SEMA'!$B$7:$B$183,0),NYELV_IDX),"### ISMERETLEN KÓD"))</f>
        <v/>
      </c>
      <c r="I561" s="33"/>
      <c r="J561" s="33"/>
      <c r="K561" s="15"/>
      <c r="L561" s="15"/>
      <c r="M561" s="15"/>
    </row>
    <row r="562" spans="2:13" ht="15" customHeight="1" x14ac:dyDescent="0.3">
      <c r="B562" s="21" t="str">
        <f t="shared" si="8"/>
        <v/>
      </c>
      <c r="C562" s="15"/>
      <c r="D562" s="15"/>
      <c r="E562" s="15"/>
      <c r="F562" s="15"/>
      <c r="G562" s="15"/>
      <c r="H562" s="39" t="str">
        <f>IF($G562="","",IFERROR(INDEX('90_SEMA'!$G$7:$H$183,MATCH($G562,'90_SEMA'!$B$7:$B$183,0),NYELV_IDX),"### ISMERETLEN KÓD"))</f>
        <v/>
      </c>
      <c r="I562" s="33"/>
      <c r="J562" s="33"/>
      <c r="K562" s="15"/>
      <c r="L562" s="15"/>
      <c r="M562" s="15"/>
    </row>
    <row r="563" spans="2:13" ht="15" customHeight="1" x14ac:dyDescent="0.3">
      <c r="B563" s="21" t="str">
        <f t="shared" si="8"/>
        <v/>
      </c>
      <c r="C563" s="15"/>
      <c r="D563" s="15"/>
      <c r="E563" s="15"/>
      <c r="F563" s="15"/>
      <c r="G563" s="15"/>
      <c r="H563" s="39" t="str">
        <f>IF($G563="","",IFERROR(INDEX('90_SEMA'!$G$7:$H$183,MATCH($G563,'90_SEMA'!$B$7:$B$183,0),NYELV_IDX),"### ISMERETLEN KÓD"))</f>
        <v/>
      </c>
      <c r="I563" s="33"/>
      <c r="J563" s="33"/>
      <c r="K563" s="15"/>
      <c r="L563" s="15"/>
      <c r="M563" s="15"/>
    </row>
    <row r="564" spans="2:13" ht="15" customHeight="1" x14ac:dyDescent="0.3">
      <c r="B564" s="21" t="str">
        <f t="shared" si="8"/>
        <v/>
      </c>
      <c r="C564" s="15"/>
      <c r="D564" s="15"/>
      <c r="E564" s="15"/>
      <c r="F564" s="15"/>
      <c r="G564" s="15"/>
      <c r="H564" s="39" t="str">
        <f>IF($G564="","",IFERROR(INDEX('90_SEMA'!$G$7:$H$183,MATCH($G564,'90_SEMA'!$B$7:$B$183,0),NYELV_IDX),"### ISMERETLEN KÓD"))</f>
        <v/>
      </c>
      <c r="I564" s="33"/>
      <c r="J564" s="33"/>
      <c r="K564" s="15"/>
      <c r="L564" s="15"/>
      <c r="M564" s="15"/>
    </row>
    <row r="565" spans="2:13" ht="15" customHeight="1" x14ac:dyDescent="0.3">
      <c r="B565" s="21" t="str">
        <f t="shared" si="8"/>
        <v/>
      </c>
      <c r="C565" s="15"/>
      <c r="D565" s="15"/>
      <c r="E565" s="15"/>
      <c r="F565" s="15"/>
      <c r="G565" s="15"/>
      <c r="H565" s="39" t="str">
        <f>IF($G565="","",IFERROR(INDEX('90_SEMA'!$G$7:$H$183,MATCH($G565,'90_SEMA'!$B$7:$B$183,0),NYELV_IDX),"### ISMERETLEN KÓD"))</f>
        <v/>
      </c>
      <c r="I565" s="33"/>
      <c r="J565" s="33"/>
      <c r="K565" s="15"/>
      <c r="L565" s="15"/>
      <c r="M565" s="15"/>
    </row>
    <row r="566" spans="2:13" ht="15" customHeight="1" x14ac:dyDescent="0.3">
      <c r="B566" s="21" t="str">
        <f t="shared" si="8"/>
        <v/>
      </c>
      <c r="C566" s="15"/>
      <c r="D566" s="15"/>
      <c r="E566" s="15"/>
      <c r="F566" s="15"/>
      <c r="G566" s="15"/>
      <c r="H566" s="39" t="str">
        <f>IF($G566="","",IFERROR(INDEX('90_SEMA'!$G$7:$H$183,MATCH($G566,'90_SEMA'!$B$7:$B$183,0),NYELV_IDX),"### ISMERETLEN KÓD"))</f>
        <v/>
      </c>
      <c r="I566" s="33"/>
      <c r="J566" s="33"/>
      <c r="K566" s="15"/>
      <c r="L566" s="15"/>
      <c r="M566" s="15"/>
    </row>
    <row r="567" spans="2:13" ht="15" customHeight="1" x14ac:dyDescent="0.3">
      <c r="B567" s="21" t="str">
        <f t="shared" si="8"/>
        <v/>
      </c>
      <c r="C567" s="15"/>
      <c r="D567" s="15"/>
      <c r="E567" s="15"/>
      <c r="F567" s="15"/>
      <c r="G567" s="15"/>
      <c r="H567" s="39" t="str">
        <f>IF($G567="","",IFERROR(INDEX('90_SEMA'!$G$7:$H$183,MATCH($G567,'90_SEMA'!$B$7:$B$183,0),NYELV_IDX),"### ISMERETLEN KÓD"))</f>
        <v/>
      </c>
      <c r="I567" s="33"/>
      <c r="J567" s="33"/>
      <c r="K567" s="15"/>
      <c r="L567" s="15"/>
      <c r="M567" s="15"/>
    </row>
    <row r="568" spans="2:13" ht="15" customHeight="1" x14ac:dyDescent="0.3">
      <c r="B568" s="21" t="str">
        <f t="shared" si="8"/>
        <v/>
      </c>
      <c r="C568" s="15"/>
      <c r="D568" s="15"/>
      <c r="E568" s="15"/>
      <c r="F568" s="15"/>
      <c r="G568" s="15"/>
      <c r="H568" s="39" t="str">
        <f>IF($G568="","",IFERROR(INDEX('90_SEMA'!$G$7:$H$183,MATCH($G568,'90_SEMA'!$B$7:$B$183,0),NYELV_IDX),"### ISMERETLEN KÓD"))</f>
        <v/>
      </c>
      <c r="I568" s="33"/>
      <c r="J568" s="33"/>
      <c r="K568" s="15"/>
      <c r="L568" s="15"/>
      <c r="M568" s="15"/>
    </row>
    <row r="569" spans="2:13" ht="15" customHeight="1" x14ac:dyDescent="0.3">
      <c r="B569" s="21" t="str">
        <f t="shared" si="8"/>
        <v/>
      </c>
      <c r="C569" s="15"/>
      <c r="D569" s="15"/>
      <c r="E569" s="15"/>
      <c r="F569" s="15"/>
      <c r="G569" s="15"/>
      <c r="H569" s="39" t="str">
        <f>IF($G569="","",IFERROR(INDEX('90_SEMA'!$G$7:$H$183,MATCH($G569,'90_SEMA'!$B$7:$B$183,0),NYELV_IDX),"### ISMERETLEN KÓD"))</f>
        <v/>
      </c>
      <c r="I569" s="33"/>
      <c r="J569" s="33"/>
      <c r="K569" s="15"/>
      <c r="L569" s="15"/>
      <c r="M569" s="15"/>
    </row>
    <row r="570" spans="2:13" ht="15" customHeight="1" x14ac:dyDescent="0.3">
      <c r="B570" s="21" t="str">
        <f t="shared" si="8"/>
        <v/>
      </c>
      <c r="C570" s="15"/>
      <c r="D570" s="15"/>
      <c r="E570" s="15"/>
      <c r="F570" s="15"/>
      <c r="G570" s="15"/>
      <c r="H570" s="39" t="str">
        <f>IF($G570="","",IFERROR(INDEX('90_SEMA'!$G$7:$H$183,MATCH($G570,'90_SEMA'!$B$7:$B$183,0),NYELV_IDX),"### ISMERETLEN KÓD"))</f>
        <v/>
      </c>
      <c r="I570" s="33"/>
      <c r="J570" s="33"/>
      <c r="K570" s="15"/>
      <c r="L570" s="15"/>
      <c r="M570" s="15"/>
    </row>
    <row r="571" spans="2:13" ht="15" customHeight="1" x14ac:dyDescent="0.3">
      <c r="B571" s="21" t="str">
        <f t="shared" si="8"/>
        <v/>
      </c>
      <c r="C571" s="15"/>
      <c r="D571" s="15"/>
      <c r="E571" s="15"/>
      <c r="F571" s="15"/>
      <c r="G571" s="15"/>
      <c r="H571" s="39" t="str">
        <f>IF($G571="","",IFERROR(INDEX('90_SEMA'!$G$7:$H$183,MATCH($G571,'90_SEMA'!$B$7:$B$183,0),NYELV_IDX),"### ISMERETLEN KÓD"))</f>
        <v/>
      </c>
      <c r="I571" s="33"/>
      <c r="J571" s="33"/>
      <c r="K571" s="15"/>
      <c r="L571" s="15"/>
      <c r="M571" s="15"/>
    </row>
    <row r="572" spans="2:13" ht="15" customHeight="1" x14ac:dyDescent="0.3">
      <c r="B572" s="21" t="str">
        <f t="shared" si="8"/>
        <v/>
      </c>
      <c r="C572" s="15"/>
      <c r="D572" s="15"/>
      <c r="E572" s="15"/>
      <c r="F572" s="15"/>
      <c r="G572" s="15"/>
      <c r="H572" s="39" t="str">
        <f>IF($G572="","",IFERROR(INDEX('90_SEMA'!$G$7:$H$183,MATCH($G572,'90_SEMA'!$B$7:$B$183,0),NYELV_IDX),"### ISMERETLEN KÓD"))</f>
        <v/>
      </c>
      <c r="I572" s="33"/>
      <c r="J572" s="33"/>
      <c r="K572" s="15"/>
      <c r="L572" s="15"/>
      <c r="M572" s="15"/>
    </row>
    <row r="573" spans="2:13" ht="15" customHeight="1" x14ac:dyDescent="0.3">
      <c r="B573" s="21" t="str">
        <f t="shared" si="8"/>
        <v/>
      </c>
      <c r="C573" s="15"/>
      <c r="D573" s="15"/>
      <c r="E573" s="15"/>
      <c r="F573" s="15"/>
      <c r="G573" s="15"/>
      <c r="H573" s="39" t="str">
        <f>IF($G573="","",IFERROR(INDEX('90_SEMA'!$G$7:$H$183,MATCH($G573,'90_SEMA'!$B$7:$B$183,0),NYELV_IDX),"### ISMERETLEN KÓD"))</f>
        <v/>
      </c>
      <c r="I573" s="33"/>
      <c r="J573" s="33"/>
      <c r="K573" s="15"/>
      <c r="L573" s="15"/>
      <c r="M573" s="15"/>
    </row>
    <row r="574" spans="2:13" ht="15" customHeight="1" x14ac:dyDescent="0.3">
      <c r="B574" s="21" t="str">
        <f t="shared" si="8"/>
        <v/>
      </c>
      <c r="C574" s="15"/>
      <c r="D574" s="15"/>
      <c r="E574" s="15"/>
      <c r="F574" s="15"/>
      <c r="G574" s="15"/>
      <c r="H574" s="39" t="str">
        <f>IF($G574="","",IFERROR(INDEX('90_SEMA'!$G$7:$H$183,MATCH($G574,'90_SEMA'!$B$7:$B$183,0),NYELV_IDX),"### ISMERETLEN KÓD"))</f>
        <v/>
      </c>
      <c r="I574" s="33"/>
      <c r="J574" s="33"/>
      <c r="K574" s="15"/>
      <c r="L574" s="15"/>
      <c r="M574" s="15"/>
    </row>
    <row r="575" spans="2:13" ht="15" customHeight="1" x14ac:dyDescent="0.3">
      <c r="B575" s="21" t="str">
        <f t="shared" si="8"/>
        <v/>
      </c>
      <c r="C575" s="15"/>
      <c r="D575" s="15"/>
      <c r="E575" s="15"/>
      <c r="F575" s="15"/>
      <c r="G575" s="15"/>
      <c r="H575" s="39" t="str">
        <f>IF($G575="","",IFERROR(INDEX('90_SEMA'!$G$7:$H$183,MATCH($G575,'90_SEMA'!$B$7:$B$183,0),NYELV_IDX),"### ISMERETLEN KÓD"))</f>
        <v/>
      </c>
      <c r="I575" s="33"/>
      <c r="J575" s="33"/>
      <c r="K575" s="15"/>
      <c r="L575" s="15"/>
      <c r="M575" s="15"/>
    </row>
    <row r="576" spans="2:13" ht="15" customHeight="1" x14ac:dyDescent="0.3">
      <c r="B576" s="21" t="str">
        <f t="shared" si="8"/>
        <v/>
      </c>
      <c r="C576" s="15"/>
      <c r="D576" s="15"/>
      <c r="E576" s="15"/>
      <c r="F576" s="15"/>
      <c r="G576" s="15"/>
      <c r="H576" s="39" t="str">
        <f>IF($G576="","",IFERROR(INDEX('90_SEMA'!$G$7:$H$183,MATCH($G576,'90_SEMA'!$B$7:$B$183,0),NYELV_IDX),"### ISMERETLEN KÓD"))</f>
        <v/>
      </c>
      <c r="I576" s="33"/>
      <c r="J576" s="33"/>
      <c r="K576" s="15"/>
      <c r="L576" s="15"/>
      <c r="M576" s="15"/>
    </row>
    <row r="577" spans="2:13" ht="15" customHeight="1" x14ac:dyDescent="0.3">
      <c r="B577" s="21" t="str">
        <f t="shared" si="8"/>
        <v/>
      </c>
      <c r="C577" s="15"/>
      <c r="D577" s="15"/>
      <c r="E577" s="15"/>
      <c r="F577" s="15"/>
      <c r="G577" s="15"/>
      <c r="H577" s="39" t="str">
        <f>IF($G577="","",IFERROR(INDEX('90_SEMA'!$G$7:$H$183,MATCH($G577,'90_SEMA'!$B$7:$B$183,0),NYELV_IDX),"### ISMERETLEN KÓD"))</f>
        <v/>
      </c>
      <c r="I577" s="33"/>
      <c r="J577" s="33"/>
      <c r="K577" s="15"/>
      <c r="L577" s="15"/>
      <c r="M577" s="15"/>
    </row>
    <row r="578" spans="2:13" ht="15" customHeight="1" x14ac:dyDescent="0.3">
      <c r="B578" s="21" t="str">
        <f t="shared" si="8"/>
        <v/>
      </c>
      <c r="C578" s="15"/>
      <c r="D578" s="15"/>
      <c r="E578" s="15"/>
      <c r="F578" s="15"/>
      <c r="G578" s="15"/>
      <c r="H578" s="39" t="str">
        <f>IF($G578="","",IFERROR(INDEX('90_SEMA'!$G$7:$H$183,MATCH($G578,'90_SEMA'!$B$7:$B$183,0),NYELV_IDX),"### ISMERETLEN KÓD"))</f>
        <v/>
      </c>
      <c r="I578" s="33"/>
      <c r="J578" s="33"/>
      <c r="K578" s="15"/>
      <c r="L578" s="15"/>
      <c r="M578" s="15"/>
    </row>
    <row r="579" spans="2:13" ht="15" customHeight="1" x14ac:dyDescent="0.3">
      <c r="B579" s="21" t="str">
        <f t="shared" si="8"/>
        <v/>
      </c>
      <c r="C579" s="15"/>
      <c r="D579" s="15"/>
      <c r="E579" s="15"/>
      <c r="F579" s="15"/>
      <c r="G579" s="15"/>
      <c r="H579" s="39" t="str">
        <f>IF($G579="","",IFERROR(INDEX('90_SEMA'!$G$7:$H$183,MATCH($G579,'90_SEMA'!$B$7:$B$183,0),NYELV_IDX),"### ISMERETLEN KÓD"))</f>
        <v/>
      </c>
      <c r="I579" s="33"/>
      <c r="J579" s="33"/>
      <c r="K579" s="15"/>
      <c r="L579" s="15"/>
      <c r="M579" s="15"/>
    </row>
    <row r="580" spans="2:13" ht="15" customHeight="1" x14ac:dyDescent="0.3">
      <c r="B580" s="21" t="str">
        <f t="shared" si="8"/>
        <v/>
      </c>
      <c r="C580" s="15"/>
      <c r="D580" s="15"/>
      <c r="E580" s="15"/>
      <c r="F580" s="15"/>
      <c r="G580" s="15"/>
      <c r="H580" s="39" t="str">
        <f>IF($G580="","",IFERROR(INDEX('90_SEMA'!$G$7:$H$183,MATCH($G580,'90_SEMA'!$B$7:$B$183,0),NYELV_IDX),"### ISMERETLEN KÓD"))</f>
        <v/>
      </c>
      <c r="I580" s="33"/>
      <c r="J580" s="33"/>
      <c r="K580" s="15"/>
      <c r="L580" s="15"/>
      <c r="M580" s="15"/>
    </row>
    <row r="581" spans="2:13" ht="15" customHeight="1" x14ac:dyDescent="0.3">
      <c r="B581" s="21" t="str">
        <f t="shared" si="8"/>
        <v/>
      </c>
      <c r="C581" s="15"/>
      <c r="D581" s="15"/>
      <c r="E581" s="15"/>
      <c r="F581" s="15"/>
      <c r="G581" s="15"/>
      <c r="H581" s="39" t="str">
        <f>IF($G581="","",IFERROR(INDEX('90_SEMA'!$G$7:$H$183,MATCH($G581,'90_SEMA'!$B$7:$B$183,0),NYELV_IDX),"### ISMERETLEN KÓD"))</f>
        <v/>
      </c>
      <c r="I581" s="33"/>
      <c r="J581" s="33"/>
      <c r="K581" s="15"/>
      <c r="L581" s="15"/>
      <c r="M581" s="15"/>
    </row>
    <row r="582" spans="2:13" ht="15" customHeight="1" x14ac:dyDescent="0.3">
      <c r="B582" s="21" t="str">
        <f t="shared" si="8"/>
        <v/>
      </c>
      <c r="C582" s="15"/>
      <c r="D582" s="15"/>
      <c r="E582" s="15"/>
      <c r="F582" s="15"/>
      <c r="G582" s="15"/>
      <c r="H582" s="39" t="str">
        <f>IF($G582="","",IFERROR(INDEX('90_SEMA'!$G$7:$H$183,MATCH($G582,'90_SEMA'!$B$7:$B$183,0),NYELV_IDX),"### ISMERETLEN KÓD"))</f>
        <v/>
      </c>
      <c r="I582" s="33"/>
      <c r="J582" s="33"/>
      <c r="K582" s="15"/>
      <c r="L582" s="15"/>
      <c r="M582" s="15"/>
    </row>
    <row r="583" spans="2:13" ht="15" customHeight="1" x14ac:dyDescent="0.3">
      <c r="B583" s="21" t="str">
        <f t="shared" ref="B583:B646" si="9">IF($G583="","",ROW()-6)</f>
        <v/>
      </c>
      <c r="C583" s="15"/>
      <c r="D583" s="15"/>
      <c r="E583" s="15"/>
      <c r="F583" s="15"/>
      <c r="G583" s="15"/>
      <c r="H583" s="39" t="str">
        <f>IF($G583="","",IFERROR(INDEX('90_SEMA'!$G$7:$H$183,MATCH($G583,'90_SEMA'!$B$7:$B$183,0),NYELV_IDX),"### ISMERETLEN KÓD"))</f>
        <v/>
      </c>
      <c r="I583" s="33"/>
      <c r="J583" s="33"/>
      <c r="K583" s="15"/>
      <c r="L583" s="15"/>
      <c r="M583" s="15"/>
    </row>
    <row r="584" spans="2:13" ht="15" customHeight="1" x14ac:dyDescent="0.3">
      <c r="B584" s="21" t="str">
        <f t="shared" si="9"/>
        <v/>
      </c>
      <c r="C584" s="15"/>
      <c r="D584" s="15"/>
      <c r="E584" s="15"/>
      <c r="F584" s="15"/>
      <c r="G584" s="15"/>
      <c r="H584" s="39" t="str">
        <f>IF($G584="","",IFERROR(INDEX('90_SEMA'!$G$7:$H$183,MATCH($G584,'90_SEMA'!$B$7:$B$183,0),NYELV_IDX),"### ISMERETLEN KÓD"))</f>
        <v/>
      </c>
      <c r="I584" s="33"/>
      <c r="J584" s="33"/>
      <c r="K584" s="15"/>
      <c r="L584" s="15"/>
      <c r="M584" s="15"/>
    </row>
    <row r="585" spans="2:13" ht="15" customHeight="1" x14ac:dyDescent="0.3">
      <c r="B585" s="21" t="str">
        <f t="shared" si="9"/>
        <v/>
      </c>
      <c r="C585" s="15"/>
      <c r="D585" s="15"/>
      <c r="E585" s="15"/>
      <c r="F585" s="15"/>
      <c r="G585" s="15"/>
      <c r="H585" s="39" t="str">
        <f>IF($G585="","",IFERROR(INDEX('90_SEMA'!$G$7:$H$183,MATCH($G585,'90_SEMA'!$B$7:$B$183,0),NYELV_IDX),"### ISMERETLEN KÓD"))</f>
        <v/>
      </c>
      <c r="I585" s="33"/>
      <c r="J585" s="33"/>
      <c r="K585" s="15"/>
      <c r="L585" s="15"/>
      <c r="M585" s="15"/>
    </row>
    <row r="586" spans="2:13" ht="15" customHeight="1" x14ac:dyDescent="0.3">
      <c r="B586" s="21" t="str">
        <f t="shared" si="9"/>
        <v/>
      </c>
      <c r="C586" s="15"/>
      <c r="D586" s="15"/>
      <c r="E586" s="15"/>
      <c r="F586" s="15"/>
      <c r="G586" s="15"/>
      <c r="H586" s="39" t="str">
        <f>IF($G586="","",IFERROR(INDEX('90_SEMA'!$G$7:$H$183,MATCH($G586,'90_SEMA'!$B$7:$B$183,0),NYELV_IDX),"### ISMERETLEN KÓD"))</f>
        <v/>
      </c>
      <c r="I586" s="33"/>
      <c r="J586" s="33"/>
      <c r="K586" s="15"/>
      <c r="L586" s="15"/>
      <c r="M586" s="15"/>
    </row>
    <row r="587" spans="2:13" ht="15" customHeight="1" x14ac:dyDescent="0.3">
      <c r="B587" s="21" t="str">
        <f t="shared" si="9"/>
        <v/>
      </c>
      <c r="C587" s="15"/>
      <c r="D587" s="15"/>
      <c r="E587" s="15"/>
      <c r="F587" s="15"/>
      <c r="G587" s="15"/>
      <c r="H587" s="39" t="str">
        <f>IF($G587="","",IFERROR(INDEX('90_SEMA'!$G$7:$H$183,MATCH($G587,'90_SEMA'!$B$7:$B$183,0),NYELV_IDX),"### ISMERETLEN KÓD"))</f>
        <v/>
      </c>
      <c r="I587" s="33"/>
      <c r="J587" s="33"/>
      <c r="K587" s="15"/>
      <c r="L587" s="15"/>
      <c r="M587" s="15"/>
    </row>
    <row r="588" spans="2:13" ht="15" customHeight="1" x14ac:dyDescent="0.3">
      <c r="B588" s="21" t="str">
        <f t="shared" si="9"/>
        <v/>
      </c>
      <c r="C588" s="15"/>
      <c r="D588" s="15"/>
      <c r="E588" s="15"/>
      <c r="F588" s="15"/>
      <c r="G588" s="15"/>
      <c r="H588" s="39" t="str">
        <f>IF($G588="","",IFERROR(INDEX('90_SEMA'!$G$7:$H$183,MATCH($G588,'90_SEMA'!$B$7:$B$183,0),NYELV_IDX),"### ISMERETLEN KÓD"))</f>
        <v/>
      </c>
      <c r="I588" s="33"/>
      <c r="J588" s="33"/>
      <c r="K588" s="15"/>
      <c r="L588" s="15"/>
      <c r="M588" s="15"/>
    </row>
    <row r="589" spans="2:13" ht="15" customHeight="1" x14ac:dyDescent="0.3">
      <c r="B589" s="21" t="str">
        <f t="shared" si="9"/>
        <v/>
      </c>
      <c r="C589" s="15"/>
      <c r="D589" s="15"/>
      <c r="E589" s="15"/>
      <c r="F589" s="15"/>
      <c r="G589" s="15"/>
      <c r="H589" s="39" t="str">
        <f>IF($G589="","",IFERROR(INDEX('90_SEMA'!$G$7:$H$183,MATCH($G589,'90_SEMA'!$B$7:$B$183,0),NYELV_IDX),"### ISMERETLEN KÓD"))</f>
        <v/>
      </c>
      <c r="I589" s="33"/>
      <c r="J589" s="33"/>
      <c r="K589" s="15"/>
      <c r="L589" s="15"/>
      <c r="M589" s="15"/>
    </row>
    <row r="590" spans="2:13" ht="15" customHeight="1" x14ac:dyDescent="0.3">
      <c r="B590" s="21" t="str">
        <f t="shared" si="9"/>
        <v/>
      </c>
      <c r="C590" s="15"/>
      <c r="D590" s="15"/>
      <c r="E590" s="15"/>
      <c r="F590" s="15"/>
      <c r="G590" s="15"/>
      <c r="H590" s="39" t="str">
        <f>IF($G590="","",IFERROR(INDEX('90_SEMA'!$G$7:$H$183,MATCH($G590,'90_SEMA'!$B$7:$B$183,0),NYELV_IDX),"### ISMERETLEN KÓD"))</f>
        <v/>
      </c>
      <c r="I590" s="33"/>
      <c r="J590" s="33"/>
      <c r="K590" s="15"/>
      <c r="L590" s="15"/>
      <c r="M590" s="15"/>
    </row>
    <row r="591" spans="2:13" ht="15" customHeight="1" x14ac:dyDescent="0.3">
      <c r="B591" s="21" t="str">
        <f t="shared" si="9"/>
        <v/>
      </c>
      <c r="C591" s="15"/>
      <c r="D591" s="15"/>
      <c r="E591" s="15"/>
      <c r="F591" s="15"/>
      <c r="G591" s="15"/>
      <c r="H591" s="39" t="str">
        <f>IF($G591="","",IFERROR(INDEX('90_SEMA'!$G$7:$H$183,MATCH($G591,'90_SEMA'!$B$7:$B$183,0),NYELV_IDX),"### ISMERETLEN KÓD"))</f>
        <v/>
      </c>
      <c r="I591" s="33"/>
      <c r="J591" s="33"/>
      <c r="K591" s="15"/>
      <c r="L591" s="15"/>
      <c r="M591" s="15"/>
    </row>
    <row r="592" spans="2:13" ht="15" customHeight="1" x14ac:dyDescent="0.3">
      <c r="B592" s="21" t="str">
        <f t="shared" si="9"/>
        <v/>
      </c>
      <c r="C592" s="15"/>
      <c r="D592" s="15"/>
      <c r="E592" s="15"/>
      <c r="F592" s="15"/>
      <c r="G592" s="15"/>
      <c r="H592" s="39" t="str">
        <f>IF($G592="","",IFERROR(INDEX('90_SEMA'!$G$7:$H$183,MATCH($G592,'90_SEMA'!$B$7:$B$183,0),NYELV_IDX),"### ISMERETLEN KÓD"))</f>
        <v/>
      </c>
      <c r="I592" s="33"/>
      <c r="J592" s="33"/>
      <c r="K592" s="15"/>
      <c r="L592" s="15"/>
      <c r="M592" s="15"/>
    </row>
    <row r="593" spans="2:13" ht="15" customHeight="1" x14ac:dyDescent="0.3">
      <c r="B593" s="21" t="str">
        <f t="shared" si="9"/>
        <v/>
      </c>
      <c r="C593" s="15"/>
      <c r="D593" s="15"/>
      <c r="E593" s="15"/>
      <c r="F593" s="15"/>
      <c r="G593" s="15"/>
      <c r="H593" s="39" t="str">
        <f>IF($G593="","",IFERROR(INDEX('90_SEMA'!$G$7:$H$183,MATCH($G593,'90_SEMA'!$B$7:$B$183,0),NYELV_IDX),"### ISMERETLEN KÓD"))</f>
        <v/>
      </c>
      <c r="I593" s="33"/>
      <c r="J593" s="33"/>
      <c r="K593" s="15"/>
      <c r="L593" s="15"/>
      <c r="M593" s="15"/>
    </row>
    <row r="594" spans="2:13" ht="15" customHeight="1" x14ac:dyDescent="0.3">
      <c r="B594" s="21" t="str">
        <f t="shared" si="9"/>
        <v/>
      </c>
      <c r="C594" s="15"/>
      <c r="D594" s="15"/>
      <c r="E594" s="15"/>
      <c r="F594" s="15"/>
      <c r="G594" s="15"/>
      <c r="H594" s="39" t="str">
        <f>IF($G594="","",IFERROR(INDEX('90_SEMA'!$G$7:$H$183,MATCH($G594,'90_SEMA'!$B$7:$B$183,0),NYELV_IDX),"### ISMERETLEN KÓD"))</f>
        <v/>
      </c>
      <c r="I594" s="33"/>
      <c r="J594" s="33"/>
      <c r="K594" s="15"/>
      <c r="L594" s="15"/>
      <c r="M594" s="15"/>
    </row>
    <row r="595" spans="2:13" ht="15" customHeight="1" x14ac:dyDescent="0.3">
      <c r="B595" s="21" t="str">
        <f t="shared" si="9"/>
        <v/>
      </c>
      <c r="C595" s="15"/>
      <c r="D595" s="15"/>
      <c r="E595" s="15"/>
      <c r="F595" s="15"/>
      <c r="G595" s="15"/>
      <c r="H595" s="39" t="str">
        <f>IF($G595="","",IFERROR(INDEX('90_SEMA'!$G$7:$H$183,MATCH($G595,'90_SEMA'!$B$7:$B$183,0),NYELV_IDX),"### ISMERETLEN KÓD"))</f>
        <v/>
      </c>
      <c r="I595" s="33"/>
      <c r="J595" s="33"/>
      <c r="K595" s="15"/>
      <c r="L595" s="15"/>
      <c r="M595" s="15"/>
    </row>
    <row r="596" spans="2:13" ht="15" customHeight="1" x14ac:dyDescent="0.3">
      <c r="B596" s="21" t="str">
        <f t="shared" si="9"/>
        <v/>
      </c>
      <c r="C596" s="15"/>
      <c r="D596" s="15"/>
      <c r="E596" s="15"/>
      <c r="F596" s="15"/>
      <c r="G596" s="15"/>
      <c r="H596" s="39" t="str">
        <f>IF($G596="","",IFERROR(INDEX('90_SEMA'!$G$7:$H$183,MATCH($G596,'90_SEMA'!$B$7:$B$183,0),NYELV_IDX),"### ISMERETLEN KÓD"))</f>
        <v/>
      </c>
      <c r="I596" s="33"/>
      <c r="J596" s="33"/>
      <c r="K596" s="15"/>
      <c r="L596" s="15"/>
      <c r="M596" s="15"/>
    </row>
    <row r="597" spans="2:13" ht="15" customHeight="1" x14ac:dyDescent="0.3">
      <c r="B597" s="21" t="str">
        <f t="shared" si="9"/>
        <v/>
      </c>
      <c r="C597" s="15"/>
      <c r="D597" s="15"/>
      <c r="E597" s="15"/>
      <c r="F597" s="15"/>
      <c r="G597" s="15"/>
      <c r="H597" s="39" t="str">
        <f>IF($G597="","",IFERROR(INDEX('90_SEMA'!$G$7:$H$183,MATCH($G597,'90_SEMA'!$B$7:$B$183,0),NYELV_IDX),"### ISMERETLEN KÓD"))</f>
        <v/>
      </c>
      <c r="I597" s="33"/>
      <c r="J597" s="33"/>
      <c r="K597" s="15"/>
      <c r="L597" s="15"/>
      <c r="M597" s="15"/>
    </row>
    <row r="598" spans="2:13" ht="15" customHeight="1" x14ac:dyDescent="0.3">
      <c r="B598" s="21" t="str">
        <f t="shared" si="9"/>
        <v/>
      </c>
      <c r="C598" s="15"/>
      <c r="D598" s="15"/>
      <c r="E598" s="15"/>
      <c r="F598" s="15"/>
      <c r="G598" s="15"/>
      <c r="H598" s="39" t="str">
        <f>IF($G598="","",IFERROR(INDEX('90_SEMA'!$G$7:$H$183,MATCH($G598,'90_SEMA'!$B$7:$B$183,0),NYELV_IDX),"### ISMERETLEN KÓD"))</f>
        <v/>
      </c>
      <c r="I598" s="33"/>
      <c r="J598" s="33"/>
      <c r="K598" s="15"/>
      <c r="L598" s="15"/>
      <c r="M598" s="15"/>
    </row>
    <row r="599" spans="2:13" ht="15" customHeight="1" x14ac:dyDescent="0.3">
      <c r="B599" s="21" t="str">
        <f t="shared" si="9"/>
        <v/>
      </c>
      <c r="C599" s="15"/>
      <c r="D599" s="15"/>
      <c r="E599" s="15"/>
      <c r="F599" s="15"/>
      <c r="G599" s="15"/>
      <c r="H599" s="39" t="str">
        <f>IF($G599="","",IFERROR(INDEX('90_SEMA'!$G$7:$H$183,MATCH($G599,'90_SEMA'!$B$7:$B$183,0),NYELV_IDX),"### ISMERETLEN KÓD"))</f>
        <v/>
      </c>
      <c r="I599" s="33"/>
      <c r="J599" s="33"/>
      <c r="K599" s="15"/>
      <c r="L599" s="15"/>
      <c r="M599" s="15"/>
    </row>
    <row r="600" spans="2:13" ht="15" customHeight="1" x14ac:dyDescent="0.3">
      <c r="B600" s="21" t="str">
        <f t="shared" si="9"/>
        <v/>
      </c>
      <c r="C600" s="15"/>
      <c r="D600" s="15"/>
      <c r="E600" s="15"/>
      <c r="F600" s="15"/>
      <c r="G600" s="15"/>
      <c r="H600" s="39" t="str">
        <f>IF($G600="","",IFERROR(INDEX('90_SEMA'!$G$7:$H$183,MATCH($G600,'90_SEMA'!$B$7:$B$183,0),NYELV_IDX),"### ISMERETLEN KÓD"))</f>
        <v/>
      </c>
      <c r="I600" s="33"/>
      <c r="J600" s="33"/>
      <c r="K600" s="15"/>
      <c r="L600" s="15"/>
      <c r="M600" s="15"/>
    </row>
    <row r="601" spans="2:13" ht="15" customHeight="1" x14ac:dyDescent="0.3">
      <c r="B601" s="21" t="str">
        <f t="shared" si="9"/>
        <v/>
      </c>
      <c r="C601" s="15"/>
      <c r="D601" s="15"/>
      <c r="E601" s="15"/>
      <c r="F601" s="15"/>
      <c r="G601" s="15"/>
      <c r="H601" s="39" t="str">
        <f>IF($G601="","",IFERROR(INDEX('90_SEMA'!$G$7:$H$183,MATCH($G601,'90_SEMA'!$B$7:$B$183,0),NYELV_IDX),"### ISMERETLEN KÓD"))</f>
        <v/>
      </c>
      <c r="I601" s="33"/>
      <c r="J601" s="33"/>
      <c r="K601" s="15"/>
      <c r="L601" s="15"/>
      <c r="M601" s="15"/>
    </row>
    <row r="602" spans="2:13" ht="15" customHeight="1" x14ac:dyDescent="0.3">
      <c r="B602" s="21" t="str">
        <f t="shared" si="9"/>
        <v/>
      </c>
      <c r="C602" s="15"/>
      <c r="D602" s="15"/>
      <c r="E602" s="15"/>
      <c r="F602" s="15"/>
      <c r="G602" s="15"/>
      <c r="H602" s="39" t="str">
        <f>IF($G602="","",IFERROR(INDEX('90_SEMA'!$G$7:$H$183,MATCH($G602,'90_SEMA'!$B$7:$B$183,0),NYELV_IDX),"### ISMERETLEN KÓD"))</f>
        <v/>
      </c>
      <c r="I602" s="33"/>
      <c r="J602" s="33"/>
      <c r="K602" s="15"/>
      <c r="L602" s="15"/>
      <c r="M602" s="15"/>
    </row>
    <row r="603" spans="2:13" ht="15" customHeight="1" x14ac:dyDescent="0.3">
      <c r="B603" s="21" t="str">
        <f t="shared" si="9"/>
        <v/>
      </c>
      <c r="C603" s="15"/>
      <c r="D603" s="15"/>
      <c r="E603" s="15"/>
      <c r="F603" s="15"/>
      <c r="G603" s="15"/>
      <c r="H603" s="39" t="str">
        <f>IF($G603="","",IFERROR(INDEX('90_SEMA'!$G$7:$H$183,MATCH($G603,'90_SEMA'!$B$7:$B$183,0),NYELV_IDX),"### ISMERETLEN KÓD"))</f>
        <v/>
      </c>
      <c r="I603" s="33"/>
      <c r="J603" s="33"/>
      <c r="K603" s="15"/>
      <c r="L603" s="15"/>
      <c r="M603" s="15"/>
    </row>
    <row r="604" spans="2:13" ht="15" customHeight="1" x14ac:dyDescent="0.3">
      <c r="B604" s="21" t="str">
        <f t="shared" si="9"/>
        <v/>
      </c>
      <c r="C604" s="15"/>
      <c r="D604" s="15"/>
      <c r="E604" s="15"/>
      <c r="F604" s="15"/>
      <c r="G604" s="15"/>
      <c r="H604" s="39" t="str">
        <f>IF($G604="","",IFERROR(INDEX('90_SEMA'!$G$7:$H$183,MATCH($G604,'90_SEMA'!$B$7:$B$183,0),NYELV_IDX),"### ISMERETLEN KÓD"))</f>
        <v/>
      </c>
      <c r="I604" s="33"/>
      <c r="J604" s="33"/>
      <c r="K604" s="15"/>
      <c r="L604" s="15"/>
      <c r="M604" s="15"/>
    </row>
    <row r="605" spans="2:13" ht="15" customHeight="1" x14ac:dyDescent="0.3">
      <c r="B605" s="21" t="str">
        <f t="shared" si="9"/>
        <v/>
      </c>
      <c r="C605" s="15"/>
      <c r="D605" s="15"/>
      <c r="E605" s="15"/>
      <c r="F605" s="15"/>
      <c r="G605" s="15"/>
      <c r="H605" s="39" t="str">
        <f>IF($G605="","",IFERROR(INDEX('90_SEMA'!$G$7:$H$183,MATCH($G605,'90_SEMA'!$B$7:$B$183,0),NYELV_IDX),"### ISMERETLEN KÓD"))</f>
        <v/>
      </c>
      <c r="I605" s="33"/>
      <c r="J605" s="33"/>
      <c r="K605" s="15"/>
      <c r="L605" s="15"/>
      <c r="M605" s="15"/>
    </row>
    <row r="606" spans="2:13" ht="15" customHeight="1" x14ac:dyDescent="0.3">
      <c r="B606" s="21" t="str">
        <f t="shared" si="9"/>
        <v/>
      </c>
      <c r="C606" s="15"/>
      <c r="D606" s="15"/>
      <c r="E606" s="15"/>
      <c r="F606" s="15"/>
      <c r="G606" s="15"/>
      <c r="H606" s="39" t="str">
        <f>IF($G606="","",IFERROR(INDEX('90_SEMA'!$G$7:$H$183,MATCH($G606,'90_SEMA'!$B$7:$B$183,0),NYELV_IDX),"### ISMERETLEN KÓD"))</f>
        <v/>
      </c>
      <c r="I606" s="33"/>
      <c r="J606" s="33"/>
      <c r="K606" s="15"/>
      <c r="L606" s="15"/>
      <c r="M606" s="15"/>
    </row>
    <row r="607" spans="2:13" ht="15" customHeight="1" x14ac:dyDescent="0.3">
      <c r="B607" s="21" t="str">
        <f t="shared" si="9"/>
        <v/>
      </c>
      <c r="C607" s="15"/>
      <c r="D607" s="15"/>
      <c r="E607" s="15"/>
      <c r="F607" s="15"/>
      <c r="G607" s="15"/>
      <c r="H607" s="39" t="str">
        <f>IF($G607="","",IFERROR(INDEX('90_SEMA'!$G$7:$H$183,MATCH($G607,'90_SEMA'!$B$7:$B$183,0),NYELV_IDX),"### ISMERETLEN KÓD"))</f>
        <v/>
      </c>
      <c r="I607" s="33"/>
      <c r="J607" s="33"/>
      <c r="K607" s="15"/>
      <c r="L607" s="15"/>
      <c r="M607" s="15"/>
    </row>
    <row r="608" spans="2:13" ht="15" customHeight="1" x14ac:dyDescent="0.3">
      <c r="B608" s="21" t="str">
        <f t="shared" si="9"/>
        <v/>
      </c>
      <c r="C608" s="15"/>
      <c r="D608" s="15"/>
      <c r="E608" s="15"/>
      <c r="F608" s="15"/>
      <c r="G608" s="15"/>
      <c r="H608" s="39" t="str">
        <f>IF($G608="","",IFERROR(INDEX('90_SEMA'!$G$7:$H$183,MATCH($G608,'90_SEMA'!$B$7:$B$183,0),NYELV_IDX),"### ISMERETLEN KÓD"))</f>
        <v/>
      </c>
      <c r="I608" s="33"/>
      <c r="J608" s="33"/>
      <c r="K608" s="15"/>
      <c r="L608" s="15"/>
      <c r="M608" s="15"/>
    </row>
    <row r="609" spans="2:13" ht="15" customHeight="1" x14ac:dyDescent="0.3">
      <c r="B609" s="21" t="str">
        <f t="shared" si="9"/>
        <v/>
      </c>
      <c r="C609" s="15"/>
      <c r="D609" s="15"/>
      <c r="E609" s="15"/>
      <c r="F609" s="15"/>
      <c r="G609" s="15"/>
      <c r="H609" s="39" t="str">
        <f>IF($G609="","",IFERROR(INDEX('90_SEMA'!$G$7:$H$183,MATCH($G609,'90_SEMA'!$B$7:$B$183,0),NYELV_IDX),"### ISMERETLEN KÓD"))</f>
        <v/>
      </c>
      <c r="I609" s="33"/>
      <c r="J609" s="33"/>
      <c r="K609" s="15"/>
      <c r="L609" s="15"/>
      <c r="M609" s="15"/>
    </row>
    <row r="610" spans="2:13" ht="15" customHeight="1" x14ac:dyDescent="0.3">
      <c r="B610" s="21" t="str">
        <f t="shared" si="9"/>
        <v/>
      </c>
      <c r="C610" s="15"/>
      <c r="D610" s="15"/>
      <c r="E610" s="15"/>
      <c r="F610" s="15"/>
      <c r="G610" s="15"/>
      <c r="H610" s="39" t="str">
        <f>IF($G610="","",IFERROR(INDEX('90_SEMA'!$G$7:$H$183,MATCH($G610,'90_SEMA'!$B$7:$B$183,0),NYELV_IDX),"### ISMERETLEN KÓD"))</f>
        <v/>
      </c>
      <c r="I610" s="33"/>
      <c r="J610" s="33"/>
      <c r="K610" s="15"/>
      <c r="L610" s="15"/>
      <c r="M610" s="15"/>
    </row>
    <row r="611" spans="2:13" ht="15" customHeight="1" x14ac:dyDescent="0.3">
      <c r="B611" s="21" t="str">
        <f t="shared" si="9"/>
        <v/>
      </c>
      <c r="C611" s="15"/>
      <c r="D611" s="15"/>
      <c r="E611" s="15"/>
      <c r="F611" s="15"/>
      <c r="G611" s="15"/>
      <c r="H611" s="39" t="str">
        <f>IF($G611="","",IFERROR(INDEX('90_SEMA'!$G$7:$H$183,MATCH($G611,'90_SEMA'!$B$7:$B$183,0),NYELV_IDX),"### ISMERETLEN KÓD"))</f>
        <v/>
      </c>
      <c r="I611" s="33"/>
      <c r="J611" s="33"/>
      <c r="K611" s="15"/>
      <c r="L611" s="15"/>
      <c r="M611" s="15"/>
    </row>
    <row r="612" spans="2:13" ht="15" customHeight="1" x14ac:dyDescent="0.3">
      <c r="B612" s="21" t="str">
        <f t="shared" si="9"/>
        <v/>
      </c>
      <c r="C612" s="15"/>
      <c r="D612" s="15"/>
      <c r="E612" s="15"/>
      <c r="F612" s="15"/>
      <c r="G612" s="15"/>
      <c r="H612" s="39" t="str">
        <f>IF($G612="","",IFERROR(INDEX('90_SEMA'!$G$7:$H$183,MATCH($G612,'90_SEMA'!$B$7:$B$183,0),NYELV_IDX),"### ISMERETLEN KÓD"))</f>
        <v/>
      </c>
      <c r="I612" s="33"/>
      <c r="J612" s="33"/>
      <c r="K612" s="15"/>
      <c r="L612" s="15"/>
      <c r="M612" s="15"/>
    </row>
    <row r="613" spans="2:13" ht="15" customHeight="1" x14ac:dyDescent="0.3">
      <c r="B613" s="21" t="str">
        <f t="shared" si="9"/>
        <v/>
      </c>
      <c r="C613" s="15"/>
      <c r="D613" s="15"/>
      <c r="E613" s="15"/>
      <c r="F613" s="15"/>
      <c r="G613" s="15"/>
      <c r="H613" s="39" t="str">
        <f>IF($G613="","",IFERROR(INDEX('90_SEMA'!$G$7:$H$183,MATCH($G613,'90_SEMA'!$B$7:$B$183,0),NYELV_IDX),"### ISMERETLEN KÓD"))</f>
        <v/>
      </c>
      <c r="I613" s="33"/>
      <c r="J613" s="33"/>
      <c r="K613" s="15"/>
      <c r="L613" s="15"/>
      <c r="M613" s="15"/>
    </row>
    <row r="614" spans="2:13" ht="15" customHeight="1" x14ac:dyDescent="0.3">
      <c r="B614" s="21" t="str">
        <f t="shared" si="9"/>
        <v/>
      </c>
      <c r="C614" s="15"/>
      <c r="D614" s="15"/>
      <c r="E614" s="15"/>
      <c r="F614" s="15"/>
      <c r="G614" s="15"/>
      <c r="H614" s="39" t="str">
        <f>IF($G614="","",IFERROR(INDEX('90_SEMA'!$G$7:$H$183,MATCH($G614,'90_SEMA'!$B$7:$B$183,0),NYELV_IDX),"### ISMERETLEN KÓD"))</f>
        <v/>
      </c>
      <c r="I614" s="33"/>
      <c r="J614" s="33"/>
      <c r="K614" s="15"/>
      <c r="L614" s="15"/>
      <c r="M614" s="15"/>
    </row>
    <row r="615" spans="2:13" ht="15" customHeight="1" x14ac:dyDescent="0.3">
      <c r="B615" s="21" t="str">
        <f t="shared" si="9"/>
        <v/>
      </c>
      <c r="C615" s="15"/>
      <c r="D615" s="15"/>
      <c r="E615" s="15"/>
      <c r="F615" s="15"/>
      <c r="G615" s="15"/>
      <c r="H615" s="39" t="str">
        <f>IF($G615="","",IFERROR(INDEX('90_SEMA'!$G$7:$H$183,MATCH($G615,'90_SEMA'!$B$7:$B$183,0),NYELV_IDX),"### ISMERETLEN KÓD"))</f>
        <v/>
      </c>
      <c r="I615" s="33"/>
      <c r="J615" s="33"/>
      <c r="K615" s="15"/>
      <c r="L615" s="15"/>
      <c r="M615" s="15"/>
    </row>
    <row r="616" spans="2:13" ht="15" customHeight="1" x14ac:dyDescent="0.3">
      <c r="B616" s="21" t="str">
        <f t="shared" si="9"/>
        <v/>
      </c>
      <c r="C616" s="15"/>
      <c r="D616" s="15"/>
      <c r="E616" s="15"/>
      <c r="F616" s="15"/>
      <c r="G616" s="15"/>
      <c r="H616" s="39" t="str">
        <f>IF($G616="","",IFERROR(INDEX('90_SEMA'!$G$7:$H$183,MATCH($G616,'90_SEMA'!$B$7:$B$183,0),NYELV_IDX),"### ISMERETLEN KÓD"))</f>
        <v/>
      </c>
      <c r="I616" s="33"/>
      <c r="J616" s="33"/>
      <c r="K616" s="15"/>
      <c r="L616" s="15"/>
      <c r="M616" s="15"/>
    </row>
    <row r="617" spans="2:13" ht="15" customHeight="1" x14ac:dyDescent="0.3">
      <c r="B617" s="21" t="str">
        <f t="shared" si="9"/>
        <v/>
      </c>
      <c r="C617" s="15"/>
      <c r="D617" s="15"/>
      <c r="E617" s="15"/>
      <c r="F617" s="15"/>
      <c r="G617" s="15"/>
      <c r="H617" s="39" t="str">
        <f>IF($G617="","",IFERROR(INDEX('90_SEMA'!$G$7:$H$183,MATCH($G617,'90_SEMA'!$B$7:$B$183,0),NYELV_IDX),"### ISMERETLEN KÓD"))</f>
        <v/>
      </c>
      <c r="I617" s="33"/>
      <c r="J617" s="33"/>
      <c r="K617" s="15"/>
      <c r="L617" s="15"/>
      <c r="M617" s="15"/>
    </row>
    <row r="618" spans="2:13" ht="15" customHeight="1" x14ac:dyDescent="0.3">
      <c r="B618" s="21" t="str">
        <f t="shared" si="9"/>
        <v/>
      </c>
      <c r="C618" s="15"/>
      <c r="D618" s="15"/>
      <c r="E618" s="15"/>
      <c r="F618" s="15"/>
      <c r="G618" s="15"/>
      <c r="H618" s="39" t="str">
        <f>IF($G618="","",IFERROR(INDEX('90_SEMA'!$G$7:$H$183,MATCH($G618,'90_SEMA'!$B$7:$B$183,0),NYELV_IDX),"### ISMERETLEN KÓD"))</f>
        <v/>
      </c>
      <c r="I618" s="33"/>
      <c r="J618" s="33"/>
      <c r="K618" s="15"/>
      <c r="L618" s="15"/>
      <c r="M618" s="15"/>
    </row>
    <row r="619" spans="2:13" ht="15" customHeight="1" x14ac:dyDescent="0.3">
      <c r="B619" s="21" t="str">
        <f t="shared" si="9"/>
        <v/>
      </c>
      <c r="C619" s="15"/>
      <c r="D619" s="15"/>
      <c r="E619" s="15"/>
      <c r="F619" s="15"/>
      <c r="G619" s="15"/>
      <c r="H619" s="39" t="str">
        <f>IF($G619="","",IFERROR(INDEX('90_SEMA'!$G$7:$H$183,MATCH($G619,'90_SEMA'!$B$7:$B$183,0),NYELV_IDX),"### ISMERETLEN KÓD"))</f>
        <v/>
      </c>
      <c r="I619" s="33"/>
      <c r="J619" s="33"/>
      <c r="K619" s="15"/>
      <c r="L619" s="15"/>
      <c r="M619" s="15"/>
    </row>
    <row r="620" spans="2:13" ht="15" customHeight="1" x14ac:dyDescent="0.3">
      <c r="B620" s="21" t="str">
        <f t="shared" si="9"/>
        <v/>
      </c>
      <c r="C620" s="15"/>
      <c r="D620" s="15"/>
      <c r="E620" s="15"/>
      <c r="F620" s="15"/>
      <c r="G620" s="15"/>
      <c r="H620" s="39" t="str">
        <f>IF($G620="","",IFERROR(INDEX('90_SEMA'!$G$7:$H$183,MATCH($G620,'90_SEMA'!$B$7:$B$183,0),NYELV_IDX),"### ISMERETLEN KÓD"))</f>
        <v/>
      </c>
      <c r="I620" s="33"/>
      <c r="J620" s="33"/>
      <c r="K620" s="15"/>
      <c r="L620" s="15"/>
      <c r="M620" s="15"/>
    </row>
    <row r="621" spans="2:13" ht="15" customHeight="1" x14ac:dyDescent="0.3">
      <c r="B621" s="21" t="str">
        <f t="shared" si="9"/>
        <v/>
      </c>
      <c r="C621" s="15"/>
      <c r="D621" s="15"/>
      <c r="E621" s="15"/>
      <c r="F621" s="15"/>
      <c r="G621" s="15"/>
      <c r="H621" s="39" t="str">
        <f>IF($G621="","",IFERROR(INDEX('90_SEMA'!$G$7:$H$183,MATCH($G621,'90_SEMA'!$B$7:$B$183,0),NYELV_IDX),"### ISMERETLEN KÓD"))</f>
        <v/>
      </c>
      <c r="I621" s="33"/>
      <c r="J621" s="33"/>
      <c r="K621" s="15"/>
      <c r="L621" s="15"/>
      <c r="M621" s="15"/>
    </row>
    <row r="622" spans="2:13" ht="15" customHeight="1" x14ac:dyDescent="0.3">
      <c r="B622" s="21" t="str">
        <f t="shared" si="9"/>
        <v/>
      </c>
      <c r="C622" s="15"/>
      <c r="D622" s="15"/>
      <c r="E622" s="15"/>
      <c r="F622" s="15"/>
      <c r="G622" s="15"/>
      <c r="H622" s="39" t="str">
        <f>IF($G622="","",IFERROR(INDEX('90_SEMA'!$G$7:$H$183,MATCH($G622,'90_SEMA'!$B$7:$B$183,0),NYELV_IDX),"### ISMERETLEN KÓD"))</f>
        <v/>
      </c>
      <c r="I622" s="33"/>
      <c r="J622" s="33"/>
      <c r="K622" s="15"/>
      <c r="L622" s="15"/>
      <c r="M622" s="15"/>
    </row>
    <row r="623" spans="2:13" ht="15" customHeight="1" x14ac:dyDescent="0.3">
      <c r="B623" s="21" t="str">
        <f t="shared" si="9"/>
        <v/>
      </c>
      <c r="C623" s="15"/>
      <c r="D623" s="15"/>
      <c r="E623" s="15"/>
      <c r="F623" s="15"/>
      <c r="G623" s="15"/>
      <c r="H623" s="39" t="str">
        <f>IF($G623="","",IFERROR(INDEX('90_SEMA'!$G$7:$H$183,MATCH($G623,'90_SEMA'!$B$7:$B$183,0),NYELV_IDX),"### ISMERETLEN KÓD"))</f>
        <v/>
      </c>
      <c r="I623" s="33"/>
      <c r="J623" s="33"/>
      <c r="K623" s="15"/>
      <c r="L623" s="15"/>
      <c r="M623" s="15"/>
    </row>
    <row r="624" spans="2:13" ht="15" customHeight="1" x14ac:dyDescent="0.3">
      <c r="B624" s="21" t="str">
        <f t="shared" si="9"/>
        <v/>
      </c>
      <c r="C624" s="15"/>
      <c r="D624" s="15"/>
      <c r="E624" s="15"/>
      <c r="F624" s="15"/>
      <c r="G624" s="15"/>
      <c r="H624" s="39" t="str">
        <f>IF($G624="","",IFERROR(INDEX('90_SEMA'!$G$7:$H$183,MATCH($G624,'90_SEMA'!$B$7:$B$183,0),NYELV_IDX),"### ISMERETLEN KÓD"))</f>
        <v/>
      </c>
      <c r="I624" s="33"/>
      <c r="J624" s="33"/>
      <c r="K624" s="15"/>
      <c r="L624" s="15"/>
      <c r="M624" s="15"/>
    </row>
    <row r="625" spans="2:13" ht="15" customHeight="1" x14ac:dyDescent="0.3">
      <c r="B625" s="21" t="str">
        <f t="shared" si="9"/>
        <v/>
      </c>
      <c r="C625" s="15"/>
      <c r="D625" s="15"/>
      <c r="E625" s="15"/>
      <c r="F625" s="15"/>
      <c r="G625" s="15"/>
      <c r="H625" s="39" t="str">
        <f>IF($G625="","",IFERROR(INDEX('90_SEMA'!$G$7:$H$183,MATCH($G625,'90_SEMA'!$B$7:$B$183,0),NYELV_IDX),"### ISMERETLEN KÓD"))</f>
        <v/>
      </c>
      <c r="I625" s="33"/>
      <c r="J625" s="33"/>
      <c r="K625" s="15"/>
      <c r="L625" s="15"/>
      <c r="M625" s="15"/>
    </row>
    <row r="626" spans="2:13" ht="15" customHeight="1" x14ac:dyDescent="0.3">
      <c r="B626" s="21" t="str">
        <f t="shared" si="9"/>
        <v/>
      </c>
      <c r="C626" s="15"/>
      <c r="D626" s="15"/>
      <c r="E626" s="15"/>
      <c r="F626" s="15"/>
      <c r="G626" s="15"/>
      <c r="H626" s="39" t="str">
        <f>IF($G626="","",IFERROR(INDEX('90_SEMA'!$G$7:$H$183,MATCH($G626,'90_SEMA'!$B$7:$B$183,0),NYELV_IDX),"### ISMERETLEN KÓD"))</f>
        <v/>
      </c>
      <c r="I626" s="33"/>
      <c r="J626" s="33"/>
      <c r="K626" s="15"/>
      <c r="L626" s="15"/>
      <c r="M626" s="15"/>
    </row>
    <row r="627" spans="2:13" ht="15" customHeight="1" x14ac:dyDescent="0.3">
      <c r="B627" s="21" t="str">
        <f t="shared" si="9"/>
        <v/>
      </c>
      <c r="C627" s="15"/>
      <c r="D627" s="15"/>
      <c r="E627" s="15"/>
      <c r="F627" s="15"/>
      <c r="G627" s="15"/>
      <c r="H627" s="39" t="str">
        <f>IF($G627="","",IFERROR(INDEX('90_SEMA'!$G$7:$H$183,MATCH($G627,'90_SEMA'!$B$7:$B$183,0),NYELV_IDX),"### ISMERETLEN KÓD"))</f>
        <v/>
      </c>
      <c r="I627" s="33"/>
      <c r="J627" s="33"/>
      <c r="K627" s="15"/>
      <c r="L627" s="15"/>
      <c r="M627" s="15"/>
    </row>
    <row r="628" spans="2:13" ht="15" customHeight="1" x14ac:dyDescent="0.3">
      <c r="B628" s="21" t="str">
        <f t="shared" si="9"/>
        <v/>
      </c>
      <c r="C628" s="15"/>
      <c r="D628" s="15"/>
      <c r="E628" s="15"/>
      <c r="F628" s="15"/>
      <c r="G628" s="15"/>
      <c r="H628" s="39" t="str">
        <f>IF($G628="","",IFERROR(INDEX('90_SEMA'!$G$7:$H$183,MATCH($G628,'90_SEMA'!$B$7:$B$183,0),NYELV_IDX),"### ISMERETLEN KÓD"))</f>
        <v/>
      </c>
      <c r="I628" s="33"/>
      <c r="J628" s="33"/>
      <c r="K628" s="15"/>
      <c r="L628" s="15"/>
      <c r="M628" s="15"/>
    </row>
    <row r="629" spans="2:13" ht="15" customHeight="1" x14ac:dyDescent="0.3">
      <c r="B629" s="21" t="str">
        <f t="shared" si="9"/>
        <v/>
      </c>
      <c r="C629" s="15"/>
      <c r="D629" s="15"/>
      <c r="E629" s="15"/>
      <c r="F629" s="15"/>
      <c r="G629" s="15"/>
      <c r="H629" s="39" t="str">
        <f>IF($G629="","",IFERROR(INDEX('90_SEMA'!$G$7:$H$183,MATCH($G629,'90_SEMA'!$B$7:$B$183,0),NYELV_IDX),"### ISMERETLEN KÓD"))</f>
        <v/>
      </c>
      <c r="I629" s="33"/>
      <c r="J629" s="33"/>
      <c r="K629" s="15"/>
      <c r="L629" s="15"/>
      <c r="M629" s="15"/>
    </row>
    <row r="630" spans="2:13" ht="15" customHeight="1" x14ac:dyDescent="0.3">
      <c r="B630" s="21" t="str">
        <f t="shared" si="9"/>
        <v/>
      </c>
      <c r="C630" s="15"/>
      <c r="D630" s="15"/>
      <c r="E630" s="15"/>
      <c r="F630" s="15"/>
      <c r="G630" s="15"/>
      <c r="H630" s="39" t="str">
        <f>IF($G630="","",IFERROR(INDEX('90_SEMA'!$G$7:$H$183,MATCH($G630,'90_SEMA'!$B$7:$B$183,0),NYELV_IDX),"### ISMERETLEN KÓD"))</f>
        <v/>
      </c>
      <c r="I630" s="33"/>
      <c r="J630" s="33"/>
      <c r="K630" s="15"/>
      <c r="L630" s="15"/>
      <c r="M630" s="15"/>
    </row>
    <row r="631" spans="2:13" ht="15" customHeight="1" x14ac:dyDescent="0.3">
      <c r="B631" s="21" t="str">
        <f t="shared" si="9"/>
        <v/>
      </c>
      <c r="C631" s="15"/>
      <c r="D631" s="15"/>
      <c r="E631" s="15"/>
      <c r="F631" s="15"/>
      <c r="G631" s="15"/>
      <c r="H631" s="39" t="str">
        <f>IF($G631="","",IFERROR(INDEX('90_SEMA'!$G$7:$H$183,MATCH($G631,'90_SEMA'!$B$7:$B$183,0),NYELV_IDX),"### ISMERETLEN KÓD"))</f>
        <v/>
      </c>
      <c r="I631" s="33"/>
      <c r="J631" s="33"/>
      <c r="K631" s="15"/>
      <c r="L631" s="15"/>
      <c r="M631" s="15"/>
    </row>
    <row r="632" spans="2:13" ht="15" customHeight="1" x14ac:dyDescent="0.3">
      <c r="B632" s="21" t="str">
        <f t="shared" si="9"/>
        <v/>
      </c>
      <c r="C632" s="15"/>
      <c r="D632" s="15"/>
      <c r="E632" s="15"/>
      <c r="F632" s="15"/>
      <c r="G632" s="15"/>
      <c r="H632" s="39" t="str">
        <f>IF($G632="","",IFERROR(INDEX('90_SEMA'!$G$7:$H$183,MATCH($G632,'90_SEMA'!$B$7:$B$183,0),NYELV_IDX),"### ISMERETLEN KÓD"))</f>
        <v/>
      </c>
      <c r="I632" s="33"/>
      <c r="J632" s="33"/>
      <c r="K632" s="15"/>
      <c r="L632" s="15"/>
      <c r="M632" s="15"/>
    </row>
    <row r="633" spans="2:13" ht="15" customHeight="1" x14ac:dyDescent="0.3">
      <c r="B633" s="21" t="str">
        <f t="shared" si="9"/>
        <v/>
      </c>
      <c r="C633" s="15"/>
      <c r="D633" s="15"/>
      <c r="E633" s="15"/>
      <c r="F633" s="15"/>
      <c r="G633" s="15"/>
      <c r="H633" s="39" t="str">
        <f>IF($G633="","",IFERROR(INDEX('90_SEMA'!$G$7:$H$183,MATCH($G633,'90_SEMA'!$B$7:$B$183,0),NYELV_IDX),"### ISMERETLEN KÓD"))</f>
        <v/>
      </c>
      <c r="I633" s="33"/>
      <c r="J633" s="33"/>
      <c r="K633" s="15"/>
      <c r="L633" s="15"/>
      <c r="M633" s="15"/>
    </row>
    <row r="634" spans="2:13" ht="15" customHeight="1" x14ac:dyDescent="0.3">
      <c r="B634" s="21" t="str">
        <f t="shared" si="9"/>
        <v/>
      </c>
      <c r="C634" s="15"/>
      <c r="D634" s="15"/>
      <c r="E634" s="15"/>
      <c r="F634" s="15"/>
      <c r="G634" s="15"/>
      <c r="H634" s="39" t="str">
        <f>IF($G634="","",IFERROR(INDEX('90_SEMA'!$G$7:$H$183,MATCH($G634,'90_SEMA'!$B$7:$B$183,0),NYELV_IDX),"### ISMERETLEN KÓD"))</f>
        <v/>
      </c>
      <c r="I634" s="33"/>
      <c r="J634" s="33"/>
      <c r="K634" s="15"/>
      <c r="L634" s="15"/>
      <c r="M634" s="15"/>
    </row>
    <row r="635" spans="2:13" ht="15" customHeight="1" x14ac:dyDescent="0.3">
      <c r="B635" s="21" t="str">
        <f t="shared" si="9"/>
        <v/>
      </c>
      <c r="C635" s="15"/>
      <c r="D635" s="15"/>
      <c r="E635" s="15"/>
      <c r="F635" s="15"/>
      <c r="G635" s="15"/>
      <c r="H635" s="39" t="str">
        <f>IF($G635="","",IFERROR(INDEX('90_SEMA'!$G$7:$H$183,MATCH($G635,'90_SEMA'!$B$7:$B$183,0),NYELV_IDX),"### ISMERETLEN KÓD"))</f>
        <v/>
      </c>
      <c r="I635" s="33"/>
      <c r="J635" s="33"/>
      <c r="K635" s="15"/>
      <c r="L635" s="15"/>
      <c r="M635" s="15"/>
    </row>
    <row r="636" spans="2:13" ht="15" customHeight="1" x14ac:dyDescent="0.3">
      <c r="B636" s="21" t="str">
        <f t="shared" si="9"/>
        <v/>
      </c>
      <c r="C636" s="15"/>
      <c r="D636" s="15"/>
      <c r="E636" s="15"/>
      <c r="F636" s="15"/>
      <c r="G636" s="15"/>
      <c r="H636" s="39" t="str">
        <f>IF($G636="","",IFERROR(INDEX('90_SEMA'!$G$7:$H$183,MATCH($G636,'90_SEMA'!$B$7:$B$183,0),NYELV_IDX),"### ISMERETLEN KÓD"))</f>
        <v/>
      </c>
      <c r="I636" s="33"/>
      <c r="J636" s="33"/>
      <c r="K636" s="15"/>
      <c r="L636" s="15"/>
      <c r="M636" s="15"/>
    </row>
    <row r="637" spans="2:13" ht="15" customHeight="1" x14ac:dyDescent="0.3">
      <c r="B637" s="21" t="str">
        <f t="shared" si="9"/>
        <v/>
      </c>
      <c r="C637" s="15"/>
      <c r="D637" s="15"/>
      <c r="E637" s="15"/>
      <c r="F637" s="15"/>
      <c r="G637" s="15"/>
      <c r="H637" s="39" t="str">
        <f>IF($G637="","",IFERROR(INDEX('90_SEMA'!$G$7:$H$183,MATCH($G637,'90_SEMA'!$B$7:$B$183,0),NYELV_IDX),"### ISMERETLEN KÓD"))</f>
        <v/>
      </c>
      <c r="I637" s="33"/>
      <c r="J637" s="33"/>
      <c r="K637" s="15"/>
      <c r="L637" s="15"/>
      <c r="M637" s="15"/>
    </row>
    <row r="638" spans="2:13" ht="15" customHeight="1" x14ac:dyDescent="0.3">
      <c r="B638" s="21" t="str">
        <f t="shared" si="9"/>
        <v/>
      </c>
      <c r="C638" s="15"/>
      <c r="D638" s="15"/>
      <c r="E638" s="15"/>
      <c r="F638" s="15"/>
      <c r="G638" s="15"/>
      <c r="H638" s="39" t="str">
        <f>IF($G638="","",IFERROR(INDEX('90_SEMA'!$G$7:$H$183,MATCH($G638,'90_SEMA'!$B$7:$B$183,0),NYELV_IDX),"### ISMERETLEN KÓD"))</f>
        <v/>
      </c>
      <c r="I638" s="33"/>
      <c r="J638" s="33"/>
      <c r="K638" s="15"/>
      <c r="L638" s="15"/>
      <c r="M638" s="15"/>
    </row>
    <row r="639" spans="2:13" ht="15" customHeight="1" x14ac:dyDescent="0.3">
      <c r="B639" s="21" t="str">
        <f t="shared" si="9"/>
        <v/>
      </c>
      <c r="C639" s="15"/>
      <c r="D639" s="15"/>
      <c r="E639" s="15"/>
      <c r="F639" s="15"/>
      <c r="G639" s="15"/>
      <c r="H639" s="39" t="str">
        <f>IF($G639="","",IFERROR(INDEX('90_SEMA'!$G$7:$H$183,MATCH($G639,'90_SEMA'!$B$7:$B$183,0),NYELV_IDX),"### ISMERETLEN KÓD"))</f>
        <v/>
      </c>
      <c r="I639" s="33"/>
      <c r="J639" s="33"/>
      <c r="K639" s="15"/>
      <c r="L639" s="15"/>
      <c r="M639" s="15"/>
    </row>
    <row r="640" spans="2:13" ht="15" customHeight="1" x14ac:dyDescent="0.3">
      <c r="B640" s="21" t="str">
        <f t="shared" si="9"/>
        <v/>
      </c>
      <c r="C640" s="15"/>
      <c r="D640" s="15"/>
      <c r="E640" s="15"/>
      <c r="F640" s="15"/>
      <c r="G640" s="15"/>
      <c r="H640" s="39" t="str">
        <f>IF($G640="","",IFERROR(INDEX('90_SEMA'!$G$7:$H$183,MATCH($G640,'90_SEMA'!$B$7:$B$183,0),NYELV_IDX),"### ISMERETLEN KÓD"))</f>
        <v/>
      </c>
      <c r="I640" s="33"/>
      <c r="J640" s="33"/>
      <c r="K640" s="15"/>
      <c r="L640" s="15"/>
      <c r="M640" s="15"/>
    </row>
    <row r="641" spans="2:13" ht="15" customHeight="1" x14ac:dyDescent="0.3">
      <c r="B641" s="21" t="str">
        <f t="shared" si="9"/>
        <v/>
      </c>
      <c r="C641" s="15"/>
      <c r="D641" s="15"/>
      <c r="E641" s="15"/>
      <c r="F641" s="15"/>
      <c r="G641" s="15"/>
      <c r="H641" s="39" t="str">
        <f>IF($G641="","",IFERROR(INDEX('90_SEMA'!$G$7:$H$183,MATCH($G641,'90_SEMA'!$B$7:$B$183,0),NYELV_IDX),"### ISMERETLEN KÓD"))</f>
        <v/>
      </c>
      <c r="I641" s="33"/>
      <c r="J641" s="33"/>
      <c r="K641" s="15"/>
      <c r="L641" s="15"/>
      <c r="M641" s="15"/>
    </row>
    <row r="642" spans="2:13" ht="15" customHeight="1" x14ac:dyDescent="0.3">
      <c r="B642" s="21" t="str">
        <f t="shared" si="9"/>
        <v/>
      </c>
      <c r="C642" s="15"/>
      <c r="D642" s="15"/>
      <c r="E642" s="15"/>
      <c r="F642" s="15"/>
      <c r="G642" s="15"/>
      <c r="H642" s="39" t="str">
        <f>IF($G642="","",IFERROR(INDEX('90_SEMA'!$G$7:$H$183,MATCH($G642,'90_SEMA'!$B$7:$B$183,0),NYELV_IDX),"### ISMERETLEN KÓD"))</f>
        <v/>
      </c>
      <c r="I642" s="33"/>
      <c r="J642" s="33"/>
      <c r="K642" s="15"/>
      <c r="L642" s="15"/>
      <c r="M642" s="15"/>
    </row>
    <row r="643" spans="2:13" ht="15" customHeight="1" x14ac:dyDescent="0.3">
      <c r="B643" s="21" t="str">
        <f t="shared" si="9"/>
        <v/>
      </c>
      <c r="C643" s="15"/>
      <c r="D643" s="15"/>
      <c r="E643" s="15"/>
      <c r="F643" s="15"/>
      <c r="G643" s="15"/>
      <c r="H643" s="39" t="str">
        <f>IF($G643="","",IFERROR(INDEX('90_SEMA'!$G$7:$H$183,MATCH($G643,'90_SEMA'!$B$7:$B$183,0),NYELV_IDX),"### ISMERETLEN KÓD"))</f>
        <v/>
      </c>
      <c r="I643" s="33"/>
      <c r="J643" s="33"/>
      <c r="K643" s="15"/>
      <c r="L643" s="15"/>
      <c r="M643" s="15"/>
    </row>
    <row r="644" spans="2:13" ht="15" customHeight="1" x14ac:dyDescent="0.3">
      <c r="B644" s="21" t="str">
        <f t="shared" si="9"/>
        <v/>
      </c>
      <c r="C644" s="15"/>
      <c r="D644" s="15"/>
      <c r="E644" s="15"/>
      <c r="F644" s="15"/>
      <c r="G644" s="15"/>
      <c r="H644" s="39" t="str">
        <f>IF($G644="","",IFERROR(INDEX('90_SEMA'!$G$7:$H$183,MATCH($G644,'90_SEMA'!$B$7:$B$183,0),NYELV_IDX),"### ISMERETLEN KÓD"))</f>
        <v/>
      </c>
      <c r="I644" s="33"/>
      <c r="J644" s="33"/>
      <c r="K644" s="15"/>
      <c r="L644" s="15"/>
      <c r="M644" s="15"/>
    </row>
    <row r="645" spans="2:13" ht="15" customHeight="1" x14ac:dyDescent="0.3">
      <c r="B645" s="21" t="str">
        <f t="shared" si="9"/>
        <v/>
      </c>
      <c r="C645" s="15"/>
      <c r="D645" s="15"/>
      <c r="E645" s="15"/>
      <c r="F645" s="15"/>
      <c r="G645" s="15"/>
      <c r="H645" s="39" t="str">
        <f>IF($G645="","",IFERROR(INDEX('90_SEMA'!$G$7:$H$183,MATCH($G645,'90_SEMA'!$B$7:$B$183,0),NYELV_IDX),"### ISMERETLEN KÓD"))</f>
        <v/>
      </c>
      <c r="I645" s="33"/>
      <c r="J645" s="33"/>
      <c r="K645" s="15"/>
      <c r="L645" s="15"/>
      <c r="M645" s="15"/>
    </row>
    <row r="646" spans="2:13" ht="15" customHeight="1" x14ac:dyDescent="0.3">
      <c r="B646" s="21" t="str">
        <f t="shared" si="9"/>
        <v/>
      </c>
      <c r="C646" s="15"/>
      <c r="D646" s="15"/>
      <c r="E646" s="15"/>
      <c r="F646" s="15"/>
      <c r="G646" s="15"/>
      <c r="H646" s="39" t="str">
        <f>IF($G646="","",IFERROR(INDEX('90_SEMA'!$G$7:$H$183,MATCH($G646,'90_SEMA'!$B$7:$B$183,0),NYELV_IDX),"### ISMERETLEN KÓD"))</f>
        <v/>
      </c>
      <c r="I646" s="33"/>
      <c r="J646" s="33"/>
      <c r="K646" s="15"/>
      <c r="L646" s="15"/>
      <c r="M646" s="15"/>
    </row>
    <row r="647" spans="2:13" ht="15" customHeight="1" x14ac:dyDescent="0.3">
      <c r="B647" s="21" t="str">
        <f t="shared" ref="B647:B710" si="10">IF($G647="","",ROW()-6)</f>
        <v/>
      </c>
      <c r="C647" s="15"/>
      <c r="D647" s="15"/>
      <c r="E647" s="15"/>
      <c r="F647" s="15"/>
      <c r="G647" s="15"/>
      <c r="H647" s="39" t="str">
        <f>IF($G647="","",IFERROR(INDEX('90_SEMA'!$G$7:$H$183,MATCH($G647,'90_SEMA'!$B$7:$B$183,0),NYELV_IDX),"### ISMERETLEN KÓD"))</f>
        <v/>
      </c>
      <c r="I647" s="33"/>
      <c r="J647" s="33"/>
      <c r="K647" s="15"/>
      <c r="L647" s="15"/>
      <c r="M647" s="15"/>
    </row>
    <row r="648" spans="2:13" ht="15" customHeight="1" x14ac:dyDescent="0.3">
      <c r="B648" s="21" t="str">
        <f t="shared" si="10"/>
        <v/>
      </c>
      <c r="C648" s="15"/>
      <c r="D648" s="15"/>
      <c r="E648" s="15"/>
      <c r="F648" s="15"/>
      <c r="G648" s="15"/>
      <c r="H648" s="39" t="str">
        <f>IF($G648="","",IFERROR(INDEX('90_SEMA'!$G$7:$H$183,MATCH($G648,'90_SEMA'!$B$7:$B$183,0),NYELV_IDX),"### ISMERETLEN KÓD"))</f>
        <v/>
      </c>
      <c r="I648" s="33"/>
      <c r="J648" s="33"/>
      <c r="K648" s="15"/>
      <c r="L648" s="15"/>
      <c r="M648" s="15"/>
    </row>
    <row r="649" spans="2:13" ht="15" customHeight="1" x14ac:dyDescent="0.3">
      <c r="B649" s="21" t="str">
        <f t="shared" si="10"/>
        <v/>
      </c>
      <c r="C649" s="15"/>
      <c r="D649" s="15"/>
      <c r="E649" s="15"/>
      <c r="F649" s="15"/>
      <c r="G649" s="15"/>
      <c r="H649" s="39" t="str">
        <f>IF($G649="","",IFERROR(INDEX('90_SEMA'!$G$7:$H$183,MATCH($G649,'90_SEMA'!$B$7:$B$183,0),NYELV_IDX),"### ISMERETLEN KÓD"))</f>
        <v/>
      </c>
      <c r="I649" s="33"/>
      <c r="J649" s="33"/>
      <c r="K649" s="15"/>
      <c r="L649" s="15"/>
      <c r="M649" s="15"/>
    </row>
    <row r="650" spans="2:13" ht="15" customHeight="1" x14ac:dyDescent="0.3">
      <c r="B650" s="21" t="str">
        <f t="shared" si="10"/>
        <v/>
      </c>
      <c r="C650" s="15"/>
      <c r="D650" s="15"/>
      <c r="E650" s="15"/>
      <c r="F650" s="15"/>
      <c r="G650" s="15"/>
      <c r="H650" s="39" t="str">
        <f>IF($G650="","",IFERROR(INDEX('90_SEMA'!$G$7:$H$183,MATCH($G650,'90_SEMA'!$B$7:$B$183,0),NYELV_IDX),"### ISMERETLEN KÓD"))</f>
        <v/>
      </c>
      <c r="I650" s="33"/>
      <c r="J650" s="33"/>
      <c r="K650" s="15"/>
      <c r="L650" s="15"/>
      <c r="M650" s="15"/>
    </row>
    <row r="651" spans="2:13" ht="15" customHeight="1" x14ac:dyDescent="0.3">
      <c r="B651" s="21" t="str">
        <f t="shared" si="10"/>
        <v/>
      </c>
      <c r="C651" s="15"/>
      <c r="D651" s="15"/>
      <c r="E651" s="15"/>
      <c r="F651" s="15"/>
      <c r="G651" s="15"/>
      <c r="H651" s="39" t="str">
        <f>IF($G651="","",IFERROR(INDEX('90_SEMA'!$G$7:$H$183,MATCH($G651,'90_SEMA'!$B$7:$B$183,0),NYELV_IDX),"### ISMERETLEN KÓD"))</f>
        <v/>
      </c>
      <c r="I651" s="33"/>
      <c r="J651" s="33"/>
      <c r="K651" s="15"/>
      <c r="L651" s="15"/>
      <c r="M651" s="15"/>
    </row>
    <row r="652" spans="2:13" ht="15" customHeight="1" x14ac:dyDescent="0.3">
      <c r="B652" s="21" t="str">
        <f t="shared" si="10"/>
        <v/>
      </c>
      <c r="C652" s="15"/>
      <c r="D652" s="15"/>
      <c r="E652" s="15"/>
      <c r="F652" s="15"/>
      <c r="G652" s="15"/>
      <c r="H652" s="39" t="str">
        <f>IF($G652="","",IFERROR(INDEX('90_SEMA'!$G$7:$H$183,MATCH($G652,'90_SEMA'!$B$7:$B$183,0),NYELV_IDX),"### ISMERETLEN KÓD"))</f>
        <v/>
      </c>
      <c r="I652" s="33"/>
      <c r="J652" s="33"/>
      <c r="K652" s="15"/>
      <c r="L652" s="15"/>
      <c r="M652" s="15"/>
    </row>
    <row r="653" spans="2:13" ht="15" customHeight="1" x14ac:dyDescent="0.3">
      <c r="B653" s="21" t="str">
        <f t="shared" si="10"/>
        <v/>
      </c>
      <c r="C653" s="15"/>
      <c r="D653" s="15"/>
      <c r="E653" s="15"/>
      <c r="F653" s="15"/>
      <c r="G653" s="15"/>
      <c r="H653" s="39" t="str">
        <f>IF($G653="","",IFERROR(INDEX('90_SEMA'!$G$7:$H$183,MATCH($G653,'90_SEMA'!$B$7:$B$183,0),NYELV_IDX),"### ISMERETLEN KÓD"))</f>
        <v/>
      </c>
      <c r="I653" s="33"/>
      <c r="J653" s="33"/>
      <c r="K653" s="15"/>
      <c r="L653" s="15"/>
      <c r="M653" s="15"/>
    </row>
    <row r="654" spans="2:13" ht="15" customHeight="1" x14ac:dyDescent="0.3">
      <c r="B654" s="21" t="str">
        <f t="shared" si="10"/>
        <v/>
      </c>
      <c r="C654" s="15"/>
      <c r="D654" s="15"/>
      <c r="E654" s="15"/>
      <c r="F654" s="15"/>
      <c r="G654" s="15"/>
      <c r="H654" s="39" t="str">
        <f>IF($G654="","",IFERROR(INDEX('90_SEMA'!$G$7:$H$183,MATCH($G654,'90_SEMA'!$B$7:$B$183,0),NYELV_IDX),"### ISMERETLEN KÓD"))</f>
        <v/>
      </c>
      <c r="I654" s="33"/>
      <c r="J654" s="33"/>
      <c r="K654" s="15"/>
      <c r="L654" s="15"/>
      <c r="M654" s="15"/>
    </row>
    <row r="655" spans="2:13" ht="15" customHeight="1" x14ac:dyDescent="0.3">
      <c r="B655" s="21" t="str">
        <f t="shared" si="10"/>
        <v/>
      </c>
      <c r="C655" s="15"/>
      <c r="D655" s="15"/>
      <c r="E655" s="15"/>
      <c r="F655" s="15"/>
      <c r="G655" s="15"/>
      <c r="H655" s="39" t="str">
        <f>IF($G655="","",IFERROR(INDEX('90_SEMA'!$G$7:$H$183,MATCH($G655,'90_SEMA'!$B$7:$B$183,0),NYELV_IDX),"### ISMERETLEN KÓD"))</f>
        <v/>
      </c>
      <c r="I655" s="33"/>
      <c r="J655" s="33"/>
      <c r="K655" s="15"/>
      <c r="L655" s="15"/>
      <c r="M655" s="15"/>
    </row>
    <row r="656" spans="2:13" ht="15" customHeight="1" x14ac:dyDescent="0.3">
      <c r="B656" s="21" t="str">
        <f t="shared" si="10"/>
        <v/>
      </c>
      <c r="C656" s="15"/>
      <c r="D656" s="15"/>
      <c r="E656" s="15"/>
      <c r="F656" s="15"/>
      <c r="G656" s="15"/>
      <c r="H656" s="39" t="str">
        <f>IF($G656="","",IFERROR(INDEX('90_SEMA'!$G$7:$H$183,MATCH($G656,'90_SEMA'!$B$7:$B$183,0),NYELV_IDX),"### ISMERETLEN KÓD"))</f>
        <v/>
      </c>
      <c r="I656" s="33"/>
      <c r="J656" s="33"/>
      <c r="K656" s="15"/>
      <c r="L656" s="15"/>
      <c r="M656" s="15"/>
    </row>
    <row r="657" spans="2:13" ht="15" customHeight="1" x14ac:dyDescent="0.3">
      <c r="B657" s="21" t="str">
        <f t="shared" si="10"/>
        <v/>
      </c>
      <c r="C657" s="15"/>
      <c r="D657" s="15"/>
      <c r="E657" s="15"/>
      <c r="F657" s="15"/>
      <c r="G657" s="15"/>
      <c r="H657" s="39" t="str">
        <f>IF($G657="","",IFERROR(INDEX('90_SEMA'!$G$7:$H$183,MATCH($G657,'90_SEMA'!$B$7:$B$183,0),NYELV_IDX),"### ISMERETLEN KÓD"))</f>
        <v/>
      </c>
      <c r="I657" s="33"/>
      <c r="J657" s="33"/>
      <c r="K657" s="15"/>
      <c r="L657" s="15"/>
      <c r="M657" s="15"/>
    </row>
    <row r="658" spans="2:13" ht="15" customHeight="1" x14ac:dyDescent="0.3">
      <c r="B658" s="21" t="str">
        <f t="shared" si="10"/>
        <v/>
      </c>
      <c r="C658" s="15"/>
      <c r="D658" s="15"/>
      <c r="E658" s="15"/>
      <c r="F658" s="15"/>
      <c r="G658" s="15"/>
      <c r="H658" s="39" t="str">
        <f>IF($G658="","",IFERROR(INDEX('90_SEMA'!$G$7:$H$183,MATCH($G658,'90_SEMA'!$B$7:$B$183,0),NYELV_IDX),"### ISMERETLEN KÓD"))</f>
        <v/>
      </c>
      <c r="I658" s="33"/>
      <c r="J658" s="33"/>
      <c r="K658" s="15"/>
      <c r="L658" s="15"/>
      <c r="M658" s="15"/>
    </row>
    <row r="659" spans="2:13" ht="15" customHeight="1" x14ac:dyDescent="0.3">
      <c r="B659" s="21" t="str">
        <f t="shared" si="10"/>
        <v/>
      </c>
      <c r="C659" s="15"/>
      <c r="D659" s="15"/>
      <c r="E659" s="15"/>
      <c r="F659" s="15"/>
      <c r="G659" s="15"/>
      <c r="H659" s="39" t="str">
        <f>IF($G659="","",IFERROR(INDEX('90_SEMA'!$G$7:$H$183,MATCH($G659,'90_SEMA'!$B$7:$B$183,0),NYELV_IDX),"### ISMERETLEN KÓD"))</f>
        <v/>
      </c>
      <c r="I659" s="33"/>
      <c r="J659" s="33"/>
      <c r="K659" s="15"/>
      <c r="L659" s="15"/>
      <c r="M659" s="15"/>
    </row>
    <row r="660" spans="2:13" ht="15" customHeight="1" x14ac:dyDescent="0.3">
      <c r="B660" s="21" t="str">
        <f t="shared" si="10"/>
        <v/>
      </c>
      <c r="C660" s="15"/>
      <c r="D660" s="15"/>
      <c r="E660" s="15"/>
      <c r="F660" s="15"/>
      <c r="G660" s="15"/>
      <c r="H660" s="39" t="str">
        <f>IF($G660="","",IFERROR(INDEX('90_SEMA'!$G$7:$H$183,MATCH($G660,'90_SEMA'!$B$7:$B$183,0),NYELV_IDX),"### ISMERETLEN KÓD"))</f>
        <v/>
      </c>
      <c r="I660" s="33"/>
      <c r="J660" s="33"/>
      <c r="K660" s="15"/>
      <c r="L660" s="15"/>
      <c r="M660" s="15"/>
    </row>
    <row r="661" spans="2:13" ht="15" customHeight="1" x14ac:dyDescent="0.3">
      <c r="B661" s="21" t="str">
        <f t="shared" si="10"/>
        <v/>
      </c>
      <c r="C661" s="15"/>
      <c r="D661" s="15"/>
      <c r="E661" s="15"/>
      <c r="F661" s="15"/>
      <c r="G661" s="15"/>
      <c r="H661" s="39" t="str">
        <f>IF($G661="","",IFERROR(INDEX('90_SEMA'!$G$7:$H$183,MATCH($G661,'90_SEMA'!$B$7:$B$183,0),NYELV_IDX),"### ISMERETLEN KÓD"))</f>
        <v/>
      </c>
      <c r="I661" s="33"/>
      <c r="J661" s="33"/>
      <c r="K661" s="15"/>
      <c r="L661" s="15"/>
      <c r="M661" s="15"/>
    </row>
    <row r="662" spans="2:13" ht="15" customHeight="1" x14ac:dyDescent="0.3">
      <c r="B662" s="21" t="str">
        <f t="shared" si="10"/>
        <v/>
      </c>
      <c r="C662" s="15"/>
      <c r="D662" s="15"/>
      <c r="E662" s="15"/>
      <c r="F662" s="15"/>
      <c r="G662" s="15"/>
      <c r="H662" s="39" t="str">
        <f>IF($G662="","",IFERROR(INDEX('90_SEMA'!$G$7:$H$183,MATCH($G662,'90_SEMA'!$B$7:$B$183,0),NYELV_IDX),"### ISMERETLEN KÓD"))</f>
        <v/>
      </c>
      <c r="I662" s="33"/>
      <c r="J662" s="33"/>
      <c r="K662" s="15"/>
      <c r="L662" s="15"/>
      <c r="M662" s="15"/>
    </row>
    <row r="663" spans="2:13" ht="15" customHeight="1" x14ac:dyDescent="0.3">
      <c r="B663" s="21" t="str">
        <f t="shared" si="10"/>
        <v/>
      </c>
      <c r="C663" s="15"/>
      <c r="D663" s="15"/>
      <c r="E663" s="15"/>
      <c r="F663" s="15"/>
      <c r="G663" s="15"/>
      <c r="H663" s="39" t="str">
        <f>IF($G663="","",IFERROR(INDEX('90_SEMA'!$G$7:$H$183,MATCH($G663,'90_SEMA'!$B$7:$B$183,0),NYELV_IDX),"### ISMERETLEN KÓD"))</f>
        <v/>
      </c>
      <c r="I663" s="33"/>
      <c r="J663" s="33"/>
      <c r="K663" s="15"/>
      <c r="L663" s="15"/>
      <c r="M663" s="15"/>
    </row>
    <row r="664" spans="2:13" ht="15" customHeight="1" x14ac:dyDescent="0.3">
      <c r="B664" s="21" t="str">
        <f t="shared" si="10"/>
        <v/>
      </c>
      <c r="C664" s="15"/>
      <c r="D664" s="15"/>
      <c r="E664" s="15"/>
      <c r="F664" s="15"/>
      <c r="G664" s="15"/>
      <c r="H664" s="39" t="str">
        <f>IF($G664="","",IFERROR(INDEX('90_SEMA'!$G$7:$H$183,MATCH($G664,'90_SEMA'!$B$7:$B$183,0),NYELV_IDX),"### ISMERETLEN KÓD"))</f>
        <v/>
      </c>
      <c r="I664" s="33"/>
      <c r="J664" s="33"/>
      <c r="K664" s="15"/>
      <c r="L664" s="15"/>
      <c r="M664" s="15"/>
    </row>
    <row r="665" spans="2:13" ht="15" customHeight="1" x14ac:dyDescent="0.3">
      <c r="B665" s="21" t="str">
        <f t="shared" si="10"/>
        <v/>
      </c>
      <c r="C665" s="15"/>
      <c r="D665" s="15"/>
      <c r="E665" s="15"/>
      <c r="F665" s="15"/>
      <c r="G665" s="15"/>
      <c r="H665" s="39" t="str">
        <f>IF($G665="","",IFERROR(INDEX('90_SEMA'!$G$7:$H$183,MATCH($G665,'90_SEMA'!$B$7:$B$183,0),NYELV_IDX),"### ISMERETLEN KÓD"))</f>
        <v/>
      </c>
      <c r="I665" s="33"/>
      <c r="J665" s="33"/>
      <c r="K665" s="15"/>
      <c r="L665" s="15"/>
      <c r="M665" s="15"/>
    </row>
    <row r="666" spans="2:13" ht="15" customHeight="1" x14ac:dyDescent="0.3">
      <c r="B666" s="21" t="str">
        <f t="shared" si="10"/>
        <v/>
      </c>
      <c r="C666" s="15"/>
      <c r="D666" s="15"/>
      <c r="E666" s="15"/>
      <c r="F666" s="15"/>
      <c r="G666" s="15"/>
      <c r="H666" s="39" t="str">
        <f>IF($G666="","",IFERROR(INDEX('90_SEMA'!$G$7:$H$183,MATCH($G666,'90_SEMA'!$B$7:$B$183,0),NYELV_IDX),"### ISMERETLEN KÓD"))</f>
        <v/>
      </c>
      <c r="I666" s="33"/>
      <c r="J666" s="33"/>
      <c r="K666" s="15"/>
      <c r="L666" s="15"/>
      <c r="M666" s="15"/>
    </row>
    <row r="667" spans="2:13" ht="15" customHeight="1" x14ac:dyDescent="0.3">
      <c r="B667" s="21" t="str">
        <f t="shared" si="10"/>
        <v/>
      </c>
      <c r="C667" s="15"/>
      <c r="D667" s="15"/>
      <c r="E667" s="15"/>
      <c r="F667" s="15"/>
      <c r="G667" s="15"/>
      <c r="H667" s="39" t="str">
        <f>IF($G667="","",IFERROR(INDEX('90_SEMA'!$G$7:$H$183,MATCH($G667,'90_SEMA'!$B$7:$B$183,0),NYELV_IDX),"### ISMERETLEN KÓD"))</f>
        <v/>
      </c>
      <c r="I667" s="33"/>
      <c r="J667" s="33"/>
      <c r="K667" s="15"/>
      <c r="L667" s="15"/>
      <c r="M667" s="15"/>
    </row>
    <row r="668" spans="2:13" ht="15" customHeight="1" x14ac:dyDescent="0.3">
      <c r="B668" s="21" t="str">
        <f t="shared" si="10"/>
        <v/>
      </c>
      <c r="C668" s="15"/>
      <c r="D668" s="15"/>
      <c r="E668" s="15"/>
      <c r="F668" s="15"/>
      <c r="G668" s="15"/>
      <c r="H668" s="39" t="str">
        <f>IF($G668="","",IFERROR(INDEX('90_SEMA'!$G$7:$H$183,MATCH($G668,'90_SEMA'!$B$7:$B$183,0),NYELV_IDX),"### ISMERETLEN KÓD"))</f>
        <v/>
      </c>
      <c r="I668" s="33"/>
      <c r="J668" s="33"/>
      <c r="K668" s="15"/>
      <c r="L668" s="15"/>
      <c r="M668" s="15"/>
    </row>
    <row r="669" spans="2:13" ht="15" customHeight="1" x14ac:dyDescent="0.3">
      <c r="B669" s="21" t="str">
        <f t="shared" si="10"/>
        <v/>
      </c>
      <c r="C669" s="15"/>
      <c r="D669" s="15"/>
      <c r="E669" s="15"/>
      <c r="F669" s="15"/>
      <c r="G669" s="15"/>
      <c r="H669" s="39" t="str">
        <f>IF($G669="","",IFERROR(INDEX('90_SEMA'!$G$7:$H$183,MATCH($G669,'90_SEMA'!$B$7:$B$183,0),NYELV_IDX),"### ISMERETLEN KÓD"))</f>
        <v/>
      </c>
      <c r="I669" s="33"/>
      <c r="J669" s="33"/>
      <c r="K669" s="15"/>
      <c r="L669" s="15"/>
      <c r="M669" s="15"/>
    </row>
    <row r="670" spans="2:13" ht="15" customHeight="1" x14ac:dyDescent="0.3">
      <c r="B670" s="21" t="str">
        <f t="shared" si="10"/>
        <v/>
      </c>
      <c r="C670" s="15"/>
      <c r="D670" s="15"/>
      <c r="E670" s="15"/>
      <c r="F670" s="15"/>
      <c r="G670" s="15"/>
      <c r="H670" s="39" t="str">
        <f>IF($G670="","",IFERROR(INDEX('90_SEMA'!$G$7:$H$183,MATCH($G670,'90_SEMA'!$B$7:$B$183,0),NYELV_IDX),"### ISMERETLEN KÓD"))</f>
        <v/>
      </c>
      <c r="I670" s="33"/>
      <c r="J670" s="33"/>
      <c r="K670" s="15"/>
      <c r="L670" s="15"/>
      <c r="M670" s="15"/>
    </row>
    <row r="671" spans="2:13" ht="15" customHeight="1" x14ac:dyDescent="0.3">
      <c r="B671" s="21" t="str">
        <f t="shared" si="10"/>
        <v/>
      </c>
      <c r="C671" s="15"/>
      <c r="D671" s="15"/>
      <c r="E671" s="15"/>
      <c r="F671" s="15"/>
      <c r="G671" s="15"/>
      <c r="H671" s="39" t="str">
        <f>IF($G671="","",IFERROR(INDEX('90_SEMA'!$G$7:$H$183,MATCH($G671,'90_SEMA'!$B$7:$B$183,0),NYELV_IDX),"### ISMERETLEN KÓD"))</f>
        <v/>
      </c>
      <c r="I671" s="33"/>
      <c r="J671" s="33"/>
      <c r="K671" s="15"/>
      <c r="L671" s="15"/>
      <c r="M671" s="15"/>
    </row>
    <row r="672" spans="2:13" ht="15" customHeight="1" x14ac:dyDescent="0.3">
      <c r="B672" s="21" t="str">
        <f t="shared" si="10"/>
        <v/>
      </c>
      <c r="C672" s="15"/>
      <c r="D672" s="15"/>
      <c r="E672" s="15"/>
      <c r="F672" s="15"/>
      <c r="G672" s="15"/>
      <c r="H672" s="39" t="str">
        <f>IF($G672="","",IFERROR(INDEX('90_SEMA'!$G$7:$H$183,MATCH($G672,'90_SEMA'!$B$7:$B$183,0),NYELV_IDX),"### ISMERETLEN KÓD"))</f>
        <v/>
      </c>
      <c r="I672" s="33"/>
      <c r="J672" s="33"/>
      <c r="K672" s="15"/>
      <c r="L672" s="15"/>
      <c r="M672" s="15"/>
    </row>
    <row r="673" spans="2:13" ht="15" customHeight="1" x14ac:dyDescent="0.3">
      <c r="B673" s="21" t="str">
        <f t="shared" si="10"/>
        <v/>
      </c>
      <c r="C673" s="15"/>
      <c r="D673" s="15"/>
      <c r="E673" s="15"/>
      <c r="F673" s="15"/>
      <c r="G673" s="15"/>
      <c r="H673" s="39" t="str">
        <f>IF($G673="","",IFERROR(INDEX('90_SEMA'!$G$7:$H$183,MATCH($G673,'90_SEMA'!$B$7:$B$183,0),NYELV_IDX),"### ISMERETLEN KÓD"))</f>
        <v/>
      </c>
      <c r="I673" s="33"/>
      <c r="J673" s="33"/>
      <c r="K673" s="15"/>
      <c r="L673" s="15"/>
      <c r="M673" s="15"/>
    </row>
    <row r="674" spans="2:13" ht="15" customHeight="1" x14ac:dyDescent="0.3">
      <c r="B674" s="21" t="str">
        <f t="shared" si="10"/>
        <v/>
      </c>
      <c r="C674" s="15"/>
      <c r="D674" s="15"/>
      <c r="E674" s="15"/>
      <c r="F674" s="15"/>
      <c r="G674" s="15"/>
      <c r="H674" s="39" t="str">
        <f>IF($G674="","",IFERROR(INDEX('90_SEMA'!$G$7:$H$183,MATCH($G674,'90_SEMA'!$B$7:$B$183,0),NYELV_IDX),"### ISMERETLEN KÓD"))</f>
        <v/>
      </c>
      <c r="I674" s="33"/>
      <c r="J674" s="33"/>
      <c r="K674" s="15"/>
      <c r="L674" s="15"/>
      <c r="M674" s="15"/>
    </row>
    <row r="675" spans="2:13" ht="15" customHeight="1" x14ac:dyDescent="0.3">
      <c r="B675" s="21" t="str">
        <f t="shared" si="10"/>
        <v/>
      </c>
      <c r="C675" s="15"/>
      <c r="D675" s="15"/>
      <c r="E675" s="15"/>
      <c r="F675" s="15"/>
      <c r="G675" s="15"/>
      <c r="H675" s="39" t="str">
        <f>IF($G675="","",IFERROR(INDEX('90_SEMA'!$G$7:$H$183,MATCH($G675,'90_SEMA'!$B$7:$B$183,0),NYELV_IDX),"### ISMERETLEN KÓD"))</f>
        <v/>
      </c>
      <c r="I675" s="33"/>
      <c r="J675" s="33"/>
      <c r="K675" s="15"/>
      <c r="L675" s="15"/>
      <c r="M675" s="15"/>
    </row>
    <row r="676" spans="2:13" ht="15" customHeight="1" x14ac:dyDescent="0.3">
      <c r="B676" s="21" t="str">
        <f t="shared" si="10"/>
        <v/>
      </c>
      <c r="C676" s="15"/>
      <c r="D676" s="15"/>
      <c r="E676" s="15"/>
      <c r="F676" s="15"/>
      <c r="G676" s="15"/>
      <c r="H676" s="39" t="str">
        <f>IF($G676="","",IFERROR(INDEX('90_SEMA'!$G$7:$H$183,MATCH($G676,'90_SEMA'!$B$7:$B$183,0),NYELV_IDX),"### ISMERETLEN KÓD"))</f>
        <v/>
      </c>
      <c r="I676" s="33"/>
      <c r="J676" s="33"/>
      <c r="K676" s="15"/>
      <c r="L676" s="15"/>
      <c r="M676" s="15"/>
    </row>
    <row r="677" spans="2:13" ht="15" customHeight="1" x14ac:dyDescent="0.3">
      <c r="B677" s="21" t="str">
        <f t="shared" si="10"/>
        <v/>
      </c>
      <c r="C677" s="15"/>
      <c r="D677" s="15"/>
      <c r="E677" s="15"/>
      <c r="F677" s="15"/>
      <c r="G677" s="15"/>
      <c r="H677" s="39" t="str">
        <f>IF($G677="","",IFERROR(INDEX('90_SEMA'!$G$7:$H$183,MATCH($G677,'90_SEMA'!$B$7:$B$183,0),NYELV_IDX),"### ISMERETLEN KÓD"))</f>
        <v/>
      </c>
      <c r="I677" s="33"/>
      <c r="J677" s="33"/>
      <c r="K677" s="15"/>
      <c r="L677" s="15"/>
      <c r="M677" s="15"/>
    </row>
    <row r="678" spans="2:13" ht="15" customHeight="1" x14ac:dyDescent="0.3">
      <c r="B678" s="21" t="str">
        <f t="shared" si="10"/>
        <v/>
      </c>
      <c r="C678" s="15"/>
      <c r="D678" s="15"/>
      <c r="E678" s="15"/>
      <c r="F678" s="15"/>
      <c r="G678" s="15"/>
      <c r="H678" s="39" t="str">
        <f>IF($G678="","",IFERROR(INDEX('90_SEMA'!$G$7:$H$183,MATCH($G678,'90_SEMA'!$B$7:$B$183,0),NYELV_IDX),"### ISMERETLEN KÓD"))</f>
        <v/>
      </c>
      <c r="I678" s="33"/>
      <c r="J678" s="33"/>
      <c r="K678" s="15"/>
      <c r="L678" s="15"/>
      <c r="M678" s="15"/>
    </row>
    <row r="679" spans="2:13" ht="15" customHeight="1" x14ac:dyDescent="0.3">
      <c r="B679" s="21" t="str">
        <f t="shared" si="10"/>
        <v/>
      </c>
      <c r="C679" s="15"/>
      <c r="D679" s="15"/>
      <c r="E679" s="15"/>
      <c r="F679" s="15"/>
      <c r="G679" s="15"/>
      <c r="H679" s="39" t="str">
        <f>IF($G679="","",IFERROR(INDEX('90_SEMA'!$G$7:$H$183,MATCH($G679,'90_SEMA'!$B$7:$B$183,0),NYELV_IDX),"### ISMERETLEN KÓD"))</f>
        <v/>
      </c>
      <c r="I679" s="33"/>
      <c r="J679" s="33"/>
      <c r="K679" s="15"/>
      <c r="L679" s="15"/>
      <c r="M679" s="15"/>
    </row>
    <row r="680" spans="2:13" ht="15" customHeight="1" x14ac:dyDescent="0.3">
      <c r="B680" s="21" t="str">
        <f t="shared" si="10"/>
        <v/>
      </c>
      <c r="C680" s="15"/>
      <c r="D680" s="15"/>
      <c r="E680" s="15"/>
      <c r="F680" s="15"/>
      <c r="G680" s="15"/>
      <c r="H680" s="39" t="str">
        <f>IF($G680="","",IFERROR(INDEX('90_SEMA'!$G$7:$H$183,MATCH($G680,'90_SEMA'!$B$7:$B$183,0),NYELV_IDX),"### ISMERETLEN KÓD"))</f>
        <v/>
      </c>
      <c r="I680" s="33"/>
      <c r="J680" s="33"/>
      <c r="K680" s="15"/>
      <c r="L680" s="15"/>
      <c r="M680" s="15"/>
    </row>
    <row r="681" spans="2:13" ht="15" customHeight="1" x14ac:dyDescent="0.3">
      <c r="B681" s="21" t="str">
        <f t="shared" si="10"/>
        <v/>
      </c>
      <c r="C681" s="15"/>
      <c r="D681" s="15"/>
      <c r="E681" s="15"/>
      <c r="F681" s="15"/>
      <c r="G681" s="15"/>
      <c r="H681" s="39" t="str">
        <f>IF($G681="","",IFERROR(INDEX('90_SEMA'!$G$7:$H$183,MATCH($G681,'90_SEMA'!$B$7:$B$183,0),NYELV_IDX),"### ISMERETLEN KÓD"))</f>
        <v/>
      </c>
      <c r="I681" s="33"/>
      <c r="J681" s="33"/>
      <c r="K681" s="15"/>
      <c r="L681" s="15"/>
      <c r="M681" s="15"/>
    </row>
    <row r="682" spans="2:13" ht="15" customHeight="1" x14ac:dyDescent="0.3">
      <c r="B682" s="21" t="str">
        <f t="shared" si="10"/>
        <v/>
      </c>
      <c r="C682" s="15"/>
      <c r="D682" s="15"/>
      <c r="E682" s="15"/>
      <c r="F682" s="15"/>
      <c r="G682" s="15"/>
      <c r="H682" s="39" t="str">
        <f>IF($G682="","",IFERROR(INDEX('90_SEMA'!$G$7:$H$183,MATCH($G682,'90_SEMA'!$B$7:$B$183,0),NYELV_IDX),"### ISMERETLEN KÓD"))</f>
        <v/>
      </c>
      <c r="I682" s="33"/>
      <c r="J682" s="33"/>
      <c r="K682" s="15"/>
      <c r="L682" s="15"/>
      <c r="M682" s="15"/>
    </row>
    <row r="683" spans="2:13" ht="15" customHeight="1" x14ac:dyDescent="0.3">
      <c r="B683" s="21" t="str">
        <f t="shared" si="10"/>
        <v/>
      </c>
      <c r="C683" s="15"/>
      <c r="D683" s="15"/>
      <c r="E683" s="15"/>
      <c r="F683" s="15"/>
      <c r="G683" s="15"/>
      <c r="H683" s="39" t="str">
        <f>IF($G683="","",IFERROR(INDEX('90_SEMA'!$G$7:$H$183,MATCH($G683,'90_SEMA'!$B$7:$B$183,0),NYELV_IDX),"### ISMERETLEN KÓD"))</f>
        <v/>
      </c>
      <c r="I683" s="33"/>
      <c r="J683" s="33"/>
      <c r="K683" s="15"/>
      <c r="L683" s="15"/>
      <c r="M683" s="15"/>
    </row>
    <row r="684" spans="2:13" ht="15" customHeight="1" x14ac:dyDescent="0.3">
      <c r="B684" s="21" t="str">
        <f t="shared" si="10"/>
        <v/>
      </c>
      <c r="C684" s="15"/>
      <c r="D684" s="15"/>
      <c r="E684" s="15"/>
      <c r="F684" s="15"/>
      <c r="G684" s="15"/>
      <c r="H684" s="39" t="str">
        <f>IF($G684="","",IFERROR(INDEX('90_SEMA'!$G$7:$H$183,MATCH($G684,'90_SEMA'!$B$7:$B$183,0),NYELV_IDX),"### ISMERETLEN KÓD"))</f>
        <v/>
      </c>
      <c r="I684" s="33"/>
      <c r="J684" s="33"/>
      <c r="K684" s="15"/>
      <c r="L684" s="15"/>
      <c r="M684" s="15"/>
    </row>
    <row r="685" spans="2:13" ht="15" customHeight="1" x14ac:dyDescent="0.3">
      <c r="B685" s="21" t="str">
        <f t="shared" si="10"/>
        <v/>
      </c>
      <c r="C685" s="15"/>
      <c r="D685" s="15"/>
      <c r="E685" s="15"/>
      <c r="F685" s="15"/>
      <c r="G685" s="15"/>
      <c r="H685" s="39" t="str">
        <f>IF($G685="","",IFERROR(INDEX('90_SEMA'!$G$7:$H$183,MATCH($G685,'90_SEMA'!$B$7:$B$183,0),NYELV_IDX),"### ISMERETLEN KÓD"))</f>
        <v/>
      </c>
      <c r="I685" s="33"/>
      <c r="J685" s="33"/>
      <c r="K685" s="15"/>
      <c r="L685" s="15"/>
      <c r="M685" s="15"/>
    </row>
    <row r="686" spans="2:13" ht="15" customHeight="1" x14ac:dyDescent="0.3">
      <c r="B686" s="21" t="str">
        <f t="shared" si="10"/>
        <v/>
      </c>
      <c r="C686" s="15"/>
      <c r="D686" s="15"/>
      <c r="E686" s="15"/>
      <c r="F686" s="15"/>
      <c r="G686" s="15"/>
      <c r="H686" s="39" t="str">
        <f>IF($G686="","",IFERROR(INDEX('90_SEMA'!$G$7:$H$183,MATCH($G686,'90_SEMA'!$B$7:$B$183,0),NYELV_IDX),"### ISMERETLEN KÓD"))</f>
        <v/>
      </c>
      <c r="I686" s="33"/>
      <c r="J686" s="33"/>
      <c r="K686" s="15"/>
      <c r="L686" s="15"/>
      <c r="M686" s="15"/>
    </row>
    <row r="687" spans="2:13" ht="15" customHeight="1" x14ac:dyDescent="0.3">
      <c r="B687" s="21" t="str">
        <f t="shared" si="10"/>
        <v/>
      </c>
      <c r="C687" s="15"/>
      <c r="D687" s="15"/>
      <c r="E687" s="15"/>
      <c r="F687" s="15"/>
      <c r="G687" s="15"/>
      <c r="H687" s="39" t="str">
        <f>IF($G687="","",IFERROR(INDEX('90_SEMA'!$G$7:$H$183,MATCH($G687,'90_SEMA'!$B$7:$B$183,0),NYELV_IDX),"### ISMERETLEN KÓD"))</f>
        <v/>
      </c>
      <c r="I687" s="33"/>
      <c r="J687" s="33"/>
      <c r="K687" s="15"/>
      <c r="L687" s="15"/>
      <c r="M687" s="15"/>
    </row>
    <row r="688" spans="2:13" ht="15" customHeight="1" x14ac:dyDescent="0.3">
      <c r="B688" s="21" t="str">
        <f t="shared" si="10"/>
        <v/>
      </c>
      <c r="C688" s="15"/>
      <c r="D688" s="15"/>
      <c r="E688" s="15"/>
      <c r="F688" s="15"/>
      <c r="G688" s="15"/>
      <c r="H688" s="39" t="str">
        <f>IF($G688="","",IFERROR(INDEX('90_SEMA'!$G$7:$H$183,MATCH($G688,'90_SEMA'!$B$7:$B$183,0),NYELV_IDX),"### ISMERETLEN KÓD"))</f>
        <v/>
      </c>
      <c r="I688" s="33"/>
      <c r="J688" s="33"/>
      <c r="K688" s="15"/>
      <c r="L688" s="15"/>
      <c r="M688" s="15"/>
    </row>
    <row r="689" spans="2:13" ht="15" customHeight="1" x14ac:dyDescent="0.3">
      <c r="B689" s="21" t="str">
        <f t="shared" si="10"/>
        <v/>
      </c>
      <c r="C689" s="15"/>
      <c r="D689" s="15"/>
      <c r="E689" s="15"/>
      <c r="F689" s="15"/>
      <c r="G689" s="15"/>
      <c r="H689" s="39" t="str">
        <f>IF($G689="","",IFERROR(INDEX('90_SEMA'!$G$7:$H$183,MATCH($G689,'90_SEMA'!$B$7:$B$183,0),NYELV_IDX),"### ISMERETLEN KÓD"))</f>
        <v/>
      </c>
      <c r="I689" s="33"/>
      <c r="J689" s="33"/>
      <c r="K689" s="15"/>
      <c r="L689" s="15"/>
      <c r="M689" s="15"/>
    </row>
    <row r="690" spans="2:13" ht="15" customHeight="1" x14ac:dyDescent="0.3">
      <c r="B690" s="21" t="str">
        <f t="shared" si="10"/>
        <v/>
      </c>
      <c r="C690" s="15"/>
      <c r="D690" s="15"/>
      <c r="E690" s="15"/>
      <c r="F690" s="15"/>
      <c r="G690" s="15"/>
      <c r="H690" s="39" t="str">
        <f>IF($G690="","",IFERROR(INDEX('90_SEMA'!$G$7:$H$183,MATCH($G690,'90_SEMA'!$B$7:$B$183,0),NYELV_IDX),"### ISMERETLEN KÓD"))</f>
        <v/>
      </c>
      <c r="I690" s="33"/>
      <c r="J690" s="33"/>
      <c r="K690" s="15"/>
      <c r="L690" s="15"/>
      <c r="M690" s="15"/>
    </row>
    <row r="691" spans="2:13" ht="15" customHeight="1" x14ac:dyDescent="0.3">
      <c r="B691" s="21" t="str">
        <f t="shared" si="10"/>
        <v/>
      </c>
      <c r="C691" s="15"/>
      <c r="D691" s="15"/>
      <c r="E691" s="15"/>
      <c r="F691" s="15"/>
      <c r="G691" s="15"/>
      <c r="H691" s="39" t="str">
        <f>IF($G691="","",IFERROR(INDEX('90_SEMA'!$G$7:$H$183,MATCH($G691,'90_SEMA'!$B$7:$B$183,0),NYELV_IDX),"### ISMERETLEN KÓD"))</f>
        <v/>
      </c>
      <c r="I691" s="33"/>
      <c r="J691" s="33"/>
      <c r="K691" s="15"/>
      <c r="L691" s="15"/>
      <c r="M691" s="15"/>
    </row>
    <row r="692" spans="2:13" ht="15" customHeight="1" x14ac:dyDescent="0.3">
      <c r="B692" s="21" t="str">
        <f t="shared" si="10"/>
        <v/>
      </c>
      <c r="C692" s="15"/>
      <c r="D692" s="15"/>
      <c r="E692" s="15"/>
      <c r="F692" s="15"/>
      <c r="G692" s="15"/>
      <c r="H692" s="39" t="str">
        <f>IF($G692="","",IFERROR(INDEX('90_SEMA'!$G$7:$H$183,MATCH($G692,'90_SEMA'!$B$7:$B$183,0),NYELV_IDX),"### ISMERETLEN KÓD"))</f>
        <v/>
      </c>
      <c r="I692" s="33"/>
      <c r="J692" s="33"/>
      <c r="K692" s="15"/>
      <c r="L692" s="15"/>
      <c r="M692" s="15"/>
    </row>
    <row r="693" spans="2:13" ht="15" customHeight="1" x14ac:dyDescent="0.3">
      <c r="B693" s="21" t="str">
        <f t="shared" si="10"/>
        <v/>
      </c>
      <c r="C693" s="15"/>
      <c r="D693" s="15"/>
      <c r="E693" s="15"/>
      <c r="F693" s="15"/>
      <c r="G693" s="15"/>
      <c r="H693" s="39" t="str">
        <f>IF($G693="","",IFERROR(INDEX('90_SEMA'!$G$7:$H$183,MATCH($G693,'90_SEMA'!$B$7:$B$183,0),NYELV_IDX),"### ISMERETLEN KÓD"))</f>
        <v/>
      </c>
      <c r="I693" s="33"/>
      <c r="J693" s="33"/>
      <c r="K693" s="15"/>
      <c r="L693" s="15"/>
      <c r="M693" s="15"/>
    </row>
    <row r="694" spans="2:13" ht="15" customHeight="1" x14ac:dyDescent="0.3">
      <c r="B694" s="21" t="str">
        <f t="shared" si="10"/>
        <v/>
      </c>
      <c r="C694" s="15"/>
      <c r="D694" s="15"/>
      <c r="E694" s="15"/>
      <c r="F694" s="15"/>
      <c r="G694" s="15"/>
      <c r="H694" s="39" t="str">
        <f>IF($G694="","",IFERROR(INDEX('90_SEMA'!$G$7:$H$183,MATCH($G694,'90_SEMA'!$B$7:$B$183,0),NYELV_IDX),"### ISMERETLEN KÓD"))</f>
        <v/>
      </c>
      <c r="I694" s="33"/>
      <c r="J694" s="33"/>
      <c r="K694" s="15"/>
      <c r="L694" s="15"/>
      <c r="M694" s="15"/>
    </row>
    <row r="695" spans="2:13" ht="15" customHeight="1" x14ac:dyDescent="0.3">
      <c r="B695" s="21" t="str">
        <f t="shared" si="10"/>
        <v/>
      </c>
      <c r="C695" s="15"/>
      <c r="D695" s="15"/>
      <c r="E695" s="15"/>
      <c r="F695" s="15"/>
      <c r="G695" s="15"/>
      <c r="H695" s="39" t="str">
        <f>IF($G695="","",IFERROR(INDEX('90_SEMA'!$G$7:$H$183,MATCH($G695,'90_SEMA'!$B$7:$B$183,0),NYELV_IDX),"### ISMERETLEN KÓD"))</f>
        <v/>
      </c>
      <c r="I695" s="33"/>
      <c r="J695" s="33"/>
      <c r="K695" s="15"/>
      <c r="L695" s="15"/>
      <c r="M695" s="15"/>
    </row>
    <row r="696" spans="2:13" ht="15" customHeight="1" x14ac:dyDescent="0.3">
      <c r="B696" s="21" t="str">
        <f t="shared" si="10"/>
        <v/>
      </c>
      <c r="C696" s="15"/>
      <c r="D696" s="15"/>
      <c r="E696" s="15"/>
      <c r="F696" s="15"/>
      <c r="G696" s="15"/>
      <c r="H696" s="39" t="str">
        <f>IF($G696="","",IFERROR(INDEX('90_SEMA'!$G$7:$H$183,MATCH($G696,'90_SEMA'!$B$7:$B$183,0),NYELV_IDX),"### ISMERETLEN KÓD"))</f>
        <v/>
      </c>
      <c r="I696" s="33"/>
      <c r="J696" s="33"/>
      <c r="K696" s="15"/>
      <c r="L696" s="15"/>
      <c r="M696" s="15"/>
    </row>
    <row r="697" spans="2:13" ht="15" customHeight="1" x14ac:dyDescent="0.3">
      <c r="B697" s="21" t="str">
        <f t="shared" si="10"/>
        <v/>
      </c>
      <c r="C697" s="15"/>
      <c r="D697" s="15"/>
      <c r="E697" s="15"/>
      <c r="F697" s="15"/>
      <c r="G697" s="15"/>
      <c r="H697" s="39" t="str">
        <f>IF($G697="","",IFERROR(INDEX('90_SEMA'!$G$7:$H$183,MATCH($G697,'90_SEMA'!$B$7:$B$183,0),NYELV_IDX),"### ISMERETLEN KÓD"))</f>
        <v/>
      </c>
      <c r="I697" s="33"/>
      <c r="J697" s="33"/>
      <c r="K697" s="15"/>
      <c r="L697" s="15"/>
      <c r="M697" s="15"/>
    </row>
    <row r="698" spans="2:13" ht="15" customHeight="1" x14ac:dyDescent="0.3">
      <c r="B698" s="21" t="str">
        <f t="shared" si="10"/>
        <v/>
      </c>
      <c r="C698" s="15"/>
      <c r="D698" s="15"/>
      <c r="E698" s="15"/>
      <c r="F698" s="15"/>
      <c r="G698" s="15"/>
      <c r="H698" s="39" t="str">
        <f>IF($G698="","",IFERROR(INDEX('90_SEMA'!$G$7:$H$183,MATCH($G698,'90_SEMA'!$B$7:$B$183,0),NYELV_IDX),"### ISMERETLEN KÓD"))</f>
        <v/>
      </c>
      <c r="I698" s="33"/>
      <c r="J698" s="33"/>
      <c r="K698" s="15"/>
      <c r="L698" s="15"/>
      <c r="M698" s="15"/>
    </row>
    <row r="699" spans="2:13" ht="15" customHeight="1" x14ac:dyDescent="0.3">
      <c r="B699" s="21" t="str">
        <f t="shared" si="10"/>
        <v/>
      </c>
      <c r="C699" s="15"/>
      <c r="D699" s="15"/>
      <c r="E699" s="15"/>
      <c r="F699" s="15"/>
      <c r="G699" s="15"/>
      <c r="H699" s="39" t="str">
        <f>IF($G699="","",IFERROR(INDEX('90_SEMA'!$G$7:$H$183,MATCH($G699,'90_SEMA'!$B$7:$B$183,0),NYELV_IDX),"### ISMERETLEN KÓD"))</f>
        <v/>
      </c>
      <c r="I699" s="33"/>
      <c r="J699" s="33"/>
      <c r="K699" s="15"/>
      <c r="L699" s="15"/>
      <c r="M699" s="15"/>
    </row>
    <row r="700" spans="2:13" ht="15" customHeight="1" x14ac:dyDescent="0.3">
      <c r="B700" s="21" t="str">
        <f t="shared" si="10"/>
        <v/>
      </c>
      <c r="C700" s="15"/>
      <c r="D700" s="15"/>
      <c r="E700" s="15"/>
      <c r="F700" s="15"/>
      <c r="G700" s="15"/>
      <c r="H700" s="39" t="str">
        <f>IF($G700="","",IFERROR(INDEX('90_SEMA'!$G$7:$H$183,MATCH($G700,'90_SEMA'!$B$7:$B$183,0),NYELV_IDX),"### ISMERETLEN KÓD"))</f>
        <v/>
      </c>
      <c r="I700" s="33"/>
      <c r="J700" s="33"/>
      <c r="K700" s="15"/>
      <c r="L700" s="15"/>
      <c r="M700" s="15"/>
    </row>
    <row r="701" spans="2:13" ht="15" customHeight="1" x14ac:dyDescent="0.3">
      <c r="B701" s="21" t="str">
        <f t="shared" si="10"/>
        <v/>
      </c>
      <c r="C701" s="15"/>
      <c r="D701" s="15"/>
      <c r="E701" s="15"/>
      <c r="F701" s="15"/>
      <c r="G701" s="15"/>
      <c r="H701" s="39" t="str">
        <f>IF($G701="","",IFERROR(INDEX('90_SEMA'!$G$7:$H$183,MATCH($G701,'90_SEMA'!$B$7:$B$183,0),NYELV_IDX),"### ISMERETLEN KÓD"))</f>
        <v/>
      </c>
      <c r="I701" s="33"/>
      <c r="J701" s="33"/>
      <c r="K701" s="15"/>
      <c r="L701" s="15"/>
      <c r="M701" s="15"/>
    </row>
    <row r="702" spans="2:13" ht="15" customHeight="1" x14ac:dyDescent="0.3">
      <c r="B702" s="21" t="str">
        <f t="shared" si="10"/>
        <v/>
      </c>
      <c r="C702" s="15"/>
      <c r="D702" s="15"/>
      <c r="E702" s="15"/>
      <c r="F702" s="15"/>
      <c r="G702" s="15"/>
      <c r="H702" s="39" t="str">
        <f>IF($G702="","",IFERROR(INDEX('90_SEMA'!$G$7:$H$183,MATCH($G702,'90_SEMA'!$B$7:$B$183,0),NYELV_IDX),"### ISMERETLEN KÓD"))</f>
        <v/>
      </c>
      <c r="I702" s="33"/>
      <c r="J702" s="33"/>
      <c r="K702" s="15"/>
      <c r="L702" s="15"/>
      <c r="M702" s="15"/>
    </row>
    <row r="703" spans="2:13" ht="15" customHeight="1" x14ac:dyDescent="0.3">
      <c r="B703" s="21" t="str">
        <f t="shared" si="10"/>
        <v/>
      </c>
      <c r="C703" s="15"/>
      <c r="D703" s="15"/>
      <c r="E703" s="15"/>
      <c r="F703" s="15"/>
      <c r="G703" s="15"/>
      <c r="H703" s="39" t="str">
        <f>IF($G703="","",IFERROR(INDEX('90_SEMA'!$G$7:$H$183,MATCH($G703,'90_SEMA'!$B$7:$B$183,0),NYELV_IDX),"### ISMERETLEN KÓD"))</f>
        <v/>
      </c>
      <c r="I703" s="33"/>
      <c r="J703" s="33"/>
      <c r="K703" s="15"/>
      <c r="L703" s="15"/>
      <c r="M703" s="15"/>
    </row>
    <row r="704" spans="2:13" ht="15" customHeight="1" x14ac:dyDescent="0.3">
      <c r="B704" s="21" t="str">
        <f t="shared" si="10"/>
        <v/>
      </c>
      <c r="C704" s="15"/>
      <c r="D704" s="15"/>
      <c r="E704" s="15"/>
      <c r="F704" s="15"/>
      <c r="G704" s="15"/>
      <c r="H704" s="39" t="str">
        <f>IF($G704="","",IFERROR(INDEX('90_SEMA'!$G$7:$H$183,MATCH($G704,'90_SEMA'!$B$7:$B$183,0),NYELV_IDX),"### ISMERETLEN KÓD"))</f>
        <v/>
      </c>
      <c r="I704" s="33"/>
      <c r="J704" s="33"/>
      <c r="K704" s="15"/>
      <c r="L704" s="15"/>
      <c r="M704" s="15"/>
    </row>
    <row r="705" spans="2:13" ht="15" customHeight="1" x14ac:dyDescent="0.3">
      <c r="B705" s="21" t="str">
        <f t="shared" si="10"/>
        <v/>
      </c>
      <c r="C705" s="15"/>
      <c r="D705" s="15"/>
      <c r="E705" s="15"/>
      <c r="F705" s="15"/>
      <c r="G705" s="15"/>
      <c r="H705" s="39" t="str">
        <f>IF($G705="","",IFERROR(INDEX('90_SEMA'!$G$7:$H$183,MATCH($G705,'90_SEMA'!$B$7:$B$183,0),NYELV_IDX),"### ISMERETLEN KÓD"))</f>
        <v/>
      </c>
      <c r="I705" s="33"/>
      <c r="J705" s="33"/>
      <c r="K705" s="15"/>
      <c r="L705" s="15"/>
      <c r="M705" s="15"/>
    </row>
    <row r="706" spans="2:13" ht="15" customHeight="1" x14ac:dyDescent="0.3">
      <c r="B706" s="21" t="str">
        <f t="shared" si="10"/>
        <v/>
      </c>
      <c r="C706" s="15"/>
      <c r="D706" s="15"/>
      <c r="E706" s="15"/>
      <c r="F706" s="15"/>
      <c r="G706" s="15"/>
      <c r="H706" s="39" t="str">
        <f>IF($G706="","",IFERROR(INDEX('90_SEMA'!$G$7:$H$183,MATCH($G706,'90_SEMA'!$B$7:$B$183,0),NYELV_IDX),"### ISMERETLEN KÓD"))</f>
        <v/>
      </c>
      <c r="I706" s="33"/>
      <c r="J706" s="33"/>
      <c r="K706" s="15"/>
      <c r="L706" s="15"/>
      <c r="M706" s="15"/>
    </row>
    <row r="707" spans="2:13" ht="15" customHeight="1" x14ac:dyDescent="0.3">
      <c r="B707" s="21" t="str">
        <f t="shared" si="10"/>
        <v/>
      </c>
      <c r="C707" s="15"/>
      <c r="D707" s="15"/>
      <c r="E707" s="15"/>
      <c r="F707" s="15"/>
      <c r="G707" s="15"/>
      <c r="H707" s="39" t="str">
        <f>IF($G707="","",IFERROR(INDEX('90_SEMA'!$G$7:$H$183,MATCH($G707,'90_SEMA'!$B$7:$B$183,0),NYELV_IDX),"### ISMERETLEN KÓD"))</f>
        <v/>
      </c>
      <c r="I707" s="33"/>
      <c r="J707" s="33"/>
      <c r="K707" s="15"/>
      <c r="L707" s="15"/>
      <c r="M707" s="15"/>
    </row>
    <row r="708" spans="2:13" ht="15" customHeight="1" x14ac:dyDescent="0.3">
      <c r="B708" s="21" t="str">
        <f t="shared" si="10"/>
        <v/>
      </c>
      <c r="C708" s="15"/>
      <c r="D708" s="15"/>
      <c r="E708" s="15"/>
      <c r="F708" s="15"/>
      <c r="G708" s="15"/>
      <c r="H708" s="39" t="str">
        <f>IF($G708="","",IFERROR(INDEX('90_SEMA'!$G$7:$H$183,MATCH($G708,'90_SEMA'!$B$7:$B$183,0),NYELV_IDX),"### ISMERETLEN KÓD"))</f>
        <v/>
      </c>
      <c r="I708" s="33"/>
      <c r="J708" s="33"/>
      <c r="K708" s="15"/>
      <c r="L708" s="15"/>
      <c r="M708" s="15"/>
    </row>
    <row r="709" spans="2:13" ht="15" customHeight="1" x14ac:dyDescent="0.3">
      <c r="B709" s="21" t="str">
        <f t="shared" si="10"/>
        <v/>
      </c>
      <c r="C709" s="15"/>
      <c r="D709" s="15"/>
      <c r="E709" s="15"/>
      <c r="F709" s="15"/>
      <c r="G709" s="15"/>
      <c r="H709" s="39" t="str">
        <f>IF($G709="","",IFERROR(INDEX('90_SEMA'!$G$7:$H$183,MATCH($G709,'90_SEMA'!$B$7:$B$183,0),NYELV_IDX),"### ISMERETLEN KÓD"))</f>
        <v/>
      </c>
      <c r="I709" s="33"/>
      <c r="J709" s="33"/>
      <c r="K709" s="15"/>
      <c r="L709" s="15"/>
      <c r="M709" s="15"/>
    </row>
    <row r="710" spans="2:13" ht="15" customHeight="1" x14ac:dyDescent="0.3">
      <c r="B710" s="21" t="str">
        <f t="shared" si="10"/>
        <v/>
      </c>
      <c r="C710" s="15"/>
      <c r="D710" s="15"/>
      <c r="E710" s="15"/>
      <c r="F710" s="15"/>
      <c r="G710" s="15"/>
      <c r="H710" s="39" t="str">
        <f>IF($G710="","",IFERROR(INDEX('90_SEMA'!$G$7:$H$183,MATCH($G710,'90_SEMA'!$B$7:$B$183,0),NYELV_IDX),"### ISMERETLEN KÓD"))</f>
        <v/>
      </c>
      <c r="I710" s="33"/>
      <c r="J710" s="33"/>
      <c r="K710" s="15"/>
      <c r="L710" s="15"/>
      <c r="M710" s="15"/>
    </row>
    <row r="711" spans="2:13" ht="15" customHeight="1" x14ac:dyDescent="0.3">
      <c r="B711" s="21" t="str">
        <f t="shared" ref="B711:B774" si="11">IF($G711="","",ROW()-6)</f>
        <v/>
      </c>
      <c r="C711" s="15"/>
      <c r="D711" s="15"/>
      <c r="E711" s="15"/>
      <c r="F711" s="15"/>
      <c r="G711" s="15"/>
      <c r="H711" s="39" t="str">
        <f>IF($G711="","",IFERROR(INDEX('90_SEMA'!$G$7:$H$183,MATCH($G711,'90_SEMA'!$B$7:$B$183,0),NYELV_IDX),"### ISMERETLEN KÓD"))</f>
        <v/>
      </c>
      <c r="I711" s="33"/>
      <c r="J711" s="33"/>
      <c r="K711" s="15"/>
      <c r="L711" s="15"/>
      <c r="M711" s="15"/>
    </row>
    <row r="712" spans="2:13" ht="15" customHeight="1" x14ac:dyDescent="0.3">
      <c r="B712" s="21" t="str">
        <f t="shared" si="11"/>
        <v/>
      </c>
      <c r="C712" s="15"/>
      <c r="D712" s="15"/>
      <c r="E712" s="15"/>
      <c r="F712" s="15"/>
      <c r="G712" s="15"/>
      <c r="H712" s="39" t="str">
        <f>IF($G712="","",IFERROR(INDEX('90_SEMA'!$G$7:$H$183,MATCH($G712,'90_SEMA'!$B$7:$B$183,0),NYELV_IDX),"### ISMERETLEN KÓD"))</f>
        <v/>
      </c>
      <c r="I712" s="33"/>
      <c r="J712" s="33"/>
      <c r="K712" s="15"/>
      <c r="L712" s="15"/>
      <c r="M712" s="15"/>
    </row>
    <row r="713" spans="2:13" ht="15" customHeight="1" x14ac:dyDescent="0.3">
      <c r="B713" s="21" t="str">
        <f t="shared" si="11"/>
        <v/>
      </c>
      <c r="C713" s="15"/>
      <c r="D713" s="15"/>
      <c r="E713" s="15"/>
      <c r="F713" s="15"/>
      <c r="G713" s="15"/>
      <c r="H713" s="39" t="str">
        <f>IF($G713="","",IFERROR(INDEX('90_SEMA'!$G$7:$H$183,MATCH($G713,'90_SEMA'!$B$7:$B$183,0),NYELV_IDX),"### ISMERETLEN KÓD"))</f>
        <v/>
      </c>
      <c r="I713" s="33"/>
      <c r="J713" s="33"/>
      <c r="K713" s="15"/>
      <c r="L713" s="15"/>
      <c r="M713" s="15"/>
    </row>
    <row r="714" spans="2:13" ht="15" customHeight="1" x14ac:dyDescent="0.3">
      <c r="B714" s="21" t="str">
        <f t="shared" si="11"/>
        <v/>
      </c>
      <c r="C714" s="15"/>
      <c r="D714" s="15"/>
      <c r="E714" s="15"/>
      <c r="F714" s="15"/>
      <c r="G714" s="15"/>
      <c r="H714" s="39" t="str">
        <f>IF($G714="","",IFERROR(INDEX('90_SEMA'!$G$7:$H$183,MATCH($G714,'90_SEMA'!$B$7:$B$183,0),NYELV_IDX),"### ISMERETLEN KÓD"))</f>
        <v/>
      </c>
      <c r="I714" s="33"/>
      <c r="J714" s="33"/>
      <c r="K714" s="15"/>
      <c r="L714" s="15"/>
      <c r="M714" s="15"/>
    </row>
    <row r="715" spans="2:13" ht="15" customHeight="1" x14ac:dyDescent="0.3">
      <c r="B715" s="21" t="str">
        <f t="shared" si="11"/>
        <v/>
      </c>
      <c r="C715" s="15"/>
      <c r="D715" s="15"/>
      <c r="E715" s="15"/>
      <c r="F715" s="15"/>
      <c r="G715" s="15"/>
      <c r="H715" s="39" t="str">
        <f>IF($G715="","",IFERROR(INDEX('90_SEMA'!$G$7:$H$183,MATCH($G715,'90_SEMA'!$B$7:$B$183,0),NYELV_IDX),"### ISMERETLEN KÓD"))</f>
        <v/>
      </c>
      <c r="I715" s="33"/>
      <c r="J715" s="33"/>
      <c r="K715" s="15"/>
      <c r="L715" s="15"/>
      <c r="M715" s="15"/>
    </row>
    <row r="716" spans="2:13" ht="15" customHeight="1" x14ac:dyDescent="0.3">
      <c r="B716" s="21" t="str">
        <f t="shared" si="11"/>
        <v/>
      </c>
      <c r="C716" s="15"/>
      <c r="D716" s="15"/>
      <c r="E716" s="15"/>
      <c r="F716" s="15"/>
      <c r="G716" s="15"/>
      <c r="H716" s="39" t="str">
        <f>IF($G716="","",IFERROR(INDEX('90_SEMA'!$G$7:$H$183,MATCH($G716,'90_SEMA'!$B$7:$B$183,0),NYELV_IDX),"### ISMERETLEN KÓD"))</f>
        <v/>
      </c>
      <c r="I716" s="33"/>
      <c r="J716" s="33"/>
      <c r="K716" s="15"/>
      <c r="L716" s="15"/>
      <c r="M716" s="15"/>
    </row>
    <row r="717" spans="2:13" ht="15" customHeight="1" x14ac:dyDescent="0.3">
      <c r="B717" s="21" t="str">
        <f t="shared" si="11"/>
        <v/>
      </c>
      <c r="C717" s="15"/>
      <c r="D717" s="15"/>
      <c r="E717" s="15"/>
      <c r="F717" s="15"/>
      <c r="G717" s="15"/>
      <c r="H717" s="39" t="str">
        <f>IF($G717="","",IFERROR(INDEX('90_SEMA'!$G$7:$H$183,MATCH($G717,'90_SEMA'!$B$7:$B$183,0),NYELV_IDX),"### ISMERETLEN KÓD"))</f>
        <v/>
      </c>
      <c r="I717" s="33"/>
      <c r="J717" s="33"/>
      <c r="K717" s="15"/>
      <c r="L717" s="15"/>
      <c r="M717" s="15"/>
    </row>
    <row r="718" spans="2:13" ht="15" customHeight="1" x14ac:dyDescent="0.3">
      <c r="B718" s="21" t="str">
        <f t="shared" si="11"/>
        <v/>
      </c>
      <c r="C718" s="15"/>
      <c r="D718" s="15"/>
      <c r="E718" s="15"/>
      <c r="F718" s="15"/>
      <c r="G718" s="15"/>
      <c r="H718" s="39" t="str">
        <f>IF($G718="","",IFERROR(INDEX('90_SEMA'!$G$7:$H$183,MATCH($G718,'90_SEMA'!$B$7:$B$183,0),NYELV_IDX),"### ISMERETLEN KÓD"))</f>
        <v/>
      </c>
      <c r="I718" s="33"/>
      <c r="J718" s="33"/>
      <c r="K718" s="15"/>
      <c r="L718" s="15"/>
      <c r="M718" s="15"/>
    </row>
    <row r="719" spans="2:13" ht="15" customHeight="1" x14ac:dyDescent="0.3">
      <c r="B719" s="21" t="str">
        <f t="shared" si="11"/>
        <v/>
      </c>
      <c r="C719" s="15"/>
      <c r="D719" s="15"/>
      <c r="E719" s="15"/>
      <c r="F719" s="15"/>
      <c r="G719" s="15"/>
      <c r="H719" s="39" t="str">
        <f>IF($G719="","",IFERROR(INDEX('90_SEMA'!$G$7:$H$183,MATCH($G719,'90_SEMA'!$B$7:$B$183,0),NYELV_IDX),"### ISMERETLEN KÓD"))</f>
        <v/>
      </c>
      <c r="I719" s="33"/>
      <c r="J719" s="33"/>
      <c r="K719" s="15"/>
      <c r="L719" s="15"/>
      <c r="M719" s="15"/>
    </row>
    <row r="720" spans="2:13" ht="15" customHeight="1" x14ac:dyDescent="0.3">
      <c r="B720" s="21" t="str">
        <f t="shared" si="11"/>
        <v/>
      </c>
      <c r="C720" s="15"/>
      <c r="D720" s="15"/>
      <c r="E720" s="15"/>
      <c r="F720" s="15"/>
      <c r="G720" s="15"/>
      <c r="H720" s="39" t="str">
        <f>IF($G720="","",IFERROR(INDEX('90_SEMA'!$G$7:$H$183,MATCH($G720,'90_SEMA'!$B$7:$B$183,0),NYELV_IDX),"### ISMERETLEN KÓD"))</f>
        <v/>
      </c>
      <c r="I720" s="33"/>
      <c r="J720" s="33"/>
      <c r="K720" s="15"/>
      <c r="L720" s="15"/>
      <c r="M720" s="15"/>
    </row>
    <row r="721" spans="2:13" ht="15" customHeight="1" x14ac:dyDescent="0.3">
      <c r="B721" s="21" t="str">
        <f t="shared" si="11"/>
        <v/>
      </c>
      <c r="C721" s="15"/>
      <c r="D721" s="15"/>
      <c r="E721" s="15"/>
      <c r="F721" s="15"/>
      <c r="G721" s="15"/>
      <c r="H721" s="39" t="str">
        <f>IF($G721="","",IFERROR(INDEX('90_SEMA'!$G$7:$H$183,MATCH($G721,'90_SEMA'!$B$7:$B$183,0),NYELV_IDX),"### ISMERETLEN KÓD"))</f>
        <v/>
      </c>
      <c r="I721" s="33"/>
      <c r="J721" s="33"/>
      <c r="K721" s="15"/>
      <c r="L721" s="15"/>
      <c r="M721" s="15"/>
    </row>
    <row r="722" spans="2:13" ht="15" customHeight="1" x14ac:dyDescent="0.3">
      <c r="B722" s="21" t="str">
        <f t="shared" si="11"/>
        <v/>
      </c>
      <c r="C722" s="15"/>
      <c r="D722" s="15"/>
      <c r="E722" s="15"/>
      <c r="F722" s="15"/>
      <c r="G722" s="15"/>
      <c r="H722" s="39" t="str">
        <f>IF($G722="","",IFERROR(INDEX('90_SEMA'!$G$7:$H$183,MATCH($G722,'90_SEMA'!$B$7:$B$183,0),NYELV_IDX),"### ISMERETLEN KÓD"))</f>
        <v/>
      </c>
      <c r="I722" s="33"/>
      <c r="J722" s="33"/>
      <c r="K722" s="15"/>
      <c r="L722" s="15"/>
      <c r="M722" s="15"/>
    </row>
    <row r="723" spans="2:13" ht="15" customHeight="1" x14ac:dyDescent="0.3">
      <c r="B723" s="21" t="str">
        <f t="shared" si="11"/>
        <v/>
      </c>
      <c r="C723" s="15"/>
      <c r="D723" s="15"/>
      <c r="E723" s="15"/>
      <c r="F723" s="15"/>
      <c r="G723" s="15"/>
      <c r="H723" s="39" t="str">
        <f>IF($G723="","",IFERROR(INDEX('90_SEMA'!$G$7:$H$183,MATCH($G723,'90_SEMA'!$B$7:$B$183,0),NYELV_IDX),"### ISMERETLEN KÓD"))</f>
        <v/>
      </c>
      <c r="I723" s="33"/>
      <c r="J723" s="33"/>
      <c r="K723" s="15"/>
      <c r="L723" s="15"/>
      <c r="M723" s="15"/>
    </row>
    <row r="724" spans="2:13" ht="15" customHeight="1" x14ac:dyDescent="0.3">
      <c r="B724" s="21" t="str">
        <f t="shared" si="11"/>
        <v/>
      </c>
      <c r="C724" s="15"/>
      <c r="D724" s="15"/>
      <c r="E724" s="15"/>
      <c r="F724" s="15"/>
      <c r="G724" s="15"/>
      <c r="H724" s="39" t="str">
        <f>IF($G724="","",IFERROR(INDEX('90_SEMA'!$G$7:$H$183,MATCH($G724,'90_SEMA'!$B$7:$B$183,0),NYELV_IDX),"### ISMERETLEN KÓD"))</f>
        <v/>
      </c>
      <c r="I724" s="33"/>
      <c r="J724" s="33"/>
      <c r="K724" s="15"/>
      <c r="L724" s="15"/>
      <c r="M724" s="15"/>
    </row>
    <row r="725" spans="2:13" ht="15" customHeight="1" x14ac:dyDescent="0.3">
      <c r="B725" s="21" t="str">
        <f t="shared" si="11"/>
        <v/>
      </c>
      <c r="C725" s="15"/>
      <c r="D725" s="15"/>
      <c r="E725" s="15"/>
      <c r="F725" s="15"/>
      <c r="G725" s="15"/>
      <c r="H725" s="39" t="str">
        <f>IF($G725="","",IFERROR(INDEX('90_SEMA'!$G$7:$H$183,MATCH($G725,'90_SEMA'!$B$7:$B$183,0),NYELV_IDX),"### ISMERETLEN KÓD"))</f>
        <v/>
      </c>
      <c r="I725" s="33"/>
      <c r="J725" s="33"/>
      <c r="K725" s="15"/>
      <c r="L725" s="15"/>
      <c r="M725" s="15"/>
    </row>
    <row r="726" spans="2:13" ht="15" customHeight="1" x14ac:dyDescent="0.3">
      <c r="B726" s="21" t="str">
        <f t="shared" si="11"/>
        <v/>
      </c>
      <c r="C726" s="15"/>
      <c r="D726" s="15"/>
      <c r="E726" s="15"/>
      <c r="F726" s="15"/>
      <c r="G726" s="15"/>
      <c r="H726" s="39" t="str">
        <f>IF($G726="","",IFERROR(INDEX('90_SEMA'!$G$7:$H$183,MATCH($G726,'90_SEMA'!$B$7:$B$183,0),NYELV_IDX),"### ISMERETLEN KÓD"))</f>
        <v/>
      </c>
      <c r="I726" s="33"/>
      <c r="J726" s="33"/>
      <c r="K726" s="15"/>
      <c r="L726" s="15"/>
      <c r="M726" s="15"/>
    </row>
    <row r="727" spans="2:13" ht="15" customHeight="1" x14ac:dyDescent="0.3">
      <c r="B727" s="21" t="str">
        <f t="shared" si="11"/>
        <v/>
      </c>
      <c r="C727" s="15"/>
      <c r="D727" s="15"/>
      <c r="E727" s="15"/>
      <c r="F727" s="15"/>
      <c r="G727" s="15"/>
      <c r="H727" s="39" t="str">
        <f>IF($G727="","",IFERROR(INDEX('90_SEMA'!$G$7:$H$183,MATCH($G727,'90_SEMA'!$B$7:$B$183,0),NYELV_IDX),"### ISMERETLEN KÓD"))</f>
        <v/>
      </c>
      <c r="I727" s="33"/>
      <c r="J727" s="33"/>
      <c r="K727" s="15"/>
      <c r="L727" s="15"/>
      <c r="M727" s="15"/>
    </row>
    <row r="728" spans="2:13" ht="15" customHeight="1" x14ac:dyDescent="0.3">
      <c r="B728" s="21" t="str">
        <f t="shared" si="11"/>
        <v/>
      </c>
      <c r="C728" s="15"/>
      <c r="D728" s="15"/>
      <c r="E728" s="15"/>
      <c r="F728" s="15"/>
      <c r="G728" s="15"/>
      <c r="H728" s="39" t="str">
        <f>IF($G728="","",IFERROR(INDEX('90_SEMA'!$G$7:$H$183,MATCH($G728,'90_SEMA'!$B$7:$B$183,0),NYELV_IDX),"### ISMERETLEN KÓD"))</f>
        <v/>
      </c>
      <c r="I728" s="33"/>
      <c r="J728" s="33"/>
      <c r="K728" s="15"/>
      <c r="L728" s="15"/>
      <c r="M728" s="15"/>
    </row>
    <row r="729" spans="2:13" ht="15" customHeight="1" x14ac:dyDescent="0.3">
      <c r="B729" s="21" t="str">
        <f t="shared" si="11"/>
        <v/>
      </c>
      <c r="C729" s="15"/>
      <c r="D729" s="15"/>
      <c r="E729" s="15"/>
      <c r="F729" s="15"/>
      <c r="G729" s="15"/>
      <c r="H729" s="39" t="str">
        <f>IF($G729="","",IFERROR(INDEX('90_SEMA'!$G$7:$H$183,MATCH($G729,'90_SEMA'!$B$7:$B$183,0),NYELV_IDX),"### ISMERETLEN KÓD"))</f>
        <v/>
      </c>
      <c r="I729" s="33"/>
      <c r="J729" s="33"/>
      <c r="K729" s="15"/>
      <c r="L729" s="15"/>
      <c r="M729" s="15"/>
    </row>
    <row r="730" spans="2:13" ht="15" customHeight="1" x14ac:dyDescent="0.3">
      <c r="B730" s="21" t="str">
        <f t="shared" si="11"/>
        <v/>
      </c>
      <c r="C730" s="15"/>
      <c r="D730" s="15"/>
      <c r="E730" s="15"/>
      <c r="F730" s="15"/>
      <c r="G730" s="15"/>
      <c r="H730" s="39" t="str">
        <f>IF($G730="","",IFERROR(INDEX('90_SEMA'!$G$7:$H$183,MATCH($G730,'90_SEMA'!$B$7:$B$183,0),NYELV_IDX),"### ISMERETLEN KÓD"))</f>
        <v/>
      </c>
      <c r="I730" s="33"/>
      <c r="J730" s="33"/>
      <c r="K730" s="15"/>
      <c r="L730" s="15"/>
      <c r="M730" s="15"/>
    </row>
    <row r="731" spans="2:13" ht="15" customHeight="1" x14ac:dyDescent="0.3">
      <c r="B731" s="21" t="str">
        <f t="shared" si="11"/>
        <v/>
      </c>
      <c r="C731" s="15"/>
      <c r="D731" s="15"/>
      <c r="E731" s="15"/>
      <c r="F731" s="15"/>
      <c r="G731" s="15"/>
      <c r="H731" s="39" t="str">
        <f>IF($G731="","",IFERROR(INDEX('90_SEMA'!$G$7:$H$183,MATCH($G731,'90_SEMA'!$B$7:$B$183,0),NYELV_IDX),"### ISMERETLEN KÓD"))</f>
        <v/>
      </c>
      <c r="I731" s="33"/>
      <c r="J731" s="33"/>
      <c r="K731" s="15"/>
      <c r="L731" s="15"/>
      <c r="M731" s="15"/>
    </row>
    <row r="732" spans="2:13" ht="15" customHeight="1" x14ac:dyDescent="0.3">
      <c r="B732" s="21" t="str">
        <f t="shared" si="11"/>
        <v/>
      </c>
      <c r="C732" s="15"/>
      <c r="D732" s="15"/>
      <c r="E732" s="15"/>
      <c r="F732" s="15"/>
      <c r="G732" s="15"/>
      <c r="H732" s="39" t="str">
        <f>IF($G732="","",IFERROR(INDEX('90_SEMA'!$G$7:$H$183,MATCH($G732,'90_SEMA'!$B$7:$B$183,0),NYELV_IDX),"### ISMERETLEN KÓD"))</f>
        <v/>
      </c>
      <c r="I732" s="33"/>
      <c r="J732" s="33"/>
      <c r="K732" s="15"/>
      <c r="L732" s="15"/>
      <c r="M732" s="15"/>
    </row>
    <row r="733" spans="2:13" ht="15" customHeight="1" x14ac:dyDescent="0.3">
      <c r="B733" s="21" t="str">
        <f t="shared" si="11"/>
        <v/>
      </c>
      <c r="C733" s="15"/>
      <c r="D733" s="15"/>
      <c r="E733" s="15"/>
      <c r="F733" s="15"/>
      <c r="G733" s="15"/>
      <c r="H733" s="39" t="str">
        <f>IF($G733="","",IFERROR(INDEX('90_SEMA'!$G$7:$H$183,MATCH($G733,'90_SEMA'!$B$7:$B$183,0),NYELV_IDX),"### ISMERETLEN KÓD"))</f>
        <v/>
      </c>
      <c r="I733" s="33"/>
      <c r="J733" s="33"/>
      <c r="K733" s="15"/>
      <c r="L733" s="15"/>
      <c r="M733" s="15"/>
    </row>
    <row r="734" spans="2:13" ht="15" customHeight="1" x14ac:dyDescent="0.3">
      <c r="B734" s="21" t="str">
        <f t="shared" si="11"/>
        <v/>
      </c>
      <c r="C734" s="15"/>
      <c r="D734" s="15"/>
      <c r="E734" s="15"/>
      <c r="F734" s="15"/>
      <c r="G734" s="15"/>
      <c r="H734" s="39" t="str">
        <f>IF($G734="","",IFERROR(INDEX('90_SEMA'!$G$7:$H$183,MATCH($G734,'90_SEMA'!$B$7:$B$183,0),NYELV_IDX),"### ISMERETLEN KÓD"))</f>
        <v/>
      </c>
      <c r="I734" s="33"/>
      <c r="J734" s="33"/>
      <c r="K734" s="15"/>
      <c r="L734" s="15"/>
      <c r="M734" s="15"/>
    </row>
    <row r="735" spans="2:13" ht="15" customHeight="1" x14ac:dyDescent="0.3">
      <c r="B735" s="21" t="str">
        <f t="shared" si="11"/>
        <v/>
      </c>
      <c r="C735" s="15"/>
      <c r="D735" s="15"/>
      <c r="E735" s="15"/>
      <c r="F735" s="15"/>
      <c r="G735" s="15"/>
      <c r="H735" s="39" t="str">
        <f>IF($G735="","",IFERROR(INDEX('90_SEMA'!$G$7:$H$183,MATCH($G735,'90_SEMA'!$B$7:$B$183,0),NYELV_IDX),"### ISMERETLEN KÓD"))</f>
        <v/>
      </c>
      <c r="I735" s="33"/>
      <c r="J735" s="33"/>
      <c r="K735" s="15"/>
      <c r="L735" s="15"/>
      <c r="M735" s="15"/>
    </row>
    <row r="736" spans="2:13" ht="15" customHeight="1" x14ac:dyDescent="0.3">
      <c r="B736" s="21" t="str">
        <f t="shared" si="11"/>
        <v/>
      </c>
      <c r="C736" s="15"/>
      <c r="D736" s="15"/>
      <c r="E736" s="15"/>
      <c r="F736" s="15"/>
      <c r="G736" s="15"/>
      <c r="H736" s="39" t="str">
        <f>IF($G736="","",IFERROR(INDEX('90_SEMA'!$G$7:$H$183,MATCH($G736,'90_SEMA'!$B$7:$B$183,0),NYELV_IDX),"### ISMERETLEN KÓD"))</f>
        <v/>
      </c>
      <c r="I736" s="33"/>
      <c r="J736" s="33"/>
      <c r="K736" s="15"/>
      <c r="L736" s="15"/>
      <c r="M736" s="15"/>
    </row>
    <row r="737" spans="2:13" ht="15" customHeight="1" x14ac:dyDescent="0.3">
      <c r="B737" s="21" t="str">
        <f t="shared" si="11"/>
        <v/>
      </c>
      <c r="C737" s="15"/>
      <c r="D737" s="15"/>
      <c r="E737" s="15"/>
      <c r="F737" s="15"/>
      <c r="G737" s="15"/>
      <c r="H737" s="39" t="str">
        <f>IF($G737="","",IFERROR(INDEX('90_SEMA'!$G$7:$H$183,MATCH($G737,'90_SEMA'!$B$7:$B$183,0),NYELV_IDX),"### ISMERETLEN KÓD"))</f>
        <v/>
      </c>
      <c r="I737" s="33"/>
      <c r="J737" s="33"/>
      <c r="K737" s="15"/>
      <c r="L737" s="15"/>
      <c r="M737" s="15"/>
    </row>
    <row r="738" spans="2:13" ht="15" customHeight="1" x14ac:dyDescent="0.3">
      <c r="B738" s="21" t="str">
        <f t="shared" si="11"/>
        <v/>
      </c>
      <c r="C738" s="15"/>
      <c r="D738" s="15"/>
      <c r="E738" s="15"/>
      <c r="F738" s="15"/>
      <c r="G738" s="15"/>
      <c r="H738" s="39" t="str">
        <f>IF($G738="","",IFERROR(INDEX('90_SEMA'!$G$7:$H$183,MATCH($G738,'90_SEMA'!$B$7:$B$183,0),NYELV_IDX),"### ISMERETLEN KÓD"))</f>
        <v/>
      </c>
      <c r="I738" s="33"/>
      <c r="J738" s="33"/>
      <c r="K738" s="15"/>
      <c r="L738" s="15"/>
      <c r="M738" s="15"/>
    </row>
    <row r="739" spans="2:13" ht="15" customHeight="1" x14ac:dyDescent="0.3">
      <c r="B739" s="21" t="str">
        <f t="shared" si="11"/>
        <v/>
      </c>
      <c r="C739" s="15"/>
      <c r="D739" s="15"/>
      <c r="E739" s="15"/>
      <c r="F739" s="15"/>
      <c r="G739" s="15"/>
      <c r="H739" s="39" t="str">
        <f>IF($G739="","",IFERROR(INDEX('90_SEMA'!$G$7:$H$183,MATCH($G739,'90_SEMA'!$B$7:$B$183,0),NYELV_IDX),"### ISMERETLEN KÓD"))</f>
        <v/>
      </c>
      <c r="I739" s="33"/>
      <c r="J739" s="33"/>
      <c r="K739" s="15"/>
      <c r="L739" s="15"/>
      <c r="M739" s="15"/>
    </row>
    <row r="740" spans="2:13" ht="15" customHeight="1" x14ac:dyDescent="0.3">
      <c r="B740" s="21" t="str">
        <f t="shared" si="11"/>
        <v/>
      </c>
      <c r="C740" s="15"/>
      <c r="D740" s="15"/>
      <c r="E740" s="15"/>
      <c r="F740" s="15"/>
      <c r="G740" s="15"/>
      <c r="H740" s="39" t="str">
        <f>IF($G740="","",IFERROR(INDEX('90_SEMA'!$G$7:$H$183,MATCH($G740,'90_SEMA'!$B$7:$B$183,0),NYELV_IDX),"### ISMERETLEN KÓD"))</f>
        <v/>
      </c>
      <c r="I740" s="33"/>
      <c r="J740" s="33"/>
      <c r="K740" s="15"/>
      <c r="L740" s="15"/>
      <c r="M740" s="15"/>
    </row>
    <row r="741" spans="2:13" ht="15" customHeight="1" x14ac:dyDescent="0.3">
      <c r="B741" s="21" t="str">
        <f t="shared" si="11"/>
        <v/>
      </c>
      <c r="C741" s="15"/>
      <c r="D741" s="15"/>
      <c r="E741" s="15"/>
      <c r="F741" s="15"/>
      <c r="G741" s="15"/>
      <c r="H741" s="39" t="str">
        <f>IF($G741="","",IFERROR(INDEX('90_SEMA'!$G$7:$H$183,MATCH($G741,'90_SEMA'!$B$7:$B$183,0),NYELV_IDX),"### ISMERETLEN KÓD"))</f>
        <v/>
      </c>
      <c r="I741" s="33"/>
      <c r="J741" s="33"/>
      <c r="K741" s="15"/>
      <c r="L741" s="15"/>
      <c r="M741" s="15"/>
    </row>
    <row r="742" spans="2:13" ht="15" customHeight="1" x14ac:dyDescent="0.3">
      <c r="B742" s="21" t="str">
        <f t="shared" si="11"/>
        <v/>
      </c>
      <c r="C742" s="15"/>
      <c r="D742" s="15"/>
      <c r="E742" s="15"/>
      <c r="F742" s="15"/>
      <c r="G742" s="15"/>
      <c r="H742" s="39" t="str">
        <f>IF($G742="","",IFERROR(INDEX('90_SEMA'!$G$7:$H$183,MATCH($G742,'90_SEMA'!$B$7:$B$183,0),NYELV_IDX),"### ISMERETLEN KÓD"))</f>
        <v/>
      </c>
      <c r="I742" s="33"/>
      <c r="J742" s="33"/>
      <c r="K742" s="15"/>
      <c r="L742" s="15"/>
      <c r="M742" s="15"/>
    </row>
    <row r="743" spans="2:13" ht="15" customHeight="1" x14ac:dyDescent="0.3">
      <c r="B743" s="21" t="str">
        <f t="shared" si="11"/>
        <v/>
      </c>
      <c r="C743" s="15"/>
      <c r="D743" s="15"/>
      <c r="E743" s="15"/>
      <c r="F743" s="15"/>
      <c r="G743" s="15"/>
      <c r="H743" s="39" t="str">
        <f>IF($G743="","",IFERROR(INDEX('90_SEMA'!$G$7:$H$183,MATCH($G743,'90_SEMA'!$B$7:$B$183,0),NYELV_IDX),"### ISMERETLEN KÓD"))</f>
        <v/>
      </c>
      <c r="I743" s="33"/>
      <c r="J743" s="33"/>
      <c r="K743" s="15"/>
      <c r="L743" s="15"/>
      <c r="M743" s="15"/>
    </row>
    <row r="744" spans="2:13" ht="15" customHeight="1" x14ac:dyDescent="0.3">
      <c r="B744" s="21" t="str">
        <f t="shared" si="11"/>
        <v/>
      </c>
      <c r="C744" s="15"/>
      <c r="D744" s="15"/>
      <c r="E744" s="15"/>
      <c r="F744" s="15"/>
      <c r="G744" s="15"/>
      <c r="H744" s="39" t="str">
        <f>IF($G744="","",IFERROR(INDEX('90_SEMA'!$G$7:$H$183,MATCH($G744,'90_SEMA'!$B$7:$B$183,0),NYELV_IDX),"### ISMERETLEN KÓD"))</f>
        <v/>
      </c>
      <c r="I744" s="33"/>
      <c r="J744" s="33"/>
      <c r="K744" s="15"/>
      <c r="L744" s="15"/>
      <c r="M744" s="15"/>
    </row>
    <row r="745" spans="2:13" ht="15" customHeight="1" x14ac:dyDescent="0.3">
      <c r="B745" s="21" t="str">
        <f t="shared" si="11"/>
        <v/>
      </c>
      <c r="C745" s="15"/>
      <c r="D745" s="15"/>
      <c r="E745" s="15"/>
      <c r="F745" s="15"/>
      <c r="G745" s="15"/>
      <c r="H745" s="39" t="str">
        <f>IF($G745="","",IFERROR(INDEX('90_SEMA'!$G$7:$H$183,MATCH($G745,'90_SEMA'!$B$7:$B$183,0),NYELV_IDX),"### ISMERETLEN KÓD"))</f>
        <v/>
      </c>
      <c r="I745" s="33"/>
      <c r="J745" s="33"/>
      <c r="K745" s="15"/>
      <c r="L745" s="15"/>
      <c r="M745" s="15"/>
    </row>
    <row r="746" spans="2:13" ht="15" customHeight="1" x14ac:dyDescent="0.3">
      <c r="B746" s="21" t="str">
        <f t="shared" si="11"/>
        <v/>
      </c>
      <c r="C746" s="15"/>
      <c r="D746" s="15"/>
      <c r="E746" s="15"/>
      <c r="F746" s="15"/>
      <c r="G746" s="15"/>
      <c r="H746" s="39" t="str">
        <f>IF($G746="","",IFERROR(INDEX('90_SEMA'!$G$7:$H$183,MATCH($G746,'90_SEMA'!$B$7:$B$183,0),NYELV_IDX),"### ISMERETLEN KÓD"))</f>
        <v/>
      </c>
      <c r="I746" s="33"/>
      <c r="J746" s="33"/>
      <c r="K746" s="15"/>
      <c r="L746" s="15"/>
      <c r="M746" s="15"/>
    </row>
    <row r="747" spans="2:13" ht="15" customHeight="1" x14ac:dyDescent="0.3">
      <c r="B747" s="21" t="str">
        <f t="shared" si="11"/>
        <v/>
      </c>
      <c r="C747" s="15"/>
      <c r="D747" s="15"/>
      <c r="E747" s="15"/>
      <c r="F747" s="15"/>
      <c r="G747" s="15"/>
      <c r="H747" s="39" t="str">
        <f>IF($G747="","",IFERROR(INDEX('90_SEMA'!$G$7:$H$183,MATCH($G747,'90_SEMA'!$B$7:$B$183,0),NYELV_IDX),"### ISMERETLEN KÓD"))</f>
        <v/>
      </c>
      <c r="I747" s="33"/>
      <c r="J747" s="33"/>
      <c r="K747" s="15"/>
      <c r="L747" s="15"/>
      <c r="M747" s="15"/>
    </row>
    <row r="748" spans="2:13" ht="15" customHeight="1" x14ac:dyDescent="0.3">
      <c r="B748" s="21" t="str">
        <f t="shared" si="11"/>
        <v/>
      </c>
      <c r="C748" s="15"/>
      <c r="D748" s="15"/>
      <c r="E748" s="15"/>
      <c r="F748" s="15"/>
      <c r="G748" s="15"/>
      <c r="H748" s="39" t="str">
        <f>IF($G748="","",IFERROR(INDEX('90_SEMA'!$G$7:$H$183,MATCH($G748,'90_SEMA'!$B$7:$B$183,0),NYELV_IDX),"### ISMERETLEN KÓD"))</f>
        <v/>
      </c>
      <c r="I748" s="33"/>
      <c r="J748" s="33"/>
      <c r="K748" s="15"/>
      <c r="L748" s="15"/>
      <c r="M748" s="15"/>
    </row>
    <row r="749" spans="2:13" ht="15" customHeight="1" x14ac:dyDescent="0.3">
      <c r="B749" s="21" t="str">
        <f t="shared" si="11"/>
        <v/>
      </c>
      <c r="C749" s="15"/>
      <c r="D749" s="15"/>
      <c r="E749" s="15"/>
      <c r="F749" s="15"/>
      <c r="G749" s="15"/>
      <c r="H749" s="39" t="str">
        <f>IF($G749="","",IFERROR(INDEX('90_SEMA'!$G$7:$H$183,MATCH($G749,'90_SEMA'!$B$7:$B$183,0),NYELV_IDX),"### ISMERETLEN KÓD"))</f>
        <v/>
      </c>
      <c r="I749" s="33"/>
      <c r="J749" s="33"/>
      <c r="K749" s="15"/>
      <c r="L749" s="15"/>
      <c r="M749" s="15"/>
    </row>
    <row r="750" spans="2:13" ht="15" customHeight="1" x14ac:dyDescent="0.3">
      <c r="B750" s="21" t="str">
        <f t="shared" si="11"/>
        <v/>
      </c>
      <c r="C750" s="15"/>
      <c r="D750" s="15"/>
      <c r="E750" s="15"/>
      <c r="F750" s="15"/>
      <c r="G750" s="15"/>
      <c r="H750" s="39" t="str">
        <f>IF($G750="","",IFERROR(INDEX('90_SEMA'!$G$7:$H$183,MATCH($G750,'90_SEMA'!$B$7:$B$183,0),NYELV_IDX),"### ISMERETLEN KÓD"))</f>
        <v/>
      </c>
      <c r="I750" s="33"/>
      <c r="J750" s="33"/>
      <c r="K750" s="15"/>
      <c r="L750" s="15"/>
      <c r="M750" s="15"/>
    </row>
    <row r="751" spans="2:13" ht="15" customHeight="1" x14ac:dyDescent="0.3">
      <c r="B751" s="21" t="str">
        <f t="shared" si="11"/>
        <v/>
      </c>
      <c r="C751" s="15"/>
      <c r="D751" s="15"/>
      <c r="E751" s="15"/>
      <c r="F751" s="15"/>
      <c r="G751" s="15"/>
      <c r="H751" s="39" t="str">
        <f>IF($G751="","",IFERROR(INDEX('90_SEMA'!$G$7:$H$183,MATCH($G751,'90_SEMA'!$B$7:$B$183,0),NYELV_IDX),"### ISMERETLEN KÓD"))</f>
        <v/>
      </c>
      <c r="I751" s="33"/>
      <c r="J751" s="33"/>
      <c r="K751" s="15"/>
      <c r="L751" s="15"/>
      <c r="M751" s="15"/>
    </row>
    <row r="752" spans="2:13" ht="15" customHeight="1" x14ac:dyDescent="0.3">
      <c r="B752" s="21" t="str">
        <f t="shared" si="11"/>
        <v/>
      </c>
      <c r="C752" s="15"/>
      <c r="D752" s="15"/>
      <c r="E752" s="15"/>
      <c r="F752" s="15"/>
      <c r="G752" s="15"/>
      <c r="H752" s="39" t="str">
        <f>IF($G752="","",IFERROR(INDEX('90_SEMA'!$G$7:$H$183,MATCH($G752,'90_SEMA'!$B$7:$B$183,0),NYELV_IDX),"### ISMERETLEN KÓD"))</f>
        <v/>
      </c>
      <c r="I752" s="33"/>
      <c r="J752" s="33"/>
      <c r="K752" s="15"/>
      <c r="L752" s="15"/>
      <c r="M752" s="15"/>
    </row>
    <row r="753" spans="2:13" ht="15" customHeight="1" x14ac:dyDescent="0.3">
      <c r="B753" s="21" t="str">
        <f t="shared" si="11"/>
        <v/>
      </c>
      <c r="C753" s="15"/>
      <c r="D753" s="15"/>
      <c r="E753" s="15"/>
      <c r="F753" s="15"/>
      <c r="G753" s="15"/>
      <c r="H753" s="39" t="str">
        <f>IF($G753="","",IFERROR(INDEX('90_SEMA'!$G$7:$H$183,MATCH($G753,'90_SEMA'!$B$7:$B$183,0),NYELV_IDX),"### ISMERETLEN KÓD"))</f>
        <v/>
      </c>
      <c r="I753" s="33"/>
      <c r="J753" s="33"/>
      <c r="K753" s="15"/>
      <c r="L753" s="15"/>
      <c r="M753" s="15"/>
    </row>
    <row r="754" spans="2:13" ht="15" customHeight="1" x14ac:dyDescent="0.3">
      <c r="B754" s="21" t="str">
        <f t="shared" si="11"/>
        <v/>
      </c>
      <c r="C754" s="15"/>
      <c r="D754" s="15"/>
      <c r="E754" s="15"/>
      <c r="F754" s="15"/>
      <c r="G754" s="15"/>
      <c r="H754" s="39" t="str">
        <f>IF($G754="","",IFERROR(INDEX('90_SEMA'!$G$7:$H$183,MATCH($G754,'90_SEMA'!$B$7:$B$183,0),NYELV_IDX),"### ISMERETLEN KÓD"))</f>
        <v/>
      </c>
      <c r="I754" s="33"/>
      <c r="J754" s="33"/>
      <c r="K754" s="15"/>
      <c r="L754" s="15"/>
      <c r="M754" s="15"/>
    </row>
    <row r="755" spans="2:13" ht="15" customHeight="1" x14ac:dyDescent="0.3">
      <c r="B755" s="21" t="str">
        <f t="shared" si="11"/>
        <v/>
      </c>
      <c r="C755" s="15"/>
      <c r="D755" s="15"/>
      <c r="E755" s="15"/>
      <c r="F755" s="15"/>
      <c r="G755" s="15"/>
      <c r="H755" s="39" t="str">
        <f>IF($G755="","",IFERROR(INDEX('90_SEMA'!$G$7:$H$183,MATCH($G755,'90_SEMA'!$B$7:$B$183,0),NYELV_IDX),"### ISMERETLEN KÓD"))</f>
        <v/>
      </c>
      <c r="I755" s="33"/>
      <c r="J755" s="33"/>
      <c r="K755" s="15"/>
      <c r="L755" s="15"/>
      <c r="M755" s="15"/>
    </row>
    <row r="756" spans="2:13" ht="15" customHeight="1" x14ac:dyDescent="0.3">
      <c r="B756" s="21" t="str">
        <f t="shared" si="11"/>
        <v/>
      </c>
      <c r="C756" s="15"/>
      <c r="D756" s="15"/>
      <c r="E756" s="15"/>
      <c r="F756" s="15"/>
      <c r="G756" s="15"/>
      <c r="H756" s="39" t="str">
        <f>IF($G756="","",IFERROR(INDEX('90_SEMA'!$G$7:$H$183,MATCH($G756,'90_SEMA'!$B$7:$B$183,0),NYELV_IDX),"### ISMERETLEN KÓD"))</f>
        <v/>
      </c>
      <c r="I756" s="33"/>
      <c r="J756" s="33"/>
      <c r="K756" s="15"/>
      <c r="L756" s="15"/>
      <c r="M756" s="15"/>
    </row>
    <row r="757" spans="2:13" ht="15" customHeight="1" x14ac:dyDescent="0.3">
      <c r="B757" s="21" t="str">
        <f t="shared" si="11"/>
        <v/>
      </c>
      <c r="C757" s="15"/>
      <c r="D757" s="15"/>
      <c r="E757" s="15"/>
      <c r="F757" s="15"/>
      <c r="G757" s="15"/>
      <c r="H757" s="39" t="str">
        <f>IF($G757="","",IFERROR(INDEX('90_SEMA'!$G$7:$H$183,MATCH($G757,'90_SEMA'!$B$7:$B$183,0),NYELV_IDX),"### ISMERETLEN KÓD"))</f>
        <v/>
      </c>
      <c r="I757" s="33"/>
      <c r="J757" s="33"/>
      <c r="K757" s="15"/>
      <c r="L757" s="15"/>
      <c r="M757" s="15"/>
    </row>
    <row r="758" spans="2:13" ht="15" customHeight="1" x14ac:dyDescent="0.3">
      <c r="B758" s="21" t="str">
        <f t="shared" si="11"/>
        <v/>
      </c>
      <c r="C758" s="15"/>
      <c r="D758" s="15"/>
      <c r="E758" s="15"/>
      <c r="F758" s="15"/>
      <c r="G758" s="15"/>
      <c r="H758" s="39" t="str">
        <f>IF($G758="","",IFERROR(INDEX('90_SEMA'!$G$7:$H$183,MATCH($G758,'90_SEMA'!$B$7:$B$183,0),NYELV_IDX),"### ISMERETLEN KÓD"))</f>
        <v/>
      </c>
      <c r="I758" s="33"/>
      <c r="J758" s="33"/>
      <c r="K758" s="15"/>
      <c r="L758" s="15"/>
      <c r="M758" s="15"/>
    </row>
    <row r="759" spans="2:13" ht="15" customHeight="1" x14ac:dyDescent="0.3">
      <c r="B759" s="21" t="str">
        <f t="shared" si="11"/>
        <v/>
      </c>
      <c r="C759" s="15"/>
      <c r="D759" s="15"/>
      <c r="E759" s="15"/>
      <c r="F759" s="15"/>
      <c r="G759" s="15"/>
      <c r="H759" s="39" t="str">
        <f>IF($G759="","",IFERROR(INDEX('90_SEMA'!$G$7:$H$183,MATCH($G759,'90_SEMA'!$B$7:$B$183,0),NYELV_IDX),"### ISMERETLEN KÓD"))</f>
        <v/>
      </c>
      <c r="I759" s="33"/>
      <c r="J759" s="33"/>
      <c r="K759" s="15"/>
      <c r="L759" s="15"/>
      <c r="M759" s="15"/>
    </row>
    <row r="760" spans="2:13" ht="15" customHeight="1" x14ac:dyDescent="0.3">
      <c r="B760" s="21" t="str">
        <f t="shared" si="11"/>
        <v/>
      </c>
      <c r="C760" s="15"/>
      <c r="D760" s="15"/>
      <c r="E760" s="15"/>
      <c r="F760" s="15"/>
      <c r="G760" s="15"/>
      <c r="H760" s="39" t="str">
        <f>IF($G760="","",IFERROR(INDEX('90_SEMA'!$G$7:$H$183,MATCH($G760,'90_SEMA'!$B$7:$B$183,0),NYELV_IDX),"### ISMERETLEN KÓD"))</f>
        <v/>
      </c>
      <c r="I760" s="33"/>
      <c r="J760" s="33"/>
      <c r="K760" s="15"/>
      <c r="L760" s="15"/>
      <c r="M760" s="15"/>
    </row>
    <row r="761" spans="2:13" ht="15" customHeight="1" x14ac:dyDescent="0.3">
      <c r="B761" s="21" t="str">
        <f t="shared" si="11"/>
        <v/>
      </c>
      <c r="C761" s="15"/>
      <c r="D761" s="15"/>
      <c r="E761" s="15"/>
      <c r="F761" s="15"/>
      <c r="G761" s="15"/>
      <c r="H761" s="39" t="str">
        <f>IF($G761="","",IFERROR(INDEX('90_SEMA'!$G$7:$H$183,MATCH($G761,'90_SEMA'!$B$7:$B$183,0),NYELV_IDX),"### ISMERETLEN KÓD"))</f>
        <v/>
      </c>
      <c r="I761" s="33"/>
      <c r="J761" s="33"/>
      <c r="K761" s="15"/>
      <c r="L761" s="15"/>
      <c r="M761" s="15"/>
    </row>
    <row r="762" spans="2:13" ht="15" customHeight="1" x14ac:dyDescent="0.3">
      <c r="B762" s="21" t="str">
        <f t="shared" si="11"/>
        <v/>
      </c>
      <c r="C762" s="15"/>
      <c r="D762" s="15"/>
      <c r="E762" s="15"/>
      <c r="F762" s="15"/>
      <c r="G762" s="15"/>
      <c r="H762" s="39" t="str">
        <f>IF($G762="","",IFERROR(INDEX('90_SEMA'!$G$7:$H$183,MATCH($G762,'90_SEMA'!$B$7:$B$183,0),NYELV_IDX),"### ISMERETLEN KÓD"))</f>
        <v/>
      </c>
      <c r="I762" s="33"/>
      <c r="J762" s="33"/>
      <c r="K762" s="15"/>
      <c r="L762" s="15"/>
      <c r="M762" s="15"/>
    </row>
    <row r="763" spans="2:13" ht="15" customHeight="1" x14ac:dyDescent="0.3">
      <c r="B763" s="21" t="str">
        <f t="shared" si="11"/>
        <v/>
      </c>
      <c r="C763" s="15"/>
      <c r="D763" s="15"/>
      <c r="E763" s="15"/>
      <c r="F763" s="15"/>
      <c r="G763" s="15"/>
      <c r="H763" s="39" t="str">
        <f>IF($G763="","",IFERROR(INDEX('90_SEMA'!$G$7:$H$183,MATCH($G763,'90_SEMA'!$B$7:$B$183,0),NYELV_IDX),"### ISMERETLEN KÓD"))</f>
        <v/>
      </c>
      <c r="I763" s="33"/>
      <c r="J763" s="33"/>
      <c r="K763" s="15"/>
      <c r="L763" s="15"/>
      <c r="M763" s="15"/>
    </row>
    <row r="764" spans="2:13" ht="15" customHeight="1" x14ac:dyDescent="0.3">
      <c r="B764" s="21" t="str">
        <f t="shared" si="11"/>
        <v/>
      </c>
      <c r="C764" s="15"/>
      <c r="D764" s="15"/>
      <c r="E764" s="15"/>
      <c r="F764" s="15"/>
      <c r="G764" s="15"/>
      <c r="H764" s="39" t="str">
        <f>IF($G764="","",IFERROR(INDEX('90_SEMA'!$G$7:$H$183,MATCH($G764,'90_SEMA'!$B$7:$B$183,0),NYELV_IDX),"### ISMERETLEN KÓD"))</f>
        <v/>
      </c>
      <c r="I764" s="33"/>
      <c r="J764" s="33"/>
      <c r="K764" s="15"/>
      <c r="L764" s="15"/>
      <c r="M764" s="15"/>
    </row>
    <row r="765" spans="2:13" ht="15" customHeight="1" x14ac:dyDescent="0.3">
      <c r="B765" s="21" t="str">
        <f t="shared" si="11"/>
        <v/>
      </c>
      <c r="C765" s="15"/>
      <c r="D765" s="15"/>
      <c r="E765" s="15"/>
      <c r="F765" s="15"/>
      <c r="G765" s="15"/>
      <c r="H765" s="39" t="str">
        <f>IF($G765="","",IFERROR(INDEX('90_SEMA'!$G$7:$H$183,MATCH($G765,'90_SEMA'!$B$7:$B$183,0),NYELV_IDX),"### ISMERETLEN KÓD"))</f>
        <v/>
      </c>
      <c r="I765" s="33"/>
      <c r="J765" s="33"/>
      <c r="K765" s="15"/>
      <c r="L765" s="15"/>
      <c r="M765" s="15"/>
    </row>
    <row r="766" spans="2:13" ht="15" customHeight="1" x14ac:dyDescent="0.3">
      <c r="B766" s="21" t="str">
        <f t="shared" si="11"/>
        <v/>
      </c>
      <c r="C766" s="15"/>
      <c r="D766" s="15"/>
      <c r="E766" s="15"/>
      <c r="F766" s="15"/>
      <c r="G766" s="15"/>
      <c r="H766" s="39" t="str">
        <f>IF($G766="","",IFERROR(INDEX('90_SEMA'!$G$7:$H$183,MATCH($G766,'90_SEMA'!$B$7:$B$183,0),NYELV_IDX),"### ISMERETLEN KÓD"))</f>
        <v/>
      </c>
      <c r="I766" s="33"/>
      <c r="J766" s="33"/>
      <c r="K766" s="15"/>
      <c r="L766" s="15"/>
      <c r="M766" s="15"/>
    </row>
    <row r="767" spans="2:13" ht="15" customHeight="1" x14ac:dyDescent="0.3">
      <c r="B767" s="21" t="str">
        <f t="shared" si="11"/>
        <v/>
      </c>
      <c r="C767" s="15"/>
      <c r="D767" s="15"/>
      <c r="E767" s="15"/>
      <c r="F767" s="15"/>
      <c r="G767" s="15"/>
      <c r="H767" s="39" t="str">
        <f>IF($G767="","",IFERROR(INDEX('90_SEMA'!$G$7:$H$183,MATCH($G767,'90_SEMA'!$B$7:$B$183,0),NYELV_IDX),"### ISMERETLEN KÓD"))</f>
        <v/>
      </c>
      <c r="I767" s="33"/>
      <c r="J767" s="33"/>
      <c r="K767" s="15"/>
      <c r="L767" s="15"/>
      <c r="M767" s="15"/>
    </row>
    <row r="768" spans="2:13" ht="15" customHeight="1" x14ac:dyDescent="0.3">
      <c r="B768" s="21" t="str">
        <f t="shared" si="11"/>
        <v/>
      </c>
      <c r="C768" s="15"/>
      <c r="D768" s="15"/>
      <c r="E768" s="15"/>
      <c r="F768" s="15"/>
      <c r="G768" s="15"/>
      <c r="H768" s="39" t="str">
        <f>IF($G768="","",IFERROR(INDEX('90_SEMA'!$G$7:$H$183,MATCH($G768,'90_SEMA'!$B$7:$B$183,0),NYELV_IDX),"### ISMERETLEN KÓD"))</f>
        <v/>
      </c>
      <c r="I768" s="33"/>
      <c r="J768" s="33"/>
      <c r="K768" s="15"/>
      <c r="L768" s="15"/>
      <c r="M768" s="15"/>
    </row>
    <row r="769" spans="2:13" ht="15" customHeight="1" x14ac:dyDescent="0.3">
      <c r="B769" s="21" t="str">
        <f t="shared" si="11"/>
        <v/>
      </c>
      <c r="C769" s="15"/>
      <c r="D769" s="15"/>
      <c r="E769" s="15"/>
      <c r="F769" s="15"/>
      <c r="G769" s="15"/>
      <c r="H769" s="39" t="str">
        <f>IF($G769="","",IFERROR(INDEX('90_SEMA'!$G$7:$H$183,MATCH($G769,'90_SEMA'!$B$7:$B$183,0),NYELV_IDX),"### ISMERETLEN KÓD"))</f>
        <v/>
      </c>
      <c r="I769" s="33"/>
      <c r="J769" s="33"/>
      <c r="K769" s="15"/>
      <c r="L769" s="15"/>
      <c r="M769" s="15"/>
    </row>
    <row r="770" spans="2:13" ht="15" customHeight="1" x14ac:dyDescent="0.3">
      <c r="B770" s="21" t="str">
        <f t="shared" si="11"/>
        <v/>
      </c>
      <c r="C770" s="15"/>
      <c r="D770" s="15"/>
      <c r="E770" s="15"/>
      <c r="F770" s="15"/>
      <c r="G770" s="15"/>
      <c r="H770" s="39" t="str">
        <f>IF($G770="","",IFERROR(INDEX('90_SEMA'!$G$7:$H$183,MATCH($G770,'90_SEMA'!$B$7:$B$183,0),NYELV_IDX),"### ISMERETLEN KÓD"))</f>
        <v/>
      </c>
      <c r="I770" s="33"/>
      <c r="J770" s="33"/>
      <c r="K770" s="15"/>
      <c r="L770" s="15"/>
      <c r="M770" s="15"/>
    </row>
    <row r="771" spans="2:13" ht="15" customHeight="1" x14ac:dyDescent="0.3">
      <c r="B771" s="21" t="str">
        <f t="shared" si="11"/>
        <v/>
      </c>
      <c r="C771" s="15"/>
      <c r="D771" s="15"/>
      <c r="E771" s="15"/>
      <c r="F771" s="15"/>
      <c r="G771" s="15"/>
      <c r="H771" s="39" t="str">
        <f>IF($G771="","",IFERROR(INDEX('90_SEMA'!$G$7:$H$183,MATCH($G771,'90_SEMA'!$B$7:$B$183,0),NYELV_IDX),"### ISMERETLEN KÓD"))</f>
        <v/>
      </c>
      <c r="I771" s="33"/>
      <c r="J771" s="33"/>
      <c r="K771" s="15"/>
      <c r="L771" s="15"/>
      <c r="M771" s="15"/>
    </row>
    <row r="772" spans="2:13" ht="15" customHeight="1" x14ac:dyDescent="0.3">
      <c r="B772" s="21" t="str">
        <f t="shared" si="11"/>
        <v/>
      </c>
      <c r="C772" s="15"/>
      <c r="D772" s="15"/>
      <c r="E772" s="15"/>
      <c r="F772" s="15"/>
      <c r="G772" s="15"/>
      <c r="H772" s="39" t="str">
        <f>IF($G772="","",IFERROR(INDEX('90_SEMA'!$G$7:$H$183,MATCH($G772,'90_SEMA'!$B$7:$B$183,0),NYELV_IDX),"### ISMERETLEN KÓD"))</f>
        <v/>
      </c>
      <c r="I772" s="33"/>
      <c r="J772" s="33"/>
      <c r="K772" s="15"/>
      <c r="L772" s="15"/>
      <c r="M772" s="15"/>
    </row>
    <row r="773" spans="2:13" ht="15" customHeight="1" x14ac:dyDescent="0.3">
      <c r="B773" s="21" t="str">
        <f t="shared" si="11"/>
        <v/>
      </c>
      <c r="C773" s="15"/>
      <c r="D773" s="15"/>
      <c r="E773" s="15"/>
      <c r="F773" s="15"/>
      <c r="G773" s="15"/>
      <c r="H773" s="39" t="str">
        <f>IF($G773="","",IFERROR(INDEX('90_SEMA'!$G$7:$H$183,MATCH($G773,'90_SEMA'!$B$7:$B$183,0),NYELV_IDX),"### ISMERETLEN KÓD"))</f>
        <v/>
      </c>
      <c r="I773" s="33"/>
      <c r="J773" s="33"/>
      <c r="K773" s="15"/>
      <c r="L773" s="15"/>
      <c r="M773" s="15"/>
    </row>
    <row r="774" spans="2:13" ht="15" customHeight="1" x14ac:dyDescent="0.3">
      <c r="B774" s="21" t="str">
        <f t="shared" si="11"/>
        <v/>
      </c>
      <c r="C774" s="15"/>
      <c r="D774" s="15"/>
      <c r="E774" s="15"/>
      <c r="F774" s="15"/>
      <c r="G774" s="15"/>
      <c r="H774" s="39" t="str">
        <f>IF($G774="","",IFERROR(INDEX('90_SEMA'!$G$7:$H$183,MATCH($G774,'90_SEMA'!$B$7:$B$183,0),NYELV_IDX),"### ISMERETLEN KÓD"))</f>
        <v/>
      </c>
      <c r="I774" s="33"/>
      <c r="J774" s="33"/>
      <c r="K774" s="15"/>
      <c r="L774" s="15"/>
      <c r="M774" s="15"/>
    </row>
    <row r="775" spans="2:13" ht="15" customHeight="1" x14ac:dyDescent="0.3">
      <c r="B775" s="21" t="str">
        <f t="shared" ref="B775:B806" si="12">IF($G775="","",ROW()-6)</f>
        <v/>
      </c>
      <c r="C775" s="15"/>
      <c r="D775" s="15"/>
      <c r="E775" s="15"/>
      <c r="F775" s="15"/>
      <c r="G775" s="15"/>
      <c r="H775" s="39" t="str">
        <f>IF($G775="","",IFERROR(INDEX('90_SEMA'!$G$7:$H$183,MATCH($G775,'90_SEMA'!$B$7:$B$183,0),NYELV_IDX),"### ISMERETLEN KÓD"))</f>
        <v/>
      </c>
      <c r="I775" s="33"/>
      <c r="J775" s="33"/>
      <c r="K775" s="15"/>
      <c r="L775" s="15"/>
      <c r="M775" s="15"/>
    </row>
    <row r="776" spans="2:13" ht="15" customHeight="1" x14ac:dyDescent="0.3">
      <c r="B776" s="21" t="str">
        <f t="shared" si="12"/>
        <v/>
      </c>
      <c r="C776" s="15"/>
      <c r="D776" s="15"/>
      <c r="E776" s="15"/>
      <c r="F776" s="15"/>
      <c r="G776" s="15"/>
      <c r="H776" s="39" t="str">
        <f>IF($G776="","",IFERROR(INDEX('90_SEMA'!$G$7:$H$183,MATCH($G776,'90_SEMA'!$B$7:$B$183,0),NYELV_IDX),"### ISMERETLEN KÓD"))</f>
        <v/>
      </c>
      <c r="I776" s="33"/>
      <c r="J776" s="33"/>
      <c r="K776" s="15"/>
      <c r="L776" s="15"/>
      <c r="M776" s="15"/>
    </row>
    <row r="777" spans="2:13" ht="15" customHeight="1" x14ac:dyDescent="0.3">
      <c r="B777" s="21" t="str">
        <f t="shared" si="12"/>
        <v/>
      </c>
      <c r="C777" s="15"/>
      <c r="D777" s="15"/>
      <c r="E777" s="15"/>
      <c r="F777" s="15"/>
      <c r="G777" s="15"/>
      <c r="H777" s="39" t="str">
        <f>IF($G777="","",IFERROR(INDEX('90_SEMA'!$G$7:$H$183,MATCH($G777,'90_SEMA'!$B$7:$B$183,0),NYELV_IDX),"### ISMERETLEN KÓD"))</f>
        <v/>
      </c>
      <c r="I777" s="33"/>
      <c r="J777" s="33"/>
      <c r="K777" s="15"/>
      <c r="L777" s="15"/>
      <c r="M777" s="15"/>
    </row>
    <row r="778" spans="2:13" ht="15" customHeight="1" x14ac:dyDescent="0.3">
      <c r="B778" s="21" t="str">
        <f t="shared" si="12"/>
        <v/>
      </c>
      <c r="C778" s="15"/>
      <c r="D778" s="15"/>
      <c r="E778" s="15"/>
      <c r="F778" s="15"/>
      <c r="G778" s="15"/>
      <c r="H778" s="39" t="str">
        <f>IF($G778="","",IFERROR(INDEX('90_SEMA'!$G$7:$H$183,MATCH($G778,'90_SEMA'!$B$7:$B$183,0),NYELV_IDX),"### ISMERETLEN KÓD"))</f>
        <v/>
      </c>
      <c r="I778" s="33"/>
      <c r="J778" s="33"/>
      <c r="K778" s="15"/>
      <c r="L778" s="15"/>
      <c r="M778" s="15"/>
    </row>
    <row r="779" spans="2:13" ht="15" customHeight="1" x14ac:dyDescent="0.3">
      <c r="B779" s="21" t="str">
        <f t="shared" si="12"/>
        <v/>
      </c>
      <c r="C779" s="15"/>
      <c r="D779" s="15"/>
      <c r="E779" s="15"/>
      <c r="F779" s="15"/>
      <c r="G779" s="15"/>
      <c r="H779" s="39" t="str">
        <f>IF($G779="","",IFERROR(INDEX('90_SEMA'!$G$7:$H$183,MATCH($G779,'90_SEMA'!$B$7:$B$183,0),NYELV_IDX),"### ISMERETLEN KÓD"))</f>
        <v/>
      </c>
      <c r="I779" s="33"/>
      <c r="J779" s="33"/>
      <c r="K779" s="15"/>
      <c r="L779" s="15"/>
      <c r="M779" s="15"/>
    </row>
    <row r="780" spans="2:13" ht="15" customHeight="1" x14ac:dyDescent="0.3">
      <c r="B780" s="21" t="str">
        <f t="shared" si="12"/>
        <v/>
      </c>
      <c r="C780" s="15"/>
      <c r="D780" s="15"/>
      <c r="E780" s="15"/>
      <c r="F780" s="15"/>
      <c r="G780" s="15"/>
      <c r="H780" s="39" t="str">
        <f>IF($G780="","",IFERROR(INDEX('90_SEMA'!$G$7:$H$183,MATCH($G780,'90_SEMA'!$B$7:$B$183,0),NYELV_IDX),"### ISMERETLEN KÓD"))</f>
        <v/>
      </c>
      <c r="I780" s="33"/>
      <c r="J780" s="33"/>
      <c r="K780" s="15"/>
      <c r="L780" s="15"/>
      <c r="M780" s="15"/>
    </row>
    <row r="781" spans="2:13" ht="15" customHeight="1" x14ac:dyDescent="0.3">
      <c r="B781" s="21" t="str">
        <f t="shared" si="12"/>
        <v/>
      </c>
      <c r="C781" s="15"/>
      <c r="D781" s="15"/>
      <c r="E781" s="15"/>
      <c r="F781" s="15"/>
      <c r="G781" s="15"/>
      <c r="H781" s="39" t="str">
        <f>IF($G781="","",IFERROR(INDEX('90_SEMA'!$G$7:$H$183,MATCH($G781,'90_SEMA'!$B$7:$B$183,0),NYELV_IDX),"### ISMERETLEN KÓD"))</f>
        <v/>
      </c>
      <c r="I781" s="33"/>
      <c r="J781" s="33"/>
      <c r="K781" s="15"/>
      <c r="L781" s="15"/>
      <c r="M781" s="15"/>
    </row>
    <row r="782" spans="2:13" ht="15" customHeight="1" x14ac:dyDescent="0.3">
      <c r="B782" s="21" t="str">
        <f t="shared" si="12"/>
        <v/>
      </c>
      <c r="C782" s="15"/>
      <c r="D782" s="15"/>
      <c r="E782" s="15"/>
      <c r="F782" s="15"/>
      <c r="G782" s="15"/>
      <c r="H782" s="39" t="str">
        <f>IF($G782="","",IFERROR(INDEX('90_SEMA'!$G$7:$H$183,MATCH($G782,'90_SEMA'!$B$7:$B$183,0),NYELV_IDX),"### ISMERETLEN KÓD"))</f>
        <v/>
      </c>
      <c r="I782" s="33"/>
      <c r="J782" s="33"/>
      <c r="K782" s="15"/>
      <c r="L782" s="15"/>
      <c r="M782" s="15"/>
    </row>
    <row r="783" spans="2:13" ht="15" customHeight="1" x14ac:dyDescent="0.3">
      <c r="B783" s="21" t="str">
        <f t="shared" si="12"/>
        <v/>
      </c>
      <c r="C783" s="15"/>
      <c r="D783" s="15"/>
      <c r="E783" s="15"/>
      <c r="F783" s="15"/>
      <c r="G783" s="15"/>
      <c r="H783" s="39" t="str">
        <f>IF($G783="","",IFERROR(INDEX('90_SEMA'!$G$7:$H$183,MATCH($G783,'90_SEMA'!$B$7:$B$183,0),NYELV_IDX),"### ISMERETLEN KÓD"))</f>
        <v/>
      </c>
      <c r="I783" s="33"/>
      <c r="J783" s="33"/>
      <c r="K783" s="15"/>
      <c r="L783" s="15"/>
      <c r="M783" s="15"/>
    </row>
    <row r="784" spans="2:13" ht="15" customHeight="1" x14ac:dyDescent="0.3">
      <c r="B784" s="21" t="str">
        <f t="shared" si="12"/>
        <v/>
      </c>
      <c r="C784" s="15"/>
      <c r="D784" s="15"/>
      <c r="E784" s="15"/>
      <c r="F784" s="15"/>
      <c r="G784" s="15"/>
      <c r="H784" s="39" t="str">
        <f>IF($G784="","",IFERROR(INDEX('90_SEMA'!$G$7:$H$183,MATCH($G784,'90_SEMA'!$B$7:$B$183,0),NYELV_IDX),"### ISMERETLEN KÓD"))</f>
        <v/>
      </c>
      <c r="I784" s="33"/>
      <c r="J784" s="33"/>
      <c r="K784" s="15"/>
      <c r="L784" s="15"/>
      <c r="M784" s="15"/>
    </row>
    <row r="785" spans="2:13" ht="15" customHeight="1" x14ac:dyDescent="0.3">
      <c r="B785" s="21" t="str">
        <f t="shared" si="12"/>
        <v/>
      </c>
      <c r="C785" s="15"/>
      <c r="D785" s="15"/>
      <c r="E785" s="15"/>
      <c r="F785" s="15"/>
      <c r="G785" s="15"/>
      <c r="H785" s="39" t="str">
        <f>IF($G785="","",IFERROR(INDEX('90_SEMA'!$G$7:$H$183,MATCH($G785,'90_SEMA'!$B$7:$B$183,0),NYELV_IDX),"### ISMERETLEN KÓD"))</f>
        <v/>
      </c>
      <c r="I785" s="33"/>
      <c r="J785" s="33"/>
      <c r="K785" s="15"/>
      <c r="L785" s="15"/>
      <c r="M785" s="15"/>
    </row>
    <row r="786" spans="2:13" ht="15" customHeight="1" x14ac:dyDescent="0.3">
      <c r="B786" s="21" t="str">
        <f t="shared" si="12"/>
        <v/>
      </c>
      <c r="C786" s="15"/>
      <c r="D786" s="15"/>
      <c r="E786" s="15"/>
      <c r="F786" s="15"/>
      <c r="G786" s="15"/>
      <c r="H786" s="39" t="str">
        <f>IF($G786="","",IFERROR(INDEX('90_SEMA'!$G$7:$H$183,MATCH($G786,'90_SEMA'!$B$7:$B$183,0),NYELV_IDX),"### ISMERETLEN KÓD"))</f>
        <v/>
      </c>
      <c r="I786" s="33"/>
      <c r="J786" s="33"/>
      <c r="K786" s="15"/>
      <c r="L786" s="15"/>
      <c r="M786" s="15"/>
    </row>
    <row r="787" spans="2:13" ht="15" customHeight="1" x14ac:dyDescent="0.3">
      <c r="B787" s="21" t="str">
        <f t="shared" si="12"/>
        <v/>
      </c>
      <c r="C787" s="15"/>
      <c r="D787" s="15"/>
      <c r="E787" s="15"/>
      <c r="F787" s="15"/>
      <c r="G787" s="15"/>
      <c r="H787" s="39" t="str">
        <f>IF($G787="","",IFERROR(INDEX('90_SEMA'!$G$7:$H$183,MATCH($G787,'90_SEMA'!$B$7:$B$183,0),NYELV_IDX),"### ISMERETLEN KÓD"))</f>
        <v/>
      </c>
      <c r="I787" s="33"/>
      <c r="J787" s="33"/>
      <c r="K787" s="15"/>
      <c r="L787" s="15"/>
      <c r="M787" s="15"/>
    </row>
    <row r="788" spans="2:13" ht="15" customHeight="1" x14ac:dyDescent="0.3">
      <c r="B788" s="21" t="str">
        <f t="shared" si="12"/>
        <v/>
      </c>
      <c r="C788" s="15"/>
      <c r="D788" s="15"/>
      <c r="E788" s="15"/>
      <c r="F788" s="15"/>
      <c r="G788" s="15"/>
      <c r="H788" s="39" t="str">
        <f>IF($G788="","",IFERROR(INDEX('90_SEMA'!$G$7:$H$183,MATCH($G788,'90_SEMA'!$B$7:$B$183,0),NYELV_IDX),"### ISMERETLEN KÓD"))</f>
        <v/>
      </c>
      <c r="I788" s="33"/>
      <c r="J788" s="33"/>
      <c r="K788" s="15"/>
      <c r="L788" s="15"/>
      <c r="M788" s="15"/>
    </row>
    <row r="789" spans="2:13" ht="15" customHeight="1" x14ac:dyDescent="0.3">
      <c r="B789" s="21" t="str">
        <f t="shared" si="12"/>
        <v/>
      </c>
      <c r="C789" s="15"/>
      <c r="D789" s="15"/>
      <c r="E789" s="15"/>
      <c r="F789" s="15"/>
      <c r="G789" s="15"/>
      <c r="H789" s="39" t="str">
        <f>IF($G789="","",IFERROR(INDEX('90_SEMA'!$G$7:$H$183,MATCH($G789,'90_SEMA'!$B$7:$B$183,0),NYELV_IDX),"### ISMERETLEN KÓD"))</f>
        <v/>
      </c>
      <c r="I789" s="33"/>
      <c r="J789" s="33"/>
      <c r="K789" s="15"/>
      <c r="L789" s="15"/>
      <c r="M789" s="15"/>
    </row>
    <row r="790" spans="2:13" ht="15" customHeight="1" x14ac:dyDescent="0.3">
      <c r="B790" s="21" t="str">
        <f t="shared" si="12"/>
        <v/>
      </c>
      <c r="C790" s="15"/>
      <c r="D790" s="15"/>
      <c r="E790" s="15"/>
      <c r="F790" s="15"/>
      <c r="G790" s="15"/>
      <c r="H790" s="39" t="str">
        <f>IF($G790="","",IFERROR(INDEX('90_SEMA'!$G$7:$H$183,MATCH($G790,'90_SEMA'!$B$7:$B$183,0),NYELV_IDX),"### ISMERETLEN KÓD"))</f>
        <v/>
      </c>
      <c r="I790" s="33"/>
      <c r="J790" s="33"/>
      <c r="K790" s="15"/>
      <c r="L790" s="15"/>
      <c r="M790" s="15"/>
    </row>
    <row r="791" spans="2:13" ht="15" customHeight="1" x14ac:dyDescent="0.3">
      <c r="B791" s="21" t="str">
        <f t="shared" si="12"/>
        <v/>
      </c>
      <c r="C791" s="15"/>
      <c r="D791" s="15"/>
      <c r="E791" s="15"/>
      <c r="F791" s="15"/>
      <c r="G791" s="15"/>
      <c r="H791" s="39" t="str">
        <f>IF($G791="","",IFERROR(INDEX('90_SEMA'!$G$7:$H$183,MATCH($G791,'90_SEMA'!$B$7:$B$183,0),NYELV_IDX),"### ISMERETLEN KÓD"))</f>
        <v/>
      </c>
      <c r="I791" s="33"/>
      <c r="J791" s="33"/>
      <c r="K791" s="15"/>
      <c r="L791" s="15"/>
      <c r="M791" s="15"/>
    </row>
    <row r="792" spans="2:13" ht="15" customHeight="1" x14ac:dyDescent="0.3">
      <c r="B792" s="21" t="str">
        <f t="shared" si="12"/>
        <v/>
      </c>
      <c r="C792" s="15"/>
      <c r="D792" s="15"/>
      <c r="E792" s="15"/>
      <c r="F792" s="15"/>
      <c r="G792" s="15"/>
      <c r="H792" s="39" t="str">
        <f>IF($G792="","",IFERROR(INDEX('90_SEMA'!$G$7:$H$183,MATCH($G792,'90_SEMA'!$B$7:$B$183,0),NYELV_IDX),"### ISMERETLEN KÓD"))</f>
        <v/>
      </c>
      <c r="I792" s="33"/>
      <c r="J792" s="33"/>
      <c r="K792" s="15"/>
      <c r="L792" s="15"/>
      <c r="M792" s="15"/>
    </row>
    <row r="793" spans="2:13" ht="15" customHeight="1" x14ac:dyDescent="0.3">
      <c r="B793" s="21" t="str">
        <f t="shared" si="12"/>
        <v/>
      </c>
      <c r="C793" s="15"/>
      <c r="D793" s="15"/>
      <c r="E793" s="15"/>
      <c r="F793" s="15"/>
      <c r="G793" s="15"/>
      <c r="H793" s="39" t="str">
        <f>IF($G793="","",IFERROR(INDEX('90_SEMA'!$G$7:$H$183,MATCH($G793,'90_SEMA'!$B$7:$B$183,0),NYELV_IDX),"### ISMERETLEN KÓD"))</f>
        <v/>
      </c>
      <c r="I793" s="33"/>
      <c r="J793" s="33"/>
      <c r="K793" s="15"/>
      <c r="L793" s="15"/>
      <c r="M793" s="15"/>
    </row>
    <row r="794" spans="2:13" ht="15" customHeight="1" x14ac:dyDescent="0.3">
      <c r="B794" s="21" t="str">
        <f t="shared" si="12"/>
        <v/>
      </c>
      <c r="C794" s="15"/>
      <c r="D794" s="15"/>
      <c r="E794" s="15"/>
      <c r="F794" s="15"/>
      <c r="G794" s="15"/>
      <c r="H794" s="39" t="str">
        <f>IF($G794="","",IFERROR(INDEX('90_SEMA'!$G$7:$H$183,MATCH($G794,'90_SEMA'!$B$7:$B$183,0),NYELV_IDX),"### ISMERETLEN KÓD"))</f>
        <v/>
      </c>
      <c r="I794" s="33"/>
      <c r="J794" s="33"/>
      <c r="K794" s="15"/>
      <c r="L794" s="15"/>
      <c r="M794" s="15"/>
    </row>
    <row r="795" spans="2:13" ht="15" customHeight="1" x14ac:dyDescent="0.3">
      <c r="B795" s="21" t="str">
        <f t="shared" si="12"/>
        <v/>
      </c>
      <c r="C795" s="15"/>
      <c r="D795" s="15"/>
      <c r="E795" s="15"/>
      <c r="F795" s="15"/>
      <c r="G795" s="15"/>
      <c r="H795" s="39" t="str">
        <f>IF($G795="","",IFERROR(INDEX('90_SEMA'!$G$7:$H$183,MATCH($G795,'90_SEMA'!$B$7:$B$183,0),NYELV_IDX),"### ISMERETLEN KÓD"))</f>
        <v/>
      </c>
      <c r="I795" s="33"/>
      <c r="J795" s="33"/>
      <c r="K795" s="15"/>
      <c r="L795" s="15"/>
      <c r="M795" s="15"/>
    </row>
    <row r="796" spans="2:13" ht="15" customHeight="1" x14ac:dyDescent="0.3">
      <c r="B796" s="21" t="str">
        <f t="shared" si="12"/>
        <v/>
      </c>
      <c r="C796" s="15"/>
      <c r="D796" s="15"/>
      <c r="E796" s="15"/>
      <c r="F796" s="15"/>
      <c r="G796" s="15"/>
      <c r="H796" s="39" t="str">
        <f>IF($G796="","",IFERROR(INDEX('90_SEMA'!$G$7:$H$183,MATCH($G796,'90_SEMA'!$B$7:$B$183,0),NYELV_IDX),"### ISMERETLEN KÓD"))</f>
        <v/>
      </c>
      <c r="I796" s="33"/>
      <c r="J796" s="33"/>
      <c r="K796" s="15"/>
      <c r="L796" s="15"/>
      <c r="M796" s="15"/>
    </row>
    <row r="797" spans="2:13" ht="15" customHeight="1" x14ac:dyDescent="0.3">
      <c r="B797" s="21" t="str">
        <f t="shared" si="12"/>
        <v/>
      </c>
      <c r="C797" s="15"/>
      <c r="D797" s="15"/>
      <c r="E797" s="15"/>
      <c r="F797" s="15"/>
      <c r="G797" s="15"/>
      <c r="H797" s="39" t="str">
        <f>IF($G797="","",IFERROR(INDEX('90_SEMA'!$G$7:$H$183,MATCH($G797,'90_SEMA'!$B$7:$B$183,0),NYELV_IDX),"### ISMERETLEN KÓD"))</f>
        <v/>
      </c>
      <c r="I797" s="33"/>
      <c r="J797" s="33"/>
      <c r="K797" s="15"/>
      <c r="L797" s="15"/>
      <c r="M797" s="15"/>
    </row>
    <row r="798" spans="2:13" ht="15" customHeight="1" x14ac:dyDescent="0.3">
      <c r="B798" s="21" t="str">
        <f t="shared" si="12"/>
        <v/>
      </c>
      <c r="C798" s="15"/>
      <c r="D798" s="15"/>
      <c r="E798" s="15"/>
      <c r="F798" s="15"/>
      <c r="G798" s="15"/>
      <c r="H798" s="39" t="str">
        <f>IF($G798="","",IFERROR(INDEX('90_SEMA'!$G$7:$H$183,MATCH($G798,'90_SEMA'!$B$7:$B$183,0),NYELV_IDX),"### ISMERETLEN KÓD"))</f>
        <v/>
      </c>
      <c r="I798" s="33"/>
      <c r="J798" s="33"/>
      <c r="K798" s="15"/>
      <c r="L798" s="15"/>
      <c r="M798" s="15"/>
    </row>
    <row r="799" spans="2:13" ht="15" customHeight="1" x14ac:dyDescent="0.3">
      <c r="B799" s="21" t="str">
        <f t="shared" si="12"/>
        <v/>
      </c>
      <c r="C799" s="15"/>
      <c r="D799" s="15"/>
      <c r="E799" s="15"/>
      <c r="F799" s="15"/>
      <c r="G799" s="15"/>
      <c r="H799" s="39" t="str">
        <f>IF($G799="","",IFERROR(INDEX('90_SEMA'!$G$7:$H$183,MATCH($G799,'90_SEMA'!$B$7:$B$183,0),NYELV_IDX),"### ISMERETLEN KÓD"))</f>
        <v/>
      </c>
      <c r="I799" s="33"/>
      <c r="J799" s="33"/>
      <c r="K799" s="15"/>
      <c r="L799" s="15"/>
      <c r="M799" s="15"/>
    </row>
    <row r="800" spans="2:13" ht="15" customHeight="1" x14ac:dyDescent="0.3">
      <c r="B800" s="21" t="str">
        <f t="shared" si="12"/>
        <v/>
      </c>
      <c r="C800" s="15"/>
      <c r="D800" s="15"/>
      <c r="E800" s="15"/>
      <c r="F800" s="15"/>
      <c r="G800" s="15"/>
      <c r="H800" s="39" t="str">
        <f>IF($G800="","",IFERROR(INDEX('90_SEMA'!$G$7:$H$183,MATCH($G800,'90_SEMA'!$B$7:$B$183,0),NYELV_IDX),"### ISMERETLEN KÓD"))</f>
        <v/>
      </c>
      <c r="I800" s="33"/>
      <c r="J800" s="33"/>
      <c r="K800" s="15"/>
      <c r="L800" s="15"/>
      <c r="M800" s="15"/>
    </row>
    <row r="801" spans="2:13" ht="15" customHeight="1" x14ac:dyDescent="0.3">
      <c r="B801" s="21" t="str">
        <f t="shared" si="12"/>
        <v/>
      </c>
      <c r="C801" s="15"/>
      <c r="D801" s="15"/>
      <c r="E801" s="15"/>
      <c r="F801" s="15"/>
      <c r="G801" s="15"/>
      <c r="H801" s="39" t="str">
        <f>IF($G801="","",IFERROR(INDEX('90_SEMA'!$G$7:$H$183,MATCH($G801,'90_SEMA'!$B$7:$B$183,0),NYELV_IDX),"### ISMERETLEN KÓD"))</f>
        <v/>
      </c>
      <c r="I801" s="33"/>
      <c r="J801" s="33"/>
      <c r="K801" s="15"/>
      <c r="L801" s="15"/>
      <c r="M801" s="15"/>
    </row>
    <row r="802" spans="2:13" ht="15" customHeight="1" x14ac:dyDescent="0.3">
      <c r="B802" s="21" t="str">
        <f t="shared" si="12"/>
        <v/>
      </c>
      <c r="C802" s="15"/>
      <c r="D802" s="15"/>
      <c r="E802" s="15"/>
      <c r="F802" s="15"/>
      <c r="G802" s="15"/>
      <c r="H802" s="39" t="str">
        <f>IF($G802="","",IFERROR(INDEX('90_SEMA'!$G$7:$H$183,MATCH($G802,'90_SEMA'!$B$7:$B$183,0),NYELV_IDX),"### ISMERETLEN KÓD"))</f>
        <v/>
      </c>
      <c r="I802" s="33"/>
      <c r="J802" s="33"/>
      <c r="K802" s="15"/>
      <c r="L802" s="15"/>
      <c r="M802" s="15"/>
    </row>
    <row r="803" spans="2:13" ht="15" customHeight="1" x14ac:dyDescent="0.3">
      <c r="B803" s="21" t="str">
        <f t="shared" si="12"/>
        <v/>
      </c>
      <c r="C803" s="15"/>
      <c r="D803" s="15"/>
      <c r="E803" s="15"/>
      <c r="F803" s="15"/>
      <c r="G803" s="15"/>
      <c r="H803" s="39" t="str">
        <f>IF($G803="","",IFERROR(INDEX('90_SEMA'!$G$7:$H$183,MATCH($G803,'90_SEMA'!$B$7:$B$183,0),NYELV_IDX),"### ISMERETLEN KÓD"))</f>
        <v/>
      </c>
      <c r="I803" s="33"/>
      <c r="J803" s="33"/>
      <c r="K803" s="15"/>
      <c r="L803" s="15"/>
      <c r="M803" s="15"/>
    </row>
    <row r="804" spans="2:13" ht="15" customHeight="1" x14ac:dyDescent="0.3">
      <c r="B804" s="21" t="str">
        <f t="shared" si="12"/>
        <v/>
      </c>
      <c r="C804" s="15"/>
      <c r="D804" s="15"/>
      <c r="E804" s="15"/>
      <c r="F804" s="15"/>
      <c r="G804" s="15"/>
      <c r="H804" s="39" t="str">
        <f>IF($G804="","",IFERROR(INDEX('90_SEMA'!$G$7:$H$183,MATCH($G804,'90_SEMA'!$B$7:$B$183,0),NYELV_IDX),"### ISMERETLEN KÓD"))</f>
        <v/>
      </c>
      <c r="I804" s="33"/>
      <c r="J804" s="33"/>
      <c r="K804" s="15"/>
      <c r="L804" s="15"/>
      <c r="M804" s="15"/>
    </row>
    <row r="805" spans="2:13" ht="15" customHeight="1" x14ac:dyDescent="0.3">
      <c r="B805" s="21" t="str">
        <f t="shared" si="12"/>
        <v/>
      </c>
      <c r="C805" s="15"/>
      <c r="D805" s="15"/>
      <c r="E805" s="15"/>
      <c r="F805" s="15"/>
      <c r="G805" s="15"/>
      <c r="H805" s="39" t="str">
        <f>IF($G805="","",IFERROR(INDEX('90_SEMA'!$G$7:$H$183,MATCH($G805,'90_SEMA'!$B$7:$B$183,0),NYELV_IDX),"### ISMERETLEN KÓD"))</f>
        <v/>
      </c>
      <c r="I805" s="33"/>
      <c r="J805" s="33"/>
      <c r="K805" s="15"/>
      <c r="L805" s="15"/>
      <c r="M805" s="15"/>
    </row>
    <row r="806" spans="2:13" ht="15" customHeight="1" x14ac:dyDescent="0.3">
      <c r="B806" s="21" t="str">
        <f t="shared" si="12"/>
        <v/>
      </c>
      <c r="C806" s="15"/>
      <c r="D806" s="15"/>
      <c r="E806" s="15"/>
      <c r="F806" s="15"/>
      <c r="G806" s="15"/>
      <c r="H806" s="39" t="str">
        <f>IF($G806="","",IFERROR(INDEX('90_SEMA'!$G$7:$H$183,MATCH($G806,'90_SEMA'!$B$7:$B$183,0),NYELV_IDX),"### ISMERETLEN KÓD"))</f>
        <v/>
      </c>
      <c r="I806" s="33"/>
      <c r="J806" s="33"/>
      <c r="K806" s="15"/>
      <c r="L806" s="15"/>
      <c r="M806" s="15"/>
    </row>
  </sheetData>
  <sheetProtection algorithmName="SHA-512" hashValue="Ly5rmUdnz6Y0eQuJv0PQeraXr/m66fm/EtODlXTZt+E+I7ZWocs4K55MqbujBDIpNELakIWEnMbiB0fxrdsQhg==" saltValue="GaVDS9oUQYxl7Uc4q54DQw==" spinCount="100000" sheet="1" objects="1" scenarios="1" autoFilter="0"/>
  <dataValidations count="2">
    <dataValidation type="list" sqref="D7:D806" xr:uid="{00000000-0002-0000-0B00-000000000000}">
      <formula1>"1 – Egységesítés,2 – Tőkekonszolidáció,3 – Adósságkonszolidálás,4 – Közbenső eredmény,5 – Bevétel-ráfordítás,6 – Adókülönbözet,7 – Equity (társult),9 – Egyéb"</formula1>
      <formula2>0</formula2>
    </dataValidation>
    <dataValidation type="list" sqref="L7:L806" xr:uid="{00000000-0002-0000-0B00-000001000000}">
      <formula1>"Igen,Nem"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Munka13"/>
  <dimension ref="B1:K183"/>
  <sheetViews>
    <sheetView showGridLines="0" zoomScaleNormal="100" workbookViewId="0">
      <pane xSplit="5" ySplit="6" topLeftCell="F7" activePane="bottomRight" state="frozen"/>
      <selection pane="topRight" activeCell="F1" sqref="F1"/>
      <selection pane="bottomLeft" activeCell="A7" sqref="A7"/>
      <selection pane="bottomRight"/>
    </sheetView>
  </sheetViews>
  <sheetFormatPr defaultColWidth="8.6640625" defaultRowHeight="14.4" x14ac:dyDescent="0.3"/>
  <cols>
    <col min="2" max="2" width="15" style="1" customWidth="1"/>
    <col min="3" max="3" width="6" style="1" customWidth="1"/>
    <col min="4" max="4" width="7" style="1" customWidth="1"/>
    <col min="5" max="5" width="6" style="1" customWidth="1"/>
    <col min="6" max="6" width="62" style="1" customWidth="1"/>
    <col min="7" max="7" width="18" style="1" customWidth="1"/>
    <col min="8" max="10" width="16" style="1" customWidth="1"/>
    <col min="11" max="11" width="18" style="1" customWidth="1"/>
  </cols>
  <sheetData>
    <row r="1" spans="2:11" ht="79.5" customHeight="1" x14ac:dyDescent="0.3"/>
    <row r="3" spans="2:11" ht="19.5" customHeight="1" x14ac:dyDescent="0.4">
      <c r="B3" s="12" t="str">
        <f>INDEX('91_NYELV'!$C$7:$D$303,51,NYELV_IDX)</f>
        <v>11. Konszolidációs munkatábla</v>
      </c>
    </row>
    <row r="4" spans="2:11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11" ht="31.5" customHeight="1" x14ac:dyDescent="0.3">
      <c r="B6" s="20" t="str">
        <f>INDEX('91_NYELV'!$C$7:$D$303,82,NYELV_IDX)</f>
        <v>Kód</v>
      </c>
      <c r="C6" s="20" t="str">
        <f>INDEX('91_NYELV'!$C$7:$D$303,175,NYELV_IDX)</f>
        <v>Típus</v>
      </c>
      <c r="D6" s="20" t="str">
        <f>INDEX('91_NYELV'!$C$7:$D$303,155,NYELV_IDX)</f>
        <v>Oldal</v>
      </c>
      <c r="E6" s="20" t="str">
        <f>INDEX('91_NYELV'!$C$7:$D$303,84,NYELV_IDX)</f>
        <v>A/Ö</v>
      </c>
      <c r="F6" s="20" t="str">
        <f>INDEX('91_NYELV'!$C$7:$D$303,83,NYELV_IDX)</f>
        <v>Megnevezés</v>
      </c>
      <c r="G6" s="20" t="str">
        <f>INDEX('91_NYELV'!$C$7:$D$303,156,NYELV_IDX)</f>
        <v>Egyedi adatok összege</v>
      </c>
      <c r="H6" s="20" t="str">
        <f>INDEX('91_NYELV'!$C$7:$D$303,157,NYELV_IDX)</f>
        <v>Korrekció Tartozik</v>
      </c>
      <c r="I6" s="20" t="str">
        <f>INDEX('91_NYELV'!$C$7:$D$303,158,NYELV_IDX)</f>
        <v>Korrekció Követel</v>
      </c>
      <c r="J6" s="20" t="str">
        <f>INDEX('91_NYELV'!$C$7:$D$303,159,NYELV_IDX)</f>
        <v>Nettó korrekció</v>
      </c>
      <c r="K6" s="20" t="str">
        <f>INDEX('91_NYELV'!$C$7:$D$303,160,NYELV_IDX)</f>
        <v>Konszolidált érték</v>
      </c>
    </row>
    <row r="7" spans="2:11" ht="15" customHeight="1" x14ac:dyDescent="0.3">
      <c r="B7" s="29" t="s">
        <v>28</v>
      </c>
      <c r="C7" s="29" t="s">
        <v>218</v>
      </c>
      <c r="D7" s="29" t="s">
        <v>97</v>
      </c>
      <c r="E7" s="29" t="s">
        <v>29</v>
      </c>
      <c r="F7" s="30" t="str">
        <f>INDEX('90_SEMA'!$G$7:$H$183,1,NYELV_IDX)</f>
        <v>A. Befektetett eszközök</v>
      </c>
      <c r="G7" s="31">
        <f t="shared" ref="G7:K8" si="0">SUMIFS(G$7:G$183,$B$7:$B$183,$B7&amp;".*",$E$7:$E$183,"D")</f>
        <v>0</v>
      </c>
      <c r="H7" s="31">
        <f t="shared" si="0"/>
        <v>0</v>
      </c>
      <c r="I7" s="31">
        <f t="shared" si="0"/>
        <v>0</v>
      </c>
      <c r="J7" s="31">
        <f t="shared" si="0"/>
        <v>0</v>
      </c>
      <c r="K7" s="31">
        <f t="shared" si="0"/>
        <v>0</v>
      </c>
    </row>
    <row r="8" spans="2:11" ht="15" customHeight="1" x14ac:dyDescent="0.3">
      <c r="B8" s="29" t="s">
        <v>30</v>
      </c>
      <c r="C8" s="29" t="s">
        <v>218</v>
      </c>
      <c r="D8" s="29" t="s">
        <v>97</v>
      </c>
      <c r="E8" s="29" t="s">
        <v>29</v>
      </c>
      <c r="F8" s="32" t="str">
        <f>INDEX('90_SEMA'!$G$7:$H$183,2,NYELV_IDX)</f>
        <v>I. IMMATERIÁLIS JAVAK</v>
      </c>
      <c r="G8" s="31">
        <f t="shared" si="0"/>
        <v>0</v>
      </c>
      <c r="H8" s="31">
        <f t="shared" si="0"/>
        <v>0</v>
      </c>
      <c r="I8" s="31">
        <f t="shared" si="0"/>
        <v>0</v>
      </c>
      <c r="J8" s="31">
        <f t="shared" si="0"/>
        <v>0</v>
      </c>
      <c r="K8" s="31">
        <f t="shared" si="0"/>
        <v>0</v>
      </c>
    </row>
    <row r="9" spans="2:11" ht="15" customHeight="1" x14ac:dyDescent="0.3">
      <c r="B9" s="29" t="s">
        <v>31</v>
      </c>
      <c r="C9" s="29" t="s">
        <v>218</v>
      </c>
      <c r="D9" s="29" t="s">
        <v>97</v>
      </c>
      <c r="E9" s="29" t="s">
        <v>32</v>
      </c>
      <c r="F9" s="7" t="str">
        <f>INDEX('90_SEMA'!$G$7:$H$183,3,NYELV_IDX)</f>
        <v>1. Alapítás-átszervezés aktivált értéke</v>
      </c>
      <c r="G9" s="37">
        <f>SUMPRODUCT('03_ADATBEVITEL'!$E9:$X9,'03_ADATBEVITEL'!$E$4:$X$4,'03_ADATBEVITEL'!$E$2:$X$2)</f>
        <v>0</v>
      </c>
      <c r="H9" s="37">
        <f>SUMIF('10_NAPLO'!$G$7:$G$806,$B9,'10_NAPLO'!$I$7:$I$806)</f>
        <v>0</v>
      </c>
      <c r="I9" s="37">
        <f>SUMIF('10_NAPLO'!$G$7:$G$806,$B9,'10_NAPLO'!$J$7:$J$806)</f>
        <v>0</v>
      </c>
      <c r="J9" s="37">
        <f t="shared" ref="J9:J15" si="1">IF($D9="T",$H9-$I9,$I9-$H9)</f>
        <v>0</v>
      </c>
      <c r="K9" s="37">
        <f t="shared" ref="K9:K15" si="2">$G9+$J9</f>
        <v>0</v>
      </c>
    </row>
    <row r="10" spans="2:11" ht="15" customHeight="1" x14ac:dyDescent="0.3">
      <c r="B10" s="29" t="s">
        <v>33</v>
      </c>
      <c r="C10" s="29" t="s">
        <v>218</v>
      </c>
      <c r="D10" s="29" t="s">
        <v>97</v>
      </c>
      <c r="E10" s="29" t="s">
        <v>32</v>
      </c>
      <c r="F10" s="7" t="str">
        <f>INDEX('90_SEMA'!$G$7:$H$183,4,NYELV_IDX)</f>
        <v>2. Kísérleti fejlesztés aktivált értéke</v>
      </c>
      <c r="G10" s="37">
        <f>SUMPRODUCT('03_ADATBEVITEL'!$E10:$X10,'03_ADATBEVITEL'!$E$4:$X$4,'03_ADATBEVITEL'!$E$2:$X$2)</f>
        <v>0</v>
      </c>
      <c r="H10" s="37">
        <f>SUMIF('10_NAPLO'!$G$7:$G$806,$B10,'10_NAPLO'!$I$7:$I$806)</f>
        <v>0</v>
      </c>
      <c r="I10" s="37">
        <f>SUMIF('10_NAPLO'!$G$7:$G$806,$B10,'10_NAPLO'!$J$7:$J$806)</f>
        <v>0</v>
      </c>
      <c r="J10" s="37">
        <f t="shared" si="1"/>
        <v>0</v>
      </c>
      <c r="K10" s="37">
        <f t="shared" si="2"/>
        <v>0</v>
      </c>
    </row>
    <row r="11" spans="2:11" ht="15" customHeight="1" x14ac:dyDescent="0.3">
      <c r="B11" s="29" t="s">
        <v>34</v>
      </c>
      <c r="C11" s="29" t="s">
        <v>218</v>
      </c>
      <c r="D11" s="29" t="s">
        <v>97</v>
      </c>
      <c r="E11" s="29" t="s">
        <v>32</v>
      </c>
      <c r="F11" s="7" t="str">
        <f>INDEX('90_SEMA'!$G$7:$H$183,5,NYELV_IDX)</f>
        <v>3. Vagyoni értékű jogok</v>
      </c>
      <c r="G11" s="37">
        <f>SUMPRODUCT('03_ADATBEVITEL'!$E11:$X11,'03_ADATBEVITEL'!$E$4:$X$4,'03_ADATBEVITEL'!$E$2:$X$2)</f>
        <v>0</v>
      </c>
      <c r="H11" s="37">
        <f>SUMIF('10_NAPLO'!$G$7:$G$806,$B11,'10_NAPLO'!$I$7:$I$806)</f>
        <v>0</v>
      </c>
      <c r="I11" s="37">
        <f>SUMIF('10_NAPLO'!$G$7:$G$806,$B11,'10_NAPLO'!$J$7:$J$806)</f>
        <v>0</v>
      </c>
      <c r="J11" s="37">
        <f t="shared" si="1"/>
        <v>0</v>
      </c>
      <c r="K11" s="37">
        <f t="shared" si="2"/>
        <v>0</v>
      </c>
    </row>
    <row r="12" spans="2:11" ht="15" customHeight="1" x14ac:dyDescent="0.3">
      <c r="B12" s="29" t="s">
        <v>35</v>
      </c>
      <c r="C12" s="29" t="s">
        <v>218</v>
      </c>
      <c r="D12" s="29" t="s">
        <v>97</v>
      </c>
      <c r="E12" s="29" t="s">
        <v>32</v>
      </c>
      <c r="F12" s="7" t="str">
        <f>INDEX('90_SEMA'!$G$7:$H$183,6,NYELV_IDX)</f>
        <v>4. Szellemi termékek</v>
      </c>
      <c r="G12" s="37">
        <f>SUMPRODUCT('03_ADATBEVITEL'!$E12:$X12,'03_ADATBEVITEL'!$E$4:$X$4,'03_ADATBEVITEL'!$E$2:$X$2)</f>
        <v>0</v>
      </c>
      <c r="H12" s="37">
        <f>SUMIF('10_NAPLO'!$G$7:$G$806,$B12,'10_NAPLO'!$I$7:$I$806)</f>
        <v>0</v>
      </c>
      <c r="I12" s="37">
        <f>SUMIF('10_NAPLO'!$G$7:$G$806,$B12,'10_NAPLO'!$J$7:$J$806)</f>
        <v>0</v>
      </c>
      <c r="J12" s="37">
        <f t="shared" si="1"/>
        <v>0</v>
      </c>
      <c r="K12" s="37">
        <f t="shared" si="2"/>
        <v>0</v>
      </c>
    </row>
    <row r="13" spans="2:11" ht="15" customHeight="1" x14ac:dyDescent="0.3">
      <c r="B13" s="29" t="s">
        <v>36</v>
      </c>
      <c r="C13" s="29" t="s">
        <v>218</v>
      </c>
      <c r="D13" s="29" t="s">
        <v>97</v>
      </c>
      <c r="E13" s="29" t="s">
        <v>32</v>
      </c>
      <c r="F13" s="7" t="str">
        <f>INDEX('90_SEMA'!$G$7:$H$183,7,NYELV_IDX)</f>
        <v>5. Üzleti vagy cégérték</v>
      </c>
      <c r="G13" s="37">
        <f>SUMPRODUCT('03_ADATBEVITEL'!$E13:$X13,'03_ADATBEVITEL'!$E$4:$X$4,'03_ADATBEVITEL'!$E$2:$X$2)</f>
        <v>0</v>
      </c>
      <c r="H13" s="37">
        <f>SUMIF('10_NAPLO'!$G$7:$G$806,$B13,'10_NAPLO'!$I$7:$I$806)</f>
        <v>0</v>
      </c>
      <c r="I13" s="37">
        <f>SUMIF('10_NAPLO'!$G$7:$G$806,$B13,'10_NAPLO'!$J$7:$J$806)</f>
        <v>0</v>
      </c>
      <c r="J13" s="37">
        <f t="shared" si="1"/>
        <v>0</v>
      </c>
      <c r="K13" s="37">
        <f t="shared" si="2"/>
        <v>0</v>
      </c>
    </row>
    <row r="14" spans="2:11" ht="15" customHeight="1" x14ac:dyDescent="0.3">
      <c r="B14" s="29" t="s">
        <v>37</v>
      </c>
      <c r="C14" s="29" t="s">
        <v>218</v>
      </c>
      <c r="D14" s="29" t="s">
        <v>97</v>
      </c>
      <c r="E14" s="29" t="s">
        <v>32</v>
      </c>
      <c r="F14" s="7" t="str">
        <f>INDEX('90_SEMA'!$G$7:$H$183,8,NYELV_IDX)</f>
        <v>6. Immateriális javakra adott előlegek</v>
      </c>
      <c r="G14" s="37">
        <f>SUMPRODUCT('03_ADATBEVITEL'!$E14:$X14,'03_ADATBEVITEL'!$E$4:$X$4,'03_ADATBEVITEL'!$E$2:$X$2)</f>
        <v>0</v>
      </c>
      <c r="H14" s="37">
        <f>SUMIF('10_NAPLO'!$G$7:$G$806,$B14,'10_NAPLO'!$I$7:$I$806)</f>
        <v>0</v>
      </c>
      <c r="I14" s="37">
        <f>SUMIF('10_NAPLO'!$G$7:$G$806,$B14,'10_NAPLO'!$J$7:$J$806)</f>
        <v>0</v>
      </c>
      <c r="J14" s="37">
        <f t="shared" si="1"/>
        <v>0</v>
      </c>
      <c r="K14" s="37">
        <f t="shared" si="2"/>
        <v>0</v>
      </c>
    </row>
    <row r="15" spans="2:11" ht="15" customHeight="1" x14ac:dyDescent="0.3">
      <c r="B15" s="29" t="s">
        <v>38</v>
      </c>
      <c r="C15" s="29" t="s">
        <v>218</v>
      </c>
      <c r="D15" s="29" t="s">
        <v>97</v>
      </c>
      <c r="E15" s="29" t="s">
        <v>32</v>
      </c>
      <c r="F15" s="7" t="str">
        <f>INDEX('90_SEMA'!$G$7:$H$183,9,NYELV_IDX)</f>
        <v>7. Immateriális javak értékhelyesbítése</v>
      </c>
      <c r="G15" s="37">
        <f>SUMPRODUCT('03_ADATBEVITEL'!$E15:$X15,'03_ADATBEVITEL'!$E$4:$X$4,'03_ADATBEVITEL'!$E$2:$X$2)</f>
        <v>0</v>
      </c>
      <c r="H15" s="37">
        <f>SUMIF('10_NAPLO'!$G$7:$G$806,$B15,'10_NAPLO'!$I$7:$I$806)</f>
        <v>0</v>
      </c>
      <c r="I15" s="37">
        <f>SUMIF('10_NAPLO'!$G$7:$G$806,$B15,'10_NAPLO'!$J$7:$J$806)</f>
        <v>0</v>
      </c>
      <c r="J15" s="37">
        <f t="shared" si="1"/>
        <v>0</v>
      </c>
      <c r="K15" s="37">
        <f t="shared" si="2"/>
        <v>0</v>
      </c>
    </row>
    <row r="16" spans="2:11" ht="15" customHeight="1" x14ac:dyDescent="0.3">
      <c r="B16" s="29" t="s">
        <v>39</v>
      </c>
      <c r="C16" s="29" t="s">
        <v>218</v>
      </c>
      <c r="D16" s="29" t="s">
        <v>97</v>
      </c>
      <c r="E16" s="29" t="s">
        <v>29</v>
      </c>
      <c r="F16" s="32" t="str">
        <f>INDEX('90_SEMA'!$G$7:$H$183,10,NYELV_IDX)</f>
        <v>II. TÁRGYI ESZKÖZÖK</v>
      </c>
      <c r="G16" s="31">
        <f>SUMIFS(G$7:G$183,$B$7:$B$183,$B16&amp;".*",$E$7:$E$183,"D")</f>
        <v>0</v>
      </c>
      <c r="H16" s="31">
        <f>SUMIFS(H$7:H$183,$B$7:$B$183,$B16&amp;".*",$E$7:$E$183,"D")</f>
        <v>0</v>
      </c>
      <c r="I16" s="31">
        <f>SUMIFS(I$7:I$183,$B$7:$B$183,$B16&amp;".*",$E$7:$E$183,"D")</f>
        <v>0</v>
      </c>
      <c r="J16" s="31">
        <f>SUMIFS(J$7:J$183,$B$7:$B$183,$B16&amp;".*",$E$7:$E$183,"D")</f>
        <v>0</v>
      </c>
      <c r="K16" s="31">
        <f>SUMIFS(K$7:K$183,$B$7:$B$183,$B16&amp;".*",$E$7:$E$183,"D")</f>
        <v>0</v>
      </c>
    </row>
    <row r="17" spans="2:11" ht="15" customHeight="1" x14ac:dyDescent="0.3">
      <c r="B17" s="29" t="s">
        <v>40</v>
      </c>
      <c r="C17" s="29" t="s">
        <v>218</v>
      </c>
      <c r="D17" s="29" t="s">
        <v>97</v>
      </c>
      <c r="E17" s="29" t="s">
        <v>32</v>
      </c>
      <c r="F17" s="7" t="str">
        <f>INDEX('90_SEMA'!$G$7:$H$183,11,NYELV_IDX)</f>
        <v>1. Ingatlanok és a kapcsolódó vagyoni értékű jogok</v>
      </c>
      <c r="G17" s="37">
        <f>SUMPRODUCT('03_ADATBEVITEL'!$E17:$X17,'03_ADATBEVITEL'!$E$4:$X$4,'03_ADATBEVITEL'!$E$2:$X$2)</f>
        <v>0</v>
      </c>
      <c r="H17" s="37">
        <f>SUMIF('10_NAPLO'!$G$7:$G$806,$B17,'10_NAPLO'!$I$7:$I$806)</f>
        <v>0</v>
      </c>
      <c r="I17" s="37">
        <f>SUMIF('10_NAPLO'!$G$7:$G$806,$B17,'10_NAPLO'!$J$7:$J$806)</f>
        <v>0</v>
      </c>
      <c r="J17" s="37">
        <f t="shared" ref="J17:J23" si="3">IF($D17="T",$H17-$I17,$I17-$H17)</f>
        <v>0</v>
      </c>
      <c r="K17" s="37">
        <f t="shared" ref="K17:K23" si="4">$G17+$J17</f>
        <v>0</v>
      </c>
    </row>
    <row r="18" spans="2:11" ht="15" customHeight="1" x14ac:dyDescent="0.3">
      <c r="B18" s="29" t="s">
        <v>41</v>
      </c>
      <c r="C18" s="29" t="s">
        <v>218</v>
      </c>
      <c r="D18" s="29" t="s">
        <v>97</v>
      </c>
      <c r="E18" s="29" t="s">
        <v>32</v>
      </c>
      <c r="F18" s="7" t="str">
        <f>INDEX('90_SEMA'!$G$7:$H$183,12,NYELV_IDX)</f>
        <v>2. Műszaki berendezések, gépek, járművek</v>
      </c>
      <c r="G18" s="37">
        <f>SUMPRODUCT('03_ADATBEVITEL'!$E18:$X18,'03_ADATBEVITEL'!$E$4:$X$4,'03_ADATBEVITEL'!$E$2:$X$2)</f>
        <v>0</v>
      </c>
      <c r="H18" s="37">
        <f>SUMIF('10_NAPLO'!$G$7:$G$806,$B18,'10_NAPLO'!$I$7:$I$806)</f>
        <v>0</v>
      </c>
      <c r="I18" s="37">
        <f>SUMIF('10_NAPLO'!$G$7:$G$806,$B18,'10_NAPLO'!$J$7:$J$806)</f>
        <v>0</v>
      </c>
      <c r="J18" s="37">
        <f t="shared" si="3"/>
        <v>0</v>
      </c>
      <c r="K18" s="37">
        <f t="shared" si="4"/>
        <v>0</v>
      </c>
    </row>
    <row r="19" spans="2:11" ht="15" customHeight="1" x14ac:dyDescent="0.3">
      <c r="B19" s="29" t="s">
        <v>42</v>
      </c>
      <c r="C19" s="29" t="s">
        <v>218</v>
      </c>
      <c r="D19" s="29" t="s">
        <v>97</v>
      </c>
      <c r="E19" s="29" t="s">
        <v>32</v>
      </c>
      <c r="F19" s="7" t="str">
        <f>INDEX('90_SEMA'!$G$7:$H$183,13,NYELV_IDX)</f>
        <v>3. Egyéb berendezések, felszerelések, járművek</v>
      </c>
      <c r="G19" s="37">
        <f>SUMPRODUCT('03_ADATBEVITEL'!$E19:$X19,'03_ADATBEVITEL'!$E$4:$X$4,'03_ADATBEVITEL'!$E$2:$X$2)</f>
        <v>0</v>
      </c>
      <c r="H19" s="37">
        <f>SUMIF('10_NAPLO'!$G$7:$G$806,$B19,'10_NAPLO'!$I$7:$I$806)</f>
        <v>0</v>
      </c>
      <c r="I19" s="37">
        <f>SUMIF('10_NAPLO'!$G$7:$G$806,$B19,'10_NAPLO'!$J$7:$J$806)</f>
        <v>0</v>
      </c>
      <c r="J19" s="37">
        <f t="shared" si="3"/>
        <v>0</v>
      </c>
      <c r="K19" s="37">
        <f t="shared" si="4"/>
        <v>0</v>
      </c>
    </row>
    <row r="20" spans="2:11" ht="15" customHeight="1" x14ac:dyDescent="0.3">
      <c r="B20" s="29" t="s">
        <v>43</v>
      </c>
      <c r="C20" s="29" t="s">
        <v>218</v>
      </c>
      <c r="D20" s="29" t="s">
        <v>97</v>
      </c>
      <c r="E20" s="29" t="s">
        <v>32</v>
      </c>
      <c r="F20" s="7" t="str">
        <f>INDEX('90_SEMA'!$G$7:$H$183,14,NYELV_IDX)</f>
        <v>4. Tenyészállatok</v>
      </c>
      <c r="G20" s="37">
        <f>SUMPRODUCT('03_ADATBEVITEL'!$E20:$X20,'03_ADATBEVITEL'!$E$4:$X$4,'03_ADATBEVITEL'!$E$2:$X$2)</f>
        <v>0</v>
      </c>
      <c r="H20" s="37">
        <f>SUMIF('10_NAPLO'!$G$7:$G$806,$B20,'10_NAPLO'!$I$7:$I$806)</f>
        <v>0</v>
      </c>
      <c r="I20" s="37">
        <f>SUMIF('10_NAPLO'!$G$7:$G$806,$B20,'10_NAPLO'!$J$7:$J$806)</f>
        <v>0</v>
      </c>
      <c r="J20" s="37">
        <f t="shared" si="3"/>
        <v>0</v>
      </c>
      <c r="K20" s="37">
        <f t="shared" si="4"/>
        <v>0</v>
      </c>
    </row>
    <row r="21" spans="2:11" ht="15" customHeight="1" x14ac:dyDescent="0.3">
      <c r="B21" s="29" t="s">
        <v>44</v>
      </c>
      <c r="C21" s="29" t="s">
        <v>218</v>
      </c>
      <c r="D21" s="29" t="s">
        <v>97</v>
      </c>
      <c r="E21" s="29" t="s">
        <v>32</v>
      </c>
      <c r="F21" s="7" t="str">
        <f>INDEX('90_SEMA'!$G$7:$H$183,15,NYELV_IDX)</f>
        <v>5. Beruházások, felújítások</v>
      </c>
      <c r="G21" s="37">
        <f>SUMPRODUCT('03_ADATBEVITEL'!$E21:$X21,'03_ADATBEVITEL'!$E$4:$X$4,'03_ADATBEVITEL'!$E$2:$X$2)</f>
        <v>0</v>
      </c>
      <c r="H21" s="37">
        <f>SUMIF('10_NAPLO'!$G$7:$G$806,$B21,'10_NAPLO'!$I$7:$I$806)</f>
        <v>0</v>
      </c>
      <c r="I21" s="37">
        <f>SUMIF('10_NAPLO'!$G$7:$G$806,$B21,'10_NAPLO'!$J$7:$J$806)</f>
        <v>0</v>
      </c>
      <c r="J21" s="37">
        <f t="shared" si="3"/>
        <v>0</v>
      </c>
      <c r="K21" s="37">
        <f t="shared" si="4"/>
        <v>0</v>
      </c>
    </row>
    <row r="22" spans="2:11" ht="15" customHeight="1" x14ac:dyDescent="0.3">
      <c r="B22" s="29" t="s">
        <v>45</v>
      </c>
      <c r="C22" s="29" t="s">
        <v>218</v>
      </c>
      <c r="D22" s="29" t="s">
        <v>97</v>
      </c>
      <c r="E22" s="29" t="s">
        <v>32</v>
      </c>
      <c r="F22" s="7" t="str">
        <f>INDEX('90_SEMA'!$G$7:$H$183,16,NYELV_IDX)</f>
        <v>6. Beruházásokra adott előlegek</v>
      </c>
      <c r="G22" s="37">
        <f>SUMPRODUCT('03_ADATBEVITEL'!$E22:$X22,'03_ADATBEVITEL'!$E$4:$X$4,'03_ADATBEVITEL'!$E$2:$X$2)</f>
        <v>0</v>
      </c>
      <c r="H22" s="37">
        <f>SUMIF('10_NAPLO'!$G$7:$G$806,$B22,'10_NAPLO'!$I$7:$I$806)</f>
        <v>0</v>
      </c>
      <c r="I22" s="37">
        <f>SUMIF('10_NAPLO'!$G$7:$G$806,$B22,'10_NAPLO'!$J$7:$J$806)</f>
        <v>0</v>
      </c>
      <c r="J22" s="37">
        <f t="shared" si="3"/>
        <v>0</v>
      </c>
      <c r="K22" s="37">
        <f t="shared" si="4"/>
        <v>0</v>
      </c>
    </row>
    <row r="23" spans="2:11" ht="15" customHeight="1" x14ac:dyDescent="0.3">
      <c r="B23" s="29" t="s">
        <v>46</v>
      </c>
      <c r="C23" s="29" t="s">
        <v>218</v>
      </c>
      <c r="D23" s="29" t="s">
        <v>97</v>
      </c>
      <c r="E23" s="29" t="s">
        <v>32</v>
      </c>
      <c r="F23" s="7" t="str">
        <f>INDEX('90_SEMA'!$G$7:$H$183,17,NYELV_IDX)</f>
        <v>7. Tárgyi eszközök értékhelyesbítése</v>
      </c>
      <c r="G23" s="37">
        <f>SUMPRODUCT('03_ADATBEVITEL'!$E23:$X23,'03_ADATBEVITEL'!$E$4:$X$4,'03_ADATBEVITEL'!$E$2:$X$2)</f>
        <v>0</v>
      </c>
      <c r="H23" s="37">
        <f>SUMIF('10_NAPLO'!$G$7:$G$806,$B23,'10_NAPLO'!$I$7:$I$806)</f>
        <v>0</v>
      </c>
      <c r="I23" s="37">
        <f>SUMIF('10_NAPLO'!$G$7:$G$806,$B23,'10_NAPLO'!$J$7:$J$806)</f>
        <v>0</v>
      </c>
      <c r="J23" s="37">
        <f t="shared" si="3"/>
        <v>0</v>
      </c>
      <c r="K23" s="37">
        <f t="shared" si="4"/>
        <v>0</v>
      </c>
    </row>
    <row r="24" spans="2:11" ht="15" customHeight="1" x14ac:dyDescent="0.3">
      <c r="B24" s="29" t="s">
        <v>47</v>
      </c>
      <c r="C24" s="29" t="s">
        <v>218</v>
      </c>
      <c r="D24" s="29" t="s">
        <v>97</v>
      </c>
      <c r="E24" s="29" t="s">
        <v>29</v>
      </c>
      <c r="F24" s="32" t="str">
        <f>INDEX('90_SEMA'!$G$7:$H$183,18,NYELV_IDX)</f>
        <v>III. BEFEKTETETT PÉNZÜGYI ESZKÖZÖK</v>
      </c>
      <c r="G24" s="31">
        <f>SUMIFS(G$7:G$183,$B$7:$B$183,$B24&amp;".*",$E$7:$E$183,"D")</f>
        <v>0</v>
      </c>
      <c r="H24" s="31">
        <f>SUMIFS(H$7:H$183,$B$7:$B$183,$B24&amp;".*",$E$7:$E$183,"D")</f>
        <v>0</v>
      </c>
      <c r="I24" s="31">
        <f>SUMIFS(I$7:I$183,$B$7:$B$183,$B24&amp;".*",$E$7:$E$183,"D")</f>
        <v>0</v>
      </c>
      <c r="J24" s="31">
        <f>SUMIFS(J$7:J$183,$B$7:$B$183,$B24&amp;".*",$E$7:$E$183,"D")</f>
        <v>0</v>
      </c>
      <c r="K24" s="31">
        <f>SUMIFS(K$7:K$183,$B$7:$B$183,$B24&amp;".*",$E$7:$E$183,"D")</f>
        <v>0</v>
      </c>
    </row>
    <row r="25" spans="2:11" ht="15" customHeight="1" x14ac:dyDescent="0.3">
      <c r="B25" s="29" t="s">
        <v>48</v>
      </c>
      <c r="C25" s="29" t="s">
        <v>218</v>
      </c>
      <c r="D25" s="29" t="s">
        <v>97</v>
      </c>
      <c r="E25" s="29" t="s">
        <v>32</v>
      </c>
      <c r="F25" s="7" t="str">
        <f>INDEX('90_SEMA'!$G$7:$H$183,19,NYELV_IDX)</f>
        <v>1. Tartós részesedés kapcsolt vállalkozásban</v>
      </c>
      <c r="G25" s="37">
        <f>SUMPRODUCT('03_ADATBEVITEL'!$E25:$X25,'03_ADATBEVITEL'!$E$4:$X$4,'03_ADATBEVITEL'!$E$2:$X$2)</f>
        <v>0</v>
      </c>
      <c r="H25" s="37">
        <f>SUMIF('10_NAPLO'!$G$7:$G$806,$B25,'10_NAPLO'!$I$7:$I$806)</f>
        <v>0</v>
      </c>
      <c r="I25" s="37">
        <f>SUMIF('10_NAPLO'!$G$7:$G$806,$B25,'10_NAPLO'!$J$7:$J$806)</f>
        <v>0</v>
      </c>
      <c r="J25" s="37">
        <f t="shared" ref="J25:J34" si="5">IF($D25="T",$H25-$I25,$I25-$H25)</f>
        <v>0</v>
      </c>
      <c r="K25" s="37">
        <f t="shared" ref="K25:K34" si="6">$G25+$J25</f>
        <v>0</v>
      </c>
    </row>
    <row r="26" spans="2:11" ht="15" customHeight="1" x14ac:dyDescent="0.3">
      <c r="B26" s="29" t="s">
        <v>49</v>
      </c>
      <c r="C26" s="29" t="s">
        <v>218</v>
      </c>
      <c r="D26" s="29" t="s">
        <v>97</v>
      </c>
      <c r="E26" s="29" t="s">
        <v>32</v>
      </c>
      <c r="F26" s="7" t="str">
        <f>INDEX('90_SEMA'!$G$7:$H$183,20,NYELV_IDX)</f>
        <v>2. Tartósan adott kölcsön kapcsolt vállalkozásban</v>
      </c>
      <c r="G26" s="37">
        <f>SUMPRODUCT('03_ADATBEVITEL'!$E26:$X26,'03_ADATBEVITEL'!$E$4:$X$4,'03_ADATBEVITEL'!$E$2:$X$2)</f>
        <v>0</v>
      </c>
      <c r="H26" s="37">
        <f>SUMIF('10_NAPLO'!$G$7:$G$806,$B26,'10_NAPLO'!$I$7:$I$806)</f>
        <v>0</v>
      </c>
      <c r="I26" s="37">
        <f>SUMIF('10_NAPLO'!$G$7:$G$806,$B26,'10_NAPLO'!$J$7:$J$806)</f>
        <v>0</v>
      </c>
      <c r="J26" s="37">
        <f t="shared" si="5"/>
        <v>0</v>
      </c>
      <c r="K26" s="37">
        <f t="shared" si="6"/>
        <v>0</v>
      </c>
    </row>
    <row r="27" spans="2:11" ht="15" customHeight="1" x14ac:dyDescent="0.3">
      <c r="B27" s="29" t="s">
        <v>50</v>
      </c>
      <c r="C27" s="29" t="s">
        <v>218</v>
      </c>
      <c r="D27" s="29" t="s">
        <v>97</v>
      </c>
      <c r="E27" s="29" t="s">
        <v>32</v>
      </c>
      <c r="F27" s="7" t="str">
        <f>INDEX('90_SEMA'!$G$7:$H$183,21,NYELV_IDX)</f>
        <v>3. Tartós jelentős tulajdoni részesedés</v>
      </c>
      <c r="G27" s="37">
        <f>SUMPRODUCT('03_ADATBEVITEL'!$E27:$X27,'03_ADATBEVITEL'!$E$4:$X$4,'03_ADATBEVITEL'!$E$2:$X$2)</f>
        <v>0</v>
      </c>
      <c r="H27" s="37">
        <f>SUMIF('10_NAPLO'!$G$7:$G$806,$B27,'10_NAPLO'!$I$7:$I$806)</f>
        <v>0</v>
      </c>
      <c r="I27" s="37">
        <f>SUMIF('10_NAPLO'!$G$7:$G$806,$B27,'10_NAPLO'!$J$7:$J$806)</f>
        <v>0</v>
      </c>
      <c r="J27" s="37">
        <f t="shared" si="5"/>
        <v>0</v>
      </c>
      <c r="K27" s="37">
        <f t="shared" si="6"/>
        <v>0</v>
      </c>
    </row>
    <row r="28" spans="2:11" ht="15" customHeight="1" x14ac:dyDescent="0.3">
      <c r="B28" s="29" t="s">
        <v>51</v>
      </c>
      <c r="C28" s="29" t="s">
        <v>218</v>
      </c>
      <c r="D28" s="29" t="s">
        <v>97</v>
      </c>
      <c r="E28" s="29" t="s">
        <v>32</v>
      </c>
      <c r="F28" s="7" t="str">
        <f>INDEX('90_SEMA'!$G$7:$H$183,22,NYELV_IDX)</f>
        <v>4. Tartósan adott kölcsön jelentős tulajdoni részesedési viszonyban álló vállalkozásban</v>
      </c>
      <c r="G28" s="37">
        <f>SUMPRODUCT('03_ADATBEVITEL'!$E28:$X28,'03_ADATBEVITEL'!$E$4:$X$4,'03_ADATBEVITEL'!$E$2:$X$2)</f>
        <v>0</v>
      </c>
      <c r="H28" s="37">
        <f>SUMIF('10_NAPLO'!$G$7:$G$806,$B28,'10_NAPLO'!$I$7:$I$806)</f>
        <v>0</v>
      </c>
      <c r="I28" s="37">
        <f>SUMIF('10_NAPLO'!$G$7:$G$806,$B28,'10_NAPLO'!$J$7:$J$806)</f>
        <v>0</v>
      </c>
      <c r="J28" s="37">
        <f t="shared" si="5"/>
        <v>0</v>
      </c>
      <c r="K28" s="37">
        <f t="shared" si="6"/>
        <v>0</v>
      </c>
    </row>
    <row r="29" spans="2:11" ht="15" customHeight="1" x14ac:dyDescent="0.3">
      <c r="B29" s="29" t="s">
        <v>52</v>
      </c>
      <c r="C29" s="29" t="s">
        <v>218</v>
      </c>
      <c r="D29" s="29" t="s">
        <v>97</v>
      </c>
      <c r="E29" s="29" t="s">
        <v>32</v>
      </c>
      <c r="F29" s="7" t="str">
        <f>INDEX('90_SEMA'!$G$7:$H$183,23,NYELV_IDX)</f>
        <v>5. Egyéb tartós részesedés</v>
      </c>
      <c r="G29" s="37">
        <f>SUMPRODUCT('03_ADATBEVITEL'!$E29:$X29,'03_ADATBEVITEL'!$E$4:$X$4,'03_ADATBEVITEL'!$E$2:$X$2)</f>
        <v>0</v>
      </c>
      <c r="H29" s="37">
        <f>SUMIF('10_NAPLO'!$G$7:$G$806,$B29,'10_NAPLO'!$I$7:$I$806)</f>
        <v>0</v>
      </c>
      <c r="I29" s="37">
        <f>SUMIF('10_NAPLO'!$G$7:$G$806,$B29,'10_NAPLO'!$J$7:$J$806)</f>
        <v>0</v>
      </c>
      <c r="J29" s="37">
        <f t="shared" si="5"/>
        <v>0</v>
      </c>
      <c r="K29" s="37">
        <f t="shared" si="6"/>
        <v>0</v>
      </c>
    </row>
    <row r="30" spans="2:11" ht="15" customHeight="1" x14ac:dyDescent="0.3">
      <c r="B30" s="29" t="s">
        <v>53</v>
      </c>
      <c r="C30" s="29" t="s">
        <v>218</v>
      </c>
      <c r="D30" s="29" t="s">
        <v>97</v>
      </c>
      <c r="E30" s="29" t="s">
        <v>32</v>
      </c>
      <c r="F30" s="7" t="str">
        <f>INDEX('90_SEMA'!$G$7:$H$183,24,NYELV_IDX)</f>
        <v>6. Tartósan adott kölcsön egyéb részesedési viszonyban álló vállalkozásban</v>
      </c>
      <c r="G30" s="37">
        <f>SUMPRODUCT('03_ADATBEVITEL'!$E30:$X30,'03_ADATBEVITEL'!$E$4:$X$4,'03_ADATBEVITEL'!$E$2:$X$2)</f>
        <v>0</v>
      </c>
      <c r="H30" s="37">
        <f>SUMIF('10_NAPLO'!$G$7:$G$806,$B30,'10_NAPLO'!$I$7:$I$806)</f>
        <v>0</v>
      </c>
      <c r="I30" s="37">
        <f>SUMIF('10_NAPLO'!$G$7:$G$806,$B30,'10_NAPLO'!$J$7:$J$806)</f>
        <v>0</v>
      </c>
      <c r="J30" s="37">
        <f t="shared" si="5"/>
        <v>0</v>
      </c>
      <c r="K30" s="37">
        <f t="shared" si="6"/>
        <v>0</v>
      </c>
    </row>
    <row r="31" spans="2:11" ht="15" customHeight="1" x14ac:dyDescent="0.3">
      <c r="B31" s="29" t="s">
        <v>54</v>
      </c>
      <c r="C31" s="29" t="s">
        <v>218</v>
      </c>
      <c r="D31" s="29" t="s">
        <v>97</v>
      </c>
      <c r="E31" s="29" t="s">
        <v>32</v>
      </c>
      <c r="F31" s="7" t="str">
        <f>INDEX('90_SEMA'!$G$7:$H$183,25,NYELV_IDX)</f>
        <v>7. Egyéb tartósan adott kölcsön</v>
      </c>
      <c r="G31" s="37">
        <f>SUMPRODUCT('03_ADATBEVITEL'!$E31:$X31,'03_ADATBEVITEL'!$E$4:$X$4,'03_ADATBEVITEL'!$E$2:$X$2)</f>
        <v>0</v>
      </c>
      <c r="H31" s="37">
        <f>SUMIF('10_NAPLO'!$G$7:$G$806,$B31,'10_NAPLO'!$I$7:$I$806)</f>
        <v>0</v>
      </c>
      <c r="I31" s="37">
        <f>SUMIF('10_NAPLO'!$G$7:$G$806,$B31,'10_NAPLO'!$J$7:$J$806)</f>
        <v>0</v>
      </c>
      <c r="J31" s="37">
        <f t="shared" si="5"/>
        <v>0</v>
      </c>
      <c r="K31" s="37">
        <f t="shared" si="6"/>
        <v>0</v>
      </c>
    </row>
    <row r="32" spans="2:11" ht="15" customHeight="1" x14ac:dyDescent="0.3">
      <c r="B32" s="29" t="s">
        <v>55</v>
      </c>
      <c r="C32" s="29" t="s">
        <v>218</v>
      </c>
      <c r="D32" s="29" t="s">
        <v>97</v>
      </c>
      <c r="E32" s="29" t="s">
        <v>32</v>
      </c>
      <c r="F32" s="7" t="str">
        <f>INDEX('90_SEMA'!$G$7:$H$183,26,NYELV_IDX)</f>
        <v>8. Tartós hitelviszonyt megtestesítő értékpapír</v>
      </c>
      <c r="G32" s="37">
        <f>SUMPRODUCT('03_ADATBEVITEL'!$E32:$X32,'03_ADATBEVITEL'!$E$4:$X$4,'03_ADATBEVITEL'!$E$2:$X$2)</f>
        <v>0</v>
      </c>
      <c r="H32" s="37">
        <f>SUMIF('10_NAPLO'!$G$7:$G$806,$B32,'10_NAPLO'!$I$7:$I$806)</f>
        <v>0</v>
      </c>
      <c r="I32" s="37">
        <f>SUMIF('10_NAPLO'!$G$7:$G$806,$B32,'10_NAPLO'!$J$7:$J$806)</f>
        <v>0</v>
      </c>
      <c r="J32" s="37">
        <f t="shared" si="5"/>
        <v>0</v>
      </c>
      <c r="K32" s="37">
        <f t="shared" si="6"/>
        <v>0</v>
      </c>
    </row>
    <row r="33" spans="2:11" ht="15" customHeight="1" x14ac:dyDescent="0.3">
      <c r="B33" s="29" t="s">
        <v>56</v>
      </c>
      <c r="C33" s="29" t="s">
        <v>218</v>
      </c>
      <c r="D33" s="29" t="s">
        <v>97</v>
      </c>
      <c r="E33" s="29" t="s">
        <v>32</v>
      </c>
      <c r="F33" s="7" t="str">
        <f>INDEX('90_SEMA'!$G$7:$H$183,27,NYELV_IDX)</f>
        <v>9. Befektetett pénzügyi eszközök értékhelyesbítése</v>
      </c>
      <c r="G33" s="37">
        <f>SUMPRODUCT('03_ADATBEVITEL'!$E33:$X33,'03_ADATBEVITEL'!$E$4:$X$4,'03_ADATBEVITEL'!$E$2:$X$2)</f>
        <v>0</v>
      </c>
      <c r="H33" s="37">
        <f>SUMIF('10_NAPLO'!$G$7:$G$806,$B33,'10_NAPLO'!$I$7:$I$806)</f>
        <v>0</v>
      </c>
      <c r="I33" s="37">
        <f>SUMIF('10_NAPLO'!$G$7:$G$806,$B33,'10_NAPLO'!$J$7:$J$806)</f>
        <v>0</v>
      </c>
      <c r="J33" s="37">
        <f t="shared" si="5"/>
        <v>0</v>
      </c>
      <c r="K33" s="37">
        <f t="shared" si="6"/>
        <v>0</v>
      </c>
    </row>
    <row r="34" spans="2:11" ht="15" customHeight="1" x14ac:dyDescent="0.3">
      <c r="B34" s="29" t="s">
        <v>57</v>
      </c>
      <c r="C34" s="29" t="s">
        <v>218</v>
      </c>
      <c r="D34" s="29" t="s">
        <v>97</v>
      </c>
      <c r="E34" s="29" t="s">
        <v>32</v>
      </c>
      <c r="F34" s="7" t="str">
        <f>INDEX('90_SEMA'!$G$7:$H$183,28,NYELV_IDX)</f>
        <v>10. Befektetett pénzügyi eszközök értékelési különbözete</v>
      </c>
      <c r="G34" s="37">
        <f>SUMPRODUCT('03_ADATBEVITEL'!$E34:$X34,'03_ADATBEVITEL'!$E$4:$X$4,'03_ADATBEVITEL'!$E$2:$X$2)</f>
        <v>0</v>
      </c>
      <c r="H34" s="37">
        <f>SUMIF('10_NAPLO'!$G$7:$G$806,$B34,'10_NAPLO'!$I$7:$I$806)</f>
        <v>0</v>
      </c>
      <c r="I34" s="37">
        <f>SUMIF('10_NAPLO'!$G$7:$G$806,$B34,'10_NAPLO'!$J$7:$J$806)</f>
        <v>0</v>
      </c>
      <c r="J34" s="37">
        <f t="shared" si="5"/>
        <v>0</v>
      </c>
      <c r="K34" s="37">
        <f t="shared" si="6"/>
        <v>0</v>
      </c>
    </row>
    <row r="35" spans="2:11" ht="15" customHeight="1" x14ac:dyDescent="0.3">
      <c r="B35" s="29" t="s">
        <v>58</v>
      </c>
      <c r="C35" s="29" t="s">
        <v>218</v>
      </c>
      <c r="D35" s="29" t="s">
        <v>97</v>
      </c>
      <c r="E35" s="29" t="s">
        <v>29</v>
      </c>
      <c r="F35" s="7" t="str">
        <f>INDEX('90_SEMA'!$G$7:$H$183,29,NYELV_IDX)</f>
        <v>11. Tőkekonszolidációs különbözet</v>
      </c>
      <c r="G35" s="31">
        <f>SUMIFS(G$7:G$183,$B$7:$B$183,$B35&amp;".*",$E$7:$E$183,"D")</f>
        <v>0</v>
      </c>
      <c r="H35" s="31">
        <f>SUMIFS(H$7:H$183,$B$7:$B$183,$B35&amp;".*",$E$7:$E$183,"D")</f>
        <v>0</v>
      </c>
      <c r="I35" s="31">
        <f>SUMIFS(I$7:I$183,$B$7:$B$183,$B35&amp;".*",$E$7:$E$183,"D")</f>
        <v>0</v>
      </c>
      <c r="J35" s="31">
        <f>SUMIFS(J$7:J$183,$B$7:$B$183,$B35&amp;".*",$E$7:$E$183,"D")</f>
        <v>0</v>
      </c>
      <c r="K35" s="31">
        <f>SUMIFS(K$7:K$183,$B$7:$B$183,$B35&amp;".*",$E$7:$E$183,"D")</f>
        <v>0</v>
      </c>
    </row>
    <row r="36" spans="2:11" ht="15" customHeight="1" x14ac:dyDescent="0.3">
      <c r="B36" s="29" t="s">
        <v>59</v>
      </c>
      <c r="C36" s="29" t="s">
        <v>218</v>
      </c>
      <c r="D36" s="29" t="s">
        <v>97</v>
      </c>
      <c r="E36" s="29" t="s">
        <v>32</v>
      </c>
      <c r="F36" s="7" t="str">
        <f>INDEX('90_SEMA'!$G$7:$H$183,30,NYELV_IDX)</f>
        <v xml:space="preserve">     – leányvállalatokból</v>
      </c>
      <c r="G36" s="37">
        <f>SUMPRODUCT('03_ADATBEVITEL'!$E36:$X36,'03_ADATBEVITEL'!$E$4:$X$4,'03_ADATBEVITEL'!$E$2:$X$2)</f>
        <v>0</v>
      </c>
      <c r="H36" s="37">
        <f>SUMIF('10_NAPLO'!$G$7:$G$806,$B36,'10_NAPLO'!$I$7:$I$806)</f>
        <v>0</v>
      </c>
      <c r="I36" s="37">
        <f>SUMIF('10_NAPLO'!$G$7:$G$806,$B36,'10_NAPLO'!$J$7:$J$806)</f>
        <v>0</v>
      </c>
      <c r="J36" s="37">
        <f>IF($D36="T",$H36-$I36,$I36-$H36)</f>
        <v>0</v>
      </c>
      <c r="K36" s="37">
        <f>$G36+$J36</f>
        <v>0</v>
      </c>
    </row>
    <row r="37" spans="2:11" ht="15" customHeight="1" x14ac:dyDescent="0.3">
      <c r="B37" s="29" t="s">
        <v>60</v>
      </c>
      <c r="C37" s="29" t="s">
        <v>218</v>
      </c>
      <c r="D37" s="29" t="s">
        <v>97</v>
      </c>
      <c r="E37" s="29" t="s">
        <v>32</v>
      </c>
      <c r="F37" s="7" t="str">
        <f>INDEX('90_SEMA'!$G$7:$H$183,31,NYELV_IDX)</f>
        <v xml:space="preserve">     – társult vállalkozásokból</v>
      </c>
      <c r="G37" s="37">
        <f>SUMPRODUCT('03_ADATBEVITEL'!$E37:$X37,'03_ADATBEVITEL'!$E$4:$X$4,'03_ADATBEVITEL'!$E$2:$X$2)</f>
        <v>0</v>
      </c>
      <c r="H37" s="37">
        <f>SUMIF('10_NAPLO'!$G$7:$G$806,$B37,'10_NAPLO'!$I$7:$I$806)</f>
        <v>0</v>
      </c>
      <c r="I37" s="37">
        <f>SUMIF('10_NAPLO'!$G$7:$G$806,$B37,'10_NAPLO'!$J$7:$J$806)</f>
        <v>0</v>
      </c>
      <c r="J37" s="37">
        <f>IF($D37="T",$H37-$I37,$I37-$H37)</f>
        <v>0</v>
      </c>
      <c r="K37" s="37">
        <f>$G37+$J37</f>
        <v>0</v>
      </c>
    </row>
    <row r="38" spans="2:11" ht="15" customHeight="1" x14ac:dyDescent="0.3">
      <c r="B38" s="29" t="s">
        <v>61</v>
      </c>
      <c r="C38" s="29" t="s">
        <v>218</v>
      </c>
      <c r="D38" s="29" t="s">
        <v>97</v>
      </c>
      <c r="E38" s="29" t="s">
        <v>32</v>
      </c>
      <c r="F38" s="32" t="str">
        <f>INDEX('90_SEMA'!$G$7:$H$183,32,NYELV_IDX)</f>
        <v>IV. HALASZTOTT ADÓKÖVETELÉS</v>
      </c>
      <c r="G38" s="37">
        <f>SUMPRODUCT('03_ADATBEVITEL'!$E38:$X38,'03_ADATBEVITEL'!$E$4:$X$4,'03_ADATBEVITEL'!$E$2:$X$2)</f>
        <v>0</v>
      </c>
      <c r="H38" s="37">
        <f>SUMIF('10_NAPLO'!$G$7:$G$806,$B38,'10_NAPLO'!$I$7:$I$806)</f>
        <v>0</v>
      </c>
      <c r="I38" s="37">
        <f>SUMIF('10_NAPLO'!$G$7:$G$806,$B38,'10_NAPLO'!$J$7:$J$806)</f>
        <v>0</v>
      </c>
      <c r="J38" s="37">
        <f>IF($D38="T",$H38-$I38,$I38-$H38)</f>
        <v>0</v>
      </c>
      <c r="K38" s="37">
        <f>$G38+$J38</f>
        <v>0</v>
      </c>
    </row>
    <row r="39" spans="2:11" ht="15" customHeight="1" x14ac:dyDescent="0.3">
      <c r="B39" s="29" t="s">
        <v>62</v>
      </c>
      <c r="C39" s="29" t="s">
        <v>218</v>
      </c>
      <c r="D39" s="29" t="s">
        <v>97</v>
      </c>
      <c r="E39" s="29" t="s">
        <v>29</v>
      </c>
      <c r="F39" s="30" t="str">
        <f>INDEX('90_SEMA'!$G$7:$H$183,33,NYELV_IDX)</f>
        <v>B. Forgóeszközök</v>
      </c>
      <c r="G39" s="31">
        <f t="shared" ref="G39:K40" si="7">SUMIFS(G$7:G$183,$B$7:$B$183,$B39&amp;".*",$E$7:$E$183,"D")</f>
        <v>0</v>
      </c>
      <c r="H39" s="31">
        <f t="shared" si="7"/>
        <v>0</v>
      </c>
      <c r="I39" s="31">
        <f t="shared" si="7"/>
        <v>0</v>
      </c>
      <c r="J39" s="31">
        <f t="shared" si="7"/>
        <v>0</v>
      </c>
      <c r="K39" s="31">
        <f t="shared" si="7"/>
        <v>0</v>
      </c>
    </row>
    <row r="40" spans="2:11" ht="15" customHeight="1" x14ac:dyDescent="0.3">
      <c r="B40" s="29" t="s">
        <v>63</v>
      </c>
      <c r="C40" s="29" t="s">
        <v>218</v>
      </c>
      <c r="D40" s="29" t="s">
        <v>97</v>
      </c>
      <c r="E40" s="29" t="s">
        <v>29</v>
      </c>
      <c r="F40" s="32" t="str">
        <f>INDEX('90_SEMA'!$G$7:$H$183,34,NYELV_IDX)</f>
        <v>I. KÉSZLETEK</v>
      </c>
      <c r="G40" s="31">
        <f t="shared" si="7"/>
        <v>0</v>
      </c>
      <c r="H40" s="31">
        <f t="shared" si="7"/>
        <v>0</v>
      </c>
      <c r="I40" s="31">
        <f t="shared" si="7"/>
        <v>0</v>
      </c>
      <c r="J40" s="31">
        <f t="shared" si="7"/>
        <v>0</v>
      </c>
      <c r="K40" s="31">
        <f t="shared" si="7"/>
        <v>0</v>
      </c>
    </row>
    <row r="41" spans="2:11" ht="15" customHeight="1" x14ac:dyDescent="0.3">
      <c r="B41" s="29" t="s">
        <v>64</v>
      </c>
      <c r="C41" s="29" t="s">
        <v>218</v>
      </c>
      <c r="D41" s="29" t="s">
        <v>97</v>
      </c>
      <c r="E41" s="29" t="s">
        <v>32</v>
      </c>
      <c r="F41" s="7" t="str">
        <f>INDEX('90_SEMA'!$G$7:$H$183,35,NYELV_IDX)</f>
        <v>1. Anyagok</v>
      </c>
      <c r="G41" s="37">
        <f>SUMPRODUCT('03_ADATBEVITEL'!$E41:$X41,'03_ADATBEVITEL'!$E$4:$X$4,'03_ADATBEVITEL'!$E$2:$X$2)</f>
        <v>0</v>
      </c>
      <c r="H41" s="37">
        <f>SUMIF('10_NAPLO'!$G$7:$G$806,$B41,'10_NAPLO'!$I$7:$I$806)</f>
        <v>0</v>
      </c>
      <c r="I41" s="37">
        <f>SUMIF('10_NAPLO'!$G$7:$G$806,$B41,'10_NAPLO'!$J$7:$J$806)</f>
        <v>0</v>
      </c>
      <c r="J41" s="37">
        <f t="shared" ref="J41:J46" si="8">IF($D41="T",$H41-$I41,$I41-$H41)</f>
        <v>0</v>
      </c>
      <c r="K41" s="37">
        <f t="shared" ref="K41:K46" si="9">$G41+$J41</f>
        <v>0</v>
      </c>
    </row>
    <row r="42" spans="2:11" ht="15" customHeight="1" x14ac:dyDescent="0.3">
      <c r="B42" s="29" t="s">
        <v>65</v>
      </c>
      <c r="C42" s="29" t="s">
        <v>218</v>
      </c>
      <c r="D42" s="29" t="s">
        <v>97</v>
      </c>
      <c r="E42" s="29" t="s">
        <v>32</v>
      </c>
      <c r="F42" s="7" t="str">
        <f>INDEX('90_SEMA'!$G$7:$H$183,36,NYELV_IDX)</f>
        <v>2. Befejezetlen termelés és félkész termékek</v>
      </c>
      <c r="G42" s="37">
        <f>SUMPRODUCT('03_ADATBEVITEL'!$E42:$X42,'03_ADATBEVITEL'!$E$4:$X$4,'03_ADATBEVITEL'!$E$2:$X$2)</f>
        <v>0</v>
      </c>
      <c r="H42" s="37">
        <f>SUMIF('10_NAPLO'!$G$7:$G$806,$B42,'10_NAPLO'!$I$7:$I$806)</f>
        <v>0</v>
      </c>
      <c r="I42" s="37">
        <f>SUMIF('10_NAPLO'!$G$7:$G$806,$B42,'10_NAPLO'!$J$7:$J$806)</f>
        <v>0</v>
      </c>
      <c r="J42" s="37">
        <f t="shared" si="8"/>
        <v>0</v>
      </c>
      <c r="K42" s="37">
        <f t="shared" si="9"/>
        <v>0</v>
      </c>
    </row>
    <row r="43" spans="2:11" ht="15" customHeight="1" x14ac:dyDescent="0.3">
      <c r="B43" s="29" t="s">
        <v>66</v>
      </c>
      <c r="C43" s="29" t="s">
        <v>218</v>
      </c>
      <c r="D43" s="29" t="s">
        <v>97</v>
      </c>
      <c r="E43" s="29" t="s">
        <v>32</v>
      </c>
      <c r="F43" s="7" t="str">
        <f>INDEX('90_SEMA'!$G$7:$H$183,37,NYELV_IDX)</f>
        <v>3. Növendék-, hízó- és egyéb állatok</v>
      </c>
      <c r="G43" s="37">
        <f>SUMPRODUCT('03_ADATBEVITEL'!$E43:$X43,'03_ADATBEVITEL'!$E$4:$X$4,'03_ADATBEVITEL'!$E$2:$X$2)</f>
        <v>0</v>
      </c>
      <c r="H43" s="37">
        <f>SUMIF('10_NAPLO'!$G$7:$G$806,$B43,'10_NAPLO'!$I$7:$I$806)</f>
        <v>0</v>
      </c>
      <c r="I43" s="37">
        <f>SUMIF('10_NAPLO'!$G$7:$G$806,$B43,'10_NAPLO'!$J$7:$J$806)</f>
        <v>0</v>
      </c>
      <c r="J43" s="37">
        <f t="shared" si="8"/>
        <v>0</v>
      </c>
      <c r="K43" s="37">
        <f t="shared" si="9"/>
        <v>0</v>
      </c>
    </row>
    <row r="44" spans="2:11" ht="15" customHeight="1" x14ac:dyDescent="0.3">
      <c r="B44" s="29" t="s">
        <v>67</v>
      </c>
      <c r="C44" s="29" t="s">
        <v>218</v>
      </c>
      <c r="D44" s="29" t="s">
        <v>97</v>
      </c>
      <c r="E44" s="29" t="s">
        <v>32</v>
      </c>
      <c r="F44" s="7" t="str">
        <f>INDEX('90_SEMA'!$G$7:$H$183,38,NYELV_IDX)</f>
        <v>4. Késztermékek</v>
      </c>
      <c r="G44" s="37">
        <f>SUMPRODUCT('03_ADATBEVITEL'!$E44:$X44,'03_ADATBEVITEL'!$E$4:$X$4,'03_ADATBEVITEL'!$E$2:$X$2)</f>
        <v>0</v>
      </c>
      <c r="H44" s="37">
        <f>SUMIF('10_NAPLO'!$G$7:$G$806,$B44,'10_NAPLO'!$I$7:$I$806)</f>
        <v>0</v>
      </c>
      <c r="I44" s="37">
        <f>SUMIF('10_NAPLO'!$G$7:$G$806,$B44,'10_NAPLO'!$J$7:$J$806)</f>
        <v>0</v>
      </c>
      <c r="J44" s="37">
        <f t="shared" si="8"/>
        <v>0</v>
      </c>
      <c r="K44" s="37">
        <f t="shared" si="9"/>
        <v>0</v>
      </c>
    </row>
    <row r="45" spans="2:11" ht="15" customHeight="1" x14ac:dyDescent="0.3">
      <c r="B45" s="29" t="s">
        <v>68</v>
      </c>
      <c r="C45" s="29" t="s">
        <v>218</v>
      </c>
      <c r="D45" s="29" t="s">
        <v>97</v>
      </c>
      <c r="E45" s="29" t="s">
        <v>32</v>
      </c>
      <c r="F45" s="7" t="str">
        <f>INDEX('90_SEMA'!$G$7:$H$183,39,NYELV_IDX)</f>
        <v>5. Áruk</v>
      </c>
      <c r="G45" s="37">
        <f>SUMPRODUCT('03_ADATBEVITEL'!$E45:$X45,'03_ADATBEVITEL'!$E$4:$X$4,'03_ADATBEVITEL'!$E$2:$X$2)</f>
        <v>0</v>
      </c>
      <c r="H45" s="37">
        <f>SUMIF('10_NAPLO'!$G$7:$G$806,$B45,'10_NAPLO'!$I$7:$I$806)</f>
        <v>0</v>
      </c>
      <c r="I45" s="37">
        <f>SUMIF('10_NAPLO'!$G$7:$G$806,$B45,'10_NAPLO'!$J$7:$J$806)</f>
        <v>0</v>
      </c>
      <c r="J45" s="37">
        <f t="shared" si="8"/>
        <v>0</v>
      </c>
      <c r="K45" s="37">
        <f t="shared" si="9"/>
        <v>0</v>
      </c>
    </row>
    <row r="46" spans="2:11" ht="15" customHeight="1" x14ac:dyDescent="0.3">
      <c r="B46" s="29" t="s">
        <v>69</v>
      </c>
      <c r="C46" s="29" t="s">
        <v>218</v>
      </c>
      <c r="D46" s="29" t="s">
        <v>97</v>
      </c>
      <c r="E46" s="29" t="s">
        <v>32</v>
      </c>
      <c r="F46" s="7" t="str">
        <f>INDEX('90_SEMA'!$G$7:$H$183,40,NYELV_IDX)</f>
        <v>6. Készletekre adott előlegek</v>
      </c>
      <c r="G46" s="37">
        <f>SUMPRODUCT('03_ADATBEVITEL'!$E46:$X46,'03_ADATBEVITEL'!$E$4:$X$4,'03_ADATBEVITEL'!$E$2:$X$2)</f>
        <v>0</v>
      </c>
      <c r="H46" s="37">
        <f>SUMIF('10_NAPLO'!$G$7:$G$806,$B46,'10_NAPLO'!$I$7:$I$806)</f>
        <v>0</v>
      </c>
      <c r="I46" s="37">
        <f>SUMIF('10_NAPLO'!$G$7:$G$806,$B46,'10_NAPLO'!$J$7:$J$806)</f>
        <v>0</v>
      </c>
      <c r="J46" s="37">
        <f t="shared" si="8"/>
        <v>0</v>
      </c>
      <c r="K46" s="37">
        <f t="shared" si="9"/>
        <v>0</v>
      </c>
    </row>
    <row r="47" spans="2:11" ht="15" customHeight="1" x14ac:dyDescent="0.3">
      <c r="B47" s="29" t="s">
        <v>70</v>
      </c>
      <c r="C47" s="29" t="s">
        <v>218</v>
      </c>
      <c r="D47" s="29" t="s">
        <v>97</v>
      </c>
      <c r="E47" s="29" t="s">
        <v>29</v>
      </c>
      <c r="F47" s="32" t="str">
        <f>INDEX('90_SEMA'!$G$7:$H$183,41,NYELV_IDX)</f>
        <v>II. KÖVETELÉSEK</v>
      </c>
      <c r="G47" s="31">
        <f>SUMIFS(G$7:G$183,$B$7:$B$183,$B47&amp;".*",$E$7:$E$183,"D")</f>
        <v>0</v>
      </c>
      <c r="H47" s="31">
        <f>SUMIFS(H$7:H$183,$B$7:$B$183,$B47&amp;".*",$E$7:$E$183,"D")</f>
        <v>0</v>
      </c>
      <c r="I47" s="31">
        <f>SUMIFS(I$7:I$183,$B$7:$B$183,$B47&amp;".*",$E$7:$E$183,"D")</f>
        <v>0</v>
      </c>
      <c r="J47" s="31">
        <f>SUMIFS(J$7:J$183,$B$7:$B$183,$B47&amp;".*",$E$7:$E$183,"D")</f>
        <v>0</v>
      </c>
      <c r="K47" s="31">
        <f>SUMIFS(K$7:K$183,$B$7:$B$183,$B47&amp;".*",$E$7:$E$183,"D")</f>
        <v>0</v>
      </c>
    </row>
    <row r="48" spans="2:11" ht="15" customHeight="1" x14ac:dyDescent="0.3">
      <c r="B48" s="29" t="s">
        <v>71</v>
      </c>
      <c r="C48" s="29" t="s">
        <v>218</v>
      </c>
      <c r="D48" s="29" t="s">
        <v>97</v>
      </c>
      <c r="E48" s="29" t="s">
        <v>32</v>
      </c>
      <c r="F48" s="7" t="str">
        <f>INDEX('90_SEMA'!$G$7:$H$183,42,NYELV_IDX)</f>
        <v>1. Követelések áruszállításból és szolgáltatásból (vevők)</v>
      </c>
      <c r="G48" s="37">
        <f>SUMPRODUCT('03_ADATBEVITEL'!$E48:$X48,'03_ADATBEVITEL'!$E$4:$X$4,'03_ADATBEVITEL'!$E$2:$X$2)</f>
        <v>0</v>
      </c>
      <c r="H48" s="37">
        <f>SUMIF('10_NAPLO'!$G$7:$G$806,$B48,'10_NAPLO'!$I$7:$I$806)</f>
        <v>0</v>
      </c>
      <c r="I48" s="37">
        <f>SUMIF('10_NAPLO'!$G$7:$G$806,$B48,'10_NAPLO'!$J$7:$J$806)</f>
        <v>0</v>
      </c>
      <c r="J48" s="37">
        <f t="shared" ref="J48:J56" si="10">IF($D48="T",$H48-$I48,$I48-$H48)</f>
        <v>0</v>
      </c>
      <c r="K48" s="37">
        <f t="shared" ref="K48:K56" si="11">$G48+$J48</f>
        <v>0</v>
      </c>
    </row>
    <row r="49" spans="2:11" ht="15" customHeight="1" x14ac:dyDescent="0.3">
      <c r="B49" s="29" t="s">
        <v>72</v>
      </c>
      <c r="C49" s="29" t="s">
        <v>218</v>
      </c>
      <c r="D49" s="29" t="s">
        <v>97</v>
      </c>
      <c r="E49" s="29" t="s">
        <v>32</v>
      </c>
      <c r="F49" s="7" t="str">
        <f>INDEX('90_SEMA'!$G$7:$H$183,43,NYELV_IDX)</f>
        <v>2. Követelések kapcsolt vállalkozással szemben</v>
      </c>
      <c r="G49" s="37">
        <f>SUMPRODUCT('03_ADATBEVITEL'!$E49:$X49,'03_ADATBEVITEL'!$E$4:$X$4,'03_ADATBEVITEL'!$E$2:$X$2)</f>
        <v>0</v>
      </c>
      <c r="H49" s="37">
        <f>SUMIF('10_NAPLO'!$G$7:$G$806,$B49,'10_NAPLO'!$I$7:$I$806)</f>
        <v>0</v>
      </c>
      <c r="I49" s="37">
        <f>SUMIF('10_NAPLO'!$G$7:$G$806,$B49,'10_NAPLO'!$J$7:$J$806)</f>
        <v>0</v>
      </c>
      <c r="J49" s="37">
        <f t="shared" si="10"/>
        <v>0</v>
      </c>
      <c r="K49" s="37">
        <f t="shared" si="11"/>
        <v>0</v>
      </c>
    </row>
    <row r="50" spans="2:11" ht="15" customHeight="1" x14ac:dyDescent="0.3">
      <c r="B50" s="29" t="s">
        <v>73</v>
      </c>
      <c r="C50" s="29" t="s">
        <v>218</v>
      </c>
      <c r="D50" s="29" t="s">
        <v>97</v>
      </c>
      <c r="E50" s="29" t="s">
        <v>32</v>
      </c>
      <c r="F50" s="7" t="str">
        <f>INDEX('90_SEMA'!$G$7:$H$183,44,NYELV_IDX)</f>
        <v>3. Követelések jelentős tulajdoni részesedési viszonyban lévő vállalkozással szemben</v>
      </c>
      <c r="G50" s="37">
        <f>SUMPRODUCT('03_ADATBEVITEL'!$E50:$X50,'03_ADATBEVITEL'!$E$4:$X$4,'03_ADATBEVITEL'!$E$2:$X$2)</f>
        <v>0</v>
      </c>
      <c r="H50" s="37">
        <f>SUMIF('10_NAPLO'!$G$7:$G$806,$B50,'10_NAPLO'!$I$7:$I$806)</f>
        <v>0</v>
      </c>
      <c r="I50" s="37">
        <f>SUMIF('10_NAPLO'!$G$7:$G$806,$B50,'10_NAPLO'!$J$7:$J$806)</f>
        <v>0</v>
      </c>
      <c r="J50" s="37">
        <f t="shared" si="10"/>
        <v>0</v>
      </c>
      <c r="K50" s="37">
        <f t="shared" si="11"/>
        <v>0</v>
      </c>
    </row>
    <row r="51" spans="2:11" ht="15" customHeight="1" x14ac:dyDescent="0.3">
      <c r="B51" s="29" t="s">
        <v>74</v>
      </c>
      <c r="C51" s="29" t="s">
        <v>218</v>
      </c>
      <c r="D51" s="29" t="s">
        <v>97</v>
      </c>
      <c r="E51" s="29" t="s">
        <v>32</v>
      </c>
      <c r="F51" s="7" t="str">
        <f>INDEX('90_SEMA'!$G$7:$H$183,45,NYELV_IDX)</f>
        <v>4. Követelések egyéb részesedési viszonyban lévő vállalkozással szemben</v>
      </c>
      <c r="G51" s="37">
        <f>SUMPRODUCT('03_ADATBEVITEL'!$E51:$X51,'03_ADATBEVITEL'!$E$4:$X$4,'03_ADATBEVITEL'!$E$2:$X$2)</f>
        <v>0</v>
      </c>
      <c r="H51" s="37">
        <f>SUMIF('10_NAPLO'!$G$7:$G$806,$B51,'10_NAPLO'!$I$7:$I$806)</f>
        <v>0</v>
      </c>
      <c r="I51" s="37">
        <f>SUMIF('10_NAPLO'!$G$7:$G$806,$B51,'10_NAPLO'!$J$7:$J$806)</f>
        <v>0</v>
      </c>
      <c r="J51" s="37">
        <f t="shared" si="10"/>
        <v>0</v>
      </c>
      <c r="K51" s="37">
        <f t="shared" si="11"/>
        <v>0</v>
      </c>
    </row>
    <row r="52" spans="2:11" ht="15" customHeight="1" x14ac:dyDescent="0.3">
      <c r="B52" s="29" t="s">
        <v>75</v>
      </c>
      <c r="C52" s="29" t="s">
        <v>218</v>
      </c>
      <c r="D52" s="29" t="s">
        <v>97</v>
      </c>
      <c r="E52" s="29" t="s">
        <v>32</v>
      </c>
      <c r="F52" s="7" t="str">
        <f>INDEX('90_SEMA'!$G$7:$H$183,46,NYELV_IDX)</f>
        <v>5. Váltókövetelések</v>
      </c>
      <c r="G52" s="37">
        <f>SUMPRODUCT('03_ADATBEVITEL'!$E52:$X52,'03_ADATBEVITEL'!$E$4:$X$4,'03_ADATBEVITEL'!$E$2:$X$2)</f>
        <v>0</v>
      </c>
      <c r="H52" s="37">
        <f>SUMIF('10_NAPLO'!$G$7:$G$806,$B52,'10_NAPLO'!$I$7:$I$806)</f>
        <v>0</v>
      </c>
      <c r="I52" s="37">
        <f>SUMIF('10_NAPLO'!$G$7:$G$806,$B52,'10_NAPLO'!$J$7:$J$806)</f>
        <v>0</v>
      </c>
      <c r="J52" s="37">
        <f t="shared" si="10"/>
        <v>0</v>
      </c>
      <c r="K52" s="37">
        <f t="shared" si="11"/>
        <v>0</v>
      </c>
    </row>
    <row r="53" spans="2:11" ht="15" customHeight="1" x14ac:dyDescent="0.3">
      <c r="B53" s="29" t="s">
        <v>76</v>
      </c>
      <c r="C53" s="29" t="s">
        <v>218</v>
      </c>
      <c r="D53" s="29" t="s">
        <v>97</v>
      </c>
      <c r="E53" s="29" t="s">
        <v>32</v>
      </c>
      <c r="F53" s="7" t="str">
        <f>INDEX('90_SEMA'!$G$7:$H$183,47,NYELV_IDX)</f>
        <v>6. Egyéb követelések</v>
      </c>
      <c r="G53" s="37">
        <f>SUMPRODUCT('03_ADATBEVITEL'!$E53:$X53,'03_ADATBEVITEL'!$E$4:$X$4,'03_ADATBEVITEL'!$E$2:$X$2)</f>
        <v>0</v>
      </c>
      <c r="H53" s="37">
        <f>SUMIF('10_NAPLO'!$G$7:$G$806,$B53,'10_NAPLO'!$I$7:$I$806)</f>
        <v>0</v>
      </c>
      <c r="I53" s="37">
        <f>SUMIF('10_NAPLO'!$G$7:$G$806,$B53,'10_NAPLO'!$J$7:$J$806)</f>
        <v>0</v>
      </c>
      <c r="J53" s="37">
        <f t="shared" si="10"/>
        <v>0</v>
      </c>
      <c r="K53" s="37">
        <f t="shared" si="11"/>
        <v>0</v>
      </c>
    </row>
    <row r="54" spans="2:11" ht="15" customHeight="1" x14ac:dyDescent="0.3">
      <c r="B54" s="29" t="s">
        <v>77</v>
      </c>
      <c r="C54" s="29" t="s">
        <v>218</v>
      </c>
      <c r="D54" s="29" t="s">
        <v>97</v>
      </c>
      <c r="E54" s="29" t="s">
        <v>32</v>
      </c>
      <c r="F54" s="7" t="str">
        <f>INDEX('90_SEMA'!$G$7:$H$183,48,NYELV_IDX)</f>
        <v>7. Követelések értékelési különbözete</v>
      </c>
      <c r="G54" s="37">
        <f>SUMPRODUCT('03_ADATBEVITEL'!$E54:$X54,'03_ADATBEVITEL'!$E$4:$X$4,'03_ADATBEVITEL'!$E$2:$X$2)</f>
        <v>0</v>
      </c>
      <c r="H54" s="37">
        <f>SUMIF('10_NAPLO'!$G$7:$G$806,$B54,'10_NAPLO'!$I$7:$I$806)</f>
        <v>0</v>
      </c>
      <c r="I54" s="37">
        <f>SUMIF('10_NAPLO'!$G$7:$G$806,$B54,'10_NAPLO'!$J$7:$J$806)</f>
        <v>0</v>
      </c>
      <c r="J54" s="37">
        <f t="shared" si="10"/>
        <v>0</v>
      </c>
      <c r="K54" s="37">
        <f t="shared" si="11"/>
        <v>0</v>
      </c>
    </row>
    <row r="55" spans="2:11" ht="15" customHeight="1" x14ac:dyDescent="0.3">
      <c r="B55" s="29" t="s">
        <v>78</v>
      </c>
      <c r="C55" s="29" t="s">
        <v>218</v>
      </c>
      <c r="D55" s="29" t="s">
        <v>97</v>
      </c>
      <c r="E55" s="29" t="s">
        <v>32</v>
      </c>
      <c r="F55" s="7" t="str">
        <f>INDEX('90_SEMA'!$G$7:$H$183,49,NYELV_IDX)</f>
        <v>8. Származékos ügyletek pozitív értékelési különbözete</v>
      </c>
      <c r="G55" s="37">
        <f>SUMPRODUCT('03_ADATBEVITEL'!$E55:$X55,'03_ADATBEVITEL'!$E$4:$X$4,'03_ADATBEVITEL'!$E$2:$X$2)</f>
        <v>0</v>
      </c>
      <c r="H55" s="37">
        <f>SUMIF('10_NAPLO'!$G$7:$G$806,$B55,'10_NAPLO'!$I$7:$I$806)</f>
        <v>0</v>
      </c>
      <c r="I55" s="37">
        <f>SUMIF('10_NAPLO'!$G$7:$G$806,$B55,'10_NAPLO'!$J$7:$J$806)</f>
        <v>0</v>
      </c>
      <c r="J55" s="37">
        <f t="shared" si="10"/>
        <v>0</v>
      </c>
      <c r="K55" s="37">
        <f t="shared" si="11"/>
        <v>0</v>
      </c>
    </row>
    <row r="56" spans="2:11" ht="15" customHeight="1" x14ac:dyDescent="0.3">
      <c r="B56" s="29" t="s">
        <v>79</v>
      </c>
      <c r="C56" s="29" t="s">
        <v>218</v>
      </c>
      <c r="D56" s="29" t="s">
        <v>97</v>
      </c>
      <c r="E56" s="29" t="s">
        <v>32</v>
      </c>
      <c r="F56" s="7" t="str">
        <f>INDEX('90_SEMA'!$G$7:$H$183,50,NYELV_IDX)</f>
        <v>9. Konszolidációból adódó (számított) társasági adó követelés</v>
      </c>
      <c r="G56" s="37">
        <f>SUMPRODUCT('03_ADATBEVITEL'!$E56:$X56,'03_ADATBEVITEL'!$E$4:$X$4,'03_ADATBEVITEL'!$E$2:$X$2)</f>
        <v>0</v>
      </c>
      <c r="H56" s="37">
        <f>SUMIF('10_NAPLO'!$G$7:$G$806,$B56,'10_NAPLO'!$I$7:$I$806)</f>
        <v>0</v>
      </c>
      <c r="I56" s="37">
        <f>SUMIF('10_NAPLO'!$G$7:$G$806,$B56,'10_NAPLO'!$J$7:$J$806)</f>
        <v>0</v>
      </c>
      <c r="J56" s="37">
        <f t="shared" si="10"/>
        <v>0</v>
      </c>
      <c r="K56" s="37">
        <f t="shared" si="11"/>
        <v>0</v>
      </c>
    </row>
    <row r="57" spans="2:11" ht="15" customHeight="1" x14ac:dyDescent="0.3">
      <c r="B57" s="29" t="s">
        <v>80</v>
      </c>
      <c r="C57" s="29" t="s">
        <v>218</v>
      </c>
      <c r="D57" s="29" t="s">
        <v>97</v>
      </c>
      <c r="E57" s="29" t="s">
        <v>29</v>
      </c>
      <c r="F57" s="32" t="str">
        <f>INDEX('90_SEMA'!$G$7:$H$183,51,NYELV_IDX)</f>
        <v>III. ÉRTÉKPAPÍROK</v>
      </c>
      <c r="G57" s="31">
        <f>SUMIFS(G$7:G$183,$B$7:$B$183,$B57&amp;".*",$E$7:$E$183,"D")</f>
        <v>0</v>
      </c>
      <c r="H57" s="31">
        <f>SUMIFS(H$7:H$183,$B$7:$B$183,$B57&amp;".*",$E$7:$E$183,"D")</f>
        <v>0</v>
      </c>
      <c r="I57" s="31">
        <f>SUMIFS(I$7:I$183,$B$7:$B$183,$B57&amp;".*",$E$7:$E$183,"D")</f>
        <v>0</v>
      </c>
      <c r="J57" s="31">
        <f>SUMIFS(J$7:J$183,$B$7:$B$183,$B57&amp;".*",$E$7:$E$183,"D")</f>
        <v>0</v>
      </c>
      <c r="K57" s="31">
        <f>SUMIFS(K$7:K$183,$B$7:$B$183,$B57&amp;".*",$E$7:$E$183,"D")</f>
        <v>0</v>
      </c>
    </row>
    <row r="58" spans="2:11" ht="15" customHeight="1" x14ac:dyDescent="0.3">
      <c r="B58" s="29" t="s">
        <v>81</v>
      </c>
      <c r="C58" s="29" t="s">
        <v>218</v>
      </c>
      <c r="D58" s="29" t="s">
        <v>97</v>
      </c>
      <c r="E58" s="29" t="s">
        <v>32</v>
      </c>
      <c r="F58" s="7" t="str">
        <f>INDEX('90_SEMA'!$G$7:$H$183,52,NYELV_IDX)</f>
        <v>1. Részesedés kapcsolt vállalkozásban</v>
      </c>
      <c r="G58" s="37">
        <f>SUMPRODUCT('03_ADATBEVITEL'!$E58:$X58,'03_ADATBEVITEL'!$E$4:$X$4,'03_ADATBEVITEL'!$E$2:$X$2)</f>
        <v>0</v>
      </c>
      <c r="H58" s="37">
        <f>SUMIF('10_NAPLO'!$G$7:$G$806,$B58,'10_NAPLO'!$I$7:$I$806)</f>
        <v>0</v>
      </c>
      <c r="I58" s="37">
        <f>SUMIF('10_NAPLO'!$G$7:$G$806,$B58,'10_NAPLO'!$J$7:$J$806)</f>
        <v>0</v>
      </c>
      <c r="J58" s="37">
        <f t="shared" ref="J58:J63" si="12">IF($D58="T",$H58-$I58,$I58-$H58)</f>
        <v>0</v>
      </c>
      <c r="K58" s="37">
        <f t="shared" ref="K58:K63" si="13">$G58+$J58</f>
        <v>0</v>
      </c>
    </row>
    <row r="59" spans="2:11" ht="15" customHeight="1" x14ac:dyDescent="0.3">
      <c r="B59" s="29" t="s">
        <v>82</v>
      </c>
      <c r="C59" s="29" t="s">
        <v>218</v>
      </c>
      <c r="D59" s="29" t="s">
        <v>97</v>
      </c>
      <c r="E59" s="29" t="s">
        <v>32</v>
      </c>
      <c r="F59" s="7" t="str">
        <f>INDEX('90_SEMA'!$G$7:$H$183,53,NYELV_IDX)</f>
        <v>2. Jelentős tulajdoni részesedés</v>
      </c>
      <c r="G59" s="37">
        <f>SUMPRODUCT('03_ADATBEVITEL'!$E59:$X59,'03_ADATBEVITEL'!$E$4:$X$4,'03_ADATBEVITEL'!$E$2:$X$2)</f>
        <v>0</v>
      </c>
      <c r="H59" s="37">
        <f>SUMIF('10_NAPLO'!$G$7:$G$806,$B59,'10_NAPLO'!$I$7:$I$806)</f>
        <v>0</v>
      </c>
      <c r="I59" s="37">
        <f>SUMIF('10_NAPLO'!$G$7:$G$806,$B59,'10_NAPLO'!$J$7:$J$806)</f>
        <v>0</v>
      </c>
      <c r="J59" s="37">
        <f t="shared" si="12"/>
        <v>0</v>
      </c>
      <c r="K59" s="37">
        <f t="shared" si="13"/>
        <v>0</v>
      </c>
    </row>
    <row r="60" spans="2:11" ht="15" customHeight="1" x14ac:dyDescent="0.3">
      <c r="B60" s="29" t="s">
        <v>83</v>
      </c>
      <c r="C60" s="29" t="s">
        <v>218</v>
      </c>
      <c r="D60" s="29" t="s">
        <v>97</v>
      </c>
      <c r="E60" s="29" t="s">
        <v>32</v>
      </c>
      <c r="F60" s="7" t="str">
        <f>INDEX('90_SEMA'!$G$7:$H$183,54,NYELV_IDX)</f>
        <v>3. Egyéb részesedés</v>
      </c>
      <c r="G60" s="37">
        <f>SUMPRODUCT('03_ADATBEVITEL'!$E60:$X60,'03_ADATBEVITEL'!$E$4:$X$4,'03_ADATBEVITEL'!$E$2:$X$2)</f>
        <v>0</v>
      </c>
      <c r="H60" s="37">
        <f>SUMIF('10_NAPLO'!$G$7:$G$806,$B60,'10_NAPLO'!$I$7:$I$806)</f>
        <v>0</v>
      </c>
      <c r="I60" s="37">
        <f>SUMIF('10_NAPLO'!$G$7:$G$806,$B60,'10_NAPLO'!$J$7:$J$806)</f>
        <v>0</v>
      </c>
      <c r="J60" s="37">
        <f t="shared" si="12"/>
        <v>0</v>
      </c>
      <c r="K60" s="37">
        <f t="shared" si="13"/>
        <v>0</v>
      </c>
    </row>
    <row r="61" spans="2:11" ht="15" customHeight="1" x14ac:dyDescent="0.3">
      <c r="B61" s="29" t="s">
        <v>84</v>
      </c>
      <c r="C61" s="29" t="s">
        <v>218</v>
      </c>
      <c r="D61" s="29" t="s">
        <v>97</v>
      </c>
      <c r="E61" s="29" t="s">
        <v>32</v>
      </c>
      <c r="F61" s="7" t="str">
        <f>INDEX('90_SEMA'!$G$7:$H$183,55,NYELV_IDX)</f>
        <v>4. Saját részvények, saját üzletrészek</v>
      </c>
      <c r="G61" s="37">
        <f>SUMPRODUCT('03_ADATBEVITEL'!$E61:$X61,'03_ADATBEVITEL'!$E$4:$X$4,'03_ADATBEVITEL'!$E$2:$X$2)</f>
        <v>0</v>
      </c>
      <c r="H61" s="37">
        <f>SUMIF('10_NAPLO'!$G$7:$G$806,$B61,'10_NAPLO'!$I$7:$I$806)</f>
        <v>0</v>
      </c>
      <c r="I61" s="37">
        <f>SUMIF('10_NAPLO'!$G$7:$G$806,$B61,'10_NAPLO'!$J$7:$J$806)</f>
        <v>0</v>
      </c>
      <c r="J61" s="37">
        <f t="shared" si="12"/>
        <v>0</v>
      </c>
      <c r="K61" s="37">
        <f t="shared" si="13"/>
        <v>0</v>
      </c>
    </row>
    <row r="62" spans="2:11" ht="15" customHeight="1" x14ac:dyDescent="0.3">
      <c r="B62" s="29" t="s">
        <v>85</v>
      </c>
      <c r="C62" s="29" t="s">
        <v>218</v>
      </c>
      <c r="D62" s="29" t="s">
        <v>97</v>
      </c>
      <c r="E62" s="29" t="s">
        <v>32</v>
      </c>
      <c r="F62" s="7" t="str">
        <f>INDEX('90_SEMA'!$G$7:$H$183,56,NYELV_IDX)</f>
        <v>5. Forgatási célú hitelviszonyt megtestesítő értékpapírok</v>
      </c>
      <c r="G62" s="37">
        <f>SUMPRODUCT('03_ADATBEVITEL'!$E62:$X62,'03_ADATBEVITEL'!$E$4:$X$4,'03_ADATBEVITEL'!$E$2:$X$2)</f>
        <v>0</v>
      </c>
      <c r="H62" s="37">
        <f>SUMIF('10_NAPLO'!$G$7:$G$806,$B62,'10_NAPLO'!$I$7:$I$806)</f>
        <v>0</v>
      </c>
      <c r="I62" s="37">
        <f>SUMIF('10_NAPLO'!$G$7:$G$806,$B62,'10_NAPLO'!$J$7:$J$806)</f>
        <v>0</v>
      </c>
      <c r="J62" s="37">
        <f t="shared" si="12"/>
        <v>0</v>
      </c>
      <c r="K62" s="37">
        <f t="shared" si="13"/>
        <v>0</v>
      </c>
    </row>
    <row r="63" spans="2:11" ht="15" customHeight="1" x14ac:dyDescent="0.3">
      <c r="B63" s="29" t="s">
        <v>86</v>
      </c>
      <c r="C63" s="29" t="s">
        <v>218</v>
      </c>
      <c r="D63" s="29" t="s">
        <v>97</v>
      </c>
      <c r="E63" s="29" t="s">
        <v>32</v>
      </c>
      <c r="F63" s="7" t="str">
        <f>INDEX('90_SEMA'!$G$7:$H$183,57,NYELV_IDX)</f>
        <v>6. Értékpapírok értékelési különbözete</v>
      </c>
      <c r="G63" s="37">
        <f>SUMPRODUCT('03_ADATBEVITEL'!$E63:$X63,'03_ADATBEVITEL'!$E$4:$X$4,'03_ADATBEVITEL'!$E$2:$X$2)</f>
        <v>0</v>
      </c>
      <c r="H63" s="37">
        <f>SUMIF('10_NAPLO'!$G$7:$G$806,$B63,'10_NAPLO'!$I$7:$I$806)</f>
        <v>0</v>
      </c>
      <c r="I63" s="37">
        <f>SUMIF('10_NAPLO'!$G$7:$G$806,$B63,'10_NAPLO'!$J$7:$J$806)</f>
        <v>0</v>
      </c>
      <c r="J63" s="37">
        <f t="shared" si="12"/>
        <v>0</v>
      </c>
      <c r="K63" s="37">
        <f t="shared" si="13"/>
        <v>0</v>
      </c>
    </row>
    <row r="64" spans="2:11" ht="15" customHeight="1" x14ac:dyDescent="0.3">
      <c r="B64" s="29" t="s">
        <v>87</v>
      </c>
      <c r="C64" s="29" t="s">
        <v>218</v>
      </c>
      <c r="D64" s="29" t="s">
        <v>97</v>
      </c>
      <c r="E64" s="29" t="s">
        <v>29</v>
      </c>
      <c r="F64" s="32" t="str">
        <f>INDEX('90_SEMA'!$G$7:$H$183,58,NYELV_IDX)</f>
        <v>IV. PÉNZESZKÖZÖK</v>
      </c>
      <c r="G64" s="31">
        <f>SUMIFS(G$7:G$183,$B$7:$B$183,$B64&amp;".*",$E$7:$E$183,"D")</f>
        <v>0</v>
      </c>
      <c r="H64" s="31">
        <f>SUMIFS(H$7:H$183,$B$7:$B$183,$B64&amp;".*",$E$7:$E$183,"D")</f>
        <v>0</v>
      </c>
      <c r="I64" s="31">
        <f>SUMIFS(I$7:I$183,$B$7:$B$183,$B64&amp;".*",$E$7:$E$183,"D")</f>
        <v>0</v>
      </c>
      <c r="J64" s="31">
        <f>SUMIFS(J$7:J$183,$B$7:$B$183,$B64&amp;".*",$E$7:$E$183,"D")</f>
        <v>0</v>
      </c>
      <c r="K64" s="31">
        <f>SUMIFS(K$7:K$183,$B$7:$B$183,$B64&amp;".*",$E$7:$E$183,"D")</f>
        <v>0</v>
      </c>
    </row>
    <row r="65" spans="2:11" ht="15" customHeight="1" x14ac:dyDescent="0.3">
      <c r="B65" s="29" t="s">
        <v>88</v>
      </c>
      <c r="C65" s="29" t="s">
        <v>218</v>
      </c>
      <c r="D65" s="29" t="s">
        <v>97</v>
      </c>
      <c r="E65" s="29" t="s">
        <v>32</v>
      </c>
      <c r="F65" s="7" t="str">
        <f>INDEX('90_SEMA'!$G$7:$H$183,59,NYELV_IDX)</f>
        <v>1. Pénztár, csekkek</v>
      </c>
      <c r="G65" s="37">
        <f>SUMPRODUCT('03_ADATBEVITEL'!$E65:$X65,'03_ADATBEVITEL'!$E$4:$X$4,'03_ADATBEVITEL'!$E$2:$X$2)</f>
        <v>0</v>
      </c>
      <c r="H65" s="37">
        <f>SUMIF('10_NAPLO'!$G$7:$G$806,$B65,'10_NAPLO'!$I$7:$I$806)</f>
        <v>0</v>
      </c>
      <c r="I65" s="37">
        <f>SUMIF('10_NAPLO'!$G$7:$G$806,$B65,'10_NAPLO'!$J$7:$J$806)</f>
        <v>0</v>
      </c>
      <c r="J65" s="37">
        <f>IF($D65="T",$H65-$I65,$I65-$H65)</f>
        <v>0</v>
      </c>
      <c r="K65" s="37">
        <f>$G65+$J65</f>
        <v>0</v>
      </c>
    </row>
    <row r="66" spans="2:11" ht="15" customHeight="1" x14ac:dyDescent="0.3">
      <c r="B66" s="29" t="s">
        <v>89</v>
      </c>
      <c r="C66" s="29" t="s">
        <v>218</v>
      </c>
      <c r="D66" s="29" t="s">
        <v>97</v>
      </c>
      <c r="E66" s="29" t="s">
        <v>32</v>
      </c>
      <c r="F66" s="7" t="str">
        <f>INDEX('90_SEMA'!$G$7:$H$183,60,NYELV_IDX)</f>
        <v>2. Bankbetétek</v>
      </c>
      <c r="G66" s="37">
        <f>SUMPRODUCT('03_ADATBEVITEL'!$E66:$X66,'03_ADATBEVITEL'!$E$4:$X$4,'03_ADATBEVITEL'!$E$2:$X$2)</f>
        <v>0</v>
      </c>
      <c r="H66" s="37">
        <f>SUMIF('10_NAPLO'!$G$7:$G$806,$B66,'10_NAPLO'!$I$7:$I$806)</f>
        <v>0</v>
      </c>
      <c r="I66" s="37">
        <f>SUMIF('10_NAPLO'!$G$7:$G$806,$B66,'10_NAPLO'!$J$7:$J$806)</f>
        <v>0</v>
      </c>
      <c r="J66" s="37">
        <f>IF($D66="T",$H66-$I66,$I66-$H66)</f>
        <v>0</v>
      </c>
      <c r="K66" s="37">
        <f>$G66+$J66</f>
        <v>0</v>
      </c>
    </row>
    <row r="67" spans="2:11" ht="15" customHeight="1" x14ac:dyDescent="0.3">
      <c r="B67" s="29" t="s">
        <v>90</v>
      </c>
      <c r="C67" s="29" t="s">
        <v>218</v>
      </c>
      <c r="D67" s="29" t="s">
        <v>97</v>
      </c>
      <c r="E67" s="29" t="s">
        <v>29</v>
      </c>
      <c r="F67" s="30" t="str">
        <f>INDEX('90_SEMA'!$G$7:$H$183,61,NYELV_IDX)</f>
        <v>C. Aktív időbeli elhatárolások</v>
      </c>
      <c r="G67" s="31">
        <f>SUMIFS(G$7:G$183,$B$7:$B$183,$B67&amp;".*",$E$7:$E$183,"D")</f>
        <v>0</v>
      </c>
      <c r="H67" s="31">
        <f>SUMIFS(H$7:H$183,$B$7:$B$183,$B67&amp;".*",$E$7:$E$183,"D")</f>
        <v>0</v>
      </c>
      <c r="I67" s="31">
        <f>SUMIFS(I$7:I$183,$B$7:$B$183,$B67&amp;".*",$E$7:$E$183,"D")</f>
        <v>0</v>
      </c>
      <c r="J67" s="31">
        <f>SUMIFS(J$7:J$183,$B$7:$B$183,$B67&amp;".*",$E$7:$E$183,"D")</f>
        <v>0</v>
      </c>
      <c r="K67" s="31">
        <f>SUMIFS(K$7:K$183,$B$7:$B$183,$B67&amp;".*",$E$7:$E$183,"D")</f>
        <v>0</v>
      </c>
    </row>
    <row r="68" spans="2:11" ht="15" customHeight="1" x14ac:dyDescent="0.3">
      <c r="B68" s="29" t="s">
        <v>91</v>
      </c>
      <c r="C68" s="29" t="s">
        <v>218</v>
      </c>
      <c r="D68" s="29" t="s">
        <v>97</v>
      </c>
      <c r="E68" s="29" t="s">
        <v>32</v>
      </c>
      <c r="F68" s="7" t="str">
        <f>INDEX('90_SEMA'!$G$7:$H$183,62,NYELV_IDX)</f>
        <v>1. Bevételek aktív időbeli elhatárolása</v>
      </c>
      <c r="G68" s="37">
        <f>SUMPRODUCT('03_ADATBEVITEL'!$E68:$X68,'03_ADATBEVITEL'!$E$4:$X$4,'03_ADATBEVITEL'!$E$2:$X$2)</f>
        <v>0</v>
      </c>
      <c r="H68" s="37">
        <f>SUMIF('10_NAPLO'!$G$7:$G$806,$B68,'10_NAPLO'!$I$7:$I$806)</f>
        <v>0</v>
      </c>
      <c r="I68" s="37">
        <f>SUMIF('10_NAPLO'!$G$7:$G$806,$B68,'10_NAPLO'!$J$7:$J$806)</f>
        <v>0</v>
      </c>
      <c r="J68" s="37">
        <f>IF($D68="T",$H68-$I68,$I68-$H68)</f>
        <v>0</v>
      </c>
      <c r="K68" s="37">
        <f>$G68+$J68</f>
        <v>0</v>
      </c>
    </row>
    <row r="69" spans="2:11" ht="15" customHeight="1" x14ac:dyDescent="0.3">
      <c r="B69" s="29" t="s">
        <v>92</v>
      </c>
      <c r="C69" s="29" t="s">
        <v>218</v>
      </c>
      <c r="D69" s="29" t="s">
        <v>97</v>
      </c>
      <c r="E69" s="29" t="s">
        <v>32</v>
      </c>
      <c r="F69" s="7" t="str">
        <f>INDEX('90_SEMA'!$G$7:$H$183,63,NYELV_IDX)</f>
        <v>2. Költségek, ráfordítások aktív időbeli elhatárolása</v>
      </c>
      <c r="G69" s="37">
        <f>SUMPRODUCT('03_ADATBEVITEL'!$E69:$X69,'03_ADATBEVITEL'!$E$4:$X$4,'03_ADATBEVITEL'!$E$2:$X$2)</f>
        <v>0</v>
      </c>
      <c r="H69" s="37">
        <f>SUMIF('10_NAPLO'!$G$7:$G$806,$B69,'10_NAPLO'!$I$7:$I$806)</f>
        <v>0</v>
      </c>
      <c r="I69" s="37">
        <f>SUMIF('10_NAPLO'!$G$7:$G$806,$B69,'10_NAPLO'!$J$7:$J$806)</f>
        <v>0</v>
      </c>
      <c r="J69" s="37">
        <f>IF($D69="T",$H69-$I69,$I69-$H69)</f>
        <v>0</v>
      </c>
      <c r="K69" s="37">
        <f>$G69+$J69</f>
        <v>0</v>
      </c>
    </row>
    <row r="70" spans="2:11" ht="15" customHeight="1" x14ac:dyDescent="0.3">
      <c r="B70" s="29" t="s">
        <v>93</v>
      </c>
      <c r="C70" s="29" t="s">
        <v>218</v>
      </c>
      <c r="D70" s="29" t="s">
        <v>97</v>
      </c>
      <c r="E70" s="29" t="s">
        <v>32</v>
      </c>
      <c r="F70" s="7" t="str">
        <f>INDEX('90_SEMA'!$G$7:$H$183,64,NYELV_IDX)</f>
        <v>3. Halasztott ráfordítások</v>
      </c>
      <c r="G70" s="37">
        <f>SUMPRODUCT('03_ADATBEVITEL'!$E70:$X70,'03_ADATBEVITEL'!$E$4:$X$4,'03_ADATBEVITEL'!$E$2:$X$2)</f>
        <v>0</v>
      </c>
      <c r="H70" s="37">
        <f>SUMIF('10_NAPLO'!$G$7:$G$806,$B70,'10_NAPLO'!$I$7:$I$806)</f>
        <v>0</v>
      </c>
      <c r="I70" s="37">
        <f>SUMIF('10_NAPLO'!$G$7:$G$806,$B70,'10_NAPLO'!$J$7:$J$806)</f>
        <v>0</v>
      </c>
      <c r="J70" s="37">
        <f>IF($D70="T",$H70-$I70,$I70-$H70)</f>
        <v>0</v>
      </c>
      <c r="K70" s="37">
        <f>$G70+$J70</f>
        <v>0</v>
      </c>
    </row>
    <row r="71" spans="2:11" ht="15" customHeight="1" x14ac:dyDescent="0.3">
      <c r="B71" s="29" t="s">
        <v>94</v>
      </c>
      <c r="C71" s="29" t="s">
        <v>219</v>
      </c>
      <c r="D71" s="29" t="s">
        <v>220</v>
      </c>
      <c r="E71" s="29" t="s">
        <v>29</v>
      </c>
      <c r="F71" s="30" t="str">
        <f>INDEX('90_SEMA'!$G$7:$H$183,65,NYELV_IDX)</f>
        <v>D. Saját tőke</v>
      </c>
      <c r="G71" s="31">
        <f>SUMIFS(G$7:G$183,$B$7:$B$183,$B71&amp;".*",$E$7:$E$183,"D")</f>
        <v>0</v>
      </c>
      <c r="H71" s="31">
        <f>SUMIFS(H$7:H$183,$B$7:$B$183,$B71&amp;".*",$E$7:$E$183,"D")</f>
        <v>0</v>
      </c>
      <c r="I71" s="31">
        <f>SUMIFS(I$7:I$183,$B$7:$B$183,$B71&amp;".*",$E$7:$E$183,"D")</f>
        <v>0</v>
      </c>
      <c r="J71" s="31">
        <f>SUMIFS(J$7:J$183,$B$7:$B$183,$B71&amp;".*",$E$7:$E$183,"D")</f>
        <v>0</v>
      </c>
      <c r="K71" s="31">
        <f>SUMIFS(K$7:K$183,$B$7:$B$183,$B71&amp;".*",$E$7:$E$183,"D")</f>
        <v>0</v>
      </c>
    </row>
    <row r="72" spans="2:11" ht="15" customHeight="1" x14ac:dyDescent="0.3">
      <c r="B72" s="29" t="s">
        <v>95</v>
      </c>
      <c r="C72" s="29" t="s">
        <v>219</v>
      </c>
      <c r="D72" s="29" t="s">
        <v>220</v>
      </c>
      <c r="E72" s="29" t="s">
        <v>32</v>
      </c>
      <c r="F72" s="32" t="str">
        <f>INDEX('90_SEMA'!$G$7:$H$183,66,NYELV_IDX)</f>
        <v>I. JEGYZETT TŐKE</v>
      </c>
      <c r="G72" s="37">
        <f>SUMPRODUCT('03_ADATBEVITEL'!$E72:$X72,'03_ADATBEVITEL'!$E$4:$X$4,'03_ADATBEVITEL'!$E$2:$X$2)</f>
        <v>0</v>
      </c>
      <c r="H72" s="37">
        <f>SUMIF('10_NAPLO'!$G$7:$G$806,$B72,'10_NAPLO'!$I$7:$I$806)</f>
        <v>0</v>
      </c>
      <c r="I72" s="37">
        <f>SUMIF('10_NAPLO'!$G$7:$G$806,$B72,'10_NAPLO'!$J$7:$J$806)</f>
        <v>0</v>
      </c>
      <c r="J72" s="37">
        <f t="shared" ref="J72:J77" si="14">IF($D72="T",$H72-$I72,$I72-$H72)</f>
        <v>0</v>
      </c>
      <c r="K72" s="37">
        <f t="shared" ref="K72:K77" si="15">$G72+$J72</f>
        <v>0</v>
      </c>
    </row>
    <row r="73" spans="2:11" ht="15" customHeight="1" x14ac:dyDescent="0.3">
      <c r="B73" s="29" t="s">
        <v>96</v>
      </c>
      <c r="C73" s="29" t="s">
        <v>219</v>
      </c>
      <c r="D73" s="29" t="s">
        <v>220</v>
      </c>
      <c r="E73" s="29" t="s">
        <v>97</v>
      </c>
      <c r="F73" s="34" t="str">
        <f>INDEX('90_SEMA'!$G$7:$H$183,67,NYELV_IDX)</f>
        <v xml:space="preserve">     Ebből: visszavásárolt tulajdoni részesedés névértéken</v>
      </c>
      <c r="G73" s="37">
        <f>SUMPRODUCT('03_ADATBEVITEL'!$E73:$X73,'03_ADATBEVITEL'!$E$4:$X$4,'03_ADATBEVITEL'!$E$2:$X$2)</f>
        <v>0</v>
      </c>
      <c r="H73" s="37">
        <f>SUMIF('10_NAPLO'!$G$7:$G$806,$B73,'10_NAPLO'!$I$7:$I$806)</f>
        <v>0</v>
      </c>
      <c r="I73" s="37">
        <f>SUMIF('10_NAPLO'!$G$7:$G$806,$B73,'10_NAPLO'!$J$7:$J$806)</f>
        <v>0</v>
      </c>
      <c r="J73" s="37">
        <f t="shared" si="14"/>
        <v>0</v>
      </c>
      <c r="K73" s="37">
        <f t="shared" si="15"/>
        <v>0</v>
      </c>
    </row>
    <row r="74" spans="2:11" ht="15" customHeight="1" x14ac:dyDescent="0.3">
      <c r="B74" s="29" t="s">
        <v>98</v>
      </c>
      <c r="C74" s="29" t="s">
        <v>219</v>
      </c>
      <c r="D74" s="29" t="s">
        <v>220</v>
      </c>
      <c r="E74" s="29" t="s">
        <v>32</v>
      </c>
      <c r="F74" s="32" t="str">
        <f>INDEX('90_SEMA'!$G$7:$H$183,68,NYELV_IDX)</f>
        <v>II. JEGYZETT, DE MÉG BE NEM FIZETETT TŐKE (-)</v>
      </c>
      <c r="G74" s="37">
        <f>SUMPRODUCT('03_ADATBEVITEL'!$E74:$X74,'03_ADATBEVITEL'!$E$4:$X$4,'03_ADATBEVITEL'!$E$2:$X$2)</f>
        <v>0</v>
      </c>
      <c r="H74" s="37">
        <f>SUMIF('10_NAPLO'!$G$7:$G$806,$B74,'10_NAPLO'!$I$7:$I$806)</f>
        <v>0</v>
      </c>
      <c r="I74" s="37">
        <f>SUMIF('10_NAPLO'!$G$7:$G$806,$B74,'10_NAPLO'!$J$7:$J$806)</f>
        <v>0</v>
      </c>
      <c r="J74" s="37">
        <f t="shared" si="14"/>
        <v>0</v>
      </c>
      <c r="K74" s="37">
        <f t="shared" si="15"/>
        <v>0</v>
      </c>
    </row>
    <row r="75" spans="2:11" ht="15" customHeight="1" x14ac:dyDescent="0.3">
      <c r="B75" s="29" t="s">
        <v>99</v>
      </c>
      <c r="C75" s="29" t="s">
        <v>219</v>
      </c>
      <c r="D75" s="29" t="s">
        <v>220</v>
      </c>
      <c r="E75" s="29" t="s">
        <v>32</v>
      </c>
      <c r="F75" s="32" t="str">
        <f>INDEX('90_SEMA'!$G$7:$H$183,69,NYELV_IDX)</f>
        <v>III. TŐKETARTALÉK</v>
      </c>
      <c r="G75" s="37">
        <f>SUMPRODUCT('03_ADATBEVITEL'!$E75:$X75,'03_ADATBEVITEL'!$E$4:$X$4,'03_ADATBEVITEL'!$E$2:$X$2)</f>
        <v>0</v>
      </c>
      <c r="H75" s="37">
        <f>SUMIF('10_NAPLO'!$G$7:$G$806,$B75,'10_NAPLO'!$I$7:$I$806)</f>
        <v>0</v>
      </c>
      <c r="I75" s="37">
        <f>SUMIF('10_NAPLO'!$G$7:$G$806,$B75,'10_NAPLO'!$J$7:$J$806)</f>
        <v>0</v>
      </c>
      <c r="J75" s="37">
        <f t="shared" si="14"/>
        <v>0</v>
      </c>
      <c r="K75" s="37">
        <f t="shared" si="15"/>
        <v>0</v>
      </c>
    </row>
    <row r="76" spans="2:11" ht="15" customHeight="1" x14ac:dyDescent="0.3">
      <c r="B76" s="29" t="s">
        <v>100</v>
      </c>
      <c r="C76" s="29" t="s">
        <v>219</v>
      </c>
      <c r="D76" s="29" t="s">
        <v>220</v>
      </c>
      <c r="E76" s="29" t="s">
        <v>32</v>
      </c>
      <c r="F76" s="32" t="str">
        <f>INDEX('90_SEMA'!$G$7:$H$183,70,NYELV_IDX)</f>
        <v>IV. EREDMÉNYTARTALÉK</v>
      </c>
      <c r="G76" s="37">
        <f>SUMPRODUCT('03_ADATBEVITEL'!$E76:$X76,'03_ADATBEVITEL'!$E$4:$X$4,'03_ADATBEVITEL'!$E$2:$X$2)</f>
        <v>0</v>
      </c>
      <c r="H76" s="37">
        <f>SUMIF('10_NAPLO'!$G$7:$G$806,$B76,'10_NAPLO'!$I$7:$I$806)</f>
        <v>0</v>
      </c>
      <c r="I76" s="37">
        <f>SUMIF('10_NAPLO'!$G$7:$G$806,$B76,'10_NAPLO'!$J$7:$J$806)</f>
        <v>0</v>
      </c>
      <c r="J76" s="37">
        <f t="shared" si="14"/>
        <v>0</v>
      </c>
      <c r="K76" s="37">
        <f t="shared" si="15"/>
        <v>0</v>
      </c>
    </row>
    <row r="77" spans="2:11" ht="15" customHeight="1" x14ac:dyDescent="0.3">
      <c r="B77" s="29" t="s">
        <v>101</v>
      </c>
      <c r="C77" s="29" t="s">
        <v>219</v>
      </c>
      <c r="D77" s="29" t="s">
        <v>220</v>
      </c>
      <c r="E77" s="29" t="s">
        <v>32</v>
      </c>
      <c r="F77" s="32" t="str">
        <f>INDEX('90_SEMA'!$G$7:$H$183,71,NYELV_IDX)</f>
        <v>V. LEKÖTÖTT TARTALÉK</v>
      </c>
      <c r="G77" s="37">
        <f>SUMPRODUCT('03_ADATBEVITEL'!$E77:$X77,'03_ADATBEVITEL'!$E$4:$X$4,'03_ADATBEVITEL'!$E$2:$X$2)</f>
        <v>0</v>
      </c>
      <c r="H77" s="37">
        <f>SUMIF('10_NAPLO'!$G$7:$G$806,$B77,'10_NAPLO'!$I$7:$I$806)</f>
        <v>0</v>
      </c>
      <c r="I77" s="37">
        <f>SUMIF('10_NAPLO'!$G$7:$G$806,$B77,'10_NAPLO'!$J$7:$J$806)</f>
        <v>0</v>
      </c>
      <c r="J77" s="37">
        <f t="shared" si="14"/>
        <v>0</v>
      </c>
      <c r="K77" s="37">
        <f t="shared" si="15"/>
        <v>0</v>
      </c>
    </row>
    <row r="78" spans="2:11" ht="15" customHeight="1" x14ac:dyDescent="0.3">
      <c r="B78" s="29" t="s">
        <v>102</v>
      </c>
      <c r="C78" s="29" t="s">
        <v>219</v>
      </c>
      <c r="D78" s="29" t="s">
        <v>220</v>
      </c>
      <c r="E78" s="29" t="s">
        <v>29</v>
      </c>
      <c r="F78" s="32" t="str">
        <f>INDEX('90_SEMA'!$G$7:$H$183,72,NYELV_IDX)</f>
        <v>VI. ÉRTÉKELÉSI TARTALÉK</v>
      </c>
      <c r="G78" s="31">
        <f>SUMIFS(G$7:G$183,$B$7:$B$183,$B78&amp;".*",$E$7:$E$183,"D")</f>
        <v>0</v>
      </c>
      <c r="H78" s="31">
        <f>SUMIFS(H$7:H$183,$B$7:$B$183,$B78&amp;".*",$E$7:$E$183,"D")</f>
        <v>0</v>
      </c>
      <c r="I78" s="31">
        <f>SUMIFS(I$7:I$183,$B$7:$B$183,$B78&amp;".*",$E$7:$E$183,"D")</f>
        <v>0</v>
      </c>
      <c r="J78" s="31">
        <f>SUMIFS(J$7:J$183,$B$7:$B$183,$B78&amp;".*",$E$7:$E$183,"D")</f>
        <v>0</v>
      </c>
      <c r="K78" s="31">
        <f>SUMIFS(K$7:K$183,$B$7:$B$183,$B78&amp;".*",$E$7:$E$183,"D")</f>
        <v>0</v>
      </c>
    </row>
    <row r="79" spans="2:11" ht="15" customHeight="1" x14ac:dyDescent="0.3">
      <c r="B79" s="29" t="s">
        <v>103</v>
      </c>
      <c r="C79" s="29" t="s">
        <v>219</v>
      </c>
      <c r="D79" s="29" t="s">
        <v>220</v>
      </c>
      <c r="E79" s="29" t="s">
        <v>32</v>
      </c>
      <c r="F79" s="7" t="str">
        <f>INDEX('90_SEMA'!$G$7:$H$183,73,NYELV_IDX)</f>
        <v>1. Értékhelyesbítés értékelési tartaléka</v>
      </c>
      <c r="G79" s="37">
        <f>SUMPRODUCT('03_ADATBEVITEL'!$E79:$X79,'03_ADATBEVITEL'!$E$4:$X$4,'03_ADATBEVITEL'!$E$2:$X$2)</f>
        <v>0</v>
      </c>
      <c r="H79" s="37">
        <f>SUMIF('10_NAPLO'!$G$7:$G$806,$B79,'10_NAPLO'!$I$7:$I$806)</f>
        <v>0</v>
      </c>
      <c r="I79" s="37">
        <f>SUMIF('10_NAPLO'!$G$7:$G$806,$B79,'10_NAPLO'!$J$7:$J$806)</f>
        <v>0</v>
      </c>
      <c r="J79" s="37">
        <f>IF($D79="T",$H79-$I79,$I79-$H79)</f>
        <v>0</v>
      </c>
      <c r="K79" s="37">
        <f>$G79+$J79</f>
        <v>0</v>
      </c>
    </row>
    <row r="80" spans="2:11" ht="15" customHeight="1" x14ac:dyDescent="0.3">
      <c r="B80" s="29" t="s">
        <v>104</v>
      </c>
      <c r="C80" s="29" t="s">
        <v>219</v>
      </c>
      <c r="D80" s="29" t="s">
        <v>220</v>
      </c>
      <c r="E80" s="29" t="s">
        <v>32</v>
      </c>
      <c r="F80" s="7" t="str">
        <f>INDEX('90_SEMA'!$G$7:$H$183,74,NYELV_IDX)</f>
        <v>2. Valós értékelés értékelési tartaléka</v>
      </c>
      <c r="G80" s="37">
        <f>SUMPRODUCT('03_ADATBEVITEL'!$E80:$X80,'03_ADATBEVITEL'!$E$4:$X$4,'03_ADATBEVITEL'!$E$2:$X$2)</f>
        <v>0</v>
      </c>
      <c r="H80" s="37">
        <f>SUMIF('10_NAPLO'!$G$7:$G$806,$B80,'10_NAPLO'!$I$7:$I$806)</f>
        <v>0</v>
      </c>
      <c r="I80" s="37">
        <f>SUMIF('10_NAPLO'!$G$7:$G$806,$B80,'10_NAPLO'!$J$7:$J$806)</f>
        <v>0</v>
      </c>
      <c r="J80" s="37">
        <f>IF($D80="T",$H80-$I80,$I80-$H80)</f>
        <v>0</v>
      </c>
      <c r="K80" s="37">
        <f>$G80+$J80</f>
        <v>0</v>
      </c>
    </row>
    <row r="81" spans="2:11" ht="15" customHeight="1" x14ac:dyDescent="0.3">
      <c r="B81" s="29" t="s">
        <v>105</v>
      </c>
      <c r="C81" s="29" t="s">
        <v>219</v>
      </c>
      <c r="D81" s="29" t="s">
        <v>220</v>
      </c>
      <c r="E81" s="29" t="s">
        <v>32</v>
      </c>
      <c r="F81" s="32" t="str">
        <f>INDEX('90_SEMA'!$G$7:$H$183,75,NYELV_IDX)</f>
        <v>VII. Korrigált adózott eredmény</v>
      </c>
      <c r="G81" s="37">
        <f>SUMPRODUCT('03_ADATBEVITEL'!$E81:$X81,'03_ADATBEVITEL'!$E$4:$X$4,'03_ADATBEVITEL'!$E$2:$X$2)</f>
        <v>0</v>
      </c>
      <c r="H81" s="37">
        <f>SUMIF('10_NAPLO'!$G$7:$G$806,$B81,'10_NAPLO'!$I$7:$I$806)</f>
        <v>0</v>
      </c>
      <c r="I81" s="37">
        <f>SUMIF('10_NAPLO'!$G$7:$G$806,$B81,'10_NAPLO'!$J$7:$J$806)</f>
        <v>0</v>
      </c>
      <c r="J81" s="37">
        <f>IF($D81="T",$H81-$I81,$I81-$H81)</f>
        <v>0</v>
      </c>
      <c r="K81" s="36">
        <f>IF(EK_VALT=1,$K$128+$K$131+$K$134+$K$136-$K$137-$K$143-$K$147-$K$148-$K$150+$K$151-$K$164-$K$174-$K$175-$K$176-$K$177-$K$178+$K$86,$K$128-$K$180-$K$141-$K$142-$K$181-$K$182-$K$183+$K$134+$K$136-$K$148-$K$150+$K$151-$K$164-$K$174-$K$175-$K$176-$K$177-$K$178+$K$86)</f>
        <v>0</v>
      </c>
    </row>
    <row r="82" spans="2:11" ht="15" customHeight="1" x14ac:dyDescent="0.3">
      <c r="B82" s="29" t="s">
        <v>106</v>
      </c>
      <c r="C82" s="29" t="s">
        <v>219</v>
      </c>
      <c r="D82" s="29" t="s">
        <v>220</v>
      </c>
      <c r="E82" s="29" t="s">
        <v>32</v>
      </c>
      <c r="F82" s="32" t="str">
        <f>INDEX('90_SEMA'!$G$7:$H$183,76,NYELV_IDX)</f>
        <v>VIII. Leányvállalati saját tőke változás (±)</v>
      </c>
      <c r="G82" s="37">
        <f>SUMPRODUCT('03_ADATBEVITEL'!$E82:$X82,'03_ADATBEVITEL'!$E$4:$X$4,'03_ADATBEVITEL'!$E$2:$X$2)</f>
        <v>0</v>
      </c>
      <c r="H82" s="37">
        <f>SUMIF('10_NAPLO'!$G$7:$G$806,$B82,'10_NAPLO'!$I$7:$I$806)</f>
        <v>0</v>
      </c>
      <c r="I82" s="37">
        <f>SUMIF('10_NAPLO'!$G$7:$G$806,$B82,'10_NAPLO'!$J$7:$J$806)</f>
        <v>0</v>
      </c>
      <c r="J82" s="37">
        <f>IF($D82="T",$H82-$I82,$I82-$H82)</f>
        <v>0</v>
      </c>
      <c r="K82" s="37">
        <f>$G82+$J82</f>
        <v>0</v>
      </c>
    </row>
    <row r="83" spans="2:11" ht="15" customHeight="1" x14ac:dyDescent="0.3">
      <c r="B83" s="29" t="s">
        <v>107</v>
      </c>
      <c r="C83" s="29" t="s">
        <v>219</v>
      </c>
      <c r="D83" s="29" t="s">
        <v>220</v>
      </c>
      <c r="E83" s="29" t="s">
        <v>29</v>
      </c>
      <c r="F83" s="32" t="str">
        <f>INDEX('90_SEMA'!$G$7:$H$183,77,NYELV_IDX)</f>
        <v>IX. Konszolidáció miatti változások (±)</v>
      </c>
      <c r="G83" s="31">
        <f>SUMIFS(G$7:G$183,$B$7:$B$183,$B83&amp;".*",$E$7:$E$183,"D")</f>
        <v>0</v>
      </c>
      <c r="H83" s="31">
        <f>SUMIFS(H$7:H$183,$B$7:$B$183,$B83&amp;".*",$E$7:$E$183,"D")</f>
        <v>0</v>
      </c>
      <c r="I83" s="31">
        <f>SUMIFS(I$7:I$183,$B$7:$B$183,$B83&amp;".*",$E$7:$E$183,"D")</f>
        <v>0</v>
      </c>
      <c r="J83" s="31">
        <f>SUMIFS(J$7:J$183,$B$7:$B$183,$B83&amp;".*",$E$7:$E$183,"D")</f>
        <v>0</v>
      </c>
      <c r="K83" s="31">
        <f>SUMIFS(K$7:K$183,$B$7:$B$183,$B83&amp;".*",$E$7:$E$183,"D")</f>
        <v>0</v>
      </c>
    </row>
    <row r="84" spans="2:11" ht="15" customHeight="1" x14ac:dyDescent="0.3">
      <c r="B84" s="29" t="s">
        <v>108</v>
      </c>
      <c r="C84" s="29" t="s">
        <v>219</v>
      </c>
      <c r="D84" s="29" t="s">
        <v>220</v>
      </c>
      <c r="E84" s="29" t="s">
        <v>32</v>
      </c>
      <c r="F84" s="7" t="str">
        <f>INDEX('90_SEMA'!$G$7:$H$183,78,NYELV_IDX)</f>
        <v xml:space="preserve">     – adósságkonszolidálás különbözetéből</v>
      </c>
      <c r="G84" s="37">
        <f>SUMPRODUCT('03_ADATBEVITEL'!$E84:$X84,'03_ADATBEVITEL'!$E$4:$X$4,'03_ADATBEVITEL'!$E$2:$X$2)</f>
        <v>0</v>
      </c>
      <c r="H84" s="37">
        <f>SUMIF('10_NAPLO'!$G$7:$G$806,$B84,'10_NAPLO'!$I$7:$I$806)</f>
        <v>0</v>
      </c>
      <c r="I84" s="37">
        <f>SUMIF('10_NAPLO'!$G$7:$G$806,$B84,'10_NAPLO'!$J$7:$J$806)</f>
        <v>0</v>
      </c>
      <c r="J84" s="37">
        <f>IF($D84="T",$H84-$I84,$I84-$H84)</f>
        <v>0</v>
      </c>
      <c r="K84" s="37">
        <f>$G84+$J84</f>
        <v>0</v>
      </c>
    </row>
    <row r="85" spans="2:11" ht="15" customHeight="1" x14ac:dyDescent="0.3">
      <c r="B85" s="29" t="s">
        <v>109</v>
      </c>
      <c r="C85" s="29" t="s">
        <v>219</v>
      </c>
      <c r="D85" s="29" t="s">
        <v>220</v>
      </c>
      <c r="E85" s="29" t="s">
        <v>32</v>
      </c>
      <c r="F85" s="7" t="str">
        <f>INDEX('90_SEMA'!$G$7:$H$183,79,NYELV_IDX)</f>
        <v xml:space="preserve">     – közbenső eredmény különbözetéből</v>
      </c>
      <c r="G85" s="37">
        <f>SUMPRODUCT('03_ADATBEVITEL'!$E85:$X85,'03_ADATBEVITEL'!$E$4:$X$4,'03_ADATBEVITEL'!$E$2:$X$2)</f>
        <v>0</v>
      </c>
      <c r="H85" s="37">
        <f>SUMIF('10_NAPLO'!$G$7:$G$806,$B85,'10_NAPLO'!$I$7:$I$806)</f>
        <v>0</v>
      </c>
      <c r="I85" s="37">
        <f>SUMIF('10_NAPLO'!$G$7:$G$806,$B85,'10_NAPLO'!$J$7:$J$806)</f>
        <v>0</v>
      </c>
      <c r="J85" s="37">
        <f>IF($D85="T",$H85-$I85,$I85-$H85)</f>
        <v>0</v>
      </c>
      <c r="K85" s="37">
        <f>$G85+$J85</f>
        <v>0</v>
      </c>
    </row>
    <row r="86" spans="2:11" ht="15" customHeight="1" x14ac:dyDescent="0.3">
      <c r="B86" s="29" t="s">
        <v>110</v>
      </c>
      <c r="C86" s="29" t="s">
        <v>219</v>
      </c>
      <c r="D86" s="29" t="s">
        <v>220</v>
      </c>
      <c r="E86" s="29" t="s">
        <v>32</v>
      </c>
      <c r="F86" s="7" t="str">
        <f>INDEX('90_SEMA'!$G$7:$H$183,80,NYELV_IDX)</f>
        <v>Devizás átszámítás különbözete [Szt. 123. § (9)]</v>
      </c>
      <c r="G86" s="37">
        <f>IF(EK_VALT=1,+SUMPRODUCT('03_ADATBEVITEL'!$E128:$X128,('03_ADATBEVITEL'!$E$2:$X$2-'03_ADATBEVITEL'!$E$3:$X$3))+SUMPRODUCT('03_ADATBEVITEL'!$E131:$X131,('03_ADATBEVITEL'!$E$2:$X$2-'03_ADATBEVITEL'!$E$3:$X$3))+SUMPRODUCT('03_ADATBEVITEL'!$E134:$X134,('03_ADATBEVITEL'!$E$2:$X$2-'03_ADATBEVITEL'!$E$3:$X$3))+SUMPRODUCT('03_ADATBEVITEL'!$E136:$X136,('03_ADATBEVITEL'!$E$2:$X$2-'03_ADATBEVITEL'!$E$3:$X$3))-SUMPRODUCT('03_ADATBEVITEL'!$E137:$X137,('03_ADATBEVITEL'!$E$2:$X$2-'03_ADATBEVITEL'!$E$3:$X$3))-SUMPRODUCT('03_ADATBEVITEL'!$E143:$X143,('03_ADATBEVITEL'!$E$2:$X$2-'03_ADATBEVITEL'!$E$3:$X$3))-SUMPRODUCT('03_ADATBEVITEL'!$E147:$X147,('03_ADATBEVITEL'!$E$2:$X$2-'03_ADATBEVITEL'!$E$3:$X$3))-SUMPRODUCT('03_ADATBEVITEL'!$E148:$X148,('03_ADATBEVITEL'!$E$2:$X$2-'03_ADATBEVITEL'!$E$3:$X$3))-SUMPRODUCT('03_ADATBEVITEL'!$E150:$X150,('03_ADATBEVITEL'!$E$2:$X$2-'03_ADATBEVITEL'!$E$3:$X$3))+SUMPRODUCT('03_ADATBEVITEL'!$E151:$X151,('03_ADATBEVITEL'!$E$2:$X$2-'03_ADATBEVITEL'!$E$3:$X$3))-SUMPRODUCT('03_ADATBEVITEL'!$E164:$X164,('03_ADATBEVITEL'!$E$2:$X$2-'03_ADATBEVITEL'!$E$3:$X$3))-SUMPRODUCT('03_ADATBEVITEL'!$E174:$X174,('03_ADATBEVITEL'!$E$2:$X$2-'03_ADATBEVITEL'!$E$3:$X$3))-SUMPRODUCT('03_ADATBEVITEL'!$E175:$X175,('03_ADATBEVITEL'!$E$2:$X$2-'03_ADATBEVITEL'!$E$3:$X$3))-SUMPRODUCT('03_ADATBEVITEL'!$E176:$X176,('03_ADATBEVITEL'!$E$2:$X$2-'03_ADATBEVITEL'!$E$3:$X$3))-SUMPRODUCT('03_ADATBEVITEL'!$E177:$X177,('03_ADATBEVITEL'!$E$2:$X$2-'03_ADATBEVITEL'!$E$3:$X$3))-SUMPRODUCT('03_ADATBEVITEL'!$E178:$X178,('03_ADATBEVITEL'!$E$2:$X$2-'03_ADATBEVITEL'!$E$3:$X$3)),+SUMPRODUCT('03_ADATBEVITEL'!$E128:$X128,('03_ADATBEVITEL'!$E$2:$X$2-'03_ADATBEVITEL'!$E$3:$X$3))-SUMPRODUCT('03_ADATBEVITEL'!$E180:$X180,('03_ADATBEVITEL'!$E$2:$X$2-'03_ADATBEVITEL'!$E$3:$X$3))-SUMPRODUCT('03_ADATBEVITEL'!$E141:$X141,('03_ADATBEVITEL'!$E$2:$X$2-'03_ADATBEVITEL'!$E$3:$X$3))-SUMPRODUCT('03_ADATBEVITEL'!$E142:$X142,('03_ADATBEVITEL'!$E$2:$X$2-'03_ADATBEVITEL'!$E$3:$X$3))-SUMPRODUCT('03_ADATBEVITEL'!$E181:$X181,('03_ADATBEVITEL'!$E$2:$X$2-'03_ADATBEVITEL'!$E$3:$X$3))-SUMPRODUCT('03_ADATBEVITEL'!$E182:$X182,('03_ADATBEVITEL'!$E$2:$X$2-'03_ADATBEVITEL'!$E$3:$X$3))-SUMPRODUCT('03_ADATBEVITEL'!$E183:$X183,('03_ADATBEVITEL'!$E$2:$X$2-'03_ADATBEVITEL'!$E$3:$X$3))+SUMPRODUCT('03_ADATBEVITEL'!$E134:$X134,('03_ADATBEVITEL'!$E$2:$X$2-'03_ADATBEVITEL'!$E$3:$X$3))+SUMPRODUCT('03_ADATBEVITEL'!$E136:$X136,('03_ADATBEVITEL'!$E$2:$X$2-'03_ADATBEVITEL'!$E$3:$X$3))-SUMPRODUCT('03_ADATBEVITEL'!$E148:$X148,('03_ADATBEVITEL'!$E$2:$X$2-'03_ADATBEVITEL'!$E$3:$X$3))-SUMPRODUCT('03_ADATBEVITEL'!$E150:$X150,('03_ADATBEVITEL'!$E$2:$X$2-'03_ADATBEVITEL'!$E$3:$X$3))+SUMPRODUCT('03_ADATBEVITEL'!$E151:$X151,('03_ADATBEVITEL'!$E$2:$X$2-'03_ADATBEVITEL'!$E$3:$X$3))-SUMPRODUCT('03_ADATBEVITEL'!$E164:$X164,('03_ADATBEVITEL'!$E$2:$X$2-'03_ADATBEVITEL'!$E$3:$X$3))-SUMPRODUCT('03_ADATBEVITEL'!$E174:$X174,('03_ADATBEVITEL'!$E$2:$X$2-'03_ADATBEVITEL'!$E$3:$X$3))-SUMPRODUCT('03_ADATBEVITEL'!$E175:$X175,('03_ADATBEVITEL'!$E$2:$X$2-'03_ADATBEVITEL'!$E$3:$X$3))-SUMPRODUCT('03_ADATBEVITEL'!$E176:$X176,('03_ADATBEVITEL'!$E$2:$X$2-'03_ADATBEVITEL'!$E$3:$X$3))-SUMPRODUCT('03_ADATBEVITEL'!$E177:$X177,('03_ADATBEVITEL'!$E$2:$X$2-'03_ADATBEVITEL'!$E$3:$X$3))-SUMPRODUCT('03_ADATBEVITEL'!$E178:$X178,('03_ADATBEVITEL'!$E$2:$X$2-'03_ADATBEVITEL'!$E$3:$X$3)))</f>
        <v>0</v>
      </c>
      <c r="H86" s="37">
        <f>SUMIF('10_NAPLO'!$G$7:$G$806,$B86,'10_NAPLO'!$I$7:$I$806)</f>
        <v>0</v>
      </c>
      <c r="I86" s="37">
        <f>SUMIF('10_NAPLO'!$G$7:$G$806,$B86,'10_NAPLO'!$J$7:$J$806)</f>
        <v>0</v>
      </c>
      <c r="J86" s="37">
        <f>IF($D86="T",$H86-$I86,$I86-$H86)</f>
        <v>0</v>
      </c>
      <c r="K86" s="37">
        <f>$G86+$J86</f>
        <v>0</v>
      </c>
    </row>
    <row r="87" spans="2:11" ht="15" customHeight="1" x14ac:dyDescent="0.3">
      <c r="B87" s="29" t="s">
        <v>111</v>
      </c>
      <c r="C87" s="29" t="s">
        <v>219</v>
      </c>
      <c r="D87" s="29" t="s">
        <v>220</v>
      </c>
      <c r="E87" s="29" t="s">
        <v>32</v>
      </c>
      <c r="F87" s="32" t="str">
        <f>INDEX('90_SEMA'!$G$7:$H$183,81,NYELV_IDX)</f>
        <v>X. Külső tagok (más tulajdonosok) részesedése</v>
      </c>
      <c r="G87" s="37">
        <f>SUMPRODUCT('03_ADATBEVITEL'!$E87:$X87,'03_ADATBEVITEL'!$E$4:$X$4,'03_ADATBEVITEL'!$E$2:$X$2)</f>
        <v>0</v>
      </c>
      <c r="H87" s="37">
        <f>SUMIF('10_NAPLO'!$G$7:$G$806,$B87,'10_NAPLO'!$I$7:$I$806)</f>
        <v>0</v>
      </c>
      <c r="I87" s="37">
        <f>SUMIF('10_NAPLO'!$G$7:$G$806,$B87,'10_NAPLO'!$J$7:$J$806)</f>
        <v>0</v>
      </c>
      <c r="J87" s="37">
        <f>IF($D87="T",$H87-$I87,$I87-$H87)</f>
        <v>0</v>
      </c>
      <c r="K87" s="37">
        <f>$G87+$J87</f>
        <v>0</v>
      </c>
    </row>
    <row r="88" spans="2:11" ht="15" customHeight="1" x14ac:dyDescent="0.3">
      <c r="B88" s="29" t="s">
        <v>112</v>
      </c>
      <c r="C88" s="29" t="s">
        <v>219</v>
      </c>
      <c r="D88" s="29" t="s">
        <v>220</v>
      </c>
      <c r="E88" s="29" t="s">
        <v>29</v>
      </c>
      <c r="F88" s="30" t="str">
        <f>INDEX('90_SEMA'!$G$7:$H$183,82,NYELV_IDX)</f>
        <v>E. Céltartalékok</v>
      </c>
      <c r="G88" s="31">
        <f>SUMIFS(G$7:G$183,$B$7:$B$183,$B88&amp;".*",$E$7:$E$183,"D")</f>
        <v>0</v>
      </c>
      <c r="H88" s="31">
        <f>SUMIFS(H$7:H$183,$B$7:$B$183,$B88&amp;".*",$E$7:$E$183,"D")</f>
        <v>0</v>
      </c>
      <c r="I88" s="31">
        <f>SUMIFS(I$7:I$183,$B$7:$B$183,$B88&amp;".*",$E$7:$E$183,"D")</f>
        <v>0</v>
      </c>
      <c r="J88" s="31">
        <f>SUMIFS(J$7:J$183,$B$7:$B$183,$B88&amp;".*",$E$7:$E$183,"D")</f>
        <v>0</v>
      </c>
      <c r="K88" s="31">
        <f>SUMIFS(K$7:K$183,$B$7:$B$183,$B88&amp;".*",$E$7:$E$183,"D")</f>
        <v>0</v>
      </c>
    </row>
    <row r="89" spans="2:11" ht="15" customHeight="1" x14ac:dyDescent="0.3">
      <c r="B89" s="29" t="s">
        <v>113</v>
      </c>
      <c r="C89" s="29" t="s">
        <v>219</v>
      </c>
      <c r="D89" s="29" t="s">
        <v>220</v>
      </c>
      <c r="E89" s="29" t="s">
        <v>32</v>
      </c>
      <c r="F89" s="7" t="str">
        <f>INDEX('90_SEMA'!$G$7:$H$183,83,NYELV_IDX)</f>
        <v>1. Céltartalék a várható kötelezettségekre</v>
      </c>
      <c r="G89" s="37">
        <f>SUMPRODUCT('03_ADATBEVITEL'!$E89:$X89,'03_ADATBEVITEL'!$E$4:$X$4,'03_ADATBEVITEL'!$E$2:$X$2)</f>
        <v>0</v>
      </c>
      <c r="H89" s="37">
        <f>SUMIF('10_NAPLO'!$G$7:$G$806,$B89,'10_NAPLO'!$I$7:$I$806)</f>
        <v>0</v>
      </c>
      <c r="I89" s="37">
        <f>SUMIF('10_NAPLO'!$G$7:$G$806,$B89,'10_NAPLO'!$J$7:$J$806)</f>
        <v>0</v>
      </c>
      <c r="J89" s="37">
        <f>IF($D89="T",$H89-$I89,$I89-$H89)</f>
        <v>0</v>
      </c>
      <c r="K89" s="37">
        <f>$G89+$J89</f>
        <v>0</v>
      </c>
    </row>
    <row r="90" spans="2:11" ht="15" customHeight="1" x14ac:dyDescent="0.3">
      <c r="B90" s="29" t="s">
        <v>114</v>
      </c>
      <c r="C90" s="29" t="s">
        <v>219</v>
      </c>
      <c r="D90" s="29" t="s">
        <v>220</v>
      </c>
      <c r="E90" s="29" t="s">
        <v>32</v>
      </c>
      <c r="F90" s="7" t="str">
        <f>INDEX('90_SEMA'!$G$7:$H$183,84,NYELV_IDX)</f>
        <v>2. Céltartalék a jövőbeni költségekre</v>
      </c>
      <c r="G90" s="37">
        <f>SUMPRODUCT('03_ADATBEVITEL'!$E90:$X90,'03_ADATBEVITEL'!$E$4:$X$4,'03_ADATBEVITEL'!$E$2:$X$2)</f>
        <v>0</v>
      </c>
      <c r="H90" s="37">
        <f>SUMIF('10_NAPLO'!$G$7:$G$806,$B90,'10_NAPLO'!$I$7:$I$806)</f>
        <v>0</v>
      </c>
      <c r="I90" s="37">
        <f>SUMIF('10_NAPLO'!$G$7:$G$806,$B90,'10_NAPLO'!$J$7:$J$806)</f>
        <v>0</v>
      </c>
      <c r="J90" s="37">
        <f>IF($D90="T",$H90-$I90,$I90-$H90)</f>
        <v>0</v>
      </c>
      <c r="K90" s="37">
        <f>$G90+$J90</f>
        <v>0</v>
      </c>
    </row>
    <row r="91" spans="2:11" ht="15" customHeight="1" x14ac:dyDescent="0.3">
      <c r="B91" s="29" t="s">
        <v>115</v>
      </c>
      <c r="C91" s="29" t="s">
        <v>219</v>
      </c>
      <c r="D91" s="29" t="s">
        <v>220</v>
      </c>
      <c r="E91" s="29" t="s">
        <v>32</v>
      </c>
      <c r="F91" s="7" t="str">
        <f>INDEX('90_SEMA'!$G$7:$H$183,85,NYELV_IDX)</f>
        <v>3. Egyéb céltartalék</v>
      </c>
      <c r="G91" s="37">
        <f>SUMPRODUCT('03_ADATBEVITEL'!$E91:$X91,'03_ADATBEVITEL'!$E$4:$X$4,'03_ADATBEVITEL'!$E$2:$X$2)</f>
        <v>0</v>
      </c>
      <c r="H91" s="37">
        <f>SUMIF('10_NAPLO'!$G$7:$G$806,$B91,'10_NAPLO'!$I$7:$I$806)</f>
        <v>0</v>
      </c>
      <c r="I91" s="37">
        <f>SUMIF('10_NAPLO'!$G$7:$G$806,$B91,'10_NAPLO'!$J$7:$J$806)</f>
        <v>0</v>
      </c>
      <c r="J91" s="37">
        <f>IF($D91="T",$H91-$I91,$I91-$H91)</f>
        <v>0</v>
      </c>
      <c r="K91" s="37">
        <f>$G91+$J91</f>
        <v>0</v>
      </c>
    </row>
    <row r="92" spans="2:11" ht="15" customHeight="1" x14ac:dyDescent="0.3">
      <c r="B92" s="29" t="s">
        <v>116</v>
      </c>
      <c r="C92" s="29" t="s">
        <v>219</v>
      </c>
      <c r="D92" s="29" t="s">
        <v>220</v>
      </c>
      <c r="E92" s="29" t="s">
        <v>29</v>
      </c>
      <c r="F92" s="30" t="str">
        <f>INDEX('90_SEMA'!$G$7:$H$183,86,NYELV_IDX)</f>
        <v>F. Kötelezettségek</v>
      </c>
      <c r="G92" s="31">
        <f t="shared" ref="G92:K93" si="16">SUMIFS(G$7:G$183,$B$7:$B$183,$B92&amp;".*",$E$7:$E$183,"D")</f>
        <v>0</v>
      </c>
      <c r="H92" s="31">
        <f t="shared" si="16"/>
        <v>0</v>
      </c>
      <c r="I92" s="31">
        <f t="shared" si="16"/>
        <v>0</v>
      </c>
      <c r="J92" s="31">
        <f t="shared" si="16"/>
        <v>0</v>
      </c>
      <c r="K92" s="31">
        <f t="shared" si="16"/>
        <v>0</v>
      </c>
    </row>
    <row r="93" spans="2:11" ht="15" customHeight="1" x14ac:dyDescent="0.3">
      <c r="B93" s="29" t="s">
        <v>117</v>
      </c>
      <c r="C93" s="29" t="s">
        <v>219</v>
      </c>
      <c r="D93" s="29" t="s">
        <v>220</v>
      </c>
      <c r="E93" s="29" t="s">
        <v>29</v>
      </c>
      <c r="F93" s="32" t="str">
        <f>INDEX('90_SEMA'!$G$7:$H$183,87,NYELV_IDX)</f>
        <v>I. HÁTRASOROLT KÖTELEZETTSÉGEK</v>
      </c>
      <c r="G93" s="31">
        <f t="shared" si="16"/>
        <v>0</v>
      </c>
      <c r="H93" s="31">
        <f t="shared" si="16"/>
        <v>0</v>
      </c>
      <c r="I93" s="31">
        <f t="shared" si="16"/>
        <v>0</v>
      </c>
      <c r="J93" s="31">
        <f t="shared" si="16"/>
        <v>0</v>
      </c>
      <c r="K93" s="31">
        <f t="shared" si="16"/>
        <v>0</v>
      </c>
    </row>
    <row r="94" spans="2:11" ht="15" customHeight="1" x14ac:dyDescent="0.3">
      <c r="B94" s="29" t="s">
        <v>118</v>
      </c>
      <c r="C94" s="29" t="s">
        <v>219</v>
      </c>
      <c r="D94" s="29" t="s">
        <v>220</v>
      </c>
      <c r="E94" s="29" t="s">
        <v>32</v>
      </c>
      <c r="F94" s="7" t="str">
        <f>INDEX('90_SEMA'!$G$7:$H$183,88,NYELV_IDX)</f>
        <v>1. Hátrasorolt kötelezettségek kapcsolt vállalkozással szemben</v>
      </c>
      <c r="G94" s="37">
        <f>SUMPRODUCT('03_ADATBEVITEL'!$E94:$X94,'03_ADATBEVITEL'!$E$4:$X$4,'03_ADATBEVITEL'!$E$2:$X$2)</f>
        <v>0</v>
      </c>
      <c r="H94" s="37">
        <f>SUMIF('10_NAPLO'!$G$7:$G$806,$B94,'10_NAPLO'!$I$7:$I$806)</f>
        <v>0</v>
      </c>
      <c r="I94" s="37">
        <f>SUMIF('10_NAPLO'!$G$7:$G$806,$B94,'10_NAPLO'!$J$7:$J$806)</f>
        <v>0</v>
      </c>
      <c r="J94" s="37">
        <f>IF($D94="T",$H94-$I94,$I94-$H94)</f>
        <v>0</v>
      </c>
      <c r="K94" s="37">
        <f>$G94+$J94</f>
        <v>0</v>
      </c>
    </row>
    <row r="95" spans="2:11" ht="15" customHeight="1" x14ac:dyDescent="0.3">
      <c r="B95" s="29" t="s">
        <v>119</v>
      </c>
      <c r="C95" s="29" t="s">
        <v>219</v>
      </c>
      <c r="D95" s="29" t="s">
        <v>220</v>
      </c>
      <c r="E95" s="29" t="s">
        <v>32</v>
      </c>
      <c r="F95" s="7" t="str">
        <f>INDEX('90_SEMA'!$G$7:$H$183,89,NYELV_IDX)</f>
        <v>2. Hátrasorolt kötelezettségek jelentős tulajdoni részesedési viszonyban lévő vállalkozással szemben</v>
      </c>
      <c r="G95" s="37">
        <f>SUMPRODUCT('03_ADATBEVITEL'!$E95:$X95,'03_ADATBEVITEL'!$E$4:$X$4,'03_ADATBEVITEL'!$E$2:$X$2)</f>
        <v>0</v>
      </c>
      <c r="H95" s="37">
        <f>SUMIF('10_NAPLO'!$G$7:$G$806,$B95,'10_NAPLO'!$I$7:$I$806)</f>
        <v>0</v>
      </c>
      <c r="I95" s="37">
        <f>SUMIF('10_NAPLO'!$G$7:$G$806,$B95,'10_NAPLO'!$J$7:$J$806)</f>
        <v>0</v>
      </c>
      <c r="J95" s="37">
        <f>IF($D95="T",$H95-$I95,$I95-$H95)</f>
        <v>0</v>
      </c>
      <c r="K95" s="37">
        <f>$G95+$J95</f>
        <v>0</v>
      </c>
    </row>
    <row r="96" spans="2:11" ht="15" customHeight="1" x14ac:dyDescent="0.3">
      <c r="B96" s="29" t="s">
        <v>120</v>
      </c>
      <c r="C96" s="29" t="s">
        <v>219</v>
      </c>
      <c r="D96" s="29" t="s">
        <v>220</v>
      </c>
      <c r="E96" s="29" t="s">
        <v>32</v>
      </c>
      <c r="F96" s="7" t="str">
        <f>INDEX('90_SEMA'!$G$7:$H$183,90,NYELV_IDX)</f>
        <v>3. Hátrasorolt kötelezettségek egyéb részesedési viszonyban lévő vállalkozással szemben</v>
      </c>
      <c r="G96" s="37">
        <f>SUMPRODUCT('03_ADATBEVITEL'!$E96:$X96,'03_ADATBEVITEL'!$E$4:$X$4,'03_ADATBEVITEL'!$E$2:$X$2)</f>
        <v>0</v>
      </c>
      <c r="H96" s="37">
        <f>SUMIF('10_NAPLO'!$G$7:$G$806,$B96,'10_NAPLO'!$I$7:$I$806)</f>
        <v>0</v>
      </c>
      <c r="I96" s="37">
        <f>SUMIF('10_NAPLO'!$G$7:$G$806,$B96,'10_NAPLO'!$J$7:$J$806)</f>
        <v>0</v>
      </c>
      <c r="J96" s="37">
        <f>IF($D96="T",$H96-$I96,$I96-$H96)</f>
        <v>0</v>
      </c>
      <c r="K96" s="37">
        <f>$G96+$J96</f>
        <v>0</v>
      </c>
    </row>
    <row r="97" spans="2:11" ht="15" customHeight="1" x14ac:dyDescent="0.3">
      <c r="B97" s="29" t="s">
        <v>121</v>
      </c>
      <c r="C97" s="29" t="s">
        <v>219</v>
      </c>
      <c r="D97" s="29" t="s">
        <v>220</v>
      </c>
      <c r="E97" s="29" t="s">
        <v>32</v>
      </c>
      <c r="F97" s="7" t="str">
        <f>INDEX('90_SEMA'!$G$7:$H$183,91,NYELV_IDX)</f>
        <v>4. Hátrasorolt kötelezettségek egyéb gazdálkodóval szemben</v>
      </c>
      <c r="G97" s="37">
        <f>SUMPRODUCT('03_ADATBEVITEL'!$E97:$X97,'03_ADATBEVITEL'!$E$4:$X$4,'03_ADATBEVITEL'!$E$2:$X$2)</f>
        <v>0</v>
      </c>
      <c r="H97" s="37">
        <f>SUMIF('10_NAPLO'!$G$7:$G$806,$B97,'10_NAPLO'!$I$7:$I$806)</f>
        <v>0</v>
      </c>
      <c r="I97" s="37">
        <f>SUMIF('10_NAPLO'!$G$7:$G$806,$B97,'10_NAPLO'!$J$7:$J$806)</f>
        <v>0</v>
      </c>
      <c r="J97" s="37">
        <f>IF($D97="T",$H97-$I97,$I97-$H97)</f>
        <v>0</v>
      </c>
      <c r="K97" s="37">
        <f>$G97+$J97</f>
        <v>0</v>
      </c>
    </row>
    <row r="98" spans="2:11" ht="15" customHeight="1" x14ac:dyDescent="0.3">
      <c r="B98" s="29" t="s">
        <v>122</v>
      </c>
      <c r="C98" s="29" t="s">
        <v>219</v>
      </c>
      <c r="D98" s="29" t="s">
        <v>220</v>
      </c>
      <c r="E98" s="29" t="s">
        <v>32</v>
      </c>
      <c r="F98" s="7" t="str">
        <f>INDEX('90_SEMA'!$G$7:$H$183,92,NYELV_IDX)</f>
        <v>5. Tőkekonszolidációs különbözet leányvállalatokból</v>
      </c>
      <c r="G98" s="37">
        <f>SUMPRODUCT('03_ADATBEVITEL'!$E98:$X98,'03_ADATBEVITEL'!$E$4:$X$4,'03_ADATBEVITEL'!$E$2:$X$2)</f>
        <v>0</v>
      </c>
      <c r="H98" s="37">
        <f>SUMIF('10_NAPLO'!$G$7:$G$806,$B98,'10_NAPLO'!$I$7:$I$806)</f>
        <v>0</v>
      </c>
      <c r="I98" s="37">
        <f>SUMIF('10_NAPLO'!$G$7:$G$806,$B98,'10_NAPLO'!$J$7:$J$806)</f>
        <v>0</v>
      </c>
      <c r="J98" s="37">
        <f>IF($D98="T",$H98-$I98,$I98-$H98)</f>
        <v>0</v>
      </c>
      <c r="K98" s="37">
        <f>$G98+$J98</f>
        <v>0</v>
      </c>
    </row>
    <row r="99" spans="2:11" ht="15" customHeight="1" x14ac:dyDescent="0.3">
      <c r="B99" s="29" t="s">
        <v>123</v>
      </c>
      <c r="C99" s="29" t="s">
        <v>219</v>
      </c>
      <c r="D99" s="29" t="s">
        <v>220</v>
      </c>
      <c r="E99" s="29" t="s">
        <v>29</v>
      </c>
      <c r="F99" s="32" t="str">
        <f>INDEX('90_SEMA'!$G$7:$H$183,93,NYELV_IDX)</f>
        <v>II. HOSSZÚ LEJÁRATÚ KÖTELEZETTSÉGEK</v>
      </c>
      <c r="G99" s="31">
        <f>SUMIFS(G$7:G$183,$B$7:$B$183,$B99&amp;".*",$E$7:$E$183,"D")</f>
        <v>0</v>
      </c>
      <c r="H99" s="31">
        <f>SUMIFS(H$7:H$183,$B$7:$B$183,$B99&amp;".*",$E$7:$E$183,"D")</f>
        <v>0</v>
      </c>
      <c r="I99" s="31">
        <f>SUMIFS(I$7:I$183,$B$7:$B$183,$B99&amp;".*",$E$7:$E$183,"D")</f>
        <v>0</v>
      </c>
      <c r="J99" s="31">
        <f>SUMIFS(J$7:J$183,$B$7:$B$183,$B99&amp;".*",$E$7:$E$183,"D")</f>
        <v>0</v>
      </c>
      <c r="K99" s="31">
        <f>SUMIFS(K$7:K$183,$B$7:$B$183,$B99&amp;".*",$E$7:$E$183,"D")</f>
        <v>0</v>
      </c>
    </row>
    <row r="100" spans="2:11" ht="15" customHeight="1" x14ac:dyDescent="0.3">
      <c r="B100" s="29" t="s">
        <v>124</v>
      </c>
      <c r="C100" s="29" t="s">
        <v>219</v>
      </c>
      <c r="D100" s="29" t="s">
        <v>220</v>
      </c>
      <c r="E100" s="29" t="s">
        <v>32</v>
      </c>
      <c r="F100" s="7" t="str">
        <f>INDEX('90_SEMA'!$G$7:$H$183,94,NYELV_IDX)</f>
        <v>1. Hosszú lejáratra kapott kölcsönök</v>
      </c>
      <c r="G100" s="37">
        <f>SUMPRODUCT('03_ADATBEVITEL'!$E100:$X100,'03_ADATBEVITEL'!$E$4:$X$4,'03_ADATBEVITEL'!$E$2:$X$2)</f>
        <v>0</v>
      </c>
      <c r="H100" s="37">
        <f>SUMIF('10_NAPLO'!$G$7:$G$806,$B100,'10_NAPLO'!$I$7:$I$806)</f>
        <v>0</v>
      </c>
      <c r="I100" s="37">
        <f>SUMIF('10_NAPLO'!$G$7:$G$806,$B100,'10_NAPLO'!$J$7:$J$806)</f>
        <v>0</v>
      </c>
      <c r="J100" s="37">
        <f t="shared" ref="J100:J109" si="17">IF($D100="T",$H100-$I100,$I100-$H100)</f>
        <v>0</v>
      </c>
      <c r="K100" s="37">
        <f t="shared" ref="K100:K109" si="18">$G100+$J100</f>
        <v>0</v>
      </c>
    </row>
    <row r="101" spans="2:11" ht="15" customHeight="1" x14ac:dyDescent="0.3">
      <c r="B101" s="29" t="s">
        <v>125</v>
      </c>
      <c r="C101" s="29" t="s">
        <v>219</v>
      </c>
      <c r="D101" s="29" t="s">
        <v>220</v>
      </c>
      <c r="E101" s="29" t="s">
        <v>32</v>
      </c>
      <c r="F101" s="7" t="str">
        <f>INDEX('90_SEMA'!$G$7:$H$183,95,NYELV_IDX)</f>
        <v>2. Átváltoztatható és átváltozó kötvények</v>
      </c>
      <c r="G101" s="37">
        <f>SUMPRODUCT('03_ADATBEVITEL'!$E101:$X101,'03_ADATBEVITEL'!$E$4:$X$4,'03_ADATBEVITEL'!$E$2:$X$2)</f>
        <v>0</v>
      </c>
      <c r="H101" s="37">
        <f>SUMIF('10_NAPLO'!$G$7:$G$806,$B101,'10_NAPLO'!$I$7:$I$806)</f>
        <v>0</v>
      </c>
      <c r="I101" s="37">
        <f>SUMIF('10_NAPLO'!$G$7:$G$806,$B101,'10_NAPLO'!$J$7:$J$806)</f>
        <v>0</v>
      </c>
      <c r="J101" s="37">
        <f t="shared" si="17"/>
        <v>0</v>
      </c>
      <c r="K101" s="37">
        <f t="shared" si="18"/>
        <v>0</v>
      </c>
    </row>
    <row r="102" spans="2:11" ht="15" customHeight="1" x14ac:dyDescent="0.3">
      <c r="B102" s="29" t="s">
        <v>126</v>
      </c>
      <c r="C102" s="29" t="s">
        <v>219</v>
      </c>
      <c r="D102" s="29" t="s">
        <v>220</v>
      </c>
      <c r="E102" s="29" t="s">
        <v>32</v>
      </c>
      <c r="F102" s="7" t="str">
        <f>INDEX('90_SEMA'!$G$7:$H$183,96,NYELV_IDX)</f>
        <v>3. Tartozások kötvénykibocsátásból</v>
      </c>
      <c r="G102" s="37">
        <f>SUMPRODUCT('03_ADATBEVITEL'!$E102:$X102,'03_ADATBEVITEL'!$E$4:$X$4,'03_ADATBEVITEL'!$E$2:$X$2)</f>
        <v>0</v>
      </c>
      <c r="H102" s="37">
        <f>SUMIF('10_NAPLO'!$G$7:$G$806,$B102,'10_NAPLO'!$I$7:$I$806)</f>
        <v>0</v>
      </c>
      <c r="I102" s="37">
        <f>SUMIF('10_NAPLO'!$G$7:$G$806,$B102,'10_NAPLO'!$J$7:$J$806)</f>
        <v>0</v>
      </c>
      <c r="J102" s="37">
        <f t="shared" si="17"/>
        <v>0</v>
      </c>
      <c r="K102" s="37">
        <f t="shared" si="18"/>
        <v>0</v>
      </c>
    </row>
    <row r="103" spans="2:11" ht="15" customHeight="1" x14ac:dyDescent="0.3">
      <c r="B103" s="29" t="s">
        <v>127</v>
      </c>
      <c r="C103" s="29" t="s">
        <v>219</v>
      </c>
      <c r="D103" s="29" t="s">
        <v>220</v>
      </c>
      <c r="E103" s="29" t="s">
        <v>32</v>
      </c>
      <c r="F103" s="7" t="str">
        <f>INDEX('90_SEMA'!$G$7:$H$183,97,NYELV_IDX)</f>
        <v>4. Beruházási és fejlesztési hitelek</v>
      </c>
      <c r="G103" s="37">
        <f>SUMPRODUCT('03_ADATBEVITEL'!$E103:$X103,'03_ADATBEVITEL'!$E$4:$X$4,'03_ADATBEVITEL'!$E$2:$X$2)</f>
        <v>0</v>
      </c>
      <c r="H103" s="37">
        <f>SUMIF('10_NAPLO'!$G$7:$G$806,$B103,'10_NAPLO'!$I$7:$I$806)</f>
        <v>0</v>
      </c>
      <c r="I103" s="37">
        <f>SUMIF('10_NAPLO'!$G$7:$G$806,$B103,'10_NAPLO'!$J$7:$J$806)</f>
        <v>0</v>
      </c>
      <c r="J103" s="37">
        <f t="shared" si="17"/>
        <v>0</v>
      </c>
      <c r="K103" s="37">
        <f t="shared" si="18"/>
        <v>0</v>
      </c>
    </row>
    <row r="104" spans="2:11" ht="15" customHeight="1" x14ac:dyDescent="0.3">
      <c r="B104" s="29" t="s">
        <v>128</v>
      </c>
      <c r="C104" s="29" t="s">
        <v>219</v>
      </c>
      <c r="D104" s="29" t="s">
        <v>220</v>
      </c>
      <c r="E104" s="29" t="s">
        <v>32</v>
      </c>
      <c r="F104" s="7" t="str">
        <f>INDEX('90_SEMA'!$G$7:$H$183,98,NYELV_IDX)</f>
        <v>5. Egyéb hosszú lejáratú hitelek</v>
      </c>
      <c r="G104" s="37">
        <f>SUMPRODUCT('03_ADATBEVITEL'!$E104:$X104,'03_ADATBEVITEL'!$E$4:$X$4,'03_ADATBEVITEL'!$E$2:$X$2)</f>
        <v>0</v>
      </c>
      <c r="H104" s="37">
        <f>SUMIF('10_NAPLO'!$G$7:$G$806,$B104,'10_NAPLO'!$I$7:$I$806)</f>
        <v>0</v>
      </c>
      <c r="I104" s="37">
        <f>SUMIF('10_NAPLO'!$G$7:$G$806,$B104,'10_NAPLO'!$J$7:$J$806)</f>
        <v>0</v>
      </c>
      <c r="J104" s="37">
        <f t="shared" si="17"/>
        <v>0</v>
      </c>
      <c r="K104" s="37">
        <f t="shared" si="18"/>
        <v>0</v>
      </c>
    </row>
    <row r="105" spans="2:11" ht="15" customHeight="1" x14ac:dyDescent="0.3">
      <c r="B105" s="29" t="s">
        <v>129</v>
      </c>
      <c r="C105" s="29" t="s">
        <v>219</v>
      </c>
      <c r="D105" s="29" t="s">
        <v>220</v>
      </c>
      <c r="E105" s="29" t="s">
        <v>32</v>
      </c>
      <c r="F105" s="7" t="str">
        <f>INDEX('90_SEMA'!$G$7:$H$183,99,NYELV_IDX)</f>
        <v>6. Tartós kötelezettségek kapcsolt vállalkozással szemben</v>
      </c>
      <c r="G105" s="37">
        <f>SUMPRODUCT('03_ADATBEVITEL'!$E105:$X105,'03_ADATBEVITEL'!$E$4:$X$4,'03_ADATBEVITEL'!$E$2:$X$2)</f>
        <v>0</v>
      </c>
      <c r="H105" s="37">
        <f>SUMIF('10_NAPLO'!$G$7:$G$806,$B105,'10_NAPLO'!$I$7:$I$806)</f>
        <v>0</v>
      </c>
      <c r="I105" s="37">
        <f>SUMIF('10_NAPLO'!$G$7:$G$806,$B105,'10_NAPLO'!$J$7:$J$806)</f>
        <v>0</v>
      </c>
      <c r="J105" s="37">
        <f t="shared" si="17"/>
        <v>0</v>
      </c>
      <c r="K105" s="37">
        <f t="shared" si="18"/>
        <v>0</v>
      </c>
    </row>
    <row r="106" spans="2:11" ht="15" customHeight="1" x14ac:dyDescent="0.3">
      <c r="B106" s="29" t="s">
        <v>130</v>
      </c>
      <c r="C106" s="29" t="s">
        <v>219</v>
      </c>
      <c r="D106" s="29" t="s">
        <v>220</v>
      </c>
      <c r="E106" s="29" t="s">
        <v>32</v>
      </c>
      <c r="F106" s="7" t="str">
        <f>INDEX('90_SEMA'!$G$7:$H$183,100,NYELV_IDX)</f>
        <v>7. Tartós kötelezettségek jelentős tulajdoni részesedési viszonyban lévő vállalkozásokkal szemben</v>
      </c>
      <c r="G106" s="37">
        <f>SUMPRODUCT('03_ADATBEVITEL'!$E106:$X106,'03_ADATBEVITEL'!$E$4:$X$4,'03_ADATBEVITEL'!$E$2:$X$2)</f>
        <v>0</v>
      </c>
      <c r="H106" s="37">
        <f>SUMIF('10_NAPLO'!$G$7:$G$806,$B106,'10_NAPLO'!$I$7:$I$806)</f>
        <v>0</v>
      </c>
      <c r="I106" s="37">
        <f>SUMIF('10_NAPLO'!$G$7:$G$806,$B106,'10_NAPLO'!$J$7:$J$806)</f>
        <v>0</v>
      </c>
      <c r="J106" s="37">
        <f t="shared" si="17"/>
        <v>0</v>
      </c>
      <c r="K106" s="37">
        <f t="shared" si="18"/>
        <v>0</v>
      </c>
    </row>
    <row r="107" spans="2:11" ht="15" customHeight="1" x14ac:dyDescent="0.3">
      <c r="B107" s="29" t="s">
        <v>131</v>
      </c>
      <c r="C107" s="29" t="s">
        <v>219</v>
      </c>
      <c r="D107" s="29" t="s">
        <v>220</v>
      </c>
      <c r="E107" s="29" t="s">
        <v>32</v>
      </c>
      <c r="F107" s="7" t="str">
        <f>INDEX('90_SEMA'!$G$7:$H$183,101,NYELV_IDX)</f>
        <v>8. Tartós kötelezettségek egyéb részesedési viszonyban lévő vállalkozással szemben</v>
      </c>
      <c r="G107" s="37">
        <f>SUMPRODUCT('03_ADATBEVITEL'!$E107:$X107,'03_ADATBEVITEL'!$E$4:$X$4,'03_ADATBEVITEL'!$E$2:$X$2)</f>
        <v>0</v>
      </c>
      <c r="H107" s="37">
        <f>SUMIF('10_NAPLO'!$G$7:$G$806,$B107,'10_NAPLO'!$I$7:$I$806)</f>
        <v>0</v>
      </c>
      <c r="I107" s="37">
        <f>SUMIF('10_NAPLO'!$G$7:$G$806,$B107,'10_NAPLO'!$J$7:$J$806)</f>
        <v>0</v>
      </c>
      <c r="J107" s="37">
        <f t="shared" si="17"/>
        <v>0</v>
      </c>
      <c r="K107" s="37">
        <f t="shared" si="18"/>
        <v>0</v>
      </c>
    </row>
    <row r="108" spans="2:11" ht="15" customHeight="1" x14ac:dyDescent="0.3">
      <c r="B108" s="29" t="s">
        <v>132</v>
      </c>
      <c r="C108" s="29" t="s">
        <v>219</v>
      </c>
      <c r="D108" s="29" t="s">
        <v>220</v>
      </c>
      <c r="E108" s="29" t="s">
        <v>32</v>
      </c>
      <c r="F108" s="7" t="str">
        <f>INDEX('90_SEMA'!$G$7:$H$183,102,NYELV_IDX)</f>
        <v>9. Egyéb hosszú lejáratú kötelezettségek</v>
      </c>
      <c r="G108" s="37">
        <f>SUMPRODUCT('03_ADATBEVITEL'!$E108:$X108,'03_ADATBEVITEL'!$E$4:$X$4,'03_ADATBEVITEL'!$E$2:$X$2)</f>
        <v>0</v>
      </c>
      <c r="H108" s="37">
        <f>SUMIF('10_NAPLO'!$G$7:$G$806,$B108,'10_NAPLO'!$I$7:$I$806)</f>
        <v>0</v>
      </c>
      <c r="I108" s="37">
        <f>SUMIF('10_NAPLO'!$G$7:$G$806,$B108,'10_NAPLO'!$J$7:$J$806)</f>
        <v>0</v>
      </c>
      <c r="J108" s="37">
        <f t="shared" si="17"/>
        <v>0</v>
      </c>
      <c r="K108" s="37">
        <f t="shared" si="18"/>
        <v>0</v>
      </c>
    </row>
    <row r="109" spans="2:11" ht="15" customHeight="1" x14ac:dyDescent="0.3">
      <c r="B109" s="29" t="s">
        <v>133</v>
      </c>
      <c r="C109" s="29" t="s">
        <v>219</v>
      </c>
      <c r="D109" s="29" t="s">
        <v>220</v>
      </c>
      <c r="E109" s="29" t="s">
        <v>32</v>
      </c>
      <c r="F109" s="7" t="str">
        <f>INDEX('90_SEMA'!$G$7:$H$183,103,NYELV_IDX)</f>
        <v>10. Halasztott adókötelezettség</v>
      </c>
      <c r="G109" s="37">
        <f>SUMPRODUCT('03_ADATBEVITEL'!$E109:$X109,'03_ADATBEVITEL'!$E$4:$X$4,'03_ADATBEVITEL'!$E$2:$X$2)</f>
        <v>0</v>
      </c>
      <c r="H109" s="37">
        <f>SUMIF('10_NAPLO'!$G$7:$G$806,$B109,'10_NAPLO'!$I$7:$I$806)</f>
        <v>0</v>
      </c>
      <c r="I109" s="37">
        <f>SUMIF('10_NAPLO'!$G$7:$G$806,$B109,'10_NAPLO'!$J$7:$J$806)</f>
        <v>0</v>
      </c>
      <c r="J109" s="37">
        <f t="shared" si="17"/>
        <v>0</v>
      </c>
      <c r="K109" s="37">
        <f t="shared" si="18"/>
        <v>0</v>
      </c>
    </row>
    <row r="110" spans="2:11" ht="15" customHeight="1" x14ac:dyDescent="0.3">
      <c r="B110" s="29" t="s">
        <v>134</v>
      </c>
      <c r="C110" s="29" t="s">
        <v>219</v>
      </c>
      <c r="D110" s="29" t="s">
        <v>220</v>
      </c>
      <c r="E110" s="29" t="s">
        <v>29</v>
      </c>
      <c r="F110" s="32" t="str">
        <f>INDEX('90_SEMA'!$G$7:$H$183,104,NYELV_IDX)</f>
        <v>III. RÖVID LEJÁRATÚ KÖTELEZETTSÉGEK</v>
      </c>
      <c r="G110" s="31">
        <f>SUMIFS(G$7:G$183,$B$7:$B$183,$B110&amp;".*",$E$7:$E$183,"D")</f>
        <v>0</v>
      </c>
      <c r="H110" s="31">
        <f>SUMIFS(H$7:H$183,$B$7:$B$183,$B110&amp;".*",$E$7:$E$183,"D")</f>
        <v>0</v>
      </c>
      <c r="I110" s="31">
        <f>SUMIFS(I$7:I$183,$B$7:$B$183,$B110&amp;".*",$E$7:$E$183,"D")</f>
        <v>0</v>
      </c>
      <c r="J110" s="31">
        <f>SUMIFS(J$7:J$183,$B$7:$B$183,$B110&amp;".*",$E$7:$E$183,"D")</f>
        <v>0</v>
      </c>
      <c r="K110" s="31">
        <f>SUMIFS(K$7:K$183,$B$7:$B$183,$B110&amp;".*",$E$7:$E$183,"D")</f>
        <v>0</v>
      </c>
    </row>
    <row r="111" spans="2:11" ht="15" customHeight="1" x14ac:dyDescent="0.3">
      <c r="B111" s="29" t="s">
        <v>135</v>
      </c>
      <c r="C111" s="29" t="s">
        <v>219</v>
      </c>
      <c r="D111" s="29" t="s">
        <v>220</v>
      </c>
      <c r="E111" s="29" t="s">
        <v>32</v>
      </c>
      <c r="F111" s="7" t="str">
        <f>INDEX('90_SEMA'!$G$7:$H$183,105,NYELV_IDX)</f>
        <v>1. Rövid lejáratú kölcsönök</v>
      </c>
      <c r="G111" s="37">
        <f>SUMPRODUCT('03_ADATBEVITEL'!$E111:$X111,'03_ADATBEVITEL'!$E$4:$X$4,'03_ADATBEVITEL'!$E$2:$X$2)</f>
        <v>0</v>
      </c>
      <c r="H111" s="37">
        <f>SUMIF('10_NAPLO'!$G$7:$G$806,$B111,'10_NAPLO'!$I$7:$I$806)</f>
        <v>0</v>
      </c>
      <c r="I111" s="37">
        <f>SUMIF('10_NAPLO'!$G$7:$G$806,$B111,'10_NAPLO'!$J$7:$J$806)</f>
        <v>0</v>
      </c>
      <c r="J111" s="37">
        <f t="shared" ref="J111:J123" si="19">IF($D111="T",$H111-$I111,$I111-$H111)</f>
        <v>0</v>
      </c>
      <c r="K111" s="37">
        <f t="shared" ref="K111:K123" si="20">$G111+$J111</f>
        <v>0</v>
      </c>
    </row>
    <row r="112" spans="2:11" ht="15" customHeight="1" x14ac:dyDescent="0.3">
      <c r="B112" s="29" t="s">
        <v>136</v>
      </c>
      <c r="C112" s="29" t="s">
        <v>219</v>
      </c>
      <c r="D112" s="29" t="s">
        <v>220</v>
      </c>
      <c r="E112" s="29" t="s">
        <v>97</v>
      </c>
      <c r="F112" s="34" t="str">
        <f>INDEX('90_SEMA'!$G$7:$H$183,106,NYELV_IDX)</f>
        <v xml:space="preserve">     – ebből: az átváltoztatható és átváltozó kötvények</v>
      </c>
      <c r="G112" s="37">
        <f>SUMPRODUCT('03_ADATBEVITEL'!$E112:$X112,'03_ADATBEVITEL'!$E$4:$X$4,'03_ADATBEVITEL'!$E$2:$X$2)</f>
        <v>0</v>
      </c>
      <c r="H112" s="37">
        <f>SUMIF('10_NAPLO'!$G$7:$G$806,$B112,'10_NAPLO'!$I$7:$I$806)</f>
        <v>0</v>
      </c>
      <c r="I112" s="37">
        <f>SUMIF('10_NAPLO'!$G$7:$G$806,$B112,'10_NAPLO'!$J$7:$J$806)</f>
        <v>0</v>
      </c>
      <c r="J112" s="37">
        <f t="shared" si="19"/>
        <v>0</v>
      </c>
      <c r="K112" s="37">
        <f t="shared" si="20"/>
        <v>0</v>
      </c>
    </row>
    <row r="113" spans="2:11" ht="15" customHeight="1" x14ac:dyDescent="0.3">
      <c r="B113" s="29" t="s">
        <v>137</v>
      </c>
      <c r="C113" s="29" t="s">
        <v>219</v>
      </c>
      <c r="D113" s="29" t="s">
        <v>220</v>
      </c>
      <c r="E113" s="29" t="s">
        <v>32</v>
      </c>
      <c r="F113" s="7" t="str">
        <f>INDEX('90_SEMA'!$G$7:$H$183,107,NYELV_IDX)</f>
        <v>2. Rövid lejáratú hitelek</v>
      </c>
      <c r="G113" s="37">
        <f>SUMPRODUCT('03_ADATBEVITEL'!$E113:$X113,'03_ADATBEVITEL'!$E$4:$X$4,'03_ADATBEVITEL'!$E$2:$X$2)</f>
        <v>0</v>
      </c>
      <c r="H113" s="37">
        <f>SUMIF('10_NAPLO'!$G$7:$G$806,$B113,'10_NAPLO'!$I$7:$I$806)</f>
        <v>0</v>
      </c>
      <c r="I113" s="37">
        <f>SUMIF('10_NAPLO'!$G$7:$G$806,$B113,'10_NAPLO'!$J$7:$J$806)</f>
        <v>0</v>
      </c>
      <c r="J113" s="37">
        <f t="shared" si="19"/>
        <v>0</v>
      </c>
      <c r="K113" s="37">
        <f t="shared" si="20"/>
        <v>0</v>
      </c>
    </row>
    <row r="114" spans="2:11" ht="15" customHeight="1" x14ac:dyDescent="0.3">
      <c r="B114" s="29" t="s">
        <v>138</v>
      </c>
      <c r="C114" s="29" t="s">
        <v>219</v>
      </c>
      <c r="D114" s="29" t="s">
        <v>220</v>
      </c>
      <c r="E114" s="29" t="s">
        <v>32</v>
      </c>
      <c r="F114" s="7" t="str">
        <f>INDEX('90_SEMA'!$G$7:$H$183,108,NYELV_IDX)</f>
        <v>3. Vevőktől kapott előlegek</v>
      </c>
      <c r="G114" s="37">
        <f>SUMPRODUCT('03_ADATBEVITEL'!$E114:$X114,'03_ADATBEVITEL'!$E$4:$X$4,'03_ADATBEVITEL'!$E$2:$X$2)</f>
        <v>0</v>
      </c>
      <c r="H114" s="37">
        <f>SUMIF('10_NAPLO'!$G$7:$G$806,$B114,'10_NAPLO'!$I$7:$I$806)</f>
        <v>0</v>
      </c>
      <c r="I114" s="37">
        <f>SUMIF('10_NAPLO'!$G$7:$G$806,$B114,'10_NAPLO'!$J$7:$J$806)</f>
        <v>0</v>
      </c>
      <c r="J114" s="37">
        <f t="shared" si="19"/>
        <v>0</v>
      </c>
      <c r="K114" s="37">
        <f t="shared" si="20"/>
        <v>0</v>
      </c>
    </row>
    <row r="115" spans="2:11" ht="15" customHeight="1" x14ac:dyDescent="0.3">
      <c r="B115" s="29" t="s">
        <v>139</v>
      </c>
      <c r="C115" s="29" t="s">
        <v>219</v>
      </c>
      <c r="D115" s="29" t="s">
        <v>220</v>
      </c>
      <c r="E115" s="29" t="s">
        <v>32</v>
      </c>
      <c r="F115" s="7" t="str">
        <f>INDEX('90_SEMA'!$G$7:$H$183,109,NYELV_IDX)</f>
        <v>4. Kötelezettségek áruszállításból és szolgáltatásból (szállítók)</v>
      </c>
      <c r="G115" s="37">
        <f>SUMPRODUCT('03_ADATBEVITEL'!$E115:$X115,'03_ADATBEVITEL'!$E$4:$X$4,'03_ADATBEVITEL'!$E$2:$X$2)</f>
        <v>0</v>
      </c>
      <c r="H115" s="37">
        <f>SUMIF('10_NAPLO'!$G$7:$G$806,$B115,'10_NAPLO'!$I$7:$I$806)</f>
        <v>0</v>
      </c>
      <c r="I115" s="37">
        <f>SUMIF('10_NAPLO'!$G$7:$G$806,$B115,'10_NAPLO'!$J$7:$J$806)</f>
        <v>0</v>
      </c>
      <c r="J115" s="37">
        <f t="shared" si="19"/>
        <v>0</v>
      </c>
      <c r="K115" s="37">
        <f t="shared" si="20"/>
        <v>0</v>
      </c>
    </row>
    <row r="116" spans="2:11" ht="15" customHeight="1" x14ac:dyDescent="0.3">
      <c r="B116" s="29" t="s">
        <v>140</v>
      </c>
      <c r="C116" s="29" t="s">
        <v>219</v>
      </c>
      <c r="D116" s="29" t="s">
        <v>220</v>
      </c>
      <c r="E116" s="29" t="s">
        <v>32</v>
      </c>
      <c r="F116" s="7" t="str">
        <f>INDEX('90_SEMA'!$G$7:$H$183,110,NYELV_IDX)</f>
        <v>5. Váltótartozások</v>
      </c>
      <c r="G116" s="37">
        <f>SUMPRODUCT('03_ADATBEVITEL'!$E116:$X116,'03_ADATBEVITEL'!$E$4:$X$4,'03_ADATBEVITEL'!$E$2:$X$2)</f>
        <v>0</v>
      </c>
      <c r="H116" s="37">
        <f>SUMIF('10_NAPLO'!$G$7:$G$806,$B116,'10_NAPLO'!$I$7:$I$806)</f>
        <v>0</v>
      </c>
      <c r="I116" s="37">
        <f>SUMIF('10_NAPLO'!$G$7:$G$806,$B116,'10_NAPLO'!$J$7:$J$806)</f>
        <v>0</v>
      </c>
      <c r="J116" s="37">
        <f t="shared" si="19"/>
        <v>0</v>
      </c>
      <c r="K116" s="37">
        <f t="shared" si="20"/>
        <v>0</v>
      </c>
    </row>
    <row r="117" spans="2:11" ht="15" customHeight="1" x14ac:dyDescent="0.3">
      <c r="B117" s="29" t="s">
        <v>141</v>
      </c>
      <c r="C117" s="29" t="s">
        <v>219</v>
      </c>
      <c r="D117" s="29" t="s">
        <v>220</v>
      </c>
      <c r="E117" s="29" t="s">
        <v>32</v>
      </c>
      <c r="F117" s="7" t="str">
        <f>INDEX('90_SEMA'!$G$7:$H$183,111,NYELV_IDX)</f>
        <v>6. Rövid lejáratú kötelezettségek kapcsolt vállalkozással szemben</v>
      </c>
      <c r="G117" s="37">
        <f>SUMPRODUCT('03_ADATBEVITEL'!$E117:$X117,'03_ADATBEVITEL'!$E$4:$X$4,'03_ADATBEVITEL'!$E$2:$X$2)</f>
        <v>0</v>
      </c>
      <c r="H117" s="37">
        <f>SUMIF('10_NAPLO'!$G$7:$G$806,$B117,'10_NAPLO'!$I$7:$I$806)</f>
        <v>0</v>
      </c>
      <c r="I117" s="37">
        <f>SUMIF('10_NAPLO'!$G$7:$G$806,$B117,'10_NAPLO'!$J$7:$J$806)</f>
        <v>0</v>
      </c>
      <c r="J117" s="37">
        <f t="shared" si="19"/>
        <v>0</v>
      </c>
      <c r="K117" s="37">
        <f t="shared" si="20"/>
        <v>0</v>
      </c>
    </row>
    <row r="118" spans="2:11" ht="15" customHeight="1" x14ac:dyDescent="0.3">
      <c r="B118" s="29" t="s">
        <v>142</v>
      </c>
      <c r="C118" s="29" t="s">
        <v>219</v>
      </c>
      <c r="D118" s="29" t="s">
        <v>220</v>
      </c>
      <c r="E118" s="29" t="s">
        <v>32</v>
      </c>
      <c r="F118" s="7" t="str">
        <f>INDEX('90_SEMA'!$G$7:$H$183,112,NYELV_IDX)</f>
        <v>7. Rövid lejáratú kötelezettségek jelentős tulajdoni részesedési viszonyban lévő vállalkozásokkal szemben</v>
      </c>
      <c r="G118" s="37">
        <f>SUMPRODUCT('03_ADATBEVITEL'!$E118:$X118,'03_ADATBEVITEL'!$E$4:$X$4,'03_ADATBEVITEL'!$E$2:$X$2)</f>
        <v>0</v>
      </c>
      <c r="H118" s="37">
        <f>SUMIF('10_NAPLO'!$G$7:$G$806,$B118,'10_NAPLO'!$I$7:$I$806)</f>
        <v>0</v>
      </c>
      <c r="I118" s="37">
        <f>SUMIF('10_NAPLO'!$G$7:$G$806,$B118,'10_NAPLO'!$J$7:$J$806)</f>
        <v>0</v>
      </c>
      <c r="J118" s="37">
        <f t="shared" si="19"/>
        <v>0</v>
      </c>
      <c r="K118" s="37">
        <f t="shared" si="20"/>
        <v>0</v>
      </c>
    </row>
    <row r="119" spans="2:11" ht="15" customHeight="1" x14ac:dyDescent="0.3">
      <c r="B119" s="29" t="s">
        <v>143</v>
      </c>
      <c r="C119" s="29" t="s">
        <v>219</v>
      </c>
      <c r="D119" s="29" t="s">
        <v>220</v>
      </c>
      <c r="E119" s="29" t="s">
        <v>32</v>
      </c>
      <c r="F119" s="7" t="str">
        <f>INDEX('90_SEMA'!$G$7:$H$183,113,NYELV_IDX)</f>
        <v>8. Rövid lejáratú kötelezettségek egyéb részesedési viszonyban lévő vállalkozással szemben</v>
      </c>
      <c r="G119" s="37">
        <f>SUMPRODUCT('03_ADATBEVITEL'!$E119:$X119,'03_ADATBEVITEL'!$E$4:$X$4,'03_ADATBEVITEL'!$E$2:$X$2)</f>
        <v>0</v>
      </c>
      <c r="H119" s="37">
        <f>SUMIF('10_NAPLO'!$G$7:$G$806,$B119,'10_NAPLO'!$I$7:$I$806)</f>
        <v>0</v>
      </c>
      <c r="I119" s="37">
        <f>SUMIF('10_NAPLO'!$G$7:$G$806,$B119,'10_NAPLO'!$J$7:$J$806)</f>
        <v>0</v>
      </c>
      <c r="J119" s="37">
        <f t="shared" si="19"/>
        <v>0</v>
      </c>
      <c r="K119" s="37">
        <f t="shared" si="20"/>
        <v>0</v>
      </c>
    </row>
    <row r="120" spans="2:11" ht="15" customHeight="1" x14ac:dyDescent="0.3">
      <c r="B120" s="29" t="s">
        <v>144</v>
      </c>
      <c r="C120" s="29" t="s">
        <v>219</v>
      </c>
      <c r="D120" s="29" t="s">
        <v>220</v>
      </c>
      <c r="E120" s="29" t="s">
        <v>32</v>
      </c>
      <c r="F120" s="7" t="str">
        <f>INDEX('90_SEMA'!$G$7:$H$183,114,NYELV_IDX)</f>
        <v>9. Egyéb rövid lejáratú kötelezettségek</v>
      </c>
      <c r="G120" s="37">
        <f>SUMPRODUCT('03_ADATBEVITEL'!$E120:$X120,'03_ADATBEVITEL'!$E$4:$X$4,'03_ADATBEVITEL'!$E$2:$X$2)</f>
        <v>0</v>
      </c>
      <c r="H120" s="37">
        <f>SUMIF('10_NAPLO'!$G$7:$G$806,$B120,'10_NAPLO'!$I$7:$I$806)</f>
        <v>0</v>
      </c>
      <c r="I120" s="37">
        <f>SUMIF('10_NAPLO'!$G$7:$G$806,$B120,'10_NAPLO'!$J$7:$J$806)</f>
        <v>0</v>
      </c>
      <c r="J120" s="37">
        <f t="shared" si="19"/>
        <v>0</v>
      </c>
      <c r="K120" s="37">
        <f t="shared" si="20"/>
        <v>0</v>
      </c>
    </row>
    <row r="121" spans="2:11" ht="15" customHeight="1" x14ac:dyDescent="0.3">
      <c r="B121" s="29" t="s">
        <v>145</v>
      </c>
      <c r="C121" s="29" t="s">
        <v>219</v>
      </c>
      <c r="D121" s="29" t="s">
        <v>220</v>
      </c>
      <c r="E121" s="29" t="s">
        <v>32</v>
      </c>
      <c r="F121" s="7" t="str">
        <f>INDEX('90_SEMA'!$G$7:$H$183,115,NYELV_IDX)</f>
        <v>10. Kötelezettségek értékelési különbözete</v>
      </c>
      <c r="G121" s="37">
        <f>SUMPRODUCT('03_ADATBEVITEL'!$E121:$X121,'03_ADATBEVITEL'!$E$4:$X$4,'03_ADATBEVITEL'!$E$2:$X$2)</f>
        <v>0</v>
      </c>
      <c r="H121" s="37">
        <f>SUMIF('10_NAPLO'!$G$7:$G$806,$B121,'10_NAPLO'!$I$7:$I$806)</f>
        <v>0</v>
      </c>
      <c r="I121" s="37">
        <f>SUMIF('10_NAPLO'!$G$7:$G$806,$B121,'10_NAPLO'!$J$7:$J$806)</f>
        <v>0</v>
      </c>
      <c r="J121" s="37">
        <f t="shared" si="19"/>
        <v>0</v>
      </c>
      <c r="K121" s="37">
        <f t="shared" si="20"/>
        <v>0</v>
      </c>
    </row>
    <row r="122" spans="2:11" ht="15" customHeight="1" x14ac:dyDescent="0.3">
      <c r="B122" s="29" t="s">
        <v>146</v>
      </c>
      <c r="C122" s="29" t="s">
        <v>219</v>
      </c>
      <c r="D122" s="29" t="s">
        <v>220</v>
      </c>
      <c r="E122" s="29" t="s">
        <v>32</v>
      </c>
      <c r="F122" s="7" t="str">
        <f>INDEX('90_SEMA'!$G$7:$H$183,116,NYELV_IDX)</f>
        <v>11. Származékos ügyletek negatív értékelési különbözete</v>
      </c>
      <c r="G122" s="37">
        <f>SUMPRODUCT('03_ADATBEVITEL'!$E122:$X122,'03_ADATBEVITEL'!$E$4:$X$4,'03_ADATBEVITEL'!$E$2:$X$2)</f>
        <v>0</v>
      </c>
      <c r="H122" s="37">
        <f>SUMIF('10_NAPLO'!$G$7:$G$806,$B122,'10_NAPLO'!$I$7:$I$806)</f>
        <v>0</v>
      </c>
      <c r="I122" s="37">
        <f>SUMIF('10_NAPLO'!$G$7:$G$806,$B122,'10_NAPLO'!$J$7:$J$806)</f>
        <v>0</v>
      </c>
      <c r="J122" s="37">
        <f t="shared" si="19"/>
        <v>0</v>
      </c>
      <c r="K122" s="37">
        <f t="shared" si="20"/>
        <v>0</v>
      </c>
    </row>
    <row r="123" spans="2:11" ht="15" customHeight="1" x14ac:dyDescent="0.3">
      <c r="B123" s="29" t="s">
        <v>147</v>
      </c>
      <c r="C123" s="29" t="s">
        <v>219</v>
      </c>
      <c r="D123" s="29" t="s">
        <v>220</v>
      </c>
      <c r="E123" s="29" t="s">
        <v>32</v>
      </c>
      <c r="F123" s="7" t="str">
        <f>INDEX('90_SEMA'!$G$7:$H$183,117,NYELV_IDX)</f>
        <v>12. Konszolidációból adódó (számított) társasági adó tartozás</v>
      </c>
      <c r="G123" s="37">
        <f>SUMPRODUCT('03_ADATBEVITEL'!$E123:$X123,'03_ADATBEVITEL'!$E$4:$X$4,'03_ADATBEVITEL'!$E$2:$X$2)</f>
        <v>0</v>
      </c>
      <c r="H123" s="37">
        <f>SUMIF('10_NAPLO'!$G$7:$G$806,$B123,'10_NAPLO'!$I$7:$I$806)</f>
        <v>0</v>
      </c>
      <c r="I123" s="37">
        <f>SUMIF('10_NAPLO'!$G$7:$G$806,$B123,'10_NAPLO'!$J$7:$J$806)</f>
        <v>0</v>
      </c>
      <c r="J123" s="37">
        <f t="shared" si="19"/>
        <v>0</v>
      </c>
      <c r="K123" s="37">
        <f t="shared" si="20"/>
        <v>0</v>
      </c>
    </row>
    <row r="124" spans="2:11" ht="15" customHeight="1" x14ac:dyDescent="0.3">
      <c r="B124" s="29" t="s">
        <v>148</v>
      </c>
      <c r="C124" s="29" t="s">
        <v>219</v>
      </c>
      <c r="D124" s="29" t="s">
        <v>220</v>
      </c>
      <c r="E124" s="29" t="s">
        <v>29</v>
      </c>
      <c r="F124" s="30" t="str">
        <f>INDEX('90_SEMA'!$G$7:$H$183,118,NYELV_IDX)</f>
        <v>G. Passzív időbeli elhatárolások</v>
      </c>
      <c r="G124" s="31">
        <f>SUMIFS(G$7:G$183,$B$7:$B$183,$B124&amp;".*",$E$7:$E$183,"D")</f>
        <v>0</v>
      </c>
      <c r="H124" s="31">
        <f>SUMIFS(H$7:H$183,$B$7:$B$183,$B124&amp;".*",$E$7:$E$183,"D")</f>
        <v>0</v>
      </c>
      <c r="I124" s="31">
        <f>SUMIFS(I$7:I$183,$B$7:$B$183,$B124&amp;".*",$E$7:$E$183,"D")</f>
        <v>0</v>
      </c>
      <c r="J124" s="31">
        <f>SUMIFS(J$7:J$183,$B$7:$B$183,$B124&amp;".*",$E$7:$E$183,"D")</f>
        <v>0</v>
      </c>
      <c r="K124" s="31">
        <f>SUMIFS(K$7:K$183,$B$7:$B$183,$B124&amp;".*",$E$7:$E$183,"D")</f>
        <v>0</v>
      </c>
    </row>
    <row r="125" spans="2:11" ht="15" customHeight="1" x14ac:dyDescent="0.3">
      <c r="B125" s="29" t="s">
        <v>149</v>
      </c>
      <c r="C125" s="29" t="s">
        <v>219</v>
      </c>
      <c r="D125" s="29" t="s">
        <v>220</v>
      </c>
      <c r="E125" s="29" t="s">
        <v>32</v>
      </c>
      <c r="F125" s="7" t="str">
        <f>INDEX('90_SEMA'!$G$7:$H$183,119,NYELV_IDX)</f>
        <v>1. Bevételek passzív időbeli elhatárolása</v>
      </c>
      <c r="G125" s="37">
        <f>SUMPRODUCT('03_ADATBEVITEL'!$E125:$X125,'03_ADATBEVITEL'!$E$4:$X$4,'03_ADATBEVITEL'!$E$2:$X$2)</f>
        <v>0</v>
      </c>
      <c r="H125" s="37">
        <f>SUMIF('10_NAPLO'!$G$7:$G$806,$B125,'10_NAPLO'!$I$7:$I$806)</f>
        <v>0</v>
      </c>
      <c r="I125" s="37">
        <f>SUMIF('10_NAPLO'!$G$7:$G$806,$B125,'10_NAPLO'!$J$7:$J$806)</f>
        <v>0</v>
      </c>
      <c r="J125" s="37">
        <f>IF($D125="T",$H125-$I125,$I125-$H125)</f>
        <v>0</v>
      </c>
      <c r="K125" s="37">
        <f>$G125+$J125</f>
        <v>0</v>
      </c>
    </row>
    <row r="126" spans="2:11" ht="15" customHeight="1" x14ac:dyDescent="0.3">
      <c r="B126" s="29" t="s">
        <v>150</v>
      </c>
      <c r="C126" s="29" t="s">
        <v>219</v>
      </c>
      <c r="D126" s="29" t="s">
        <v>220</v>
      </c>
      <c r="E126" s="29" t="s">
        <v>32</v>
      </c>
      <c r="F126" s="7" t="str">
        <f>INDEX('90_SEMA'!$G$7:$H$183,120,NYELV_IDX)</f>
        <v>2. Költségek, ráfordítások passzív időbeli elhatárolása</v>
      </c>
      <c r="G126" s="37">
        <f>SUMPRODUCT('03_ADATBEVITEL'!$E126:$X126,'03_ADATBEVITEL'!$E$4:$X$4,'03_ADATBEVITEL'!$E$2:$X$2)</f>
        <v>0</v>
      </c>
      <c r="H126" s="37">
        <f>SUMIF('10_NAPLO'!$G$7:$G$806,$B126,'10_NAPLO'!$I$7:$I$806)</f>
        <v>0</v>
      </c>
      <c r="I126" s="37">
        <f>SUMIF('10_NAPLO'!$G$7:$G$806,$B126,'10_NAPLO'!$J$7:$J$806)</f>
        <v>0</v>
      </c>
      <c r="J126" s="37">
        <f>IF($D126="T",$H126-$I126,$I126-$H126)</f>
        <v>0</v>
      </c>
      <c r="K126" s="37">
        <f>$G126+$J126</f>
        <v>0</v>
      </c>
    </row>
    <row r="127" spans="2:11" ht="15" customHeight="1" x14ac:dyDescent="0.3">
      <c r="B127" s="29" t="s">
        <v>151</v>
      </c>
      <c r="C127" s="29" t="s">
        <v>219</v>
      </c>
      <c r="D127" s="29" t="s">
        <v>220</v>
      </c>
      <c r="E127" s="29" t="s">
        <v>32</v>
      </c>
      <c r="F127" s="7" t="str">
        <f>INDEX('90_SEMA'!$G$7:$H$183,121,NYELV_IDX)</f>
        <v>3. Halasztott bevételek</v>
      </c>
      <c r="G127" s="37">
        <f>SUMPRODUCT('03_ADATBEVITEL'!$E127:$X127,'03_ADATBEVITEL'!$E$4:$X$4,'03_ADATBEVITEL'!$E$2:$X$2)</f>
        <v>0</v>
      </c>
      <c r="H127" s="37">
        <f>SUMIF('10_NAPLO'!$G$7:$G$806,$B127,'10_NAPLO'!$I$7:$I$806)</f>
        <v>0</v>
      </c>
      <c r="I127" s="37">
        <f>SUMIF('10_NAPLO'!$G$7:$G$806,$B127,'10_NAPLO'!$J$7:$J$806)</f>
        <v>0</v>
      </c>
      <c r="J127" s="37">
        <f>IF($D127="T",$H127-$I127,$I127-$H127)</f>
        <v>0</v>
      </c>
      <c r="K127" s="37">
        <f>$G127+$J127</f>
        <v>0</v>
      </c>
    </row>
    <row r="128" spans="2:11" ht="15" customHeight="1" x14ac:dyDescent="0.3">
      <c r="B128" s="29" t="s">
        <v>152</v>
      </c>
      <c r="C128" s="29" t="s">
        <v>221</v>
      </c>
      <c r="D128" s="29" t="s">
        <v>220</v>
      </c>
      <c r="E128" s="29" t="s">
        <v>29</v>
      </c>
      <c r="F128" s="32" t="str">
        <f>INDEX('90_SEMA'!$G$7:$H$183,122,NYELV_IDX)</f>
        <v>I. Értékesítés nettó árbevétele</v>
      </c>
      <c r="G128" s="31">
        <f>SUMIFS(G$7:G$183,$B$7:$B$183,$B128&amp;".*",$E$7:$E$183,"D")</f>
        <v>0</v>
      </c>
      <c r="H128" s="31">
        <f>SUMIFS(H$7:H$183,$B$7:$B$183,$B128&amp;".*",$E$7:$E$183,"D")</f>
        <v>0</v>
      </c>
      <c r="I128" s="31">
        <f>SUMIFS(I$7:I$183,$B$7:$B$183,$B128&amp;".*",$E$7:$E$183,"D")</f>
        <v>0</v>
      </c>
      <c r="J128" s="31">
        <f>SUMIFS(J$7:J$183,$B$7:$B$183,$B128&amp;".*",$E$7:$E$183,"D")</f>
        <v>0</v>
      </c>
      <c r="K128" s="31">
        <f>SUMIFS(K$7:K$183,$B$7:$B$183,$B128&amp;".*",$E$7:$E$183,"D")</f>
        <v>0</v>
      </c>
    </row>
    <row r="129" spans="2:11" ht="15" customHeight="1" x14ac:dyDescent="0.3">
      <c r="B129" s="29" t="s">
        <v>153</v>
      </c>
      <c r="C129" s="29" t="s">
        <v>221</v>
      </c>
      <c r="D129" s="29" t="s">
        <v>220</v>
      </c>
      <c r="E129" s="29" t="s">
        <v>32</v>
      </c>
      <c r="F129" s="7" t="str">
        <f>INDEX('90_SEMA'!$G$7:$H$183,123,NYELV_IDX)</f>
        <v>01. Belföldi értékesítés nettó árbevétele</v>
      </c>
      <c r="G129" s="37">
        <f>SUMPRODUCT('03_ADATBEVITEL'!$E129:$X129,'03_ADATBEVITEL'!$E$4:$X$4,'03_ADATBEVITEL'!$E$3:$X$3)</f>
        <v>0</v>
      </c>
      <c r="H129" s="37">
        <f>SUMIF('10_NAPLO'!$G$7:$G$806,$B129,'10_NAPLO'!$I$7:$I$806)</f>
        <v>0</v>
      </c>
      <c r="I129" s="37">
        <f>SUMIF('10_NAPLO'!$G$7:$G$806,$B129,'10_NAPLO'!$J$7:$J$806)</f>
        <v>0</v>
      </c>
      <c r="J129" s="37">
        <f>IF($D129="T",$H129-$I129,$I129-$H129)</f>
        <v>0</v>
      </c>
      <c r="K129" s="37">
        <f>$G129+$J129</f>
        <v>0</v>
      </c>
    </row>
    <row r="130" spans="2:11" ht="15" customHeight="1" x14ac:dyDescent="0.3">
      <c r="B130" s="29" t="s">
        <v>154</v>
      </c>
      <c r="C130" s="29" t="s">
        <v>221</v>
      </c>
      <c r="D130" s="29" t="s">
        <v>220</v>
      </c>
      <c r="E130" s="29" t="s">
        <v>32</v>
      </c>
      <c r="F130" s="7" t="str">
        <f>INDEX('90_SEMA'!$G$7:$H$183,124,NYELV_IDX)</f>
        <v>02. Exportértékesítés nettó árbevétele</v>
      </c>
      <c r="G130" s="37">
        <f>SUMPRODUCT('03_ADATBEVITEL'!$E130:$X130,'03_ADATBEVITEL'!$E$4:$X$4,'03_ADATBEVITEL'!$E$3:$X$3)</f>
        <v>0</v>
      </c>
      <c r="H130" s="37">
        <f>SUMIF('10_NAPLO'!$G$7:$G$806,$B130,'10_NAPLO'!$I$7:$I$806)</f>
        <v>0</v>
      </c>
      <c r="I130" s="37">
        <f>SUMIF('10_NAPLO'!$G$7:$G$806,$B130,'10_NAPLO'!$J$7:$J$806)</f>
        <v>0</v>
      </c>
      <c r="J130" s="37">
        <f>IF($D130="T",$H130-$I130,$I130-$H130)</f>
        <v>0</v>
      </c>
      <c r="K130" s="37">
        <f>$G130+$J130</f>
        <v>0</v>
      </c>
    </row>
    <row r="131" spans="2:11" ht="15" customHeight="1" x14ac:dyDescent="0.3">
      <c r="B131" s="29" t="s">
        <v>155</v>
      </c>
      <c r="C131" s="29" t="s">
        <v>221</v>
      </c>
      <c r="D131" s="29" t="s">
        <v>220</v>
      </c>
      <c r="E131" s="29" t="s">
        <v>29</v>
      </c>
      <c r="F131" s="32" t="str">
        <f>INDEX('90_SEMA'!$G$7:$H$183,125,NYELV_IDX)</f>
        <v>II. Aktivált saját teljesítmények értéke</v>
      </c>
      <c r="G131" s="31">
        <f>SUMIFS(G$7:G$183,$B$7:$B$183,$B131&amp;".*",$E$7:$E$183,"D")</f>
        <v>0</v>
      </c>
      <c r="H131" s="31">
        <f>SUMIFS(H$7:H$183,$B$7:$B$183,$B131&amp;".*",$E$7:$E$183,"D")</f>
        <v>0</v>
      </c>
      <c r="I131" s="31">
        <f>SUMIFS(I$7:I$183,$B$7:$B$183,$B131&amp;".*",$E$7:$E$183,"D")</f>
        <v>0</v>
      </c>
      <c r="J131" s="31">
        <f>SUMIFS(J$7:J$183,$B$7:$B$183,$B131&amp;".*",$E$7:$E$183,"D")</f>
        <v>0</v>
      </c>
      <c r="K131" s="31">
        <f>SUMIFS(K$7:K$183,$B$7:$B$183,$B131&amp;".*",$E$7:$E$183,"D")</f>
        <v>0</v>
      </c>
    </row>
    <row r="132" spans="2:11" ht="15" customHeight="1" x14ac:dyDescent="0.3">
      <c r="B132" s="29" t="s">
        <v>156</v>
      </c>
      <c r="C132" s="29" t="s">
        <v>221</v>
      </c>
      <c r="D132" s="29" t="s">
        <v>220</v>
      </c>
      <c r="E132" s="29" t="s">
        <v>32</v>
      </c>
      <c r="F132" s="7" t="str">
        <f>INDEX('90_SEMA'!$G$7:$H$183,126,NYELV_IDX)</f>
        <v>03. Saját termelésű készletek állományváltozása</v>
      </c>
      <c r="G132" s="37">
        <f>SUMPRODUCT('03_ADATBEVITEL'!$E132:$X132,'03_ADATBEVITEL'!$E$4:$X$4,'03_ADATBEVITEL'!$E$3:$X$3)</f>
        <v>0</v>
      </c>
      <c r="H132" s="37">
        <f>SUMIF('10_NAPLO'!$G$7:$G$806,$B132,'10_NAPLO'!$I$7:$I$806)</f>
        <v>0</v>
      </c>
      <c r="I132" s="37">
        <f>SUMIF('10_NAPLO'!$G$7:$G$806,$B132,'10_NAPLO'!$J$7:$J$806)</f>
        <v>0</v>
      </c>
      <c r="J132" s="37">
        <f>IF($D132="T",$H132-$I132,$I132-$H132)</f>
        <v>0</v>
      </c>
      <c r="K132" s="37">
        <f>$G132+$J132</f>
        <v>0</v>
      </c>
    </row>
    <row r="133" spans="2:11" ht="15" customHeight="1" x14ac:dyDescent="0.3">
      <c r="B133" s="29" t="s">
        <v>157</v>
      </c>
      <c r="C133" s="29" t="s">
        <v>221</v>
      </c>
      <c r="D133" s="29" t="s">
        <v>220</v>
      </c>
      <c r="E133" s="29" t="s">
        <v>32</v>
      </c>
      <c r="F133" s="7" t="str">
        <f>INDEX('90_SEMA'!$G$7:$H$183,127,NYELV_IDX)</f>
        <v>04. Saját előállítású eszközök aktivált értéke</v>
      </c>
      <c r="G133" s="37">
        <f>SUMPRODUCT('03_ADATBEVITEL'!$E133:$X133,'03_ADATBEVITEL'!$E$4:$X$4,'03_ADATBEVITEL'!$E$3:$X$3)</f>
        <v>0</v>
      </c>
      <c r="H133" s="37">
        <f>SUMIF('10_NAPLO'!$G$7:$G$806,$B133,'10_NAPLO'!$I$7:$I$806)</f>
        <v>0</v>
      </c>
      <c r="I133" s="37">
        <f>SUMIF('10_NAPLO'!$G$7:$G$806,$B133,'10_NAPLO'!$J$7:$J$806)</f>
        <v>0</v>
      </c>
      <c r="J133" s="37">
        <f>IF($D133="T",$H133-$I133,$I133-$H133)</f>
        <v>0</v>
      </c>
      <c r="K133" s="37">
        <f>$G133+$J133</f>
        <v>0</v>
      </c>
    </row>
    <row r="134" spans="2:11" ht="15" customHeight="1" x14ac:dyDescent="0.3">
      <c r="B134" s="29" t="s">
        <v>158</v>
      </c>
      <c r="C134" s="29" t="s">
        <v>221</v>
      </c>
      <c r="D134" s="29" t="s">
        <v>220</v>
      </c>
      <c r="E134" s="29" t="s">
        <v>32</v>
      </c>
      <c r="F134" s="32" t="str">
        <f>INDEX('90_SEMA'!$G$7:$H$183,128,NYELV_IDX)</f>
        <v>III. Egyéb bevételek</v>
      </c>
      <c r="G134" s="37">
        <f>SUMPRODUCT('03_ADATBEVITEL'!$E134:$X134,'03_ADATBEVITEL'!$E$4:$X$4,'03_ADATBEVITEL'!$E$3:$X$3)</f>
        <v>0</v>
      </c>
      <c r="H134" s="37">
        <f>SUMIF('10_NAPLO'!$G$7:$G$806,$B134,'10_NAPLO'!$I$7:$I$806)</f>
        <v>0</v>
      </c>
      <c r="I134" s="37">
        <f>SUMIF('10_NAPLO'!$G$7:$G$806,$B134,'10_NAPLO'!$J$7:$J$806)</f>
        <v>0</v>
      </c>
      <c r="J134" s="37">
        <f>IF($D134="T",$H134-$I134,$I134-$H134)</f>
        <v>0</v>
      </c>
      <c r="K134" s="37">
        <f>$G134+$J134</f>
        <v>0</v>
      </c>
    </row>
    <row r="135" spans="2:11" ht="15" customHeight="1" x14ac:dyDescent="0.3">
      <c r="B135" s="29" t="s">
        <v>159</v>
      </c>
      <c r="C135" s="29" t="s">
        <v>221</v>
      </c>
      <c r="D135" s="29" t="s">
        <v>220</v>
      </c>
      <c r="E135" s="29" t="s">
        <v>97</v>
      </c>
      <c r="F135" s="34" t="str">
        <f>INDEX('90_SEMA'!$G$7:$H$183,129,NYELV_IDX)</f>
        <v xml:space="preserve">     Ebből: visszaírt értékvesztés</v>
      </c>
      <c r="G135" s="37">
        <f>SUMPRODUCT('03_ADATBEVITEL'!$E135:$X135,'03_ADATBEVITEL'!$E$4:$X$4,'03_ADATBEVITEL'!$E$3:$X$3)</f>
        <v>0</v>
      </c>
      <c r="H135" s="37">
        <f>SUMIF('10_NAPLO'!$G$7:$G$806,$B135,'10_NAPLO'!$I$7:$I$806)</f>
        <v>0</v>
      </c>
      <c r="I135" s="37">
        <f>SUMIF('10_NAPLO'!$G$7:$G$806,$B135,'10_NAPLO'!$J$7:$J$806)</f>
        <v>0</v>
      </c>
      <c r="J135" s="37">
        <f>IF($D135="T",$H135-$I135,$I135-$H135)</f>
        <v>0</v>
      </c>
      <c r="K135" s="37">
        <f>$G135+$J135</f>
        <v>0</v>
      </c>
    </row>
    <row r="136" spans="2:11" ht="15" customHeight="1" x14ac:dyDescent="0.3">
      <c r="B136" s="29" t="s">
        <v>160</v>
      </c>
      <c r="C136" s="29" t="s">
        <v>221</v>
      </c>
      <c r="D136" s="29" t="s">
        <v>220</v>
      </c>
      <c r="E136" s="29" t="s">
        <v>32</v>
      </c>
      <c r="F136" s="32" t="str">
        <f>INDEX('90_SEMA'!$G$7:$H$183,130,NYELV_IDX)</f>
        <v>III/A. Adósságkonszolidálás miatt keletkező – eredményt növelő – konszolidációs különbözet</v>
      </c>
      <c r="G136" s="37">
        <f>SUMPRODUCT('03_ADATBEVITEL'!$E136:$X136,'03_ADATBEVITEL'!$E$4:$X$4,'03_ADATBEVITEL'!$E$3:$X$3)</f>
        <v>0</v>
      </c>
      <c r="H136" s="37">
        <f>SUMIF('10_NAPLO'!$G$7:$G$806,$B136,'10_NAPLO'!$I$7:$I$806)</f>
        <v>0</v>
      </c>
      <c r="I136" s="37">
        <f>SUMIF('10_NAPLO'!$G$7:$G$806,$B136,'10_NAPLO'!$J$7:$J$806)</f>
        <v>0</v>
      </c>
      <c r="J136" s="37">
        <f>IF($D136="T",$H136-$I136,$I136-$H136)</f>
        <v>0</v>
      </c>
      <c r="K136" s="37">
        <f>$G136+$J136</f>
        <v>0</v>
      </c>
    </row>
    <row r="137" spans="2:11" ht="15" customHeight="1" x14ac:dyDescent="0.3">
      <c r="B137" s="29" t="s">
        <v>161</v>
      </c>
      <c r="C137" s="29" t="s">
        <v>221</v>
      </c>
      <c r="D137" s="29" t="s">
        <v>97</v>
      </c>
      <c r="E137" s="29" t="s">
        <v>29</v>
      </c>
      <c r="F137" s="32" t="str">
        <f>INDEX('90_SEMA'!$G$7:$H$183,131,NYELV_IDX)</f>
        <v>IV. Anyagjellegű ráfordítások</v>
      </c>
      <c r="G137" s="31">
        <f>SUMIFS(G$7:G$183,$B$7:$B$183,$B137&amp;".*",$E$7:$E$183,"D")</f>
        <v>0</v>
      </c>
      <c r="H137" s="31">
        <f>SUMIFS(H$7:H$183,$B$7:$B$183,$B137&amp;".*",$E$7:$E$183,"D")</f>
        <v>0</v>
      </c>
      <c r="I137" s="31">
        <f>SUMIFS(I$7:I$183,$B$7:$B$183,$B137&amp;".*",$E$7:$E$183,"D")</f>
        <v>0</v>
      </c>
      <c r="J137" s="31">
        <f>SUMIFS(J$7:J$183,$B$7:$B$183,$B137&amp;".*",$E$7:$E$183,"D")</f>
        <v>0</v>
      </c>
      <c r="K137" s="31">
        <f>SUMIFS(K$7:K$183,$B$7:$B$183,$B137&amp;".*",$E$7:$E$183,"D")</f>
        <v>0</v>
      </c>
    </row>
    <row r="138" spans="2:11" ht="15" customHeight="1" x14ac:dyDescent="0.3">
      <c r="B138" s="29" t="s">
        <v>162</v>
      </c>
      <c r="C138" s="29" t="s">
        <v>221</v>
      </c>
      <c r="D138" s="29" t="s">
        <v>97</v>
      </c>
      <c r="E138" s="29" t="s">
        <v>32</v>
      </c>
      <c r="F138" s="7" t="str">
        <f>INDEX('90_SEMA'!$G$7:$H$183,132,NYELV_IDX)</f>
        <v>05. Anyagköltség</v>
      </c>
      <c r="G138" s="37">
        <f>SUMPRODUCT('03_ADATBEVITEL'!$E138:$X138,'03_ADATBEVITEL'!$E$4:$X$4,'03_ADATBEVITEL'!$E$3:$X$3)</f>
        <v>0</v>
      </c>
      <c r="H138" s="37">
        <f>SUMIF('10_NAPLO'!$G$7:$G$806,$B138,'10_NAPLO'!$I$7:$I$806)</f>
        <v>0</v>
      </c>
      <c r="I138" s="37">
        <f>SUMIF('10_NAPLO'!$G$7:$G$806,$B138,'10_NAPLO'!$J$7:$J$806)</f>
        <v>0</v>
      </c>
      <c r="J138" s="37">
        <f>IF($D138="T",$H138-$I138,$I138-$H138)</f>
        <v>0</v>
      </c>
      <c r="K138" s="37">
        <f>$G138+$J138</f>
        <v>0</v>
      </c>
    </row>
    <row r="139" spans="2:11" ht="15" customHeight="1" x14ac:dyDescent="0.3">
      <c r="B139" s="29" t="s">
        <v>163</v>
      </c>
      <c r="C139" s="29" t="s">
        <v>221</v>
      </c>
      <c r="D139" s="29" t="s">
        <v>97</v>
      </c>
      <c r="E139" s="29" t="s">
        <v>32</v>
      </c>
      <c r="F139" s="7" t="str">
        <f>INDEX('90_SEMA'!$G$7:$H$183,133,NYELV_IDX)</f>
        <v>06. Igénybe vett szolgáltatások értéke</v>
      </c>
      <c r="G139" s="37">
        <f>SUMPRODUCT('03_ADATBEVITEL'!$E139:$X139,'03_ADATBEVITEL'!$E$4:$X$4,'03_ADATBEVITEL'!$E$3:$X$3)</f>
        <v>0</v>
      </c>
      <c r="H139" s="37">
        <f>SUMIF('10_NAPLO'!$G$7:$G$806,$B139,'10_NAPLO'!$I$7:$I$806)</f>
        <v>0</v>
      </c>
      <c r="I139" s="37">
        <f>SUMIF('10_NAPLO'!$G$7:$G$806,$B139,'10_NAPLO'!$J$7:$J$806)</f>
        <v>0</v>
      </c>
      <c r="J139" s="37">
        <f>IF($D139="T",$H139-$I139,$I139-$H139)</f>
        <v>0</v>
      </c>
      <c r="K139" s="37">
        <f>$G139+$J139</f>
        <v>0</v>
      </c>
    </row>
    <row r="140" spans="2:11" ht="15" customHeight="1" x14ac:dyDescent="0.3">
      <c r="B140" s="29" t="s">
        <v>164</v>
      </c>
      <c r="C140" s="29" t="s">
        <v>221</v>
      </c>
      <c r="D140" s="29" t="s">
        <v>97</v>
      </c>
      <c r="E140" s="29" t="s">
        <v>32</v>
      </c>
      <c r="F140" s="7" t="str">
        <f>INDEX('90_SEMA'!$G$7:$H$183,134,NYELV_IDX)</f>
        <v>07. Egyéb szolgáltatások értéke</v>
      </c>
      <c r="G140" s="37">
        <f>SUMPRODUCT('03_ADATBEVITEL'!$E140:$X140,'03_ADATBEVITEL'!$E$4:$X$4,'03_ADATBEVITEL'!$E$3:$X$3)</f>
        <v>0</v>
      </c>
      <c r="H140" s="37">
        <f>SUMIF('10_NAPLO'!$G$7:$G$806,$B140,'10_NAPLO'!$I$7:$I$806)</f>
        <v>0</v>
      </c>
      <c r="I140" s="37">
        <f>SUMIF('10_NAPLO'!$G$7:$G$806,$B140,'10_NAPLO'!$J$7:$J$806)</f>
        <v>0</v>
      </c>
      <c r="J140" s="37">
        <f>IF($D140="T",$H140-$I140,$I140-$H140)</f>
        <v>0</v>
      </c>
      <c r="K140" s="37">
        <f>$G140+$J140</f>
        <v>0</v>
      </c>
    </row>
    <row r="141" spans="2:11" ht="15" customHeight="1" x14ac:dyDescent="0.3">
      <c r="B141" s="29" t="s">
        <v>165</v>
      </c>
      <c r="C141" s="29" t="s">
        <v>221</v>
      </c>
      <c r="D141" s="29" t="s">
        <v>97</v>
      </c>
      <c r="E141" s="29" t="s">
        <v>32</v>
      </c>
      <c r="F141" s="7" t="str">
        <f>INDEX('90_SEMA'!$G$7:$H$183,135,NYELV_IDX)</f>
        <v>08. Eladott áruk beszerzési értéke</v>
      </c>
      <c r="G141" s="37">
        <f>SUMPRODUCT('03_ADATBEVITEL'!$E141:$X141,'03_ADATBEVITEL'!$E$4:$X$4,'03_ADATBEVITEL'!$E$3:$X$3)</f>
        <v>0</v>
      </c>
      <c r="H141" s="37">
        <f>SUMIF('10_NAPLO'!$G$7:$G$806,$B141,'10_NAPLO'!$I$7:$I$806)</f>
        <v>0</v>
      </c>
      <c r="I141" s="37">
        <f>SUMIF('10_NAPLO'!$G$7:$G$806,$B141,'10_NAPLO'!$J$7:$J$806)</f>
        <v>0</v>
      </c>
      <c r="J141" s="37">
        <f>IF($D141="T",$H141-$I141,$I141-$H141)</f>
        <v>0</v>
      </c>
      <c r="K141" s="37">
        <f>$G141+$J141</f>
        <v>0</v>
      </c>
    </row>
    <row r="142" spans="2:11" ht="15" customHeight="1" x14ac:dyDescent="0.3">
      <c r="B142" s="29" t="s">
        <v>166</v>
      </c>
      <c r="C142" s="29" t="s">
        <v>221</v>
      </c>
      <c r="D142" s="29" t="s">
        <v>97</v>
      </c>
      <c r="E142" s="29" t="s">
        <v>32</v>
      </c>
      <c r="F142" s="7" t="str">
        <f>INDEX('90_SEMA'!$G$7:$H$183,136,NYELV_IDX)</f>
        <v>09. Eladott (közvetített) szolgáltatások értéke</v>
      </c>
      <c r="G142" s="37">
        <f>SUMPRODUCT('03_ADATBEVITEL'!$E142:$X142,'03_ADATBEVITEL'!$E$4:$X$4,'03_ADATBEVITEL'!$E$3:$X$3)</f>
        <v>0</v>
      </c>
      <c r="H142" s="37">
        <f>SUMIF('10_NAPLO'!$G$7:$G$806,$B142,'10_NAPLO'!$I$7:$I$806)</f>
        <v>0</v>
      </c>
      <c r="I142" s="37">
        <f>SUMIF('10_NAPLO'!$G$7:$G$806,$B142,'10_NAPLO'!$J$7:$J$806)</f>
        <v>0</v>
      </c>
      <c r="J142" s="37">
        <f>IF($D142="T",$H142-$I142,$I142-$H142)</f>
        <v>0</v>
      </c>
      <c r="K142" s="37">
        <f>$G142+$J142</f>
        <v>0</v>
      </c>
    </row>
    <row r="143" spans="2:11" ht="15" customHeight="1" x14ac:dyDescent="0.3">
      <c r="B143" s="29" t="s">
        <v>167</v>
      </c>
      <c r="C143" s="29" t="s">
        <v>221</v>
      </c>
      <c r="D143" s="29" t="s">
        <v>97</v>
      </c>
      <c r="E143" s="29" t="s">
        <v>29</v>
      </c>
      <c r="F143" s="32" t="str">
        <f>INDEX('90_SEMA'!$G$7:$H$183,137,NYELV_IDX)</f>
        <v>V. Személyi jellegű ráfordítások</v>
      </c>
      <c r="G143" s="31">
        <f>SUMIFS(G$7:G$183,$B$7:$B$183,$B143&amp;".*",$E$7:$E$183,"D")</f>
        <v>0</v>
      </c>
      <c r="H143" s="31">
        <f>SUMIFS(H$7:H$183,$B$7:$B$183,$B143&amp;".*",$E$7:$E$183,"D")</f>
        <v>0</v>
      </c>
      <c r="I143" s="31">
        <f>SUMIFS(I$7:I$183,$B$7:$B$183,$B143&amp;".*",$E$7:$E$183,"D")</f>
        <v>0</v>
      </c>
      <c r="J143" s="31">
        <f>SUMIFS(J$7:J$183,$B$7:$B$183,$B143&amp;".*",$E$7:$E$183,"D")</f>
        <v>0</v>
      </c>
      <c r="K143" s="31">
        <f>SUMIFS(K$7:K$183,$B$7:$B$183,$B143&amp;".*",$E$7:$E$183,"D")</f>
        <v>0</v>
      </c>
    </row>
    <row r="144" spans="2:11" ht="15" customHeight="1" x14ac:dyDescent="0.3">
      <c r="B144" s="29" t="s">
        <v>168</v>
      </c>
      <c r="C144" s="29" t="s">
        <v>221</v>
      </c>
      <c r="D144" s="29" t="s">
        <v>97</v>
      </c>
      <c r="E144" s="29" t="s">
        <v>32</v>
      </c>
      <c r="F144" s="7" t="str">
        <f>INDEX('90_SEMA'!$G$7:$H$183,138,NYELV_IDX)</f>
        <v>10. Bérköltség</v>
      </c>
      <c r="G144" s="37">
        <f>SUMPRODUCT('03_ADATBEVITEL'!$E144:$X144,'03_ADATBEVITEL'!$E$4:$X$4,'03_ADATBEVITEL'!$E$3:$X$3)</f>
        <v>0</v>
      </c>
      <c r="H144" s="37">
        <f>SUMIF('10_NAPLO'!$G$7:$G$806,$B144,'10_NAPLO'!$I$7:$I$806)</f>
        <v>0</v>
      </c>
      <c r="I144" s="37">
        <f>SUMIF('10_NAPLO'!$G$7:$G$806,$B144,'10_NAPLO'!$J$7:$J$806)</f>
        <v>0</v>
      </c>
      <c r="J144" s="37">
        <f t="shared" ref="J144:J150" si="21">IF($D144="T",$H144-$I144,$I144-$H144)</f>
        <v>0</v>
      </c>
      <c r="K144" s="37">
        <f t="shared" ref="K144:K150" si="22">$G144+$J144</f>
        <v>0</v>
      </c>
    </row>
    <row r="145" spans="2:11" ht="15" customHeight="1" x14ac:dyDescent="0.3">
      <c r="B145" s="29" t="s">
        <v>169</v>
      </c>
      <c r="C145" s="29" t="s">
        <v>221</v>
      </c>
      <c r="D145" s="29" t="s">
        <v>97</v>
      </c>
      <c r="E145" s="29" t="s">
        <v>32</v>
      </c>
      <c r="F145" s="7" t="str">
        <f>INDEX('90_SEMA'!$G$7:$H$183,139,NYELV_IDX)</f>
        <v>11. Személyi jellegű egyéb kifizetések</v>
      </c>
      <c r="G145" s="37">
        <f>SUMPRODUCT('03_ADATBEVITEL'!$E145:$X145,'03_ADATBEVITEL'!$E$4:$X$4,'03_ADATBEVITEL'!$E$3:$X$3)</f>
        <v>0</v>
      </c>
      <c r="H145" s="37">
        <f>SUMIF('10_NAPLO'!$G$7:$G$806,$B145,'10_NAPLO'!$I$7:$I$806)</f>
        <v>0</v>
      </c>
      <c r="I145" s="37">
        <f>SUMIF('10_NAPLO'!$G$7:$G$806,$B145,'10_NAPLO'!$J$7:$J$806)</f>
        <v>0</v>
      </c>
      <c r="J145" s="37">
        <f t="shared" si="21"/>
        <v>0</v>
      </c>
      <c r="K145" s="37">
        <f t="shared" si="22"/>
        <v>0</v>
      </c>
    </row>
    <row r="146" spans="2:11" ht="15" customHeight="1" x14ac:dyDescent="0.3">
      <c r="B146" s="29" t="s">
        <v>170</v>
      </c>
      <c r="C146" s="29" t="s">
        <v>221</v>
      </c>
      <c r="D146" s="29" t="s">
        <v>97</v>
      </c>
      <c r="E146" s="29" t="s">
        <v>32</v>
      </c>
      <c r="F146" s="7" t="str">
        <f>INDEX('90_SEMA'!$G$7:$H$183,140,NYELV_IDX)</f>
        <v>12. Bérjárulékok</v>
      </c>
      <c r="G146" s="37">
        <f>SUMPRODUCT('03_ADATBEVITEL'!$E146:$X146,'03_ADATBEVITEL'!$E$4:$X$4,'03_ADATBEVITEL'!$E$3:$X$3)</f>
        <v>0</v>
      </c>
      <c r="H146" s="37">
        <f>SUMIF('10_NAPLO'!$G$7:$G$806,$B146,'10_NAPLO'!$I$7:$I$806)</f>
        <v>0</v>
      </c>
      <c r="I146" s="37">
        <f>SUMIF('10_NAPLO'!$G$7:$G$806,$B146,'10_NAPLO'!$J$7:$J$806)</f>
        <v>0</v>
      </c>
      <c r="J146" s="37">
        <f t="shared" si="21"/>
        <v>0</v>
      </c>
      <c r="K146" s="37">
        <f t="shared" si="22"/>
        <v>0</v>
      </c>
    </row>
    <row r="147" spans="2:11" ht="15" customHeight="1" x14ac:dyDescent="0.3">
      <c r="B147" s="29" t="s">
        <v>171</v>
      </c>
      <c r="C147" s="29" t="s">
        <v>221</v>
      </c>
      <c r="D147" s="29" t="s">
        <v>97</v>
      </c>
      <c r="E147" s="29" t="s">
        <v>32</v>
      </c>
      <c r="F147" s="32" t="str">
        <f>INDEX('90_SEMA'!$G$7:$H$183,141,NYELV_IDX)</f>
        <v>VI. Értékcsökkenési leírás</v>
      </c>
      <c r="G147" s="37">
        <f>SUMPRODUCT('03_ADATBEVITEL'!$E147:$X147,'03_ADATBEVITEL'!$E$4:$X$4,'03_ADATBEVITEL'!$E$3:$X$3)</f>
        <v>0</v>
      </c>
      <c r="H147" s="37">
        <f>SUMIF('10_NAPLO'!$G$7:$G$806,$B147,'10_NAPLO'!$I$7:$I$806)</f>
        <v>0</v>
      </c>
      <c r="I147" s="37">
        <f>SUMIF('10_NAPLO'!$G$7:$G$806,$B147,'10_NAPLO'!$J$7:$J$806)</f>
        <v>0</v>
      </c>
      <c r="J147" s="37">
        <f t="shared" si="21"/>
        <v>0</v>
      </c>
      <c r="K147" s="37">
        <f t="shared" si="22"/>
        <v>0</v>
      </c>
    </row>
    <row r="148" spans="2:11" ht="15" customHeight="1" x14ac:dyDescent="0.3">
      <c r="B148" s="29" t="s">
        <v>172</v>
      </c>
      <c r="C148" s="29" t="s">
        <v>221</v>
      </c>
      <c r="D148" s="29" t="s">
        <v>97</v>
      </c>
      <c r="E148" s="29" t="s">
        <v>32</v>
      </c>
      <c r="F148" s="32" t="str">
        <f>INDEX('90_SEMA'!$G$7:$H$183,142,NYELV_IDX)</f>
        <v>VII. Egyéb ráfordítások</v>
      </c>
      <c r="G148" s="37">
        <f>SUMPRODUCT('03_ADATBEVITEL'!$E148:$X148,'03_ADATBEVITEL'!$E$4:$X$4,'03_ADATBEVITEL'!$E$3:$X$3)</f>
        <v>0</v>
      </c>
      <c r="H148" s="37">
        <f>SUMIF('10_NAPLO'!$G$7:$G$806,$B148,'10_NAPLO'!$I$7:$I$806)</f>
        <v>0</v>
      </c>
      <c r="I148" s="37">
        <f>SUMIF('10_NAPLO'!$G$7:$G$806,$B148,'10_NAPLO'!$J$7:$J$806)</f>
        <v>0</v>
      </c>
      <c r="J148" s="37">
        <f t="shared" si="21"/>
        <v>0</v>
      </c>
      <c r="K148" s="37">
        <f t="shared" si="22"/>
        <v>0</v>
      </c>
    </row>
    <row r="149" spans="2:11" ht="15" customHeight="1" x14ac:dyDescent="0.3">
      <c r="B149" s="29" t="s">
        <v>173</v>
      </c>
      <c r="C149" s="29" t="s">
        <v>221</v>
      </c>
      <c r="D149" s="29" t="s">
        <v>97</v>
      </c>
      <c r="E149" s="29" t="s">
        <v>97</v>
      </c>
      <c r="F149" s="34" t="str">
        <f>INDEX('90_SEMA'!$G$7:$H$183,143,NYELV_IDX)</f>
        <v xml:space="preserve">     Ebből: értékvesztés</v>
      </c>
      <c r="G149" s="37">
        <f>SUMPRODUCT('03_ADATBEVITEL'!$E149:$X149,'03_ADATBEVITEL'!$E$4:$X$4,'03_ADATBEVITEL'!$E$3:$X$3)</f>
        <v>0</v>
      </c>
      <c r="H149" s="37">
        <f>SUMIF('10_NAPLO'!$G$7:$G$806,$B149,'10_NAPLO'!$I$7:$I$806)</f>
        <v>0</v>
      </c>
      <c r="I149" s="37">
        <f>SUMIF('10_NAPLO'!$G$7:$G$806,$B149,'10_NAPLO'!$J$7:$J$806)</f>
        <v>0</v>
      </c>
      <c r="J149" s="37">
        <f t="shared" si="21"/>
        <v>0</v>
      </c>
      <c r="K149" s="37">
        <f t="shared" si="22"/>
        <v>0</v>
      </c>
    </row>
    <row r="150" spans="2:11" ht="15" customHeight="1" x14ac:dyDescent="0.3">
      <c r="B150" s="29" t="s">
        <v>174</v>
      </c>
      <c r="C150" s="29" t="s">
        <v>221</v>
      </c>
      <c r="D150" s="29" t="s">
        <v>97</v>
      </c>
      <c r="E150" s="29" t="s">
        <v>32</v>
      </c>
      <c r="F150" s="32" t="str">
        <f>INDEX('90_SEMA'!$G$7:$H$183,144,NYELV_IDX)</f>
        <v>VII/A. Adósságkonszolidálás miatt keletkező – eredményt csökkentő – konszolidációs különbözet</v>
      </c>
      <c r="G150" s="37">
        <f>SUMPRODUCT('03_ADATBEVITEL'!$E150:$X150,'03_ADATBEVITEL'!$E$4:$X$4,'03_ADATBEVITEL'!$E$3:$X$3)</f>
        <v>0</v>
      </c>
      <c r="H150" s="37">
        <f>SUMIF('10_NAPLO'!$G$7:$G$806,$B150,'10_NAPLO'!$I$7:$I$806)</f>
        <v>0</v>
      </c>
      <c r="I150" s="37">
        <f>SUMIF('10_NAPLO'!$G$7:$G$806,$B150,'10_NAPLO'!$J$7:$J$806)</f>
        <v>0</v>
      </c>
      <c r="J150" s="37">
        <f t="shared" si="21"/>
        <v>0</v>
      </c>
      <c r="K150" s="37">
        <f t="shared" si="22"/>
        <v>0</v>
      </c>
    </row>
    <row r="151" spans="2:11" ht="15" customHeight="1" x14ac:dyDescent="0.3">
      <c r="B151" s="29" t="s">
        <v>175</v>
      </c>
      <c r="C151" s="29" t="s">
        <v>221</v>
      </c>
      <c r="D151" s="29" t="s">
        <v>220</v>
      </c>
      <c r="E151" s="29" t="s">
        <v>29</v>
      </c>
      <c r="F151" s="32" t="str">
        <f>INDEX('90_SEMA'!$G$7:$H$183,145,NYELV_IDX)</f>
        <v>VIII. Pénzügyi műveletek bevételei</v>
      </c>
      <c r="G151" s="31">
        <f>SUMIFS(G$7:G$183,$B$7:$B$183,$B151&amp;".*",$E$7:$E$183,"D")</f>
        <v>0</v>
      </c>
      <c r="H151" s="31">
        <f>SUMIFS(H$7:H$183,$B$7:$B$183,$B151&amp;".*",$E$7:$E$183,"D")</f>
        <v>0</v>
      </c>
      <c r="I151" s="31">
        <f>SUMIFS(I$7:I$183,$B$7:$B$183,$B151&amp;".*",$E$7:$E$183,"D")</f>
        <v>0</v>
      </c>
      <c r="J151" s="31">
        <f>SUMIFS(J$7:J$183,$B$7:$B$183,$B151&amp;".*",$E$7:$E$183,"D")</f>
        <v>0</v>
      </c>
      <c r="K151" s="31">
        <f>SUMIFS(K$7:K$183,$B$7:$B$183,$B151&amp;".*",$E$7:$E$183,"D")</f>
        <v>0</v>
      </c>
    </row>
    <row r="152" spans="2:11" ht="15" customHeight="1" x14ac:dyDescent="0.3">
      <c r="B152" s="29" t="s">
        <v>176</v>
      </c>
      <c r="C152" s="29" t="s">
        <v>221</v>
      </c>
      <c r="D152" s="29" t="s">
        <v>220</v>
      </c>
      <c r="E152" s="29" t="s">
        <v>32</v>
      </c>
      <c r="F152" s="7" t="str">
        <f>INDEX('90_SEMA'!$G$7:$H$183,146,NYELV_IDX)</f>
        <v>13/a. Kapott osztalékok társult vállalkozástól</v>
      </c>
      <c r="G152" s="37">
        <f>SUMPRODUCT('03_ADATBEVITEL'!$E152:$X152,'03_ADATBEVITEL'!$E$4:$X$4,'03_ADATBEVITEL'!$E$3:$X$3)</f>
        <v>0</v>
      </c>
      <c r="H152" s="37">
        <f>SUMIF('10_NAPLO'!$G$7:$G$806,$B152,'10_NAPLO'!$I$7:$I$806)</f>
        <v>0</v>
      </c>
      <c r="I152" s="37">
        <f>SUMIF('10_NAPLO'!$G$7:$G$806,$B152,'10_NAPLO'!$J$7:$J$806)</f>
        <v>0</v>
      </c>
      <c r="J152" s="37">
        <f t="shared" ref="J152:J163" si="23">IF($D152="T",$H152-$I152,$I152-$H152)</f>
        <v>0</v>
      </c>
      <c r="K152" s="37">
        <f t="shared" ref="K152:K163" si="24">$G152+$J152</f>
        <v>0</v>
      </c>
    </row>
    <row r="153" spans="2:11" ht="15" customHeight="1" x14ac:dyDescent="0.3">
      <c r="B153" s="29" t="s">
        <v>177</v>
      </c>
      <c r="C153" s="29" t="s">
        <v>221</v>
      </c>
      <c r="D153" s="29" t="s">
        <v>220</v>
      </c>
      <c r="E153" s="29" t="s">
        <v>97</v>
      </c>
      <c r="F153" s="34" t="str">
        <f>INDEX('90_SEMA'!$G$7:$H$183,147,NYELV_IDX)</f>
        <v xml:space="preserve">     Ebből: kapcsolt vállalkozástól kapott</v>
      </c>
      <c r="G153" s="37">
        <f>SUMPRODUCT('03_ADATBEVITEL'!$E153:$X153,'03_ADATBEVITEL'!$E$4:$X$4,'03_ADATBEVITEL'!$E$3:$X$3)</f>
        <v>0</v>
      </c>
      <c r="H153" s="37">
        <f>SUMIF('10_NAPLO'!$G$7:$G$806,$B153,'10_NAPLO'!$I$7:$I$806)</f>
        <v>0</v>
      </c>
      <c r="I153" s="37">
        <f>SUMIF('10_NAPLO'!$G$7:$G$806,$B153,'10_NAPLO'!$J$7:$J$806)</f>
        <v>0</v>
      </c>
      <c r="J153" s="37">
        <f t="shared" si="23"/>
        <v>0</v>
      </c>
      <c r="K153" s="37">
        <f t="shared" si="24"/>
        <v>0</v>
      </c>
    </row>
    <row r="154" spans="2:11" ht="15" customHeight="1" x14ac:dyDescent="0.3">
      <c r="B154" s="29" t="s">
        <v>178</v>
      </c>
      <c r="C154" s="29" t="s">
        <v>221</v>
      </c>
      <c r="D154" s="29" t="s">
        <v>220</v>
      </c>
      <c r="E154" s="29" t="s">
        <v>32</v>
      </c>
      <c r="F154" s="7" t="str">
        <f>INDEX('90_SEMA'!$G$7:$H$183,148,NYELV_IDX)</f>
        <v>13/b. Kapott osztalékok egyéb részesedési viszonyban lévő vállalkozástól</v>
      </c>
      <c r="G154" s="37">
        <f>SUMPRODUCT('03_ADATBEVITEL'!$E154:$X154,'03_ADATBEVITEL'!$E$4:$X$4,'03_ADATBEVITEL'!$E$3:$X$3)</f>
        <v>0</v>
      </c>
      <c r="H154" s="37">
        <f>SUMIF('10_NAPLO'!$G$7:$G$806,$B154,'10_NAPLO'!$I$7:$I$806)</f>
        <v>0</v>
      </c>
      <c r="I154" s="37">
        <f>SUMIF('10_NAPLO'!$G$7:$G$806,$B154,'10_NAPLO'!$J$7:$J$806)</f>
        <v>0</v>
      </c>
      <c r="J154" s="37">
        <f t="shared" si="23"/>
        <v>0</v>
      </c>
      <c r="K154" s="37">
        <f t="shared" si="24"/>
        <v>0</v>
      </c>
    </row>
    <row r="155" spans="2:11" ht="15" customHeight="1" x14ac:dyDescent="0.3">
      <c r="B155" s="29" t="s">
        <v>179</v>
      </c>
      <c r="C155" s="29" t="s">
        <v>221</v>
      </c>
      <c r="D155" s="29" t="s">
        <v>220</v>
      </c>
      <c r="E155" s="29" t="s">
        <v>97</v>
      </c>
      <c r="F155" s="34" t="str">
        <f>INDEX('90_SEMA'!$G$7:$H$183,149,NYELV_IDX)</f>
        <v xml:space="preserve">     Ebből: kapcsolt vállalkozástól kapott</v>
      </c>
      <c r="G155" s="37">
        <f>SUMPRODUCT('03_ADATBEVITEL'!$E155:$X155,'03_ADATBEVITEL'!$E$4:$X$4,'03_ADATBEVITEL'!$E$3:$X$3)</f>
        <v>0</v>
      </c>
      <c r="H155" s="37">
        <f>SUMIF('10_NAPLO'!$G$7:$G$806,$B155,'10_NAPLO'!$I$7:$I$806)</f>
        <v>0</v>
      </c>
      <c r="I155" s="37">
        <f>SUMIF('10_NAPLO'!$G$7:$G$806,$B155,'10_NAPLO'!$J$7:$J$806)</f>
        <v>0</v>
      </c>
      <c r="J155" s="37">
        <f t="shared" si="23"/>
        <v>0</v>
      </c>
      <c r="K155" s="37">
        <f t="shared" si="24"/>
        <v>0</v>
      </c>
    </row>
    <row r="156" spans="2:11" ht="15" customHeight="1" x14ac:dyDescent="0.3">
      <c r="B156" s="29" t="s">
        <v>180</v>
      </c>
      <c r="C156" s="29" t="s">
        <v>221</v>
      </c>
      <c r="D156" s="29" t="s">
        <v>220</v>
      </c>
      <c r="E156" s="29" t="s">
        <v>32</v>
      </c>
      <c r="F156" s="7" t="str">
        <f>INDEX('90_SEMA'!$G$7:$H$183,150,NYELV_IDX)</f>
        <v>14. Részesedésekből származó bevételek, árfolyamnyereségek</v>
      </c>
      <c r="G156" s="37">
        <f>SUMPRODUCT('03_ADATBEVITEL'!$E156:$X156,'03_ADATBEVITEL'!$E$4:$X$4,'03_ADATBEVITEL'!$E$3:$X$3)</f>
        <v>0</v>
      </c>
      <c r="H156" s="37">
        <f>SUMIF('10_NAPLO'!$G$7:$G$806,$B156,'10_NAPLO'!$I$7:$I$806)</f>
        <v>0</v>
      </c>
      <c r="I156" s="37">
        <f>SUMIF('10_NAPLO'!$G$7:$G$806,$B156,'10_NAPLO'!$J$7:$J$806)</f>
        <v>0</v>
      </c>
      <c r="J156" s="37">
        <f t="shared" si="23"/>
        <v>0</v>
      </c>
      <c r="K156" s="37">
        <f t="shared" si="24"/>
        <v>0</v>
      </c>
    </row>
    <row r="157" spans="2:11" ht="15" customHeight="1" x14ac:dyDescent="0.3">
      <c r="B157" s="29" t="s">
        <v>181</v>
      </c>
      <c r="C157" s="29" t="s">
        <v>221</v>
      </c>
      <c r="D157" s="29" t="s">
        <v>220</v>
      </c>
      <c r="E157" s="29" t="s">
        <v>97</v>
      </c>
      <c r="F157" s="34" t="str">
        <f>INDEX('90_SEMA'!$G$7:$H$183,151,NYELV_IDX)</f>
        <v xml:space="preserve">     Ebből: kapcsolt vállalkozástól kapott</v>
      </c>
      <c r="G157" s="37">
        <f>SUMPRODUCT('03_ADATBEVITEL'!$E157:$X157,'03_ADATBEVITEL'!$E$4:$X$4,'03_ADATBEVITEL'!$E$3:$X$3)</f>
        <v>0</v>
      </c>
      <c r="H157" s="37">
        <f>SUMIF('10_NAPLO'!$G$7:$G$806,$B157,'10_NAPLO'!$I$7:$I$806)</f>
        <v>0</v>
      </c>
      <c r="I157" s="37">
        <f>SUMIF('10_NAPLO'!$G$7:$G$806,$B157,'10_NAPLO'!$J$7:$J$806)</f>
        <v>0</v>
      </c>
      <c r="J157" s="37">
        <f t="shared" si="23"/>
        <v>0</v>
      </c>
      <c r="K157" s="37">
        <f t="shared" si="24"/>
        <v>0</v>
      </c>
    </row>
    <row r="158" spans="2:11" ht="15" customHeight="1" x14ac:dyDescent="0.3">
      <c r="B158" s="29" t="s">
        <v>182</v>
      </c>
      <c r="C158" s="29" t="s">
        <v>221</v>
      </c>
      <c r="D158" s="29" t="s">
        <v>220</v>
      </c>
      <c r="E158" s="29" t="s">
        <v>32</v>
      </c>
      <c r="F158" s="7" t="str">
        <f>INDEX('90_SEMA'!$G$7:$H$183,152,NYELV_IDX)</f>
        <v>15. Befektetett pénzügyi eszközökből (értékpapírokból, kölcsönökből) származó bevételek, árfolyamnyereségek</v>
      </c>
      <c r="G158" s="37">
        <f>SUMPRODUCT('03_ADATBEVITEL'!$E158:$X158,'03_ADATBEVITEL'!$E$4:$X$4,'03_ADATBEVITEL'!$E$3:$X$3)</f>
        <v>0</v>
      </c>
      <c r="H158" s="37">
        <f>SUMIF('10_NAPLO'!$G$7:$G$806,$B158,'10_NAPLO'!$I$7:$I$806)</f>
        <v>0</v>
      </c>
      <c r="I158" s="37">
        <f>SUMIF('10_NAPLO'!$G$7:$G$806,$B158,'10_NAPLO'!$J$7:$J$806)</f>
        <v>0</v>
      </c>
      <c r="J158" s="37">
        <f t="shared" si="23"/>
        <v>0</v>
      </c>
      <c r="K158" s="37">
        <f t="shared" si="24"/>
        <v>0</v>
      </c>
    </row>
    <row r="159" spans="2:11" ht="15" customHeight="1" x14ac:dyDescent="0.3">
      <c r="B159" s="29" t="s">
        <v>183</v>
      </c>
      <c r="C159" s="29" t="s">
        <v>221</v>
      </c>
      <c r="D159" s="29" t="s">
        <v>220</v>
      </c>
      <c r="E159" s="29" t="s">
        <v>97</v>
      </c>
      <c r="F159" s="34" t="str">
        <f>INDEX('90_SEMA'!$G$7:$H$183,153,NYELV_IDX)</f>
        <v xml:space="preserve">     Ebből: kapcsolt vállalkozástól kapott</v>
      </c>
      <c r="G159" s="37">
        <f>SUMPRODUCT('03_ADATBEVITEL'!$E159:$X159,'03_ADATBEVITEL'!$E$4:$X$4,'03_ADATBEVITEL'!$E$3:$X$3)</f>
        <v>0</v>
      </c>
      <c r="H159" s="37">
        <f>SUMIF('10_NAPLO'!$G$7:$G$806,$B159,'10_NAPLO'!$I$7:$I$806)</f>
        <v>0</v>
      </c>
      <c r="I159" s="37">
        <f>SUMIF('10_NAPLO'!$G$7:$G$806,$B159,'10_NAPLO'!$J$7:$J$806)</f>
        <v>0</v>
      </c>
      <c r="J159" s="37">
        <f t="shared" si="23"/>
        <v>0</v>
      </c>
      <c r="K159" s="37">
        <f t="shared" si="24"/>
        <v>0</v>
      </c>
    </row>
    <row r="160" spans="2:11" ht="15" customHeight="1" x14ac:dyDescent="0.3">
      <c r="B160" s="29" t="s">
        <v>184</v>
      </c>
      <c r="C160" s="29" t="s">
        <v>221</v>
      </c>
      <c r="D160" s="29" t="s">
        <v>220</v>
      </c>
      <c r="E160" s="29" t="s">
        <v>32</v>
      </c>
      <c r="F160" s="7" t="str">
        <f>INDEX('90_SEMA'!$G$7:$H$183,154,NYELV_IDX)</f>
        <v>16. Egyéb kapott (járó) kamatok és kamatjellegű bevételek</v>
      </c>
      <c r="G160" s="37">
        <f>SUMPRODUCT('03_ADATBEVITEL'!$E160:$X160,'03_ADATBEVITEL'!$E$4:$X$4,'03_ADATBEVITEL'!$E$3:$X$3)</f>
        <v>0</v>
      </c>
      <c r="H160" s="37">
        <f>SUMIF('10_NAPLO'!$G$7:$G$806,$B160,'10_NAPLO'!$I$7:$I$806)</f>
        <v>0</v>
      </c>
      <c r="I160" s="37">
        <f>SUMIF('10_NAPLO'!$G$7:$G$806,$B160,'10_NAPLO'!$J$7:$J$806)</f>
        <v>0</v>
      </c>
      <c r="J160" s="37">
        <f t="shared" si="23"/>
        <v>0</v>
      </c>
      <c r="K160" s="37">
        <f t="shared" si="24"/>
        <v>0</v>
      </c>
    </row>
    <row r="161" spans="2:11" ht="15" customHeight="1" x14ac:dyDescent="0.3">
      <c r="B161" s="29" t="s">
        <v>185</v>
      </c>
      <c r="C161" s="29" t="s">
        <v>221</v>
      </c>
      <c r="D161" s="29" t="s">
        <v>220</v>
      </c>
      <c r="E161" s="29" t="s">
        <v>97</v>
      </c>
      <c r="F161" s="34" t="str">
        <f>INDEX('90_SEMA'!$G$7:$H$183,155,NYELV_IDX)</f>
        <v xml:space="preserve">     Ebből: kapcsolt vállalkozástól kapott</v>
      </c>
      <c r="G161" s="37">
        <f>SUMPRODUCT('03_ADATBEVITEL'!$E161:$X161,'03_ADATBEVITEL'!$E$4:$X$4,'03_ADATBEVITEL'!$E$3:$X$3)</f>
        <v>0</v>
      </c>
      <c r="H161" s="37">
        <f>SUMIF('10_NAPLO'!$G$7:$G$806,$B161,'10_NAPLO'!$I$7:$I$806)</f>
        <v>0</v>
      </c>
      <c r="I161" s="37">
        <f>SUMIF('10_NAPLO'!$G$7:$G$806,$B161,'10_NAPLO'!$J$7:$J$806)</f>
        <v>0</v>
      </c>
      <c r="J161" s="37">
        <f t="shared" si="23"/>
        <v>0</v>
      </c>
      <c r="K161" s="37">
        <f t="shared" si="24"/>
        <v>0</v>
      </c>
    </row>
    <row r="162" spans="2:11" ht="15" customHeight="1" x14ac:dyDescent="0.3">
      <c r="B162" s="29" t="s">
        <v>186</v>
      </c>
      <c r="C162" s="29" t="s">
        <v>221</v>
      </c>
      <c r="D162" s="29" t="s">
        <v>220</v>
      </c>
      <c r="E162" s="29" t="s">
        <v>32</v>
      </c>
      <c r="F162" s="7" t="str">
        <f>INDEX('90_SEMA'!$G$7:$H$183,156,NYELV_IDX)</f>
        <v>17. Pénzügyi műveletek egyéb bevételei</v>
      </c>
      <c r="G162" s="37">
        <f>SUMPRODUCT('03_ADATBEVITEL'!$E162:$X162,'03_ADATBEVITEL'!$E$4:$X$4,'03_ADATBEVITEL'!$E$3:$X$3)</f>
        <v>0</v>
      </c>
      <c r="H162" s="37">
        <f>SUMIF('10_NAPLO'!$G$7:$G$806,$B162,'10_NAPLO'!$I$7:$I$806)</f>
        <v>0</v>
      </c>
      <c r="I162" s="37">
        <f>SUMIF('10_NAPLO'!$G$7:$G$806,$B162,'10_NAPLO'!$J$7:$J$806)</f>
        <v>0</v>
      </c>
      <c r="J162" s="37">
        <f t="shared" si="23"/>
        <v>0</v>
      </c>
      <c r="K162" s="37">
        <f t="shared" si="24"/>
        <v>0</v>
      </c>
    </row>
    <row r="163" spans="2:11" ht="15" customHeight="1" x14ac:dyDescent="0.3">
      <c r="B163" s="29" t="s">
        <v>187</v>
      </c>
      <c r="C163" s="29" t="s">
        <v>221</v>
      </c>
      <c r="D163" s="29" t="s">
        <v>220</v>
      </c>
      <c r="E163" s="29" t="s">
        <v>97</v>
      </c>
      <c r="F163" s="34" t="str">
        <f>INDEX('90_SEMA'!$G$7:$H$183,157,NYELV_IDX)</f>
        <v xml:space="preserve">     Ebből: értékelési különbözet</v>
      </c>
      <c r="G163" s="37">
        <f>SUMPRODUCT('03_ADATBEVITEL'!$E163:$X163,'03_ADATBEVITEL'!$E$4:$X$4,'03_ADATBEVITEL'!$E$3:$X$3)</f>
        <v>0</v>
      </c>
      <c r="H163" s="37">
        <f>SUMIF('10_NAPLO'!$G$7:$G$806,$B163,'10_NAPLO'!$I$7:$I$806)</f>
        <v>0</v>
      </c>
      <c r="I163" s="37">
        <f>SUMIF('10_NAPLO'!$G$7:$G$806,$B163,'10_NAPLO'!$J$7:$J$806)</f>
        <v>0</v>
      </c>
      <c r="J163" s="37">
        <f t="shared" si="23"/>
        <v>0</v>
      </c>
      <c r="K163" s="37">
        <f t="shared" si="24"/>
        <v>0</v>
      </c>
    </row>
    <row r="164" spans="2:11" ht="15" customHeight="1" x14ac:dyDescent="0.3">
      <c r="B164" s="29" t="s">
        <v>188</v>
      </c>
      <c r="C164" s="29" t="s">
        <v>221</v>
      </c>
      <c r="D164" s="29" t="s">
        <v>97</v>
      </c>
      <c r="E164" s="29" t="s">
        <v>29</v>
      </c>
      <c r="F164" s="32" t="str">
        <f>INDEX('90_SEMA'!$G$7:$H$183,158,NYELV_IDX)</f>
        <v>IX. Pénzügyi műveletek ráfordításai</v>
      </c>
      <c r="G164" s="31">
        <f>SUMIFS(G$7:G$183,$B$7:$B$183,$B164&amp;".*",$E$7:$E$183,"D")</f>
        <v>0</v>
      </c>
      <c r="H164" s="31">
        <f>SUMIFS(H$7:H$183,$B$7:$B$183,$B164&amp;".*",$E$7:$E$183,"D")</f>
        <v>0</v>
      </c>
      <c r="I164" s="31">
        <f>SUMIFS(I$7:I$183,$B$7:$B$183,$B164&amp;".*",$E$7:$E$183,"D")</f>
        <v>0</v>
      </c>
      <c r="J164" s="31">
        <f>SUMIFS(J$7:J$183,$B$7:$B$183,$B164&amp;".*",$E$7:$E$183,"D")</f>
        <v>0</v>
      </c>
      <c r="K164" s="31">
        <f>SUMIFS(K$7:K$183,$B$7:$B$183,$B164&amp;".*",$E$7:$E$183,"D")</f>
        <v>0</v>
      </c>
    </row>
    <row r="165" spans="2:11" ht="15" customHeight="1" x14ac:dyDescent="0.3">
      <c r="B165" s="29" t="s">
        <v>189</v>
      </c>
      <c r="C165" s="29" t="s">
        <v>221</v>
      </c>
      <c r="D165" s="29" t="s">
        <v>97</v>
      </c>
      <c r="E165" s="29" t="s">
        <v>32</v>
      </c>
      <c r="F165" s="7" t="str">
        <f>INDEX('90_SEMA'!$G$7:$H$183,159,NYELV_IDX)</f>
        <v>18. Részesedésekből származó ráfordítások, árfolyamveszteségek</v>
      </c>
      <c r="G165" s="37">
        <f>SUMPRODUCT('03_ADATBEVITEL'!$E165:$X165,'03_ADATBEVITEL'!$E$4:$X$4,'03_ADATBEVITEL'!$E$3:$X$3)</f>
        <v>0</v>
      </c>
      <c r="H165" s="37">
        <f>SUMIF('10_NAPLO'!$G$7:$G$806,$B165,'10_NAPLO'!$I$7:$I$806)</f>
        <v>0</v>
      </c>
      <c r="I165" s="37">
        <f>SUMIF('10_NAPLO'!$G$7:$G$806,$B165,'10_NAPLO'!$J$7:$J$806)</f>
        <v>0</v>
      </c>
      <c r="J165" s="37">
        <f t="shared" ref="J165:J178" si="25">IF($D165="T",$H165-$I165,$I165-$H165)</f>
        <v>0</v>
      </c>
      <c r="K165" s="37">
        <f t="shared" ref="K165:K178" si="26">$G165+$J165</f>
        <v>0</v>
      </c>
    </row>
    <row r="166" spans="2:11" ht="15" customHeight="1" x14ac:dyDescent="0.3">
      <c r="B166" s="29" t="s">
        <v>190</v>
      </c>
      <c r="C166" s="29" t="s">
        <v>221</v>
      </c>
      <c r="D166" s="29" t="s">
        <v>97</v>
      </c>
      <c r="E166" s="29" t="s">
        <v>97</v>
      </c>
      <c r="F166" s="34" t="str">
        <f>INDEX('90_SEMA'!$G$7:$H$183,160,NYELV_IDX)</f>
        <v xml:space="preserve">     Ebből: kapcsolt vállalkozásnak adott</v>
      </c>
      <c r="G166" s="37">
        <f>SUMPRODUCT('03_ADATBEVITEL'!$E166:$X166,'03_ADATBEVITEL'!$E$4:$X$4,'03_ADATBEVITEL'!$E$3:$X$3)</f>
        <v>0</v>
      </c>
      <c r="H166" s="37">
        <f>SUMIF('10_NAPLO'!$G$7:$G$806,$B166,'10_NAPLO'!$I$7:$I$806)</f>
        <v>0</v>
      </c>
      <c r="I166" s="37">
        <f>SUMIF('10_NAPLO'!$G$7:$G$806,$B166,'10_NAPLO'!$J$7:$J$806)</f>
        <v>0</v>
      </c>
      <c r="J166" s="37">
        <f t="shared" si="25"/>
        <v>0</v>
      </c>
      <c r="K166" s="37">
        <f t="shared" si="26"/>
        <v>0</v>
      </c>
    </row>
    <row r="167" spans="2:11" ht="15" customHeight="1" x14ac:dyDescent="0.3">
      <c r="B167" s="29" t="s">
        <v>191</v>
      </c>
      <c r="C167" s="29" t="s">
        <v>221</v>
      </c>
      <c r="D167" s="29" t="s">
        <v>97</v>
      </c>
      <c r="E167" s="29" t="s">
        <v>32</v>
      </c>
      <c r="F167" s="7" t="str">
        <f>INDEX('90_SEMA'!$G$7:$H$183,161,NYELV_IDX)</f>
        <v>19. Befektetett pénzügyi eszközökből (értékpapírokból, kölcsönökből) származó ráfordítások, árfolyamveszteségek</v>
      </c>
      <c r="G167" s="37">
        <f>SUMPRODUCT('03_ADATBEVITEL'!$E167:$X167,'03_ADATBEVITEL'!$E$4:$X$4,'03_ADATBEVITEL'!$E$3:$X$3)</f>
        <v>0</v>
      </c>
      <c r="H167" s="37">
        <f>SUMIF('10_NAPLO'!$G$7:$G$806,$B167,'10_NAPLO'!$I$7:$I$806)</f>
        <v>0</v>
      </c>
      <c r="I167" s="37">
        <f>SUMIF('10_NAPLO'!$G$7:$G$806,$B167,'10_NAPLO'!$J$7:$J$806)</f>
        <v>0</v>
      </c>
      <c r="J167" s="37">
        <f t="shared" si="25"/>
        <v>0</v>
      </c>
      <c r="K167" s="37">
        <f t="shared" si="26"/>
        <v>0</v>
      </c>
    </row>
    <row r="168" spans="2:11" ht="15" customHeight="1" x14ac:dyDescent="0.3">
      <c r="B168" s="29" t="s">
        <v>192</v>
      </c>
      <c r="C168" s="29" t="s">
        <v>221</v>
      </c>
      <c r="D168" s="29" t="s">
        <v>97</v>
      </c>
      <c r="E168" s="29" t="s">
        <v>97</v>
      </c>
      <c r="F168" s="34" t="str">
        <f>INDEX('90_SEMA'!$G$7:$H$183,162,NYELV_IDX)</f>
        <v xml:space="preserve">     Ebből: kapcsolt vállalkozásnak adott</v>
      </c>
      <c r="G168" s="37">
        <f>SUMPRODUCT('03_ADATBEVITEL'!$E168:$X168,'03_ADATBEVITEL'!$E$4:$X$4,'03_ADATBEVITEL'!$E$3:$X$3)</f>
        <v>0</v>
      </c>
      <c r="H168" s="37">
        <f>SUMIF('10_NAPLO'!$G$7:$G$806,$B168,'10_NAPLO'!$I$7:$I$806)</f>
        <v>0</v>
      </c>
      <c r="I168" s="37">
        <f>SUMIF('10_NAPLO'!$G$7:$G$806,$B168,'10_NAPLO'!$J$7:$J$806)</f>
        <v>0</v>
      </c>
      <c r="J168" s="37">
        <f t="shared" si="25"/>
        <v>0</v>
      </c>
      <c r="K168" s="37">
        <f t="shared" si="26"/>
        <v>0</v>
      </c>
    </row>
    <row r="169" spans="2:11" ht="15" customHeight="1" x14ac:dyDescent="0.3">
      <c r="B169" s="29" t="s">
        <v>193</v>
      </c>
      <c r="C169" s="29" t="s">
        <v>221</v>
      </c>
      <c r="D169" s="29" t="s">
        <v>97</v>
      </c>
      <c r="E169" s="29" t="s">
        <v>32</v>
      </c>
      <c r="F169" s="7" t="str">
        <f>INDEX('90_SEMA'!$G$7:$H$183,163,NYELV_IDX)</f>
        <v>20. Fizetendő (fizetett) kamatok és kamatjellegű ráfordítások</v>
      </c>
      <c r="G169" s="37">
        <f>SUMPRODUCT('03_ADATBEVITEL'!$E169:$X169,'03_ADATBEVITEL'!$E$4:$X$4,'03_ADATBEVITEL'!$E$3:$X$3)</f>
        <v>0</v>
      </c>
      <c r="H169" s="37">
        <f>SUMIF('10_NAPLO'!$G$7:$G$806,$B169,'10_NAPLO'!$I$7:$I$806)</f>
        <v>0</v>
      </c>
      <c r="I169" s="37">
        <f>SUMIF('10_NAPLO'!$G$7:$G$806,$B169,'10_NAPLO'!$J$7:$J$806)</f>
        <v>0</v>
      </c>
      <c r="J169" s="37">
        <f t="shared" si="25"/>
        <v>0</v>
      </c>
      <c r="K169" s="37">
        <f t="shared" si="26"/>
        <v>0</v>
      </c>
    </row>
    <row r="170" spans="2:11" ht="15" customHeight="1" x14ac:dyDescent="0.3">
      <c r="B170" s="29" t="s">
        <v>194</v>
      </c>
      <c r="C170" s="29" t="s">
        <v>221</v>
      </c>
      <c r="D170" s="29" t="s">
        <v>97</v>
      </c>
      <c r="E170" s="29" t="s">
        <v>97</v>
      </c>
      <c r="F170" s="34" t="str">
        <f>INDEX('90_SEMA'!$G$7:$H$183,164,NYELV_IDX)</f>
        <v xml:space="preserve">     Ebből: kapcsolt vállalkozásnak adott</v>
      </c>
      <c r="G170" s="37">
        <f>SUMPRODUCT('03_ADATBEVITEL'!$E170:$X170,'03_ADATBEVITEL'!$E$4:$X$4,'03_ADATBEVITEL'!$E$3:$X$3)</f>
        <v>0</v>
      </c>
      <c r="H170" s="37">
        <f>SUMIF('10_NAPLO'!$G$7:$G$806,$B170,'10_NAPLO'!$I$7:$I$806)</f>
        <v>0</v>
      </c>
      <c r="I170" s="37">
        <f>SUMIF('10_NAPLO'!$G$7:$G$806,$B170,'10_NAPLO'!$J$7:$J$806)</f>
        <v>0</v>
      </c>
      <c r="J170" s="37">
        <f t="shared" si="25"/>
        <v>0</v>
      </c>
      <c r="K170" s="37">
        <f t="shared" si="26"/>
        <v>0</v>
      </c>
    </row>
    <row r="171" spans="2:11" ht="15" customHeight="1" x14ac:dyDescent="0.3">
      <c r="B171" s="29" t="s">
        <v>195</v>
      </c>
      <c r="C171" s="29" t="s">
        <v>221</v>
      </c>
      <c r="D171" s="29" t="s">
        <v>97</v>
      </c>
      <c r="E171" s="29" t="s">
        <v>32</v>
      </c>
      <c r="F171" s="7" t="str">
        <f>INDEX('90_SEMA'!$G$7:$H$183,165,NYELV_IDX)</f>
        <v>21. Részesedések, értékpapírok, tartósan adott kölcsönök, bankbetétek értékvesztése</v>
      </c>
      <c r="G171" s="37">
        <f>SUMPRODUCT('03_ADATBEVITEL'!$E171:$X171,'03_ADATBEVITEL'!$E$4:$X$4,'03_ADATBEVITEL'!$E$3:$X$3)</f>
        <v>0</v>
      </c>
      <c r="H171" s="37">
        <f>SUMIF('10_NAPLO'!$G$7:$G$806,$B171,'10_NAPLO'!$I$7:$I$806)</f>
        <v>0</v>
      </c>
      <c r="I171" s="37">
        <f>SUMIF('10_NAPLO'!$G$7:$G$806,$B171,'10_NAPLO'!$J$7:$J$806)</f>
        <v>0</v>
      </c>
      <c r="J171" s="37">
        <f t="shared" si="25"/>
        <v>0</v>
      </c>
      <c r="K171" s="37">
        <f t="shared" si="26"/>
        <v>0</v>
      </c>
    </row>
    <row r="172" spans="2:11" ht="15" customHeight="1" x14ac:dyDescent="0.3">
      <c r="B172" s="29" t="s">
        <v>196</v>
      </c>
      <c r="C172" s="29" t="s">
        <v>221</v>
      </c>
      <c r="D172" s="29" t="s">
        <v>97</v>
      </c>
      <c r="E172" s="29" t="s">
        <v>32</v>
      </c>
      <c r="F172" s="7" t="str">
        <f>INDEX('90_SEMA'!$G$7:$H$183,166,NYELV_IDX)</f>
        <v>22. Pénzügyi műveletek egyéb ráfordításai</v>
      </c>
      <c r="G172" s="37">
        <f>SUMPRODUCT('03_ADATBEVITEL'!$E172:$X172,'03_ADATBEVITEL'!$E$4:$X$4,'03_ADATBEVITEL'!$E$3:$X$3)</f>
        <v>0</v>
      </c>
      <c r="H172" s="37">
        <f>SUMIF('10_NAPLO'!$G$7:$G$806,$B172,'10_NAPLO'!$I$7:$I$806)</f>
        <v>0</v>
      </c>
      <c r="I172" s="37">
        <f>SUMIF('10_NAPLO'!$G$7:$G$806,$B172,'10_NAPLO'!$J$7:$J$806)</f>
        <v>0</v>
      </c>
      <c r="J172" s="37">
        <f t="shared" si="25"/>
        <v>0</v>
      </c>
      <c r="K172" s="37">
        <f t="shared" si="26"/>
        <v>0</v>
      </c>
    </row>
    <row r="173" spans="2:11" ht="15" customHeight="1" x14ac:dyDescent="0.3">
      <c r="B173" s="29" t="s">
        <v>197</v>
      </c>
      <c r="C173" s="29" t="s">
        <v>221</v>
      </c>
      <c r="D173" s="29" t="s">
        <v>97</v>
      </c>
      <c r="E173" s="29" t="s">
        <v>97</v>
      </c>
      <c r="F173" s="34" t="str">
        <f>INDEX('90_SEMA'!$G$7:$H$183,167,NYELV_IDX)</f>
        <v xml:space="preserve">     Ebből: értékelési különbözet</v>
      </c>
      <c r="G173" s="37">
        <f>SUMPRODUCT('03_ADATBEVITEL'!$E173:$X173,'03_ADATBEVITEL'!$E$4:$X$4,'03_ADATBEVITEL'!$E$3:$X$3)</f>
        <v>0</v>
      </c>
      <c r="H173" s="37">
        <f>SUMIF('10_NAPLO'!$G$7:$G$806,$B173,'10_NAPLO'!$I$7:$I$806)</f>
        <v>0</v>
      </c>
      <c r="I173" s="37">
        <f>SUMIF('10_NAPLO'!$G$7:$G$806,$B173,'10_NAPLO'!$J$7:$J$806)</f>
        <v>0</v>
      </c>
      <c r="J173" s="37">
        <f t="shared" si="25"/>
        <v>0</v>
      </c>
      <c r="K173" s="37">
        <f t="shared" si="26"/>
        <v>0</v>
      </c>
    </row>
    <row r="174" spans="2:11" ht="15" customHeight="1" x14ac:dyDescent="0.3">
      <c r="B174" s="29" t="s">
        <v>198</v>
      </c>
      <c r="C174" s="29" t="s">
        <v>221</v>
      </c>
      <c r="D174" s="29" t="s">
        <v>97</v>
      </c>
      <c r="E174" s="29" t="s">
        <v>32</v>
      </c>
      <c r="F174" s="32" t="str">
        <f>INDEX('90_SEMA'!$G$7:$H$183,168,NYELV_IDX)</f>
        <v>X. Adófizetési kötelezettség</v>
      </c>
      <c r="G174" s="37">
        <f>SUMPRODUCT('03_ADATBEVITEL'!$E174:$X174,'03_ADATBEVITEL'!$E$4:$X$4,'03_ADATBEVITEL'!$E$3:$X$3)</f>
        <v>0</v>
      </c>
      <c r="H174" s="37">
        <f>SUMIF('10_NAPLO'!$G$7:$G$806,$B174,'10_NAPLO'!$I$7:$I$806)</f>
        <v>0</v>
      </c>
      <c r="I174" s="37">
        <f>SUMIF('10_NAPLO'!$G$7:$G$806,$B174,'10_NAPLO'!$J$7:$J$806)</f>
        <v>0</v>
      </c>
      <c r="J174" s="37">
        <f t="shared" si="25"/>
        <v>0</v>
      </c>
      <c r="K174" s="37">
        <f t="shared" si="26"/>
        <v>0</v>
      </c>
    </row>
    <row r="175" spans="2:11" ht="15" customHeight="1" x14ac:dyDescent="0.3">
      <c r="B175" s="29" t="s">
        <v>199</v>
      </c>
      <c r="C175" s="29" t="s">
        <v>221</v>
      </c>
      <c r="D175" s="29" t="s">
        <v>97</v>
      </c>
      <c r="E175" s="29" t="s">
        <v>32</v>
      </c>
      <c r="F175" s="32" t="str">
        <f>INDEX('90_SEMA'!$G$7:$H$183,169,NYELV_IDX)</f>
        <v>X/1. Halasztott adókülönbözet (±)</v>
      </c>
      <c r="G175" s="37">
        <f>SUMPRODUCT('03_ADATBEVITEL'!$E175:$X175,'03_ADATBEVITEL'!$E$4:$X$4,'03_ADATBEVITEL'!$E$3:$X$3)</f>
        <v>0</v>
      </c>
      <c r="H175" s="37">
        <f>SUMIF('10_NAPLO'!$G$7:$G$806,$B175,'10_NAPLO'!$I$7:$I$806)</f>
        <v>0</v>
      </c>
      <c r="I175" s="37">
        <f>SUMIF('10_NAPLO'!$G$7:$G$806,$B175,'10_NAPLO'!$J$7:$J$806)</f>
        <v>0</v>
      </c>
      <c r="J175" s="37">
        <f t="shared" si="25"/>
        <v>0</v>
      </c>
      <c r="K175" s="37">
        <f t="shared" si="26"/>
        <v>0</v>
      </c>
    </row>
    <row r="176" spans="2:11" ht="15" customHeight="1" x14ac:dyDescent="0.3">
      <c r="B176" s="29" t="s">
        <v>200</v>
      </c>
      <c r="C176" s="29" t="s">
        <v>221</v>
      </c>
      <c r="D176" s="29" t="s">
        <v>97</v>
      </c>
      <c r="E176" s="29" t="s">
        <v>32</v>
      </c>
      <c r="F176" s="32" t="str">
        <f>INDEX('90_SEMA'!$G$7:$H$183,170,NYELV_IDX)</f>
        <v>X/A. Konszolidálásból adódó (számított) társasági adókülönbözet (±)</v>
      </c>
      <c r="G176" s="37">
        <f>SUMPRODUCT('03_ADATBEVITEL'!$E176:$X176,'03_ADATBEVITEL'!$E$4:$X$4,'03_ADATBEVITEL'!$E$3:$X$3)</f>
        <v>0</v>
      </c>
      <c r="H176" s="37">
        <f>SUMIF('10_NAPLO'!$G$7:$G$806,$B176,'10_NAPLO'!$I$7:$I$806)</f>
        <v>0</v>
      </c>
      <c r="I176" s="37">
        <f>SUMIF('10_NAPLO'!$G$7:$G$806,$B176,'10_NAPLO'!$J$7:$J$806)</f>
        <v>0</v>
      </c>
      <c r="J176" s="37">
        <f t="shared" si="25"/>
        <v>0</v>
      </c>
      <c r="K176" s="37">
        <f t="shared" si="26"/>
        <v>0</v>
      </c>
    </row>
    <row r="177" spans="2:11" ht="15" customHeight="1" x14ac:dyDescent="0.3">
      <c r="B177" s="29" t="s">
        <v>201</v>
      </c>
      <c r="C177" s="29" t="s">
        <v>221</v>
      </c>
      <c r="D177" s="29" t="s">
        <v>97</v>
      </c>
      <c r="E177" s="29" t="s">
        <v>32</v>
      </c>
      <c r="F177" s="32" t="str">
        <f>INDEX('90_SEMA'!$G$7:$H$183,171,NYELV_IDX)</f>
        <v>X/B. Halasztott adókülönbözet (±) [6. sz. mell.; tartalmilag az X/1. sorral egyezik]</v>
      </c>
      <c r="G177" s="37">
        <f>SUMPRODUCT('03_ADATBEVITEL'!$E177:$X177,'03_ADATBEVITEL'!$E$4:$X$4,'03_ADATBEVITEL'!$E$3:$X$3)</f>
        <v>0</v>
      </c>
      <c r="H177" s="37">
        <f>SUMIF('10_NAPLO'!$G$7:$G$806,$B177,'10_NAPLO'!$I$7:$I$806)</f>
        <v>0</v>
      </c>
      <c r="I177" s="37">
        <f>SUMIF('10_NAPLO'!$G$7:$G$806,$B177,'10_NAPLO'!$J$7:$J$806)</f>
        <v>0</v>
      </c>
      <c r="J177" s="37">
        <f t="shared" si="25"/>
        <v>0</v>
      </c>
      <c r="K177" s="37">
        <f t="shared" si="26"/>
        <v>0</v>
      </c>
    </row>
    <row r="178" spans="2:11" ht="15" customHeight="1" x14ac:dyDescent="0.3">
      <c r="B178" s="29" t="s">
        <v>202</v>
      </c>
      <c r="C178" s="29" t="s">
        <v>221</v>
      </c>
      <c r="D178" s="29" t="s">
        <v>97</v>
      </c>
      <c r="E178" s="29" t="s">
        <v>32</v>
      </c>
      <c r="F178" s="32" t="str">
        <f>INDEX('90_SEMA'!$G$7:$H$183,172,NYELV_IDX)</f>
        <v>Leányvállalatok adózott eredményéből külső tagok (más tulajdonosok) részesedése</v>
      </c>
      <c r="G178" s="37">
        <f>SUMPRODUCT('03_ADATBEVITEL'!$E178:$X178,'03_ADATBEVITEL'!$E$4:$X$4,'03_ADATBEVITEL'!$E$3:$X$3)</f>
        <v>0</v>
      </c>
      <c r="H178" s="37">
        <f>SUMIF('10_NAPLO'!$G$7:$G$806,$B178,'10_NAPLO'!$I$7:$I$806)</f>
        <v>0</v>
      </c>
      <c r="I178" s="37">
        <f>SUMIF('10_NAPLO'!$G$7:$G$806,$B178,'10_NAPLO'!$J$7:$J$806)</f>
        <v>0</v>
      </c>
      <c r="J178" s="37">
        <f t="shared" si="25"/>
        <v>0</v>
      </c>
      <c r="K178" s="37">
        <f t="shared" si="26"/>
        <v>0</v>
      </c>
    </row>
    <row r="179" spans="2:11" ht="15" customHeight="1" x14ac:dyDescent="0.3">
      <c r="B179" s="29" t="s">
        <v>203</v>
      </c>
      <c r="C179" s="29" t="s">
        <v>222</v>
      </c>
      <c r="D179" s="29" t="s">
        <v>97</v>
      </c>
      <c r="E179" s="29" t="s">
        <v>29</v>
      </c>
      <c r="F179" s="32" t="str">
        <f>INDEX('90_SEMA'!$G$7:$H$183,173,NYELV_IDX)</f>
        <v>Forgalmi költséges eljárás saját sorai</v>
      </c>
      <c r="G179" s="31">
        <f>SUMIFS(G$7:G$183,$B$7:$B$183,$B179&amp;".*",$E$7:$E$183,"D")</f>
        <v>0</v>
      </c>
      <c r="H179" s="31">
        <f>SUMIFS(H$7:H$183,$B$7:$B$183,$B179&amp;".*",$E$7:$E$183,"D")</f>
        <v>0</v>
      </c>
      <c r="I179" s="31">
        <f>SUMIFS(I$7:I$183,$B$7:$B$183,$B179&amp;".*",$E$7:$E$183,"D")</f>
        <v>0</v>
      </c>
      <c r="J179" s="31">
        <f>SUMIFS(J$7:J$183,$B$7:$B$183,$B179&amp;".*",$E$7:$E$183,"D")</f>
        <v>0</v>
      </c>
      <c r="K179" s="31">
        <f>SUMIFS(K$7:K$183,$B$7:$B$183,$B179&amp;".*",$E$7:$E$183,"D")</f>
        <v>0</v>
      </c>
    </row>
    <row r="180" spans="2:11" ht="15" customHeight="1" x14ac:dyDescent="0.3">
      <c r="B180" s="29" t="s">
        <v>204</v>
      </c>
      <c r="C180" s="29" t="s">
        <v>222</v>
      </c>
      <c r="D180" s="29" t="s">
        <v>97</v>
      </c>
      <c r="E180" s="29" t="s">
        <v>32</v>
      </c>
      <c r="F180" s="7" t="str">
        <f>INDEX('90_SEMA'!$G$7:$H$183,174,NYELV_IDX)</f>
        <v>03. Értékesítés elszámolt közvetlen önköltsége</v>
      </c>
      <c r="G180" s="37">
        <f>SUMPRODUCT('03_ADATBEVITEL'!$E180:$X180,'03_ADATBEVITEL'!$E$4:$X$4,'03_ADATBEVITEL'!$E$3:$X$3)</f>
        <v>0</v>
      </c>
      <c r="H180" s="37">
        <f>SUMIF('10_NAPLO'!$G$7:$G$806,$B180,'10_NAPLO'!$I$7:$I$806)</f>
        <v>0</v>
      </c>
      <c r="I180" s="37">
        <f>SUMIF('10_NAPLO'!$G$7:$G$806,$B180,'10_NAPLO'!$J$7:$J$806)</f>
        <v>0</v>
      </c>
      <c r="J180" s="37">
        <f>IF($D180="T",$H180-$I180,$I180-$H180)</f>
        <v>0</v>
      </c>
      <c r="K180" s="37">
        <f>$G180+$J180</f>
        <v>0</v>
      </c>
    </row>
    <row r="181" spans="2:11" ht="15" customHeight="1" x14ac:dyDescent="0.3">
      <c r="B181" s="29" t="s">
        <v>205</v>
      </c>
      <c r="C181" s="29" t="s">
        <v>222</v>
      </c>
      <c r="D181" s="29" t="s">
        <v>97</v>
      </c>
      <c r="E181" s="29" t="s">
        <v>32</v>
      </c>
      <c r="F181" s="7" t="str">
        <f>INDEX('90_SEMA'!$G$7:$H$183,175,NYELV_IDX)</f>
        <v>06. Értékesítési, forgalmazási költségek</v>
      </c>
      <c r="G181" s="37">
        <f>SUMPRODUCT('03_ADATBEVITEL'!$E181:$X181,'03_ADATBEVITEL'!$E$4:$X$4,'03_ADATBEVITEL'!$E$3:$X$3)</f>
        <v>0</v>
      </c>
      <c r="H181" s="37">
        <f>SUMIF('10_NAPLO'!$G$7:$G$806,$B181,'10_NAPLO'!$I$7:$I$806)</f>
        <v>0</v>
      </c>
      <c r="I181" s="37">
        <f>SUMIF('10_NAPLO'!$G$7:$G$806,$B181,'10_NAPLO'!$J$7:$J$806)</f>
        <v>0</v>
      </c>
      <c r="J181" s="37">
        <f>IF($D181="T",$H181-$I181,$I181-$H181)</f>
        <v>0</v>
      </c>
      <c r="K181" s="37">
        <f>$G181+$J181</f>
        <v>0</v>
      </c>
    </row>
    <row r="182" spans="2:11" ht="15" customHeight="1" x14ac:dyDescent="0.3">
      <c r="B182" s="29" t="s">
        <v>206</v>
      </c>
      <c r="C182" s="29" t="s">
        <v>222</v>
      </c>
      <c r="D182" s="29" t="s">
        <v>97</v>
      </c>
      <c r="E182" s="29" t="s">
        <v>32</v>
      </c>
      <c r="F182" s="7" t="str">
        <f>INDEX('90_SEMA'!$G$7:$H$183,176,NYELV_IDX)</f>
        <v>07. Igazgatási költségek</v>
      </c>
      <c r="G182" s="37">
        <f>SUMPRODUCT('03_ADATBEVITEL'!$E182:$X182,'03_ADATBEVITEL'!$E$4:$X$4,'03_ADATBEVITEL'!$E$3:$X$3)</f>
        <v>0</v>
      </c>
      <c r="H182" s="37">
        <f>SUMIF('10_NAPLO'!$G$7:$G$806,$B182,'10_NAPLO'!$I$7:$I$806)</f>
        <v>0</v>
      </c>
      <c r="I182" s="37">
        <f>SUMIF('10_NAPLO'!$G$7:$G$806,$B182,'10_NAPLO'!$J$7:$J$806)</f>
        <v>0</v>
      </c>
      <c r="J182" s="37">
        <f>IF($D182="T",$H182-$I182,$I182-$H182)</f>
        <v>0</v>
      </c>
      <c r="K182" s="37">
        <f>$G182+$J182</f>
        <v>0</v>
      </c>
    </row>
    <row r="183" spans="2:11" ht="15" customHeight="1" x14ac:dyDescent="0.3">
      <c r="B183" s="29" t="s">
        <v>207</v>
      </c>
      <c r="C183" s="29" t="s">
        <v>222</v>
      </c>
      <c r="D183" s="29" t="s">
        <v>97</v>
      </c>
      <c r="E183" s="29" t="s">
        <v>32</v>
      </c>
      <c r="F183" s="7" t="str">
        <f>INDEX('90_SEMA'!$G$7:$H$183,177,NYELV_IDX)</f>
        <v>08. Egyéb általános költségek</v>
      </c>
      <c r="G183" s="37">
        <f>SUMPRODUCT('03_ADATBEVITEL'!$E183:$X183,'03_ADATBEVITEL'!$E$4:$X$4,'03_ADATBEVITEL'!$E$3:$X$3)</f>
        <v>0</v>
      </c>
      <c r="H183" s="37">
        <f>SUMIF('10_NAPLO'!$G$7:$G$806,$B183,'10_NAPLO'!$I$7:$I$806)</f>
        <v>0</v>
      </c>
      <c r="I183" s="37">
        <f>SUMIF('10_NAPLO'!$G$7:$G$806,$B183,'10_NAPLO'!$J$7:$J$806)</f>
        <v>0</v>
      </c>
      <c r="J183" s="37">
        <f>IF($D183="T",$H183-$I183,$I183-$H183)</f>
        <v>0</v>
      </c>
      <c r="K183" s="37">
        <f>$G183+$J183</f>
        <v>0</v>
      </c>
    </row>
  </sheetData>
  <sheetProtection algorithmName="SHA-512" hashValue="C70Uj7bqhMryHkOxkDkuMWAZ+W0njZFsC215eP/S94T2VCQBlq00rC4BPZZFzjnyERMExpEbOmP4/nJeFvR2Xw==" saltValue="UL1Z2LLAEhsgyu2VK3aqFA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Munka14"/>
  <dimension ref="B1:F130"/>
  <sheetViews>
    <sheetView showGridLines="0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6640625" defaultRowHeight="14.4" x14ac:dyDescent="0.3"/>
  <cols>
    <col min="2" max="2" width="15" style="1" customWidth="1"/>
    <col min="3" max="3" width="68" style="1" customWidth="1"/>
    <col min="4" max="5" width="20" style="1" customWidth="1"/>
    <col min="6" max="6" width="18" style="1" customWidth="1"/>
  </cols>
  <sheetData>
    <row r="1" spans="2:6" ht="79.5" customHeight="1" x14ac:dyDescent="0.3"/>
    <row r="3" spans="2:6" ht="19.5" customHeight="1" x14ac:dyDescent="0.4">
      <c r="B3" s="12" t="str">
        <f>INDEX('91_NYELV'!$C$7:$D$303,52,NYELV_IDX)</f>
        <v>12. Konszolidált mérleg</v>
      </c>
    </row>
    <row r="4" spans="2:6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6" ht="15" customHeight="1" x14ac:dyDescent="0.3">
      <c r="B6" s="20" t="str">
        <f>INDEX('91_NYELV'!$C$7:$D$303,82,NYELV_IDX)</f>
        <v>Kód</v>
      </c>
      <c r="C6" s="20" t="str">
        <f>INDEX('91_NYELV'!$C$7:$D$303,83,NYELV_IDX)</f>
        <v>Megnevezés</v>
      </c>
      <c r="D6" s="20" t="str">
        <f>INDEX('91_NYELV'!$C$7:$D$303,161,NYELV_IDX)</f>
        <v>Tárgyév</v>
      </c>
      <c r="E6" s="20" t="str">
        <f>INDEX('91_NYELV'!$C$7:$D$303,162,NYELV_IDX)</f>
        <v>Előző év</v>
      </c>
      <c r="F6" s="20" t="str">
        <f>INDEX('91_NYELV'!$C$7:$D$303,163,NYELV_IDX)</f>
        <v>Változás</v>
      </c>
    </row>
    <row r="7" spans="2:6" ht="15" customHeight="1" x14ac:dyDescent="0.3">
      <c r="B7" s="29" t="s">
        <v>28</v>
      </c>
      <c r="C7" s="40" t="str">
        <f>INDEX('90_SEMA'!$G$7:$H$183,1,NYELV_IDX)</f>
        <v>A. Befektetett eszközök</v>
      </c>
      <c r="D7" s="31">
        <f>'11_MUNKATABLA'!$K$7</f>
        <v>0</v>
      </c>
      <c r="E7" s="31">
        <f>'03B_NYITO'!$E$7</f>
        <v>0</v>
      </c>
      <c r="F7" s="37">
        <f t="shared" ref="F7:F38" si="0">$D7-$E7</f>
        <v>0</v>
      </c>
    </row>
    <row r="8" spans="2:6" ht="15" customHeight="1" x14ac:dyDescent="0.3">
      <c r="B8" s="29" t="s">
        <v>30</v>
      </c>
      <c r="C8" s="41" t="str">
        <f>INDEX('90_SEMA'!$G$7:$H$183,2,NYELV_IDX)</f>
        <v>I. IMMATERIÁLIS JAVAK</v>
      </c>
      <c r="D8" s="31">
        <f>'11_MUNKATABLA'!$K$8</f>
        <v>0</v>
      </c>
      <c r="E8" s="31">
        <f>'03B_NYITO'!$E$8</f>
        <v>0</v>
      </c>
      <c r="F8" s="37">
        <f t="shared" si="0"/>
        <v>0</v>
      </c>
    </row>
    <row r="9" spans="2:6" ht="15" customHeight="1" x14ac:dyDescent="0.3">
      <c r="B9" s="29" t="s">
        <v>31</v>
      </c>
      <c r="C9" s="42" t="str">
        <f>INDEX('90_SEMA'!$G$7:$H$183,3,NYELV_IDX)</f>
        <v>1. Alapítás-átszervezés aktivált értéke</v>
      </c>
      <c r="D9" s="37">
        <f>'11_MUNKATABLA'!$K$9</f>
        <v>0</v>
      </c>
      <c r="E9" s="37">
        <f>'03B_NYITO'!$E$9</f>
        <v>0</v>
      </c>
      <c r="F9" s="37">
        <f t="shared" si="0"/>
        <v>0</v>
      </c>
    </row>
    <row r="10" spans="2:6" ht="15" customHeight="1" x14ac:dyDescent="0.3">
      <c r="B10" s="29" t="s">
        <v>33</v>
      </c>
      <c r="C10" s="42" t="str">
        <f>INDEX('90_SEMA'!$G$7:$H$183,4,NYELV_IDX)</f>
        <v>2. Kísérleti fejlesztés aktivált értéke</v>
      </c>
      <c r="D10" s="37">
        <f>'11_MUNKATABLA'!$K$10</f>
        <v>0</v>
      </c>
      <c r="E10" s="37">
        <f>'03B_NYITO'!$E$10</f>
        <v>0</v>
      </c>
      <c r="F10" s="37">
        <f t="shared" si="0"/>
        <v>0</v>
      </c>
    </row>
    <row r="11" spans="2:6" ht="15" customHeight="1" x14ac:dyDescent="0.3">
      <c r="B11" s="29" t="s">
        <v>34</v>
      </c>
      <c r="C11" s="42" t="str">
        <f>INDEX('90_SEMA'!$G$7:$H$183,5,NYELV_IDX)</f>
        <v>3. Vagyoni értékű jogok</v>
      </c>
      <c r="D11" s="37">
        <f>'11_MUNKATABLA'!$K$11</f>
        <v>0</v>
      </c>
      <c r="E11" s="37">
        <f>'03B_NYITO'!$E$11</f>
        <v>0</v>
      </c>
      <c r="F11" s="37">
        <f t="shared" si="0"/>
        <v>0</v>
      </c>
    </row>
    <row r="12" spans="2:6" ht="15" customHeight="1" x14ac:dyDescent="0.3">
      <c r="B12" s="29" t="s">
        <v>35</v>
      </c>
      <c r="C12" s="42" t="str">
        <f>INDEX('90_SEMA'!$G$7:$H$183,6,NYELV_IDX)</f>
        <v>4. Szellemi termékek</v>
      </c>
      <c r="D12" s="37">
        <f>'11_MUNKATABLA'!$K$12</f>
        <v>0</v>
      </c>
      <c r="E12" s="37">
        <f>'03B_NYITO'!$E$12</f>
        <v>0</v>
      </c>
      <c r="F12" s="37">
        <f t="shared" si="0"/>
        <v>0</v>
      </c>
    </row>
    <row r="13" spans="2:6" ht="15" customHeight="1" x14ac:dyDescent="0.3">
      <c r="B13" s="29" t="s">
        <v>36</v>
      </c>
      <c r="C13" s="42" t="str">
        <f>INDEX('90_SEMA'!$G$7:$H$183,7,NYELV_IDX)</f>
        <v>5. Üzleti vagy cégérték</v>
      </c>
      <c r="D13" s="37">
        <f>'11_MUNKATABLA'!$K$13</f>
        <v>0</v>
      </c>
      <c r="E13" s="37">
        <f>'03B_NYITO'!$E$13</f>
        <v>0</v>
      </c>
      <c r="F13" s="37">
        <f t="shared" si="0"/>
        <v>0</v>
      </c>
    </row>
    <row r="14" spans="2:6" ht="15" customHeight="1" x14ac:dyDescent="0.3">
      <c r="B14" s="29" t="s">
        <v>37</v>
      </c>
      <c r="C14" s="42" t="str">
        <f>INDEX('90_SEMA'!$G$7:$H$183,8,NYELV_IDX)</f>
        <v>6. Immateriális javakra adott előlegek</v>
      </c>
      <c r="D14" s="37">
        <f>'11_MUNKATABLA'!$K$14</f>
        <v>0</v>
      </c>
      <c r="E14" s="37">
        <f>'03B_NYITO'!$E$14</f>
        <v>0</v>
      </c>
      <c r="F14" s="37">
        <f t="shared" si="0"/>
        <v>0</v>
      </c>
    </row>
    <row r="15" spans="2:6" ht="15" customHeight="1" x14ac:dyDescent="0.3">
      <c r="B15" s="29" t="s">
        <v>38</v>
      </c>
      <c r="C15" s="42" t="str">
        <f>INDEX('90_SEMA'!$G$7:$H$183,9,NYELV_IDX)</f>
        <v>7. Immateriális javak értékhelyesbítése</v>
      </c>
      <c r="D15" s="37">
        <f>'11_MUNKATABLA'!$K$15</f>
        <v>0</v>
      </c>
      <c r="E15" s="37">
        <f>'03B_NYITO'!$E$15</f>
        <v>0</v>
      </c>
      <c r="F15" s="37">
        <f t="shared" si="0"/>
        <v>0</v>
      </c>
    </row>
    <row r="16" spans="2:6" ht="15" customHeight="1" x14ac:dyDescent="0.3">
      <c r="B16" s="29" t="s">
        <v>39</v>
      </c>
      <c r="C16" s="41" t="str">
        <f>INDEX('90_SEMA'!$G$7:$H$183,10,NYELV_IDX)</f>
        <v>II. TÁRGYI ESZKÖZÖK</v>
      </c>
      <c r="D16" s="31">
        <f>'11_MUNKATABLA'!$K$16</f>
        <v>0</v>
      </c>
      <c r="E16" s="31">
        <f>'03B_NYITO'!$E$16</f>
        <v>0</v>
      </c>
      <c r="F16" s="37">
        <f t="shared" si="0"/>
        <v>0</v>
      </c>
    </row>
    <row r="17" spans="2:6" ht="15" customHeight="1" x14ac:dyDescent="0.3">
      <c r="B17" s="29" t="s">
        <v>40</v>
      </c>
      <c r="C17" s="42" t="str">
        <f>INDEX('90_SEMA'!$G$7:$H$183,11,NYELV_IDX)</f>
        <v>1. Ingatlanok és a kapcsolódó vagyoni értékű jogok</v>
      </c>
      <c r="D17" s="37">
        <f>'11_MUNKATABLA'!$K$17</f>
        <v>0</v>
      </c>
      <c r="E17" s="37">
        <f>'03B_NYITO'!$E$17</f>
        <v>0</v>
      </c>
      <c r="F17" s="37">
        <f t="shared" si="0"/>
        <v>0</v>
      </c>
    </row>
    <row r="18" spans="2:6" ht="15" customHeight="1" x14ac:dyDescent="0.3">
      <c r="B18" s="29" t="s">
        <v>41</v>
      </c>
      <c r="C18" s="42" t="str">
        <f>INDEX('90_SEMA'!$G$7:$H$183,12,NYELV_IDX)</f>
        <v>2. Műszaki berendezések, gépek, járművek</v>
      </c>
      <c r="D18" s="37">
        <f>'11_MUNKATABLA'!$K$18</f>
        <v>0</v>
      </c>
      <c r="E18" s="37">
        <f>'03B_NYITO'!$E$18</f>
        <v>0</v>
      </c>
      <c r="F18" s="37">
        <f t="shared" si="0"/>
        <v>0</v>
      </c>
    </row>
    <row r="19" spans="2:6" ht="15" customHeight="1" x14ac:dyDescent="0.3">
      <c r="B19" s="29" t="s">
        <v>42</v>
      </c>
      <c r="C19" s="42" t="str">
        <f>INDEX('90_SEMA'!$G$7:$H$183,13,NYELV_IDX)</f>
        <v>3. Egyéb berendezések, felszerelések, járművek</v>
      </c>
      <c r="D19" s="37">
        <f>'11_MUNKATABLA'!$K$19</f>
        <v>0</v>
      </c>
      <c r="E19" s="37">
        <f>'03B_NYITO'!$E$19</f>
        <v>0</v>
      </c>
      <c r="F19" s="37">
        <f t="shared" si="0"/>
        <v>0</v>
      </c>
    </row>
    <row r="20" spans="2:6" ht="15" customHeight="1" x14ac:dyDescent="0.3">
      <c r="B20" s="29" t="s">
        <v>43</v>
      </c>
      <c r="C20" s="42" t="str">
        <f>INDEX('90_SEMA'!$G$7:$H$183,14,NYELV_IDX)</f>
        <v>4. Tenyészállatok</v>
      </c>
      <c r="D20" s="37">
        <f>'11_MUNKATABLA'!$K$20</f>
        <v>0</v>
      </c>
      <c r="E20" s="37">
        <f>'03B_NYITO'!$E$20</f>
        <v>0</v>
      </c>
      <c r="F20" s="37">
        <f t="shared" si="0"/>
        <v>0</v>
      </c>
    </row>
    <row r="21" spans="2:6" ht="15" customHeight="1" x14ac:dyDescent="0.3">
      <c r="B21" s="29" t="s">
        <v>44</v>
      </c>
      <c r="C21" s="42" t="str">
        <f>INDEX('90_SEMA'!$G$7:$H$183,15,NYELV_IDX)</f>
        <v>5. Beruházások, felújítások</v>
      </c>
      <c r="D21" s="37">
        <f>'11_MUNKATABLA'!$K$21</f>
        <v>0</v>
      </c>
      <c r="E21" s="37">
        <f>'03B_NYITO'!$E$21</f>
        <v>0</v>
      </c>
      <c r="F21" s="37">
        <f t="shared" si="0"/>
        <v>0</v>
      </c>
    </row>
    <row r="22" spans="2:6" ht="15" customHeight="1" x14ac:dyDescent="0.3">
      <c r="B22" s="29" t="s">
        <v>45</v>
      </c>
      <c r="C22" s="42" t="str">
        <f>INDEX('90_SEMA'!$G$7:$H$183,16,NYELV_IDX)</f>
        <v>6. Beruházásokra adott előlegek</v>
      </c>
      <c r="D22" s="37">
        <f>'11_MUNKATABLA'!$K$22</f>
        <v>0</v>
      </c>
      <c r="E22" s="37">
        <f>'03B_NYITO'!$E$22</f>
        <v>0</v>
      </c>
      <c r="F22" s="37">
        <f t="shared" si="0"/>
        <v>0</v>
      </c>
    </row>
    <row r="23" spans="2:6" ht="15" customHeight="1" x14ac:dyDescent="0.3">
      <c r="B23" s="29" t="s">
        <v>46</v>
      </c>
      <c r="C23" s="42" t="str">
        <f>INDEX('90_SEMA'!$G$7:$H$183,17,NYELV_IDX)</f>
        <v>7. Tárgyi eszközök értékhelyesbítése</v>
      </c>
      <c r="D23" s="37">
        <f>'11_MUNKATABLA'!$K$23</f>
        <v>0</v>
      </c>
      <c r="E23" s="37">
        <f>'03B_NYITO'!$E$23</f>
        <v>0</v>
      </c>
      <c r="F23" s="37">
        <f t="shared" si="0"/>
        <v>0</v>
      </c>
    </row>
    <row r="24" spans="2:6" ht="15" customHeight="1" x14ac:dyDescent="0.3">
      <c r="B24" s="29" t="s">
        <v>47</v>
      </c>
      <c r="C24" s="41" t="str">
        <f>INDEX('90_SEMA'!$G$7:$H$183,18,NYELV_IDX)</f>
        <v>III. BEFEKTETETT PÉNZÜGYI ESZKÖZÖK</v>
      </c>
      <c r="D24" s="31">
        <f>'11_MUNKATABLA'!$K$24</f>
        <v>0</v>
      </c>
      <c r="E24" s="31">
        <f>'03B_NYITO'!$E$24</f>
        <v>0</v>
      </c>
      <c r="F24" s="37">
        <f t="shared" si="0"/>
        <v>0</v>
      </c>
    </row>
    <row r="25" spans="2:6" ht="15" customHeight="1" x14ac:dyDescent="0.3">
      <c r="B25" s="29" t="s">
        <v>48</v>
      </c>
      <c r="C25" s="42" t="str">
        <f>INDEX('90_SEMA'!$G$7:$H$183,19,NYELV_IDX)</f>
        <v>1. Tartós részesedés kapcsolt vállalkozásban</v>
      </c>
      <c r="D25" s="37">
        <f>'11_MUNKATABLA'!$K$25</f>
        <v>0</v>
      </c>
      <c r="E25" s="37">
        <f>'03B_NYITO'!$E$25</f>
        <v>0</v>
      </c>
      <c r="F25" s="37">
        <f t="shared" si="0"/>
        <v>0</v>
      </c>
    </row>
    <row r="26" spans="2:6" ht="15" customHeight="1" x14ac:dyDescent="0.3">
      <c r="B26" s="29" t="s">
        <v>49</v>
      </c>
      <c r="C26" s="42" t="str">
        <f>INDEX('90_SEMA'!$G$7:$H$183,20,NYELV_IDX)</f>
        <v>2. Tartósan adott kölcsön kapcsolt vállalkozásban</v>
      </c>
      <c r="D26" s="37">
        <f>'11_MUNKATABLA'!$K$26</f>
        <v>0</v>
      </c>
      <c r="E26" s="37">
        <f>'03B_NYITO'!$E$26</f>
        <v>0</v>
      </c>
      <c r="F26" s="37">
        <f t="shared" si="0"/>
        <v>0</v>
      </c>
    </row>
    <row r="27" spans="2:6" ht="15" customHeight="1" x14ac:dyDescent="0.3">
      <c r="B27" s="29" t="s">
        <v>50</v>
      </c>
      <c r="C27" s="42" t="str">
        <f>INDEX('90_SEMA'!$G$7:$H$183,21,NYELV_IDX)</f>
        <v>3. Tartós jelentős tulajdoni részesedés</v>
      </c>
      <c r="D27" s="37">
        <f>'11_MUNKATABLA'!$K$27</f>
        <v>0</v>
      </c>
      <c r="E27" s="37">
        <f>'03B_NYITO'!$E$27</f>
        <v>0</v>
      </c>
      <c r="F27" s="37">
        <f t="shared" si="0"/>
        <v>0</v>
      </c>
    </row>
    <row r="28" spans="2:6" ht="15" customHeight="1" x14ac:dyDescent="0.3">
      <c r="B28" s="29" t="s">
        <v>51</v>
      </c>
      <c r="C28" s="42" t="str">
        <f>INDEX('90_SEMA'!$G$7:$H$183,22,NYELV_IDX)</f>
        <v>4. Tartósan adott kölcsön jelentős tulajdoni részesedési viszonyban álló vállalkozásban</v>
      </c>
      <c r="D28" s="37">
        <f>'11_MUNKATABLA'!$K$28</f>
        <v>0</v>
      </c>
      <c r="E28" s="37">
        <f>'03B_NYITO'!$E$28</f>
        <v>0</v>
      </c>
      <c r="F28" s="37">
        <f t="shared" si="0"/>
        <v>0</v>
      </c>
    </row>
    <row r="29" spans="2:6" ht="15" customHeight="1" x14ac:dyDescent="0.3">
      <c r="B29" s="29" t="s">
        <v>52</v>
      </c>
      <c r="C29" s="42" t="str">
        <f>INDEX('90_SEMA'!$G$7:$H$183,23,NYELV_IDX)</f>
        <v>5. Egyéb tartós részesedés</v>
      </c>
      <c r="D29" s="37">
        <f>'11_MUNKATABLA'!$K$29</f>
        <v>0</v>
      </c>
      <c r="E29" s="37">
        <f>'03B_NYITO'!$E$29</f>
        <v>0</v>
      </c>
      <c r="F29" s="37">
        <f t="shared" si="0"/>
        <v>0</v>
      </c>
    </row>
    <row r="30" spans="2:6" ht="15" customHeight="1" x14ac:dyDescent="0.3">
      <c r="B30" s="29" t="s">
        <v>53</v>
      </c>
      <c r="C30" s="42" t="str">
        <f>INDEX('90_SEMA'!$G$7:$H$183,24,NYELV_IDX)</f>
        <v>6. Tartósan adott kölcsön egyéb részesedési viszonyban álló vállalkozásban</v>
      </c>
      <c r="D30" s="37">
        <f>'11_MUNKATABLA'!$K$30</f>
        <v>0</v>
      </c>
      <c r="E30" s="37">
        <f>'03B_NYITO'!$E$30</f>
        <v>0</v>
      </c>
      <c r="F30" s="37">
        <f t="shared" si="0"/>
        <v>0</v>
      </c>
    </row>
    <row r="31" spans="2:6" ht="15" customHeight="1" x14ac:dyDescent="0.3">
      <c r="B31" s="29" t="s">
        <v>54</v>
      </c>
      <c r="C31" s="42" t="str">
        <f>INDEX('90_SEMA'!$G$7:$H$183,25,NYELV_IDX)</f>
        <v>7. Egyéb tartósan adott kölcsön</v>
      </c>
      <c r="D31" s="37">
        <f>'11_MUNKATABLA'!$K$31</f>
        <v>0</v>
      </c>
      <c r="E31" s="37">
        <f>'03B_NYITO'!$E$31</f>
        <v>0</v>
      </c>
      <c r="F31" s="37">
        <f t="shared" si="0"/>
        <v>0</v>
      </c>
    </row>
    <row r="32" spans="2:6" ht="15" customHeight="1" x14ac:dyDescent="0.3">
      <c r="B32" s="29" t="s">
        <v>55</v>
      </c>
      <c r="C32" s="42" t="str">
        <f>INDEX('90_SEMA'!$G$7:$H$183,26,NYELV_IDX)</f>
        <v>8. Tartós hitelviszonyt megtestesítő értékpapír</v>
      </c>
      <c r="D32" s="37">
        <f>'11_MUNKATABLA'!$K$32</f>
        <v>0</v>
      </c>
      <c r="E32" s="37">
        <f>'03B_NYITO'!$E$32</f>
        <v>0</v>
      </c>
      <c r="F32" s="37">
        <f t="shared" si="0"/>
        <v>0</v>
      </c>
    </row>
    <row r="33" spans="2:6" ht="15" customHeight="1" x14ac:dyDescent="0.3">
      <c r="B33" s="29" t="s">
        <v>56</v>
      </c>
      <c r="C33" s="42" t="str">
        <f>INDEX('90_SEMA'!$G$7:$H$183,27,NYELV_IDX)</f>
        <v>9. Befektetett pénzügyi eszközök értékhelyesbítése</v>
      </c>
      <c r="D33" s="37">
        <f>'11_MUNKATABLA'!$K$33</f>
        <v>0</v>
      </c>
      <c r="E33" s="37">
        <f>'03B_NYITO'!$E$33</f>
        <v>0</v>
      </c>
      <c r="F33" s="37">
        <f t="shared" si="0"/>
        <v>0</v>
      </c>
    </row>
    <row r="34" spans="2:6" ht="15" customHeight="1" x14ac:dyDescent="0.3">
      <c r="B34" s="29" t="s">
        <v>57</v>
      </c>
      <c r="C34" s="42" t="str">
        <f>INDEX('90_SEMA'!$G$7:$H$183,28,NYELV_IDX)</f>
        <v>10. Befektetett pénzügyi eszközök értékelési különbözete</v>
      </c>
      <c r="D34" s="37">
        <f>'11_MUNKATABLA'!$K$34</f>
        <v>0</v>
      </c>
      <c r="E34" s="37">
        <f>'03B_NYITO'!$E$34</f>
        <v>0</v>
      </c>
      <c r="F34" s="37">
        <f t="shared" si="0"/>
        <v>0</v>
      </c>
    </row>
    <row r="35" spans="2:6" ht="15" customHeight="1" x14ac:dyDescent="0.3">
      <c r="B35" s="29" t="s">
        <v>58</v>
      </c>
      <c r="C35" s="42" t="str">
        <f>INDEX('90_SEMA'!$G$7:$H$183,29,NYELV_IDX)</f>
        <v>11. Tőkekonszolidációs különbözet</v>
      </c>
      <c r="D35" s="37">
        <f>'11_MUNKATABLA'!$K$35</f>
        <v>0</v>
      </c>
      <c r="E35" s="37">
        <f>'03B_NYITO'!$E$35</f>
        <v>0</v>
      </c>
      <c r="F35" s="37">
        <f t="shared" si="0"/>
        <v>0</v>
      </c>
    </row>
    <row r="36" spans="2:6" ht="15" customHeight="1" x14ac:dyDescent="0.3">
      <c r="B36" s="29" t="s">
        <v>59</v>
      </c>
      <c r="C36" s="42" t="str">
        <f>INDEX('90_SEMA'!$G$7:$H$183,30,NYELV_IDX)</f>
        <v xml:space="preserve">     – leányvállalatokból</v>
      </c>
      <c r="D36" s="37">
        <f>'11_MUNKATABLA'!$K$36</f>
        <v>0</v>
      </c>
      <c r="E36" s="37">
        <f>'03B_NYITO'!$E$36</f>
        <v>0</v>
      </c>
      <c r="F36" s="37">
        <f t="shared" si="0"/>
        <v>0</v>
      </c>
    </row>
    <row r="37" spans="2:6" ht="15" customHeight="1" x14ac:dyDescent="0.3">
      <c r="B37" s="29" t="s">
        <v>60</v>
      </c>
      <c r="C37" s="42" t="str">
        <f>INDEX('90_SEMA'!$G$7:$H$183,31,NYELV_IDX)</f>
        <v xml:space="preserve">     – társult vállalkozásokból</v>
      </c>
      <c r="D37" s="37">
        <f>'11_MUNKATABLA'!$K$37</f>
        <v>0</v>
      </c>
      <c r="E37" s="37">
        <f>'03B_NYITO'!$E$37</f>
        <v>0</v>
      </c>
      <c r="F37" s="37">
        <f t="shared" si="0"/>
        <v>0</v>
      </c>
    </row>
    <row r="38" spans="2:6" ht="15" customHeight="1" x14ac:dyDescent="0.3">
      <c r="B38" s="29" t="s">
        <v>61</v>
      </c>
      <c r="C38" s="41" t="str">
        <f>INDEX('90_SEMA'!$G$7:$H$183,32,NYELV_IDX)</f>
        <v>IV. HALASZTOTT ADÓKÖVETELÉS</v>
      </c>
      <c r="D38" s="31">
        <f>'11_MUNKATABLA'!$K$38</f>
        <v>0</v>
      </c>
      <c r="E38" s="31">
        <f>'03B_NYITO'!$E$38</f>
        <v>0</v>
      </c>
      <c r="F38" s="37">
        <f t="shared" si="0"/>
        <v>0</v>
      </c>
    </row>
    <row r="39" spans="2:6" ht="15" customHeight="1" x14ac:dyDescent="0.3">
      <c r="B39" s="29" t="s">
        <v>62</v>
      </c>
      <c r="C39" s="40" t="str">
        <f>INDEX('90_SEMA'!$G$7:$H$183,33,NYELV_IDX)</f>
        <v>B. Forgóeszközök</v>
      </c>
      <c r="D39" s="31">
        <f>'11_MUNKATABLA'!$K$39</f>
        <v>0</v>
      </c>
      <c r="E39" s="31">
        <f>'03B_NYITO'!$E$39</f>
        <v>0</v>
      </c>
      <c r="F39" s="37">
        <f t="shared" ref="F39:F70" si="1">$D39-$E39</f>
        <v>0</v>
      </c>
    </row>
    <row r="40" spans="2:6" ht="15" customHeight="1" x14ac:dyDescent="0.3">
      <c r="B40" s="29" t="s">
        <v>63</v>
      </c>
      <c r="C40" s="41" t="str">
        <f>INDEX('90_SEMA'!$G$7:$H$183,34,NYELV_IDX)</f>
        <v>I. KÉSZLETEK</v>
      </c>
      <c r="D40" s="31">
        <f>'11_MUNKATABLA'!$K$40</f>
        <v>0</v>
      </c>
      <c r="E40" s="31">
        <f>'03B_NYITO'!$E$40</f>
        <v>0</v>
      </c>
      <c r="F40" s="37">
        <f t="shared" si="1"/>
        <v>0</v>
      </c>
    </row>
    <row r="41" spans="2:6" ht="15" customHeight="1" x14ac:dyDescent="0.3">
      <c r="B41" s="29" t="s">
        <v>64</v>
      </c>
      <c r="C41" s="42" t="str">
        <f>INDEX('90_SEMA'!$G$7:$H$183,35,NYELV_IDX)</f>
        <v>1. Anyagok</v>
      </c>
      <c r="D41" s="37">
        <f>'11_MUNKATABLA'!$K$41</f>
        <v>0</v>
      </c>
      <c r="E41" s="37">
        <f>'03B_NYITO'!$E$41</f>
        <v>0</v>
      </c>
      <c r="F41" s="37">
        <f t="shared" si="1"/>
        <v>0</v>
      </c>
    </row>
    <row r="42" spans="2:6" ht="15" customHeight="1" x14ac:dyDescent="0.3">
      <c r="B42" s="29" t="s">
        <v>65</v>
      </c>
      <c r="C42" s="42" t="str">
        <f>INDEX('90_SEMA'!$G$7:$H$183,36,NYELV_IDX)</f>
        <v>2. Befejezetlen termelés és félkész termékek</v>
      </c>
      <c r="D42" s="37">
        <f>'11_MUNKATABLA'!$K$42</f>
        <v>0</v>
      </c>
      <c r="E42" s="37">
        <f>'03B_NYITO'!$E$42</f>
        <v>0</v>
      </c>
      <c r="F42" s="37">
        <f t="shared" si="1"/>
        <v>0</v>
      </c>
    </row>
    <row r="43" spans="2:6" ht="15" customHeight="1" x14ac:dyDescent="0.3">
      <c r="B43" s="29" t="s">
        <v>66</v>
      </c>
      <c r="C43" s="42" t="str">
        <f>INDEX('90_SEMA'!$G$7:$H$183,37,NYELV_IDX)</f>
        <v>3. Növendék-, hízó- és egyéb állatok</v>
      </c>
      <c r="D43" s="37">
        <f>'11_MUNKATABLA'!$K$43</f>
        <v>0</v>
      </c>
      <c r="E43" s="37">
        <f>'03B_NYITO'!$E$43</f>
        <v>0</v>
      </c>
      <c r="F43" s="37">
        <f t="shared" si="1"/>
        <v>0</v>
      </c>
    </row>
    <row r="44" spans="2:6" ht="15" customHeight="1" x14ac:dyDescent="0.3">
      <c r="B44" s="29" t="s">
        <v>67</v>
      </c>
      <c r="C44" s="42" t="str">
        <f>INDEX('90_SEMA'!$G$7:$H$183,38,NYELV_IDX)</f>
        <v>4. Késztermékek</v>
      </c>
      <c r="D44" s="37">
        <f>'11_MUNKATABLA'!$K$44</f>
        <v>0</v>
      </c>
      <c r="E44" s="37">
        <f>'03B_NYITO'!$E$44</f>
        <v>0</v>
      </c>
      <c r="F44" s="37">
        <f t="shared" si="1"/>
        <v>0</v>
      </c>
    </row>
    <row r="45" spans="2:6" ht="15" customHeight="1" x14ac:dyDescent="0.3">
      <c r="B45" s="29" t="s">
        <v>68</v>
      </c>
      <c r="C45" s="42" t="str">
        <f>INDEX('90_SEMA'!$G$7:$H$183,39,NYELV_IDX)</f>
        <v>5. Áruk</v>
      </c>
      <c r="D45" s="37">
        <f>'11_MUNKATABLA'!$K$45</f>
        <v>0</v>
      </c>
      <c r="E45" s="37">
        <f>'03B_NYITO'!$E$45</f>
        <v>0</v>
      </c>
      <c r="F45" s="37">
        <f t="shared" si="1"/>
        <v>0</v>
      </c>
    </row>
    <row r="46" spans="2:6" ht="15" customHeight="1" x14ac:dyDescent="0.3">
      <c r="B46" s="29" t="s">
        <v>69</v>
      </c>
      <c r="C46" s="42" t="str">
        <f>INDEX('90_SEMA'!$G$7:$H$183,40,NYELV_IDX)</f>
        <v>6. Készletekre adott előlegek</v>
      </c>
      <c r="D46" s="37">
        <f>'11_MUNKATABLA'!$K$46</f>
        <v>0</v>
      </c>
      <c r="E46" s="37">
        <f>'03B_NYITO'!$E$46</f>
        <v>0</v>
      </c>
      <c r="F46" s="37">
        <f t="shared" si="1"/>
        <v>0</v>
      </c>
    </row>
    <row r="47" spans="2:6" ht="15" customHeight="1" x14ac:dyDescent="0.3">
      <c r="B47" s="29" t="s">
        <v>70</v>
      </c>
      <c r="C47" s="41" t="str">
        <f>INDEX('90_SEMA'!$G$7:$H$183,41,NYELV_IDX)</f>
        <v>II. KÖVETELÉSEK</v>
      </c>
      <c r="D47" s="31">
        <f>'11_MUNKATABLA'!$K$47</f>
        <v>0</v>
      </c>
      <c r="E47" s="31">
        <f>'03B_NYITO'!$E$47</f>
        <v>0</v>
      </c>
      <c r="F47" s="37">
        <f t="shared" si="1"/>
        <v>0</v>
      </c>
    </row>
    <row r="48" spans="2:6" ht="15" customHeight="1" x14ac:dyDescent="0.3">
      <c r="B48" s="29" t="s">
        <v>71</v>
      </c>
      <c r="C48" s="42" t="str">
        <f>INDEX('90_SEMA'!$G$7:$H$183,42,NYELV_IDX)</f>
        <v>1. Követelések áruszállításból és szolgáltatásból (vevők)</v>
      </c>
      <c r="D48" s="37">
        <f>'11_MUNKATABLA'!$K$48</f>
        <v>0</v>
      </c>
      <c r="E48" s="37">
        <f>'03B_NYITO'!$E$48</f>
        <v>0</v>
      </c>
      <c r="F48" s="37">
        <f t="shared" si="1"/>
        <v>0</v>
      </c>
    </row>
    <row r="49" spans="2:6" ht="15" customHeight="1" x14ac:dyDescent="0.3">
      <c r="B49" s="29" t="s">
        <v>72</v>
      </c>
      <c r="C49" s="42" t="str">
        <f>INDEX('90_SEMA'!$G$7:$H$183,43,NYELV_IDX)</f>
        <v>2. Követelések kapcsolt vállalkozással szemben</v>
      </c>
      <c r="D49" s="37">
        <f>'11_MUNKATABLA'!$K$49</f>
        <v>0</v>
      </c>
      <c r="E49" s="37">
        <f>'03B_NYITO'!$E$49</f>
        <v>0</v>
      </c>
      <c r="F49" s="37">
        <f t="shared" si="1"/>
        <v>0</v>
      </c>
    </row>
    <row r="50" spans="2:6" ht="15" customHeight="1" x14ac:dyDescent="0.3">
      <c r="B50" s="29" t="s">
        <v>73</v>
      </c>
      <c r="C50" s="42" t="str">
        <f>INDEX('90_SEMA'!$G$7:$H$183,44,NYELV_IDX)</f>
        <v>3. Követelések jelentős tulajdoni részesedési viszonyban lévő vállalkozással szemben</v>
      </c>
      <c r="D50" s="37">
        <f>'11_MUNKATABLA'!$K$50</f>
        <v>0</v>
      </c>
      <c r="E50" s="37">
        <f>'03B_NYITO'!$E$50</f>
        <v>0</v>
      </c>
      <c r="F50" s="37">
        <f t="shared" si="1"/>
        <v>0</v>
      </c>
    </row>
    <row r="51" spans="2:6" ht="15" customHeight="1" x14ac:dyDescent="0.3">
      <c r="B51" s="29" t="s">
        <v>74</v>
      </c>
      <c r="C51" s="42" t="str">
        <f>INDEX('90_SEMA'!$G$7:$H$183,45,NYELV_IDX)</f>
        <v>4. Követelések egyéb részesedési viszonyban lévő vállalkozással szemben</v>
      </c>
      <c r="D51" s="37">
        <f>'11_MUNKATABLA'!$K$51</f>
        <v>0</v>
      </c>
      <c r="E51" s="37">
        <f>'03B_NYITO'!$E$51</f>
        <v>0</v>
      </c>
      <c r="F51" s="37">
        <f t="shared" si="1"/>
        <v>0</v>
      </c>
    </row>
    <row r="52" spans="2:6" ht="15" customHeight="1" x14ac:dyDescent="0.3">
      <c r="B52" s="29" t="s">
        <v>75</v>
      </c>
      <c r="C52" s="42" t="str">
        <f>INDEX('90_SEMA'!$G$7:$H$183,46,NYELV_IDX)</f>
        <v>5. Váltókövetelések</v>
      </c>
      <c r="D52" s="37">
        <f>'11_MUNKATABLA'!$K$52</f>
        <v>0</v>
      </c>
      <c r="E52" s="37">
        <f>'03B_NYITO'!$E$52</f>
        <v>0</v>
      </c>
      <c r="F52" s="37">
        <f t="shared" si="1"/>
        <v>0</v>
      </c>
    </row>
    <row r="53" spans="2:6" ht="15" customHeight="1" x14ac:dyDescent="0.3">
      <c r="B53" s="29" t="s">
        <v>76</v>
      </c>
      <c r="C53" s="42" t="str">
        <f>INDEX('90_SEMA'!$G$7:$H$183,47,NYELV_IDX)</f>
        <v>6. Egyéb követelések</v>
      </c>
      <c r="D53" s="37">
        <f>'11_MUNKATABLA'!$K$53</f>
        <v>0</v>
      </c>
      <c r="E53" s="37">
        <f>'03B_NYITO'!$E$53</f>
        <v>0</v>
      </c>
      <c r="F53" s="37">
        <f t="shared" si="1"/>
        <v>0</v>
      </c>
    </row>
    <row r="54" spans="2:6" ht="15" customHeight="1" x14ac:dyDescent="0.3">
      <c r="B54" s="29" t="s">
        <v>77</v>
      </c>
      <c r="C54" s="42" t="str">
        <f>INDEX('90_SEMA'!$G$7:$H$183,48,NYELV_IDX)</f>
        <v>7. Követelések értékelési különbözete</v>
      </c>
      <c r="D54" s="37">
        <f>'11_MUNKATABLA'!$K$54</f>
        <v>0</v>
      </c>
      <c r="E54" s="37">
        <f>'03B_NYITO'!$E$54</f>
        <v>0</v>
      </c>
      <c r="F54" s="37">
        <f t="shared" si="1"/>
        <v>0</v>
      </c>
    </row>
    <row r="55" spans="2:6" ht="15" customHeight="1" x14ac:dyDescent="0.3">
      <c r="B55" s="29" t="s">
        <v>78</v>
      </c>
      <c r="C55" s="42" t="str">
        <f>INDEX('90_SEMA'!$G$7:$H$183,49,NYELV_IDX)</f>
        <v>8. Származékos ügyletek pozitív értékelési különbözete</v>
      </c>
      <c r="D55" s="37">
        <f>'11_MUNKATABLA'!$K$55</f>
        <v>0</v>
      </c>
      <c r="E55" s="37">
        <f>'03B_NYITO'!$E$55</f>
        <v>0</v>
      </c>
      <c r="F55" s="37">
        <f t="shared" si="1"/>
        <v>0</v>
      </c>
    </row>
    <row r="56" spans="2:6" ht="15" customHeight="1" x14ac:dyDescent="0.3">
      <c r="B56" s="29" t="s">
        <v>79</v>
      </c>
      <c r="C56" s="42" t="str">
        <f>INDEX('90_SEMA'!$G$7:$H$183,50,NYELV_IDX)</f>
        <v>9. Konszolidációból adódó (számított) társasági adó követelés</v>
      </c>
      <c r="D56" s="37">
        <f>'11_MUNKATABLA'!$K$56</f>
        <v>0</v>
      </c>
      <c r="E56" s="37">
        <f>'03B_NYITO'!$E$56</f>
        <v>0</v>
      </c>
      <c r="F56" s="37">
        <f t="shared" si="1"/>
        <v>0</v>
      </c>
    </row>
    <row r="57" spans="2:6" ht="15" customHeight="1" x14ac:dyDescent="0.3">
      <c r="B57" s="29" t="s">
        <v>80</v>
      </c>
      <c r="C57" s="41" t="str">
        <f>INDEX('90_SEMA'!$G$7:$H$183,51,NYELV_IDX)</f>
        <v>III. ÉRTÉKPAPÍROK</v>
      </c>
      <c r="D57" s="31">
        <f>'11_MUNKATABLA'!$K$57</f>
        <v>0</v>
      </c>
      <c r="E57" s="31">
        <f>'03B_NYITO'!$E$57</f>
        <v>0</v>
      </c>
      <c r="F57" s="37">
        <f t="shared" si="1"/>
        <v>0</v>
      </c>
    </row>
    <row r="58" spans="2:6" ht="15" customHeight="1" x14ac:dyDescent="0.3">
      <c r="B58" s="29" t="s">
        <v>81</v>
      </c>
      <c r="C58" s="42" t="str">
        <f>INDEX('90_SEMA'!$G$7:$H$183,52,NYELV_IDX)</f>
        <v>1. Részesedés kapcsolt vállalkozásban</v>
      </c>
      <c r="D58" s="37">
        <f>'11_MUNKATABLA'!$K$58</f>
        <v>0</v>
      </c>
      <c r="E58" s="37">
        <f>'03B_NYITO'!$E$58</f>
        <v>0</v>
      </c>
      <c r="F58" s="37">
        <f t="shared" si="1"/>
        <v>0</v>
      </c>
    </row>
    <row r="59" spans="2:6" ht="15" customHeight="1" x14ac:dyDescent="0.3">
      <c r="B59" s="29" t="s">
        <v>82</v>
      </c>
      <c r="C59" s="42" t="str">
        <f>INDEX('90_SEMA'!$G$7:$H$183,53,NYELV_IDX)</f>
        <v>2. Jelentős tulajdoni részesedés</v>
      </c>
      <c r="D59" s="37">
        <f>'11_MUNKATABLA'!$K$59</f>
        <v>0</v>
      </c>
      <c r="E59" s="37">
        <f>'03B_NYITO'!$E$59</f>
        <v>0</v>
      </c>
      <c r="F59" s="37">
        <f t="shared" si="1"/>
        <v>0</v>
      </c>
    </row>
    <row r="60" spans="2:6" ht="15" customHeight="1" x14ac:dyDescent="0.3">
      <c r="B60" s="29" t="s">
        <v>83</v>
      </c>
      <c r="C60" s="42" t="str">
        <f>INDEX('90_SEMA'!$G$7:$H$183,54,NYELV_IDX)</f>
        <v>3. Egyéb részesedés</v>
      </c>
      <c r="D60" s="37">
        <f>'11_MUNKATABLA'!$K$60</f>
        <v>0</v>
      </c>
      <c r="E60" s="37">
        <f>'03B_NYITO'!$E$60</f>
        <v>0</v>
      </c>
      <c r="F60" s="37">
        <f t="shared" si="1"/>
        <v>0</v>
      </c>
    </row>
    <row r="61" spans="2:6" ht="15" customHeight="1" x14ac:dyDescent="0.3">
      <c r="B61" s="29" t="s">
        <v>84</v>
      </c>
      <c r="C61" s="42" t="str">
        <f>INDEX('90_SEMA'!$G$7:$H$183,55,NYELV_IDX)</f>
        <v>4. Saját részvények, saját üzletrészek</v>
      </c>
      <c r="D61" s="37">
        <f>'11_MUNKATABLA'!$K$61</f>
        <v>0</v>
      </c>
      <c r="E61" s="37">
        <f>'03B_NYITO'!$E$61</f>
        <v>0</v>
      </c>
      <c r="F61" s="37">
        <f t="shared" si="1"/>
        <v>0</v>
      </c>
    </row>
    <row r="62" spans="2:6" ht="15" customHeight="1" x14ac:dyDescent="0.3">
      <c r="B62" s="29" t="s">
        <v>85</v>
      </c>
      <c r="C62" s="42" t="str">
        <f>INDEX('90_SEMA'!$G$7:$H$183,56,NYELV_IDX)</f>
        <v>5. Forgatási célú hitelviszonyt megtestesítő értékpapírok</v>
      </c>
      <c r="D62" s="37">
        <f>'11_MUNKATABLA'!$K$62</f>
        <v>0</v>
      </c>
      <c r="E62" s="37">
        <f>'03B_NYITO'!$E$62</f>
        <v>0</v>
      </c>
      <c r="F62" s="37">
        <f t="shared" si="1"/>
        <v>0</v>
      </c>
    </row>
    <row r="63" spans="2:6" ht="15" customHeight="1" x14ac:dyDescent="0.3">
      <c r="B63" s="29" t="s">
        <v>86</v>
      </c>
      <c r="C63" s="42" t="str">
        <f>INDEX('90_SEMA'!$G$7:$H$183,57,NYELV_IDX)</f>
        <v>6. Értékpapírok értékelési különbözete</v>
      </c>
      <c r="D63" s="37">
        <f>'11_MUNKATABLA'!$K$63</f>
        <v>0</v>
      </c>
      <c r="E63" s="37">
        <f>'03B_NYITO'!$E$63</f>
        <v>0</v>
      </c>
      <c r="F63" s="37">
        <f t="shared" si="1"/>
        <v>0</v>
      </c>
    </row>
    <row r="64" spans="2:6" ht="15" customHeight="1" x14ac:dyDescent="0.3">
      <c r="B64" s="29" t="s">
        <v>87</v>
      </c>
      <c r="C64" s="41" t="str">
        <f>INDEX('90_SEMA'!$G$7:$H$183,58,NYELV_IDX)</f>
        <v>IV. PÉNZESZKÖZÖK</v>
      </c>
      <c r="D64" s="31">
        <f>'11_MUNKATABLA'!$K$64</f>
        <v>0</v>
      </c>
      <c r="E64" s="31">
        <f>'03B_NYITO'!$E$64</f>
        <v>0</v>
      </c>
      <c r="F64" s="37">
        <f t="shared" si="1"/>
        <v>0</v>
      </c>
    </row>
    <row r="65" spans="2:6" ht="15" customHeight="1" x14ac:dyDescent="0.3">
      <c r="B65" s="29" t="s">
        <v>88</v>
      </c>
      <c r="C65" s="42" t="str">
        <f>INDEX('90_SEMA'!$G$7:$H$183,59,NYELV_IDX)</f>
        <v>1. Pénztár, csekkek</v>
      </c>
      <c r="D65" s="37">
        <f>'11_MUNKATABLA'!$K$65</f>
        <v>0</v>
      </c>
      <c r="E65" s="37">
        <f>'03B_NYITO'!$E$65</f>
        <v>0</v>
      </c>
      <c r="F65" s="37">
        <f t="shared" si="1"/>
        <v>0</v>
      </c>
    </row>
    <row r="66" spans="2:6" ht="15" customHeight="1" x14ac:dyDescent="0.3">
      <c r="B66" s="29" t="s">
        <v>89</v>
      </c>
      <c r="C66" s="42" t="str">
        <f>INDEX('90_SEMA'!$G$7:$H$183,60,NYELV_IDX)</f>
        <v>2. Bankbetétek</v>
      </c>
      <c r="D66" s="37">
        <f>'11_MUNKATABLA'!$K$66</f>
        <v>0</v>
      </c>
      <c r="E66" s="37">
        <f>'03B_NYITO'!$E$66</f>
        <v>0</v>
      </c>
      <c r="F66" s="37">
        <f t="shared" si="1"/>
        <v>0</v>
      </c>
    </row>
    <row r="67" spans="2:6" ht="15" customHeight="1" x14ac:dyDescent="0.3">
      <c r="B67" s="29" t="s">
        <v>90</v>
      </c>
      <c r="C67" s="40" t="str">
        <f>INDEX('90_SEMA'!$G$7:$H$183,61,NYELV_IDX)</f>
        <v>C. Aktív időbeli elhatárolások</v>
      </c>
      <c r="D67" s="31">
        <f>'11_MUNKATABLA'!$K$67</f>
        <v>0</v>
      </c>
      <c r="E67" s="31">
        <f>'03B_NYITO'!$E$67</f>
        <v>0</v>
      </c>
      <c r="F67" s="37">
        <f t="shared" si="1"/>
        <v>0</v>
      </c>
    </row>
    <row r="68" spans="2:6" ht="15" customHeight="1" x14ac:dyDescent="0.3">
      <c r="B68" s="29" t="s">
        <v>91</v>
      </c>
      <c r="C68" s="42" t="str">
        <f>INDEX('90_SEMA'!$G$7:$H$183,62,NYELV_IDX)</f>
        <v>1. Bevételek aktív időbeli elhatárolása</v>
      </c>
      <c r="D68" s="37">
        <f>'11_MUNKATABLA'!$K$68</f>
        <v>0</v>
      </c>
      <c r="E68" s="37">
        <f>'03B_NYITO'!$E$68</f>
        <v>0</v>
      </c>
      <c r="F68" s="37">
        <f t="shared" si="1"/>
        <v>0</v>
      </c>
    </row>
    <row r="69" spans="2:6" ht="15" customHeight="1" x14ac:dyDescent="0.3">
      <c r="B69" s="29" t="s">
        <v>92</v>
      </c>
      <c r="C69" s="42" t="str">
        <f>INDEX('90_SEMA'!$G$7:$H$183,63,NYELV_IDX)</f>
        <v>2. Költségek, ráfordítások aktív időbeli elhatárolása</v>
      </c>
      <c r="D69" s="37">
        <f>'11_MUNKATABLA'!$K$69</f>
        <v>0</v>
      </c>
      <c r="E69" s="37">
        <f>'03B_NYITO'!$E$69</f>
        <v>0</v>
      </c>
      <c r="F69" s="37">
        <f t="shared" si="1"/>
        <v>0</v>
      </c>
    </row>
    <row r="70" spans="2:6" ht="15" customHeight="1" x14ac:dyDescent="0.3">
      <c r="B70" s="29" t="s">
        <v>93</v>
      </c>
      <c r="C70" s="42" t="str">
        <f>INDEX('90_SEMA'!$G$7:$H$183,64,NYELV_IDX)</f>
        <v>3. Halasztott ráfordítások</v>
      </c>
      <c r="D70" s="37">
        <f>'11_MUNKATABLA'!$K$70</f>
        <v>0</v>
      </c>
      <c r="E70" s="37">
        <f>'03B_NYITO'!$E$70</f>
        <v>0</v>
      </c>
      <c r="F70" s="37">
        <f t="shared" si="1"/>
        <v>0</v>
      </c>
    </row>
    <row r="71" spans="2:6" ht="15" customHeight="1" x14ac:dyDescent="0.3">
      <c r="B71" s="29" t="s">
        <v>94</v>
      </c>
      <c r="C71" s="40" t="str">
        <f>INDEX('90_SEMA'!$G$7:$H$183,65,NYELV_IDX)</f>
        <v>D. Saját tőke</v>
      </c>
      <c r="D71" s="31">
        <f>'11_MUNKATABLA'!$K$71</f>
        <v>0</v>
      </c>
      <c r="E71" s="31">
        <f>'03B_NYITO'!$E$71</f>
        <v>0</v>
      </c>
      <c r="F71" s="37">
        <f t="shared" ref="F71:F102" si="2">$D71-$E71</f>
        <v>0</v>
      </c>
    </row>
    <row r="72" spans="2:6" ht="15" customHeight="1" x14ac:dyDescent="0.3">
      <c r="B72" s="29" t="s">
        <v>95</v>
      </c>
      <c r="C72" s="41" t="str">
        <f>INDEX('90_SEMA'!$G$7:$H$183,66,NYELV_IDX)</f>
        <v>I. JEGYZETT TŐKE</v>
      </c>
      <c r="D72" s="31">
        <f>'11_MUNKATABLA'!$K$72</f>
        <v>0</v>
      </c>
      <c r="E72" s="31">
        <f>'03B_NYITO'!$E$72</f>
        <v>0</v>
      </c>
      <c r="F72" s="37">
        <f t="shared" si="2"/>
        <v>0</v>
      </c>
    </row>
    <row r="73" spans="2:6" ht="15" customHeight="1" x14ac:dyDescent="0.3">
      <c r="B73" s="29" t="s">
        <v>96</v>
      </c>
      <c r="C73" s="34" t="str">
        <f>INDEX('90_SEMA'!$G$7:$H$183,67,NYELV_IDX)</f>
        <v xml:space="preserve">     Ebből: visszavásárolt tulajdoni részesedés névértéken</v>
      </c>
      <c r="D73" s="37">
        <f>'11_MUNKATABLA'!$K$73</f>
        <v>0</v>
      </c>
      <c r="E73" s="37">
        <f>'03B_NYITO'!$E$73</f>
        <v>0</v>
      </c>
      <c r="F73" s="37">
        <f t="shared" si="2"/>
        <v>0</v>
      </c>
    </row>
    <row r="74" spans="2:6" ht="15" customHeight="1" x14ac:dyDescent="0.3">
      <c r="B74" s="29" t="s">
        <v>98</v>
      </c>
      <c r="C74" s="41" t="str">
        <f>INDEX('90_SEMA'!$G$7:$H$183,68,NYELV_IDX)</f>
        <v>II. JEGYZETT, DE MÉG BE NEM FIZETETT TŐKE (-)</v>
      </c>
      <c r="D74" s="31">
        <f>'11_MUNKATABLA'!$K$74</f>
        <v>0</v>
      </c>
      <c r="E74" s="31">
        <f>'03B_NYITO'!$E$74</f>
        <v>0</v>
      </c>
      <c r="F74" s="37">
        <f t="shared" si="2"/>
        <v>0</v>
      </c>
    </row>
    <row r="75" spans="2:6" ht="15" customHeight="1" x14ac:dyDescent="0.3">
      <c r="B75" s="29" t="s">
        <v>99</v>
      </c>
      <c r="C75" s="41" t="str">
        <f>INDEX('90_SEMA'!$G$7:$H$183,69,NYELV_IDX)</f>
        <v>III. TŐKETARTALÉK</v>
      </c>
      <c r="D75" s="31">
        <f>'11_MUNKATABLA'!$K$75</f>
        <v>0</v>
      </c>
      <c r="E75" s="31">
        <f>'03B_NYITO'!$E$75</f>
        <v>0</v>
      </c>
      <c r="F75" s="37">
        <f t="shared" si="2"/>
        <v>0</v>
      </c>
    </row>
    <row r="76" spans="2:6" ht="15" customHeight="1" x14ac:dyDescent="0.3">
      <c r="B76" s="29" t="s">
        <v>100</v>
      </c>
      <c r="C76" s="41" t="str">
        <f>INDEX('90_SEMA'!$G$7:$H$183,70,NYELV_IDX)</f>
        <v>IV. EREDMÉNYTARTALÉK</v>
      </c>
      <c r="D76" s="31">
        <f>'11_MUNKATABLA'!$K$76</f>
        <v>0</v>
      </c>
      <c r="E76" s="31">
        <f>'03B_NYITO'!$E$76</f>
        <v>0</v>
      </c>
      <c r="F76" s="37">
        <f t="shared" si="2"/>
        <v>0</v>
      </c>
    </row>
    <row r="77" spans="2:6" ht="15" customHeight="1" x14ac:dyDescent="0.3">
      <c r="B77" s="29" t="s">
        <v>101</v>
      </c>
      <c r="C77" s="41" t="str">
        <f>INDEX('90_SEMA'!$G$7:$H$183,71,NYELV_IDX)</f>
        <v>V. LEKÖTÖTT TARTALÉK</v>
      </c>
      <c r="D77" s="31">
        <f>'11_MUNKATABLA'!$K$77</f>
        <v>0</v>
      </c>
      <c r="E77" s="31">
        <f>'03B_NYITO'!$E$77</f>
        <v>0</v>
      </c>
      <c r="F77" s="37">
        <f t="shared" si="2"/>
        <v>0</v>
      </c>
    </row>
    <row r="78" spans="2:6" ht="15" customHeight="1" x14ac:dyDescent="0.3">
      <c r="B78" s="29" t="s">
        <v>102</v>
      </c>
      <c r="C78" s="41" t="str">
        <f>INDEX('90_SEMA'!$G$7:$H$183,72,NYELV_IDX)</f>
        <v>VI. ÉRTÉKELÉSI TARTALÉK</v>
      </c>
      <c r="D78" s="31">
        <f>'11_MUNKATABLA'!$K$78</f>
        <v>0</v>
      </c>
      <c r="E78" s="31">
        <f>'03B_NYITO'!$E$78</f>
        <v>0</v>
      </c>
      <c r="F78" s="37">
        <f t="shared" si="2"/>
        <v>0</v>
      </c>
    </row>
    <row r="79" spans="2:6" ht="15" customHeight="1" x14ac:dyDescent="0.3">
      <c r="B79" s="29" t="s">
        <v>103</v>
      </c>
      <c r="C79" s="42" t="str">
        <f>INDEX('90_SEMA'!$G$7:$H$183,73,NYELV_IDX)</f>
        <v>1. Értékhelyesbítés értékelési tartaléka</v>
      </c>
      <c r="D79" s="37">
        <f>'11_MUNKATABLA'!$K$79</f>
        <v>0</v>
      </c>
      <c r="E79" s="37">
        <f>'03B_NYITO'!$E$79</f>
        <v>0</v>
      </c>
      <c r="F79" s="37">
        <f t="shared" si="2"/>
        <v>0</v>
      </c>
    </row>
    <row r="80" spans="2:6" ht="15" customHeight="1" x14ac:dyDescent="0.3">
      <c r="B80" s="29" t="s">
        <v>104</v>
      </c>
      <c r="C80" s="42" t="str">
        <f>INDEX('90_SEMA'!$G$7:$H$183,74,NYELV_IDX)</f>
        <v>2. Valós értékelés értékelési tartaléka</v>
      </c>
      <c r="D80" s="37">
        <f>'11_MUNKATABLA'!$K$80</f>
        <v>0</v>
      </c>
      <c r="E80" s="37">
        <f>'03B_NYITO'!$E$80</f>
        <v>0</v>
      </c>
      <c r="F80" s="37">
        <f t="shared" si="2"/>
        <v>0</v>
      </c>
    </row>
    <row r="81" spans="2:6" ht="15" customHeight="1" x14ac:dyDescent="0.3">
      <c r="B81" s="29" t="s">
        <v>105</v>
      </c>
      <c r="C81" s="41" t="str">
        <f>INDEX('90_SEMA'!$G$7:$H$183,75,NYELV_IDX)</f>
        <v>VII. Korrigált adózott eredmény</v>
      </c>
      <c r="D81" s="31">
        <f>'11_MUNKATABLA'!$K$81</f>
        <v>0</v>
      </c>
      <c r="E81" s="31">
        <f>'03B_NYITO'!$E$81</f>
        <v>0</v>
      </c>
      <c r="F81" s="37">
        <f t="shared" si="2"/>
        <v>0</v>
      </c>
    </row>
    <row r="82" spans="2:6" ht="15" customHeight="1" x14ac:dyDescent="0.3">
      <c r="B82" s="29" t="s">
        <v>106</v>
      </c>
      <c r="C82" s="41" t="str">
        <f>INDEX('90_SEMA'!$G$7:$H$183,76,NYELV_IDX)</f>
        <v>VIII. Leányvállalati saját tőke változás (±)</v>
      </c>
      <c r="D82" s="31">
        <f>'11_MUNKATABLA'!$K$82</f>
        <v>0</v>
      </c>
      <c r="E82" s="31">
        <f>'03B_NYITO'!$E$82</f>
        <v>0</v>
      </c>
      <c r="F82" s="37">
        <f t="shared" si="2"/>
        <v>0</v>
      </c>
    </row>
    <row r="83" spans="2:6" ht="15" customHeight="1" x14ac:dyDescent="0.3">
      <c r="B83" s="29" t="s">
        <v>107</v>
      </c>
      <c r="C83" s="41" t="str">
        <f>INDEX('90_SEMA'!$G$7:$H$183,77,NYELV_IDX)</f>
        <v>IX. Konszolidáció miatti változások (±)</v>
      </c>
      <c r="D83" s="31">
        <f>'11_MUNKATABLA'!$K$83</f>
        <v>0</v>
      </c>
      <c r="E83" s="31">
        <f>'03B_NYITO'!$E$83</f>
        <v>0</v>
      </c>
      <c r="F83" s="37">
        <f t="shared" si="2"/>
        <v>0</v>
      </c>
    </row>
    <row r="84" spans="2:6" ht="15" customHeight="1" x14ac:dyDescent="0.3">
      <c r="B84" s="29" t="s">
        <v>108</v>
      </c>
      <c r="C84" s="42" t="str">
        <f>INDEX('90_SEMA'!$G$7:$H$183,78,NYELV_IDX)</f>
        <v xml:space="preserve">     – adósságkonszolidálás különbözetéből</v>
      </c>
      <c r="D84" s="37">
        <f>'11_MUNKATABLA'!$K$84</f>
        <v>0</v>
      </c>
      <c r="E84" s="37">
        <f>'03B_NYITO'!$E$84</f>
        <v>0</v>
      </c>
      <c r="F84" s="37">
        <f t="shared" si="2"/>
        <v>0</v>
      </c>
    </row>
    <row r="85" spans="2:6" ht="15" customHeight="1" x14ac:dyDescent="0.3">
      <c r="B85" s="29" t="s">
        <v>109</v>
      </c>
      <c r="C85" s="42" t="str">
        <f>INDEX('90_SEMA'!$G$7:$H$183,79,NYELV_IDX)</f>
        <v xml:space="preserve">     – közbenső eredmény különbözetéből</v>
      </c>
      <c r="D85" s="37">
        <f>'11_MUNKATABLA'!$K$85</f>
        <v>0</v>
      </c>
      <c r="E85" s="37">
        <f>'03B_NYITO'!$E$85</f>
        <v>0</v>
      </c>
      <c r="F85" s="37">
        <f t="shared" si="2"/>
        <v>0</v>
      </c>
    </row>
    <row r="86" spans="2:6" ht="15" hidden="1" customHeight="1" x14ac:dyDescent="0.3">
      <c r="B86" s="29"/>
      <c r="C86" s="42"/>
      <c r="D86" s="37"/>
      <c r="E86" s="37"/>
      <c r="F86" s="37">
        <f t="shared" si="2"/>
        <v>0</v>
      </c>
    </row>
    <row r="87" spans="2:6" ht="15" customHeight="1" x14ac:dyDescent="0.3">
      <c r="B87" s="29" t="s">
        <v>111</v>
      </c>
      <c r="C87" s="41" t="str">
        <f>INDEX('90_SEMA'!$G$7:$H$183,81,NYELV_IDX)</f>
        <v>X. Külső tagok (más tulajdonosok) részesedése</v>
      </c>
      <c r="D87" s="31">
        <f>'11_MUNKATABLA'!$K$87</f>
        <v>0</v>
      </c>
      <c r="E87" s="31">
        <f>'03B_NYITO'!$E$87</f>
        <v>0</v>
      </c>
      <c r="F87" s="37">
        <f t="shared" si="2"/>
        <v>0</v>
      </c>
    </row>
    <row r="88" spans="2:6" ht="15" customHeight="1" x14ac:dyDescent="0.3">
      <c r="B88" s="29" t="s">
        <v>112</v>
      </c>
      <c r="C88" s="40" t="str">
        <f>INDEX('90_SEMA'!$G$7:$H$183,82,NYELV_IDX)</f>
        <v>E. Céltartalékok</v>
      </c>
      <c r="D88" s="31">
        <f>'11_MUNKATABLA'!$K$88</f>
        <v>0</v>
      </c>
      <c r="E88" s="31">
        <f>'03B_NYITO'!$E$88</f>
        <v>0</v>
      </c>
      <c r="F88" s="37">
        <f t="shared" si="2"/>
        <v>0</v>
      </c>
    </row>
    <row r="89" spans="2:6" ht="15" customHeight="1" x14ac:dyDescent="0.3">
      <c r="B89" s="29" t="s">
        <v>113</v>
      </c>
      <c r="C89" s="42" t="str">
        <f>INDEX('90_SEMA'!$G$7:$H$183,83,NYELV_IDX)</f>
        <v>1. Céltartalék a várható kötelezettségekre</v>
      </c>
      <c r="D89" s="37">
        <f>'11_MUNKATABLA'!$K$89</f>
        <v>0</v>
      </c>
      <c r="E89" s="37">
        <f>'03B_NYITO'!$E$89</f>
        <v>0</v>
      </c>
      <c r="F89" s="37">
        <f t="shared" si="2"/>
        <v>0</v>
      </c>
    </row>
    <row r="90" spans="2:6" ht="15" customHeight="1" x14ac:dyDescent="0.3">
      <c r="B90" s="29" t="s">
        <v>114</v>
      </c>
      <c r="C90" s="42" t="str">
        <f>INDEX('90_SEMA'!$G$7:$H$183,84,NYELV_IDX)</f>
        <v>2. Céltartalék a jövőbeni költségekre</v>
      </c>
      <c r="D90" s="37">
        <f>'11_MUNKATABLA'!$K$90</f>
        <v>0</v>
      </c>
      <c r="E90" s="37">
        <f>'03B_NYITO'!$E$90</f>
        <v>0</v>
      </c>
      <c r="F90" s="37">
        <f t="shared" si="2"/>
        <v>0</v>
      </c>
    </row>
    <row r="91" spans="2:6" ht="15" customHeight="1" x14ac:dyDescent="0.3">
      <c r="B91" s="29" t="s">
        <v>115</v>
      </c>
      <c r="C91" s="42" t="str">
        <f>INDEX('90_SEMA'!$G$7:$H$183,85,NYELV_IDX)</f>
        <v>3. Egyéb céltartalék</v>
      </c>
      <c r="D91" s="37">
        <f>'11_MUNKATABLA'!$K$91</f>
        <v>0</v>
      </c>
      <c r="E91" s="37">
        <f>'03B_NYITO'!$E$91</f>
        <v>0</v>
      </c>
      <c r="F91" s="37">
        <f t="shared" si="2"/>
        <v>0</v>
      </c>
    </row>
    <row r="92" spans="2:6" ht="15" customHeight="1" x14ac:dyDescent="0.3">
      <c r="B92" s="29" t="s">
        <v>116</v>
      </c>
      <c r="C92" s="40" t="str">
        <f>INDEX('90_SEMA'!$G$7:$H$183,86,NYELV_IDX)</f>
        <v>F. Kötelezettségek</v>
      </c>
      <c r="D92" s="31">
        <f>'11_MUNKATABLA'!$K$92</f>
        <v>0</v>
      </c>
      <c r="E92" s="31">
        <f>'03B_NYITO'!$E$92</f>
        <v>0</v>
      </c>
      <c r="F92" s="37">
        <f t="shared" si="2"/>
        <v>0</v>
      </c>
    </row>
    <row r="93" spans="2:6" ht="15" customHeight="1" x14ac:dyDescent="0.3">
      <c r="B93" s="29" t="s">
        <v>117</v>
      </c>
      <c r="C93" s="41" t="str">
        <f>INDEX('90_SEMA'!$G$7:$H$183,87,NYELV_IDX)</f>
        <v>I. HÁTRASOROLT KÖTELEZETTSÉGEK</v>
      </c>
      <c r="D93" s="31">
        <f>'11_MUNKATABLA'!$K$93</f>
        <v>0</v>
      </c>
      <c r="E93" s="31">
        <f>'03B_NYITO'!$E$93</f>
        <v>0</v>
      </c>
      <c r="F93" s="37">
        <f t="shared" si="2"/>
        <v>0</v>
      </c>
    </row>
    <row r="94" spans="2:6" ht="15" customHeight="1" x14ac:dyDescent="0.3">
      <c r="B94" s="29" t="s">
        <v>118</v>
      </c>
      <c r="C94" s="42" t="str">
        <f>INDEX('90_SEMA'!$G$7:$H$183,88,NYELV_IDX)</f>
        <v>1. Hátrasorolt kötelezettségek kapcsolt vállalkozással szemben</v>
      </c>
      <c r="D94" s="37">
        <f>'11_MUNKATABLA'!$K$94</f>
        <v>0</v>
      </c>
      <c r="E94" s="37">
        <f>'03B_NYITO'!$E$94</f>
        <v>0</v>
      </c>
      <c r="F94" s="37">
        <f t="shared" si="2"/>
        <v>0</v>
      </c>
    </row>
    <row r="95" spans="2:6" ht="15" customHeight="1" x14ac:dyDescent="0.3">
      <c r="B95" s="29" t="s">
        <v>119</v>
      </c>
      <c r="C95" s="42" t="str">
        <f>INDEX('90_SEMA'!$G$7:$H$183,89,NYELV_IDX)</f>
        <v>2. Hátrasorolt kötelezettségek jelentős tulajdoni részesedési viszonyban lévő vállalkozással szemben</v>
      </c>
      <c r="D95" s="37">
        <f>'11_MUNKATABLA'!$K$95</f>
        <v>0</v>
      </c>
      <c r="E95" s="37">
        <f>'03B_NYITO'!$E$95</f>
        <v>0</v>
      </c>
      <c r="F95" s="37">
        <f t="shared" si="2"/>
        <v>0</v>
      </c>
    </row>
    <row r="96" spans="2:6" ht="15" customHeight="1" x14ac:dyDescent="0.3">
      <c r="B96" s="29" t="s">
        <v>120</v>
      </c>
      <c r="C96" s="42" t="str">
        <f>INDEX('90_SEMA'!$G$7:$H$183,90,NYELV_IDX)</f>
        <v>3. Hátrasorolt kötelezettségek egyéb részesedési viszonyban lévő vállalkozással szemben</v>
      </c>
      <c r="D96" s="37">
        <f>'11_MUNKATABLA'!$K$96</f>
        <v>0</v>
      </c>
      <c r="E96" s="37">
        <f>'03B_NYITO'!$E$96</f>
        <v>0</v>
      </c>
      <c r="F96" s="37">
        <f t="shared" si="2"/>
        <v>0</v>
      </c>
    </row>
    <row r="97" spans="2:6" ht="15" customHeight="1" x14ac:dyDescent="0.3">
      <c r="B97" s="29" t="s">
        <v>121</v>
      </c>
      <c r="C97" s="42" t="str">
        <f>INDEX('90_SEMA'!$G$7:$H$183,91,NYELV_IDX)</f>
        <v>4. Hátrasorolt kötelezettségek egyéb gazdálkodóval szemben</v>
      </c>
      <c r="D97" s="37">
        <f>'11_MUNKATABLA'!$K$97</f>
        <v>0</v>
      </c>
      <c r="E97" s="37">
        <f>'03B_NYITO'!$E$97</f>
        <v>0</v>
      </c>
      <c r="F97" s="37">
        <f t="shared" si="2"/>
        <v>0</v>
      </c>
    </row>
    <row r="98" spans="2:6" ht="15" customHeight="1" x14ac:dyDescent="0.3">
      <c r="B98" s="29" t="s">
        <v>122</v>
      </c>
      <c r="C98" s="42" t="str">
        <f>INDEX('90_SEMA'!$G$7:$H$183,92,NYELV_IDX)</f>
        <v>5. Tőkekonszolidációs különbözet leányvállalatokból</v>
      </c>
      <c r="D98" s="37">
        <f>'11_MUNKATABLA'!$K$98</f>
        <v>0</v>
      </c>
      <c r="E98" s="37">
        <f>'03B_NYITO'!$E$98</f>
        <v>0</v>
      </c>
      <c r="F98" s="37">
        <f t="shared" si="2"/>
        <v>0</v>
      </c>
    </row>
    <row r="99" spans="2:6" ht="15" customHeight="1" x14ac:dyDescent="0.3">
      <c r="B99" s="29" t="s">
        <v>123</v>
      </c>
      <c r="C99" s="41" t="str">
        <f>INDEX('90_SEMA'!$G$7:$H$183,93,NYELV_IDX)</f>
        <v>II. HOSSZÚ LEJÁRATÚ KÖTELEZETTSÉGEK</v>
      </c>
      <c r="D99" s="31">
        <f>'11_MUNKATABLA'!$K$99</f>
        <v>0</v>
      </c>
      <c r="E99" s="31">
        <f>'03B_NYITO'!$E$99</f>
        <v>0</v>
      </c>
      <c r="F99" s="37">
        <f t="shared" si="2"/>
        <v>0</v>
      </c>
    </row>
    <row r="100" spans="2:6" ht="15" customHeight="1" x14ac:dyDescent="0.3">
      <c r="B100" s="29" t="s">
        <v>124</v>
      </c>
      <c r="C100" s="42" t="str">
        <f>INDEX('90_SEMA'!$G$7:$H$183,94,NYELV_IDX)</f>
        <v>1. Hosszú lejáratra kapott kölcsönök</v>
      </c>
      <c r="D100" s="37">
        <f>'11_MUNKATABLA'!$K$100</f>
        <v>0</v>
      </c>
      <c r="E100" s="37">
        <f>'03B_NYITO'!$E$100</f>
        <v>0</v>
      </c>
      <c r="F100" s="37">
        <f t="shared" si="2"/>
        <v>0</v>
      </c>
    </row>
    <row r="101" spans="2:6" ht="15" customHeight="1" x14ac:dyDescent="0.3">
      <c r="B101" s="29" t="s">
        <v>125</v>
      </c>
      <c r="C101" s="42" t="str">
        <f>INDEX('90_SEMA'!$G$7:$H$183,95,NYELV_IDX)</f>
        <v>2. Átváltoztatható és átváltozó kötvények</v>
      </c>
      <c r="D101" s="37">
        <f>'11_MUNKATABLA'!$K$101</f>
        <v>0</v>
      </c>
      <c r="E101" s="37">
        <f>'03B_NYITO'!$E$101</f>
        <v>0</v>
      </c>
      <c r="F101" s="37">
        <f t="shared" si="2"/>
        <v>0</v>
      </c>
    </row>
    <row r="102" spans="2:6" ht="15" customHeight="1" x14ac:dyDescent="0.3">
      <c r="B102" s="29" t="s">
        <v>126</v>
      </c>
      <c r="C102" s="42" t="str">
        <f>INDEX('90_SEMA'!$G$7:$H$183,96,NYELV_IDX)</f>
        <v>3. Tartozások kötvénykibocsátásból</v>
      </c>
      <c r="D102" s="37">
        <f>'11_MUNKATABLA'!$K$102</f>
        <v>0</v>
      </c>
      <c r="E102" s="37">
        <f>'03B_NYITO'!$E$102</f>
        <v>0</v>
      </c>
      <c r="F102" s="37">
        <f t="shared" si="2"/>
        <v>0</v>
      </c>
    </row>
    <row r="103" spans="2:6" ht="15" customHeight="1" x14ac:dyDescent="0.3">
      <c r="B103" s="29" t="s">
        <v>127</v>
      </c>
      <c r="C103" s="42" t="str">
        <f>INDEX('90_SEMA'!$G$7:$H$183,97,NYELV_IDX)</f>
        <v>4. Beruházási és fejlesztési hitelek</v>
      </c>
      <c r="D103" s="37">
        <f>'11_MUNKATABLA'!$K$103</f>
        <v>0</v>
      </c>
      <c r="E103" s="37">
        <f>'03B_NYITO'!$E$103</f>
        <v>0</v>
      </c>
      <c r="F103" s="37">
        <f t="shared" ref="F103:F127" si="3">$D103-$E103</f>
        <v>0</v>
      </c>
    </row>
    <row r="104" spans="2:6" ht="15" customHeight="1" x14ac:dyDescent="0.3">
      <c r="B104" s="29" t="s">
        <v>128</v>
      </c>
      <c r="C104" s="42" t="str">
        <f>INDEX('90_SEMA'!$G$7:$H$183,98,NYELV_IDX)</f>
        <v>5. Egyéb hosszú lejáratú hitelek</v>
      </c>
      <c r="D104" s="37">
        <f>'11_MUNKATABLA'!$K$104</f>
        <v>0</v>
      </c>
      <c r="E104" s="37">
        <f>'03B_NYITO'!$E$104</f>
        <v>0</v>
      </c>
      <c r="F104" s="37">
        <f t="shared" si="3"/>
        <v>0</v>
      </c>
    </row>
    <row r="105" spans="2:6" ht="15" customHeight="1" x14ac:dyDescent="0.3">
      <c r="B105" s="29" t="s">
        <v>129</v>
      </c>
      <c r="C105" s="42" t="str">
        <f>INDEX('90_SEMA'!$G$7:$H$183,99,NYELV_IDX)</f>
        <v>6. Tartós kötelezettségek kapcsolt vállalkozással szemben</v>
      </c>
      <c r="D105" s="37">
        <f>'11_MUNKATABLA'!$K$105</f>
        <v>0</v>
      </c>
      <c r="E105" s="37">
        <f>'03B_NYITO'!$E$105</f>
        <v>0</v>
      </c>
      <c r="F105" s="37">
        <f t="shared" si="3"/>
        <v>0</v>
      </c>
    </row>
    <row r="106" spans="2:6" ht="15" customHeight="1" x14ac:dyDescent="0.3">
      <c r="B106" s="29" t="s">
        <v>130</v>
      </c>
      <c r="C106" s="42" t="str">
        <f>INDEX('90_SEMA'!$G$7:$H$183,100,NYELV_IDX)</f>
        <v>7. Tartós kötelezettségek jelentős tulajdoni részesedési viszonyban lévő vállalkozásokkal szemben</v>
      </c>
      <c r="D106" s="37">
        <f>'11_MUNKATABLA'!$K$106</f>
        <v>0</v>
      </c>
      <c r="E106" s="37">
        <f>'03B_NYITO'!$E$106</f>
        <v>0</v>
      </c>
      <c r="F106" s="37">
        <f t="shared" si="3"/>
        <v>0</v>
      </c>
    </row>
    <row r="107" spans="2:6" ht="15" customHeight="1" x14ac:dyDescent="0.3">
      <c r="B107" s="29" t="s">
        <v>131</v>
      </c>
      <c r="C107" s="42" t="str">
        <f>INDEX('90_SEMA'!$G$7:$H$183,101,NYELV_IDX)</f>
        <v>8. Tartós kötelezettségek egyéb részesedési viszonyban lévő vállalkozással szemben</v>
      </c>
      <c r="D107" s="37">
        <f>'11_MUNKATABLA'!$K$107</f>
        <v>0</v>
      </c>
      <c r="E107" s="37">
        <f>'03B_NYITO'!$E$107</f>
        <v>0</v>
      </c>
      <c r="F107" s="37">
        <f t="shared" si="3"/>
        <v>0</v>
      </c>
    </row>
    <row r="108" spans="2:6" ht="15" customHeight="1" x14ac:dyDescent="0.3">
      <c r="B108" s="29" t="s">
        <v>132</v>
      </c>
      <c r="C108" s="42" t="str">
        <f>INDEX('90_SEMA'!$G$7:$H$183,102,NYELV_IDX)</f>
        <v>9. Egyéb hosszú lejáratú kötelezettségek</v>
      </c>
      <c r="D108" s="37">
        <f>'11_MUNKATABLA'!$K$108</f>
        <v>0</v>
      </c>
      <c r="E108" s="37">
        <f>'03B_NYITO'!$E$108</f>
        <v>0</v>
      </c>
      <c r="F108" s="37">
        <f t="shared" si="3"/>
        <v>0</v>
      </c>
    </row>
    <row r="109" spans="2:6" ht="15" customHeight="1" x14ac:dyDescent="0.3">
      <c r="B109" s="29" t="s">
        <v>133</v>
      </c>
      <c r="C109" s="42" t="str">
        <f>INDEX('90_SEMA'!$G$7:$H$183,103,NYELV_IDX)</f>
        <v>10. Halasztott adókötelezettség</v>
      </c>
      <c r="D109" s="37">
        <f>'11_MUNKATABLA'!$K$109</f>
        <v>0</v>
      </c>
      <c r="E109" s="37">
        <f>'03B_NYITO'!$E$109</f>
        <v>0</v>
      </c>
      <c r="F109" s="37">
        <f t="shared" si="3"/>
        <v>0</v>
      </c>
    </row>
    <row r="110" spans="2:6" ht="15" customHeight="1" x14ac:dyDescent="0.3">
      <c r="B110" s="29" t="s">
        <v>134</v>
      </c>
      <c r="C110" s="41" t="str">
        <f>INDEX('90_SEMA'!$G$7:$H$183,104,NYELV_IDX)</f>
        <v>III. RÖVID LEJÁRATÚ KÖTELEZETTSÉGEK</v>
      </c>
      <c r="D110" s="31">
        <f>'11_MUNKATABLA'!$K$110</f>
        <v>0</v>
      </c>
      <c r="E110" s="31">
        <f>'03B_NYITO'!$E$110</f>
        <v>0</v>
      </c>
      <c r="F110" s="37">
        <f t="shared" si="3"/>
        <v>0</v>
      </c>
    </row>
    <row r="111" spans="2:6" ht="15" customHeight="1" x14ac:dyDescent="0.3">
      <c r="B111" s="29" t="s">
        <v>135</v>
      </c>
      <c r="C111" s="42" t="str">
        <f>INDEX('90_SEMA'!$G$7:$H$183,105,NYELV_IDX)</f>
        <v>1. Rövid lejáratú kölcsönök</v>
      </c>
      <c r="D111" s="37">
        <f>'11_MUNKATABLA'!$K$111</f>
        <v>0</v>
      </c>
      <c r="E111" s="37">
        <f>'03B_NYITO'!$E$111</f>
        <v>0</v>
      </c>
      <c r="F111" s="37">
        <f t="shared" si="3"/>
        <v>0</v>
      </c>
    </row>
    <row r="112" spans="2:6" ht="15" customHeight="1" x14ac:dyDescent="0.3">
      <c r="B112" s="29" t="s">
        <v>136</v>
      </c>
      <c r="C112" s="34" t="str">
        <f>INDEX('90_SEMA'!$G$7:$H$183,106,NYELV_IDX)</f>
        <v xml:space="preserve">     – ebből: az átváltoztatható és átváltozó kötvények</v>
      </c>
      <c r="D112" s="37">
        <f>'11_MUNKATABLA'!$K$112</f>
        <v>0</v>
      </c>
      <c r="E112" s="37">
        <f>'03B_NYITO'!$E$112</f>
        <v>0</v>
      </c>
      <c r="F112" s="37">
        <f t="shared" si="3"/>
        <v>0</v>
      </c>
    </row>
    <row r="113" spans="2:6" ht="15" customHeight="1" x14ac:dyDescent="0.3">
      <c r="B113" s="29" t="s">
        <v>137</v>
      </c>
      <c r="C113" s="42" t="str">
        <f>INDEX('90_SEMA'!$G$7:$H$183,107,NYELV_IDX)</f>
        <v>2. Rövid lejáratú hitelek</v>
      </c>
      <c r="D113" s="37">
        <f>'11_MUNKATABLA'!$K$113</f>
        <v>0</v>
      </c>
      <c r="E113" s="37">
        <f>'03B_NYITO'!$E$113</f>
        <v>0</v>
      </c>
      <c r="F113" s="37">
        <f t="shared" si="3"/>
        <v>0</v>
      </c>
    </row>
    <row r="114" spans="2:6" ht="15" customHeight="1" x14ac:dyDescent="0.3">
      <c r="B114" s="29" t="s">
        <v>138</v>
      </c>
      <c r="C114" s="42" t="str">
        <f>INDEX('90_SEMA'!$G$7:$H$183,108,NYELV_IDX)</f>
        <v>3. Vevőktől kapott előlegek</v>
      </c>
      <c r="D114" s="37">
        <f>'11_MUNKATABLA'!$K$114</f>
        <v>0</v>
      </c>
      <c r="E114" s="37">
        <f>'03B_NYITO'!$E$114</f>
        <v>0</v>
      </c>
      <c r="F114" s="37">
        <f t="shared" si="3"/>
        <v>0</v>
      </c>
    </row>
    <row r="115" spans="2:6" ht="15" customHeight="1" x14ac:dyDescent="0.3">
      <c r="B115" s="29" t="s">
        <v>139</v>
      </c>
      <c r="C115" s="42" t="str">
        <f>INDEX('90_SEMA'!$G$7:$H$183,109,NYELV_IDX)</f>
        <v>4. Kötelezettségek áruszállításból és szolgáltatásból (szállítók)</v>
      </c>
      <c r="D115" s="37">
        <f>'11_MUNKATABLA'!$K$115</f>
        <v>0</v>
      </c>
      <c r="E115" s="37">
        <f>'03B_NYITO'!$E$115</f>
        <v>0</v>
      </c>
      <c r="F115" s="37">
        <f t="shared" si="3"/>
        <v>0</v>
      </c>
    </row>
    <row r="116" spans="2:6" ht="15" customHeight="1" x14ac:dyDescent="0.3">
      <c r="B116" s="29" t="s">
        <v>140</v>
      </c>
      <c r="C116" s="42" t="str">
        <f>INDEX('90_SEMA'!$G$7:$H$183,110,NYELV_IDX)</f>
        <v>5. Váltótartozások</v>
      </c>
      <c r="D116" s="37">
        <f>'11_MUNKATABLA'!$K$116</f>
        <v>0</v>
      </c>
      <c r="E116" s="37">
        <f>'03B_NYITO'!$E$116</f>
        <v>0</v>
      </c>
      <c r="F116" s="37">
        <f t="shared" si="3"/>
        <v>0</v>
      </c>
    </row>
    <row r="117" spans="2:6" ht="15" customHeight="1" x14ac:dyDescent="0.3">
      <c r="B117" s="29" t="s">
        <v>141</v>
      </c>
      <c r="C117" s="42" t="str">
        <f>INDEX('90_SEMA'!$G$7:$H$183,111,NYELV_IDX)</f>
        <v>6. Rövid lejáratú kötelezettségek kapcsolt vállalkozással szemben</v>
      </c>
      <c r="D117" s="37">
        <f>'11_MUNKATABLA'!$K$117</f>
        <v>0</v>
      </c>
      <c r="E117" s="37">
        <f>'03B_NYITO'!$E$117</f>
        <v>0</v>
      </c>
      <c r="F117" s="37">
        <f t="shared" si="3"/>
        <v>0</v>
      </c>
    </row>
    <row r="118" spans="2:6" ht="15" customHeight="1" x14ac:dyDescent="0.3">
      <c r="B118" s="29" t="s">
        <v>142</v>
      </c>
      <c r="C118" s="42" t="str">
        <f>INDEX('90_SEMA'!$G$7:$H$183,112,NYELV_IDX)</f>
        <v>7. Rövid lejáratú kötelezettségek jelentős tulajdoni részesedési viszonyban lévő vállalkozásokkal szemben</v>
      </c>
      <c r="D118" s="37">
        <f>'11_MUNKATABLA'!$K$118</f>
        <v>0</v>
      </c>
      <c r="E118" s="37">
        <f>'03B_NYITO'!$E$118</f>
        <v>0</v>
      </c>
      <c r="F118" s="37">
        <f t="shared" si="3"/>
        <v>0</v>
      </c>
    </row>
    <row r="119" spans="2:6" ht="15" customHeight="1" x14ac:dyDescent="0.3">
      <c r="B119" s="29" t="s">
        <v>143</v>
      </c>
      <c r="C119" s="42" t="str">
        <f>INDEX('90_SEMA'!$G$7:$H$183,113,NYELV_IDX)</f>
        <v>8. Rövid lejáratú kötelezettségek egyéb részesedési viszonyban lévő vállalkozással szemben</v>
      </c>
      <c r="D119" s="37">
        <f>'11_MUNKATABLA'!$K$119</f>
        <v>0</v>
      </c>
      <c r="E119" s="37">
        <f>'03B_NYITO'!$E$119</f>
        <v>0</v>
      </c>
      <c r="F119" s="37">
        <f t="shared" si="3"/>
        <v>0</v>
      </c>
    </row>
    <row r="120" spans="2:6" ht="15" customHeight="1" x14ac:dyDescent="0.3">
      <c r="B120" s="29" t="s">
        <v>144</v>
      </c>
      <c r="C120" s="42" t="str">
        <f>INDEX('90_SEMA'!$G$7:$H$183,114,NYELV_IDX)</f>
        <v>9. Egyéb rövid lejáratú kötelezettségek</v>
      </c>
      <c r="D120" s="37">
        <f>'11_MUNKATABLA'!$K$120</f>
        <v>0</v>
      </c>
      <c r="E120" s="37">
        <f>'03B_NYITO'!$E$120</f>
        <v>0</v>
      </c>
      <c r="F120" s="37">
        <f t="shared" si="3"/>
        <v>0</v>
      </c>
    </row>
    <row r="121" spans="2:6" ht="15" customHeight="1" x14ac:dyDescent="0.3">
      <c r="B121" s="29" t="s">
        <v>145</v>
      </c>
      <c r="C121" s="42" t="str">
        <f>INDEX('90_SEMA'!$G$7:$H$183,115,NYELV_IDX)</f>
        <v>10. Kötelezettségek értékelési különbözete</v>
      </c>
      <c r="D121" s="37">
        <f>'11_MUNKATABLA'!$K$121</f>
        <v>0</v>
      </c>
      <c r="E121" s="37">
        <f>'03B_NYITO'!$E$121</f>
        <v>0</v>
      </c>
      <c r="F121" s="37">
        <f t="shared" si="3"/>
        <v>0</v>
      </c>
    </row>
    <row r="122" spans="2:6" ht="15" customHeight="1" x14ac:dyDescent="0.3">
      <c r="B122" s="29" t="s">
        <v>146</v>
      </c>
      <c r="C122" s="42" t="str">
        <f>INDEX('90_SEMA'!$G$7:$H$183,116,NYELV_IDX)</f>
        <v>11. Származékos ügyletek negatív értékelési különbözete</v>
      </c>
      <c r="D122" s="37">
        <f>'11_MUNKATABLA'!$K$122</f>
        <v>0</v>
      </c>
      <c r="E122" s="37">
        <f>'03B_NYITO'!$E$122</f>
        <v>0</v>
      </c>
      <c r="F122" s="37">
        <f t="shared" si="3"/>
        <v>0</v>
      </c>
    </row>
    <row r="123" spans="2:6" ht="15" customHeight="1" x14ac:dyDescent="0.3">
      <c r="B123" s="29" t="s">
        <v>147</v>
      </c>
      <c r="C123" s="42" t="str">
        <f>INDEX('90_SEMA'!$G$7:$H$183,117,NYELV_IDX)</f>
        <v>12. Konszolidációból adódó (számított) társasági adó tartozás</v>
      </c>
      <c r="D123" s="37">
        <f>'11_MUNKATABLA'!$K$123</f>
        <v>0</v>
      </c>
      <c r="E123" s="37">
        <f>'03B_NYITO'!$E$123</f>
        <v>0</v>
      </c>
      <c r="F123" s="37">
        <f t="shared" si="3"/>
        <v>0</v>
      </c>
    </row>
    <row r="124" spans="2:6" ht="15" customHeight="1" x14ac:dyDescent="0.3">
      <c r="B124" s="29" t="s">
        <v>148</v>
      </c>
      <c r="C124" s="40" t="str">
        <f>INDEX('90_SEMA'!$G$7:$H$183,118,NYELV_IDX)</f>
        <v>G. Passzív időbeli elhatárolások</v>
      </c>
      <c r="D124" s="31">
        <f>'11_MUNKATABLA'!$K$124</f>
        <v>0</v>
      </c>
      <c r="E124" s="31">
        <f>'03B_NYITO'!$E$124</f>
        <v>0</v>
      </c>
      <c r="F124" s="37">
        <f t="shared" si="3"/>
        <v>0</v>
      </c>
    </row>
    <row r="125" spans="2:6" ht="15" customHeight="1" x14ac:dyDescent="0.3">
      <c r="B125" s="29" t="s">
        <v>149</v>
      </c>
      <c r="C125" s="42" t="str">
        <f>INDEX('90_SEMA'!$G$7:$H$183,119,NYELV_IDX)</f>
        <v>1. Bevételek passzív időbeli elhatárolása</v>
      </c>
      <c r="D125" s="37">
        <f>'11_MUNKATABLA'!$K$125</f>
        <v>0</v>
      </c>
      <c r="E125" s="37">
        <f>'03B_NYITO'!$E$125</f>
        <v>0</v>
      </c>
      <c r="F125" s="37">
        <f t="shared" si="3"/>
        <v>0</v>
      </c>
    </row>
    <row r="126" spans="2:6" ht="15" customHeight="1" x14ac:dyDescent="0.3">
      <c r="B126" s="29" t="s">
        <v>150</v>
      </c>
      <c r="C126" s="42" t="str">
        <f>INDEX('90_SEMA'!$G$7:$H$183,120,NYELV_IDX)</f>
        <v>2. Költségek, ráfordítások passzív időbeli elhatárolása</v>
      </c>
      <c r="D126" s="37">
        <f>'11_MUNKATABLA'!$K$126</f>
        <v>0</v>
      </c>
      <c r="E126" s="37">
        <f>'03B_NYITO'!$E$126</f>
        <v>0</v>
      </c>
      <c r="F126" s="37">
        <f t="shared" si="3"/>
        <v>0</v>
      </c>
    </row>
    <row r="127" spans="2:6" ht="15" customHeight="1" x14ac:dyDescent="0.3">
      <c r="B127" s="29" t="s">
        <v>151</v>
      </c>
      <c r="C127" s="42" t="str">
        <f>INDEX('90_SEMA'!$G$7:$H$183,121,NYELV_IDX)</f>
        <v>3. Halasztott bevételek</v>
      </c>
      <c r="D127" s="37">
        <f>'11_MUNKATABLA'!$K$127</f>
        <v>0</v>
      </c>
      <c r="E127" s="37">
        <f>'03B_NYITO'!$E$127</f>
        <v>0</v>
      </c>
      <c r="F127" s="37">
        <f t="shared" si="3"/>
        <v>0</v>
      </c>
    </row>
    <row r="129" spans="3:5" ht="15" customHeight="1" x14ac:dyDescent="0.3">
      <c r="C129" s="43" t="str">
        <f>INDEX('91_NYELV'!$C$7:$D$303,194,NYELV_IDX)</f>
        <v>ESZKÖZÖK ÖSSZESEN</v>
      </c>
      <c r="D129" s="44">
        <f>'11_MUNKATABLA'!$K$7+'11_MUNKATABLA'!$K$39+'11_MUNKATABLA'!$K$67</f>
        <v>0</v>
      </c>
      <c r="E129" s="44">
        <f>'03B_NYITO'!$E$7+'03B_NYITO'!$E$39+'03B_NYITO'!$E$67</f>
        <v>0</v>
      </c>
    </row>
    <row r="130" spans="3:5" ht="15" customHeight="1" x14ac:dyDescent="0.3">
      <c r="C130" s="43" t="str">
        <f>INDEX('91_NYELV'!$C$7:$D$303,195,NYELV_IDX)</f>
        <v>FORRÁSOK ÖSSZESEN</v>
      </c>
      <c r="D130" s="44">
        <f>'11_MUNKATABLA'!$K$71+'11_MUNKATABLA'!$K$88+'11_MUNKATABLA'!$K$92+'11_MUNKATABLA'!$K$124</f>
        <v>0</v>
      </c>
      <c r="E130" s="44">
        <f>'03B_NYITO'!$E$71+'03B_NYITO'!$E$88+'03B_NYITO'!$E$92+'03B_NYITO'!$E$124</f>
        <v>0</v>
      </c>
    </row>
  </sheetData>
  <sheetProtection algorithmName="SHA-512" hashValue="OLwzEMbyAYr3SZun2FWvdJGDY3Mk9H84zAfuO1j7PS+dG9gQlY1OGiRz6qfMd1tcIPE1dQA/rGytN4EbYMqcsg==" saltValue="7VqlCcGlJSSJ+hqnAaKOyw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Munka15"/>
  <dimension ref="B1:F131"/>
  <sheetViews>
    <sheetView showGridLines="0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6640625" defaultRowHeight="14.4" x14ac:dyDescent="0.3"/>
  <cols>
    <col min="2" max="2" width="14" style="1" customWidth="1"/>
    <col min="3" max="3" width="70" style="1" customWidth="1"/>
    <col min="4" max="5" width="20" style="1" customWidth="1"/>
    <col min="6" max="6" width="18" style="1" customWidth="1"/>
  </cols>
  <sheetData>
    <row r="1" spans="2:6" ht="79.5" customHeight="1" x14ac:dyDescent="0.3"/>
    <row r="3" spans="2:6" ht="19.5" customHeight="1" x14ac:dyDescent="0.4">
      <c r="B3" s="12" t="str">
        <f>INDEX('91_NYELV'!$C$7:$D$303,253,NYELV_IDX)</f>
        <v>12/B. Konszolidált mérleg – „B” változat [1. sz. melléklet]</v>
      </c>
    </row>
    <row r="4" spans="2:6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6" ht="15" customHeight="1" x14ac:dyDescent="0.3">
      <c r="B6" s="20" t="str">
        <f>INDEX('91_NYELV'!$C$7:$D$303,82,NYELV_IDX)</f>
        <v>Kód</v>
      </c>
      <c r="C6" s="20" t="str">
        <f>INDEX('91_NYELV'!$C$7:$D$303,83,NYELV_IDX)</f>
        <v>Megnevezés</v>
      </c>
      <c r="D6" s="20" t="str">
        <f>INDEX('91_NYELV'!$C$7:$D$303,161,NYELV_IDX)</f>
        <v>Tárgyév</v>
      </c>
      <c r="E6" s="20" t="str">
        <f>INDEX('91_NYELV'!$C$7:$D$303,162,NYELV_IDX)</f>
        <v>Előző év</v>
      </c>
      <c r="F6" s="20" t="str">
        <f>INDEX('91_NYELV'!$C$7:$D$303,163,NYELV_IDX)</f>
        <v>Változás</v>
      </c>
    </row>
    <row r="7" spans="2:6" ht="15" customHeight="1" x14ac:dyDescent="0.3">
      <c r="B7" s="29" t="s">
        <v>28</v>
      </c>
      <c r="C7" s="40" t="str">
        <f>INDEX('90_SEMA'!$G$7:$H$183,1,NYELV_IDX)</f>
        <v>A. Befektetett eszközök</v>
      </c>
      <c r="D7" s="31">
        <f>'11_MUNKATABLA'!$K$7</f>
        <v>0</v>
      </c>
      <c r="E7" s="31">
        <f>'03B_NYITO'!$E$7</f>
        <v>0</v>
      </c>
      <c r="F7" s="37">
        <f t="shared" ref="F7:F38" si="0">$D7-$E7</f>
        <v>0</v>
      </c>
    </row>
    <row r="8" spans="2:6" ht="15" customHeight="1" x14ac:dyDescent="0.3">
      <c r="B8" s="29" t="s">
        <v>30</v>
      </c>
      <c r="C8" s="41" t="str">
        <f>INDEX('90_SEMA'!$G$7:$H$183,2,NYELV_IDX)</f>
        <v>I. IMMATERIÁLIS JAVAK</v>
      </c>
      <c r="D8" s="31">
        <f>'11_MUNKATABLA'!$K$8</f>
        <v>0</v>
      </c>
      <c r="E8" s="31">
        <f>'03B_NYITO'!$E$8</f>
        <v>0</v>
      </c>
      <c r="F8" s="37">
        <f t="shared" si="0"/>
        <v>0</v>
      </c>
    </row>
    <row r="9" spans="2:6" ht="15" customHeight="1" x14ac:dyDescent="0.3">
      <c r="B9" s="29" t="s">
        <v>31</v>
      </c>
      <c r="C9" s="42" t="str">
        <f>INDEX('90_SEMA'!$G$7:$H$183,3,NYELV_IDX)</f>
        <v>1. Alapítás-átszervezés aktivált értéke</v>
      </c>
      <c r="D9" s="37">
        <f>'11_MUNKATABLA'!$K$9</f>
        <v>0</v>
      </c>
      <c r="E9" s="37">
        <f>'03B_NYITO'!$E$9</f>
        <v>0</v>
      </c>
      <c r="F9" s="37">
        <f t="shared" si="0"/>
        <v>0</v>
      </c>
    </row>
    <row r="10" spans="2:6" ht="15" customHeight="1" x14ac:dyDescent="0.3">
      <c r="B10" s="29" t="s">
        <v>33</v>
      </c>
      <c r="C10" s="42" t="str">
        <f>INDEX('90_SEMA'!$G$7:$H$183,4,NYELV_IDX)</f>
        <v>2. Kísérleti fejlesztés aktivált értéke</v>
      </c>
      <c r="D10" s="37">
        <f>'11_MUNKATABLA'!$K$10</f>
        <v>0</v>
      </c>
      <c r="E10" s="37">
        <f>'03B_NYITO'!$E$10</f>
        <v>0</v>
      </c>
      <c r="F10" s="37">
        <f t="shared" si="0"/>
        <v>0</v>
      </c>
    </row>
    <row r="11" spans="2:6" ht="15" customHeight="1" x14ac:dyDescent="0.3">
      <c r="B11" s="29" t="s">
        <v>34</v>
      </c>
      <c r="C11" s="42" t="str">
        <f>INDEX('90_SEMA'!$G$7:$H$183,5,NYELV_IDX)</f>
        <v>3. Vagyoni értékű jogok</v>
      </c>
      <c r="D11" s="37">
        <f>'11_MUNKATABLA'!$K$11</f>
        <v>0</v>
      </c>
      <c r="E11" s="37">
        <f>'03B_NYITO'!$E$11</f>
        <v>0</v>
      </c>
      <c r="F11" s="37">
        <f t="shared" si="0"/>
        <v>0</v>
      </c>
    </row>
    <row r="12" spans="2:6" ht="15" customHeight="1" x14ac:dyDescent="0.3">
      <c r="B12" s="29" t="s">
        <v>35</v>
      </c>
      <c r="C12" s="42" t="str">
        <f>INDEX('90_SEMA'!$G$7:$H$183,6,NYELV_IDX)</f>
        <v>4. Szellemi termékek</v>
      </c>
      <c r="D12" s="37">
        <f>'11_MUNKATABLA'!$K$12</f>
        <v>0</v>
      </c>
      <c r="E12" s="37">
        <f>'03B_NYITO'!$E$12</f>
        <v>0</v>
      </c>
      <c r="F12" s="37">
        <f t="shared" si="0"/>
        <v>0</v>
      </c>
    </row>
    <row r="13" spans="2:6" ht="15" customHeight="1" x14ac:dyDescent="0.3">
      <c r="B13" s="29" t="s">
        <v>36</v>
      </c>
      <c r="C13" s="42" t="str">
        <f>INDEX('90_SEMA'!$G$7:$H$183,7,NYELV_IDX)</f>
        <v>5. Üzleti vagy cégérték</v>
      </c>
      <c r="D13" s="37">
        <f>'11_MUNKATABLA'!$K$13</f>
        <v>0</v>
      </c>
      <c r="E13" s="37">
        <f>'03B_NYITO'!$E$13</f>
        <v>0</v>
      </c>
      <c r="F13" s="37">
        <f t="shared" si="0"/>
        <v>0</v>
      </c>
    </row>
    <row r="14" spans="2:6" ht="15" customHeight="1" x14ac:dyDescent="0.3">
      <c r="B14" s="29" t="s">
        <v>37</v>
      </c>
      <c r="C14" s="42" t="str">
        <f>INDEX('90_SEMA'!$G$7:$H$183,8,NYELV_IDX)</f>
        <v>6. Immateriális javakra adott előlegek</v>
      </c>
      <c r="D14" s="37">
        <f>'11_MUNKATABLA'!$K$14</f>
        <v>0</v>
      </c>
      <c r="E14" s="37">
        <f>'03B_NYITO'!$E$14</f>
        <v>0</v>
      </c>
      <c r="F14" s="37">
        <f t="shared" si="0"/>
        <v>0</v>
      </c>
    </row>
    <row r="15" spans="2:6" ht="15" customHeight="1" x14ac:dyDescent="0.3">
      <c r="B15" s="29" t="s">
        <v>38</v>
      </c>
      <c r="C15" s="42" t="str">
        <f>INDEX('90_SEMA'!$G$7:$H$183,9,NYELV_IDX)</f>
        <v>7. Immateriális javak értékhelyesbítése</v>
      </c>
      <c r="D15" s="37">
        <f>'11_MUNKATABLA'!$K$15</f>
        <v>0</v>
      </c>
      <c r="E15" s="37">
        <f>'03B_NYITO'!$E$15</f>
        <v>0</v>
      </c>
      <c r="F15" s="37">
        <f t="shared" si="0"/>
        <v>0</v>
      </c>
    </row>
    <row r="16" spans="2:6" ht="15" customHeight="1" x14ac:dyDescent="0.3">
      <c r="B16" s="29" t="s">
        <v>39</v>
      </c>
      <c r="C16" s="41" t="str">
        <f>INDEX('90_SEMA'!$G$7:$H$183,10,NYELV_IDX)</f>
        <v>II. TÁRGYI ESZKÖZÖK</v>
      </c>
      <c r="D16" s="31">
        <f>'11_MUNKATABLA'!$K$16</f>
        <v>0</v>
      </c>
      <c r="E16" s="31">
        <f>'03B_NYITO'!$E$16</f>
        <v>0</v>
      </c>
      <c r="F16" s="37">
        <f t="shared" si="0"/>
        <v>0</v>
      </c>
    </row>
    <row r="17" spans="2:6" ht="15" customHeight="1" x14ac:dyDescent="0.3">
      <c r="B17" s="29" t="s">
        <v>40</v>
      </c>
      <c r="C17" s="42" t="str">
        <f>INDEX('90_SEMA'!$G$7:$H$183,11,NYELV_IDX)</f>
        <v>1. Ingatlanok és a kapcsolódó vagyoni értékű jogok</v>
      </c>
      <c r="D17" s="37">
        <f>'11_MUNKATABLA'!$K$17</f>
        <v>0</v>
      </c>
      <c r="E17" s="37">
        <f>'03B_NYITO'!$E$17</f>
        <v>0</v>
      </c>
      <c r="F17" s="37">
        <f t="shared" si="0"/>
        <v>0</v>
      </c>
    </row>
    <row r="18" spans="2:6" ht="15" customHeight="1" x14ac:dyDescent="0.3">
      <c r="B18" s="29" t="s">
        <v>41</v>
      </c>
      <c r="C18" s="42" t="str">
        <f>INDEX('90_SEMA'!$G$7:$H$183,12,NYELV_IDX)</f>
        <v>2. Műszaki berendezések, gépek, járművek</v>
      </c>
      <c r="D18" s="37">
        <f>'11_MUNKATABLA'!$K$18</f>
        <v>0</v>
      </c>
      <c r="E18" s="37">
        <f>'03B_NYITO'!$E$18</f>
        <v>0</v>
      </c>
      <c r="F18" s="37">
        <f t="shared" si="0"/>
        <v>0</v>
      </c>
    </row>
    <row r="19" spans="2:6" ht="15" customHeight="1" x14ac:dyDescent="0.3">
      <c r="B19" s="29" t="s">
        <v>42</v>
      </c>
      <c r="C19" s="42" t="str">
        <f>INDEX('90_SEMA'!$G$7:$H$183,13,NYELV_IDX)</f>
        <v>3. Egyéb berendezések, felszerelések, járművek</v>
      </c>
      <c r="D19" s="37">
        <f>'11_MUNKATABLA'!$K$19</f>
        <v>0</v>
      </c>
      <c r="E19" s="37">
        <f>'03B_NYITO'!$E$19</f>
        <v>0</v>
      </c>
      <c r="F19" s="37">
        <f t="shared" si="0"/>
        <v>0</v>
      </c>
    </row>
    <row r="20" spans="2:6" ht="15" customHeight="1" x14ac:dyDescent="0.3">
      <c r="B20" s="29" t="s">
        <v>43</v>
      </c>
      <c r="C20" s="42" t="str">
        <f>INDEX('90_SEMA'!$G$7:$H$183,14,NYELV_IDX)</f>
        <v>4. Tenyészállatok</v>
      </c>
      <c r="D20" s="37">
        <f>'11_MUNKATABLA'!$K$20</f>
        <v>0</v>
      </c>
      <c r="E20" s="37">
        <f>'03B_NYITO'!$E$20</f>
        <v>0</v>
      </c>
      <c r="F20" s="37">
        <f t="shared" si="0"/>
        <v>0</v>
      </c>
    </row>
    <row r="21" spans="2:6" ht="15" customHeight="1" x14ac:dyDescent="0.3">
      <c r="B21" s="29" t="s">
        <v>44</v>
      </c>
      <c r="C21" s="42" t="str">
        <f>INDEX('90_SEMA'!$G$7:$H$183,15,NYELV_IDX)</f>
        <v>5. Beruházások, felújítások</v>
      </c>
      <c r="D21" s="37">
        <f>'11_MUNKATABLA'!$K$21</f>
        <v>0</v>
      </c>
      <c r="E21" s="37">
        <f>'03B_NYITO'!$E$21</f>
        <v>0</v>
      </c>
      <c r="F21" s="37">
        <f t="shared" si="0"/>
        <v>0</v>
      </c>
    </row>
    <row r="22" spans="2:6" ht="15" customHeight="1" x14ac:dyDescent="0.3">
      <c r="B22" s="29" t="s">
        <v>45</v>
      </c>
      <c r="C22" s="42" t="str">
        <f>INDEX('90_SEMA'!$G$7:$H$183,16,NYELV_IDX)</f>
        <v>6. Beruházásokra adott előlegek</v>
      </c>
      <c r="D22" s="37">
        <f>'11_MUNKATABLA'!$K$22</f>
        <v>0</v>
      </c>
      <c r="E22" s="37">
        <f>'03B_NYITO'!$E$22</f>
        <v>0</v>
      </c>
      <c r="F22" s="37">
        <f t="shared" si="0"/>
        <v>0</v>
      </c>
    </row>
    <row r="23" spans="2:6" ht="15" customHeight="1" x14ac:dyDescent="0.3">
      <c r="B23" s="29" t="s">
        <v>46</v>
      </c>
      <c r="C23" s="42" t="str">
        <f>INDEX('90_SEMA'!$G$7:$H$183,17,NYELV_IDX)</f>
        <v>7. Tárgyi eszközök értékhelyesbítése</v>
      </c>
      <c r="D23" s="37">
        <f>'11_MUNKATABLA'!$K$23</f>
        <v>0</v>
      </c>
      <c r="E23" s="37">
        <f>'03B_NYITO'!$E$23</f>
        <v>0</v>
      </c>
      <c r="F23" s="37">
        <f t="shared" si="0"/>
        <v>0</v>
      </c>
    </row>
    <row r="24" spans="2:6" ht="15" customHeight="1" x14ac:dyDescent="0.3">
      <c r="B24" s="29" t="s">
        <v>47</v>
      </c>
      <c r="C24" s="41" t="str">
        <f>INDEX('90_SEMA'!$G$7:$H$183,18,NYELV_IDX)</f>
        <v>III. BEFEKTETETT PÉNZÜGYI ESZKÖZÖK</v>
      </c>
      <c r="D24" s="31">
        <f>'11_MUNKATABLA'!$K$24</f>
        <v>0</v>
      </c>
      <c r="E24" s="31">
        <f>'03B_NYITO'!$E$24</f>
        <v>0</v>
      </c>
      <c r="F24" s="37">
        <f t="shared" si="0"/>
        <v>0</v>
      </c>
    </row>
    <row r="25" spans="2:6" ht="15" customHeight="1" x14ac:dyDescent="0.3">
      <c r="B25" s="29" t="s">
        <v>48</v>
      </c>
      <c r="C25" s="42" t="str">
        <f>INDEX('90_SEMA'!$G$7:$H$183,19,NYELV_IDX)</f>
        <v>1. Tartós részesedés kapcsolt vállalkozásban</v>
      </c>
      <c r="D25" s="37">
        <f>'11_MUNKATABLA'!$K$25</f>
        <v>0</v>
      </c>
      <c r="E25" s="37">
        <f>'03B_NYITO'!$E$25</f>
        <v>0</v>
      </c>
      <c r="F25" s="37">
        <f t="shared" si="0"/>
        <v>0</v>
      </c>
    </row>
    <row r="26" spans="2:6" ht="15" customHeight="1" x14ac:dyDescent="0.3">
      <c r="B26" s="29" t="s">
        <v>49</v>
      </c>
      <c r="C26" s="42" t="str">
        <f>INDEX('90_SEMA'!$G$7:$H$183,20,NYELV_IDX)</f>
        <v>2. Tartósan adott kölcsön kapcsolt vállalkozásban</v>
      </c>
      <c r="D26" s="37">
        <f>'11_MUNKATABLA'!$K$26</f>
        <v>0</v>
      </c>
      <c r="E26" s="37">
        <f>'03B_NYITO'!$E$26</f>
        <v>0</v>
      </c>
      <c r="F26" s="37">
        <f t="shared" si="0"/>
        <v>0</v>
      </c>
    </row>
    <row r="27" spans="2:6" ht="15" customHeight="1" x14ac:dyDescent="0.3">
      <c r="B27" s="29" t="s">
        <v>50</v>
      </c>
      <c r="C27" s="42" t="str">
        <f>INDEX('90_SEMA'!$G$7:$H$183,21,NYELV_IDX)</f>
        <v>3. Tartós jelentős tulajdoni részesedés</v>
      </c>
      <c r="D27" s="37">
        <f>'11_MUNKATABLA'!$K$27</f>
        <v>0</v>
      </c>
      <c r="E27" s="37">
        <f>'03B_NYITO'!$E$27</f>
        <v>0</v>
      </c>
      <c r="F27" s="37">
        <f t="shared" si="0"/>
        <v>0</v>
      </c>
    </row>
    <row r="28" spans="2:6" ht="15" customHeight="1" x14ac:dyDescent="0.3">
      <c r="B28" s="29" t="s">
        <v>51</v>
      </c>
      <c r="C28" s="42" t="str">
        <f>INDEX('90_SEMA'!$G$7:$H$183,22,NYELV_IDX)</f>
        <v>4. Tartósan adott kölcsön jelentős tulajdoni részesedési viszonyban álló vállalkozásban</v>
      </c>
      <c r="D28" s="37">
        <f>'11_MUNKATABLA'!$K$28</f>
        <v>0</v>
      </c>
      <c r="E28" s="37">
        <f>'03B_NYITO'!$E$28</f>
        <v>0</v>
      </c>
      <c r="F28" s="37">
        <f t="shared" si="0"/>
        <v>0</v>
      </c>
    </row>
    <row r="29" spans="2:6" ht="15" customHeight="1" x14ac:dyDescent="0.3">
      <c r="B29" s="29" t="s">
        <v>52</v>
      </c>
      <c r="C29" s="42" t="str">
        <f>INDEX('90_SEMA'!$G$7:$H$183,23,NYELV_IDX)</f>
        <v>5. Egyéb tartós részesedés</v>
      </c>
      <c r="D29" s="37">
        <f>'11_MUNKATABLA'!$K$29</f>
        <v>0</v>
      </c>
      <c r="E29" s="37">
        <f>'03B_NYITO'!$E$29</f>
        <v>0</v>
      </c>
      <c r="F29" s="37">
        <f t="shared" si="0"/>
        <v>0</v>
      </c>
    </row>
    <row r="30" spans="2:6" ht="15" customHeight="1" x14ac:dyDescent="0.3">
      <c r="B30" s="29" t="s">
        <v>53</v>
      </c>
      <c r="C30" s="42" t="str">
        <f>INDEX('90_SEMA'!$G$7:$H$183,24,NYELV_IDX)</f>
        <v>6. Tartósan adott kölcsön egyéb részesedési viszonyban álló vállalkozásban</v>
      </c>
      <c r="D30" s="37">
        <f>'11_MUNKATABLA'!$K$30</f>
        <v>0</v>
      </c>
      <c r="E30" s="37">
        <f>'03B_NYITO'!$E$30</f>
        <v>0</v>
      </c>
      <c r="F30" s="37">
        <f t="shared" si="0"/>
        <v>0</v>
      </c>
    </row>
    <row r="31" spans="2:6" ht="15" customHeight="1" x14ac:dyDescent="0.3">
      <c r="B31" s="29" t="s">
        <v>54</v>
      </c>
      <c r="C31" s="42" t="str">
        <f>INDEX('90_SEMA'!$G$7:$H$183,25,NYELV_IDX)</f>
        <v>7. Egyéb tartósan adott kölcsön</v>
      </c>
      <c r="D31" s="37">
        <f>'11_MUNKATABLA'!$K$31</f>
        <v>0</v>
      </c>
      <c r="E31" s="37">
        <f>'03B_NYITO'!$E$31</f>
        <v>0</v>
      </c>
      <c r="F31" s="37">
        <f t="shared" si="0"/>
        <v>0</v>
      </c>
    </row>
    <row r="32" spans="2:6" ht="15" customHeight="1" x14ac:dyDescent="0.3">
      <c r="B32" s="29" t="s">
        <v>55</v>
      </c>
      <c r="C32" s="42" t="str">
        <f>INDEX('90_SEMA'!$G$7:$H$183,26,NYELV_IDX)</f>
        <v>8. Tartós hitelviszonyt megtestesítő értékpapír</v>
      </c>
      <c r="D32" s="37">
        <f>'11_MUNKATABLA'!$K$32</f>
        <v>0</v>
      </c>
      <c r="E32" s="37">
        <f>'03B_NYITO'!$E$32</f>
        <v>0</v>
      </c>
      <c r="F32" s="37">
        <f t="shared" si="0"/>
        <v>0</v>
      </c>
    </row>
    <row r="33" spans="2:6" ht="15" customHeight="1" x14ac:dyDescent="0.3">
      <c r="B33" s="29" t="s">
        <v>56</v>
      </c>
      <c r="C33" s="42" t="str">
        <f>INDEX('90_SEMA'!$G$7:$H$183,27,NYELV_IDX)</f>
        <v>9. Befektetett pénzügyi eszközök értékhelyesbítése</v>
      </c>
      <c r="D33" s="37">
        <f>'11_MUNKATABLA'!$K$33</f>
        <v>0</v>
      </c>
      <c r="E33" s="37">
        <f>'03B_NYITO'!$E$33</f>
        <v>0</v>
      </c>
      <c r="F33" s="37">
        <f t="shared" si="0"/>
        <v>0</v>
      </c>
    </row>
    <row r="34" spans="2:6" ht="15" customHeight="1" x14ac:dyDescent="0.3">
      <c r="B34" s="29" t="s">
        <v>57</v>
      </c>
      <c r="C34" s="42" t="str">
        <f>INDEX('90_SEMA'!$G$7:$H$183,28,NYELV_IDX)</f>
        <v>10. Befektetett pénzügyi eszközök értékelési különbözete</v>
      </c>
      <c r="D34" s="37">
        <f>'11_MUNKATABLA'!$K$34</f>
        <v>0</v>
      </c>
      <c r="E34" s="37">
        <f>'03B_NYITO'!$E$34</f>
        <v>0</v>
      </c>
      <c r="F34" s="37">
        <f t="shared" si="0"/>
        <v>0</v>
      </c>
    </row>
    <row r="35" spans="2:6" ht="15" customHeight="1" x14ac:dyDescent="0.3">
      <c r="B35" s="29" t="s">
        <v>58</v>
      </c>
      <c r="C35" s="42" t="str">
        <f>INDEX('90_SEMA'!$G$7:$H$183,29,NYELV_IDX)</f>
        <v>11. Tőkekonszolidációs különbözet</v>
      </c>
      <c r="D35" s="37">
        <f>'11_MUNKATABLA'!$K$35</f>
        <v>0</v>
      </c>
      <c r="E35" s="37">
        <f>'03B_NYITO'!$E$35</f>
        <v>0</v>
      </c>
      <c r="F35" s="37">
        <f t="shared" si="0"/>
        <v>0</v>
      </c>
    </row>
    <row r="36" spans="2:6" ht="15" customHeight="1" x14ac:dyDescent="0.3">
      <c r="B36" s="29" t="s">
        <v>59</v>
      </c>
      <c r="C36" s="42" t="str">
        <f>INDEX('90_SEMA'!$G$7:$H$183,30,NYELV_IDX)</f>
        <v xml:space="preserve">     – leányvállalatokból</v>
      </c>
      <c r="D36" s="37">
        <f>'11_MUNKATABLA'!$K$36</f>
        <v>0</v>
      </c>
      <c r="E36" s="37">
        <f>'03B_NYITO'!$E$36</f>
        <v>0</v>
      </c>
      <c r="F36" s="37">
        <f t="shared" si="0"/>
        <v>0</v>
      </c>
    </row>
    <row r="37" spans="2:6" ht="15" customHeight="1" x14ac:dyDescent="0.3">
      <c r="B37" s="29" t="s">
        <v>60</v>
      </c>
      <c r="C37" s="42" t="str">
        <f>INDEX('90_SEMA'!$G$7:$H$183,31,NYELV_IDX)</f>
        <v xml:space="preserve">     – társult vállalkozásokból</v>
      </c>
      <c r="D37" s="37">
        <f>'11_MUNKATABLA'!$K$37</f>
        <v>0</v>
      </c>
      <c r="E37" s="37">
        <f>'03B_NYITO'!$E$37</f>
        <v>0</v>
      </c>
      <c r="F37" s="37">
        <f t="shared" si="0"/>
        <v>0</v>
      </c>
    </row>
    <row r="38" spans="2:6" ht="15" customHeight="1" x14ac:dyDescent="0.3">
      <c r="B38" s="29" t="s">
        <v>61</v>
      </c>
      <c r="C38" s="41" t="str">
        <f>INDEX('90_SEMA'!$G$7:$H$183,32,NYELV_IDX)</f>
        <v>IV. HALASZTOTT ADÓKÖVETELÉS</v>
      </c>
      <c r="D38" s="31">
        <f>'11_MUNKATABLA'!$K$38</f>
        <v>0</v>
      </c>
      <c r="E38" s="31">
        <f>'03B_NYITO'!$E$38</f>
        <v>0</v>
      </c>
      <c r="F38" s="37">
        <f t="shared" si="0"/>
        <v>0</v>
      </c>
    </row>
    <row r="39" spans="2:6" ht="15" customHeight="1" x14ac:dyDescent="0.3">
      <c r="B39" s="29" t="s">
        <v>62</v>
      </c>
      <c r="C39" s="40" t="str">
        <f>INDEX('90_SEMA'!$G$7:$H$183,33,NYELV_IDX)</f>
        <v>B. Forgóeszközök</v>
      </c>
      <c r="D39" s="31">
        <f>'11_MUNKATABLA'!$K$39</f>
        <v>0</v>
      </c>
      <c r="E39" s="31">
        <f>'03B_NYITO'!$E$39</f>
        <v>0</v>
      </c>
      <c r="F39" s="37">
        <f t="shared" ref="F39:F70" si="1">$D39-$E39</f>
        <v>0</v>
      </c>
    </row>
    <row r="40" spans="2:6" ht="15" customHeight="1" x14ac:dyDescent="0.3">
      <c r="B40" s="29" t="s">
        <v>63</v>
      </c>
      <c r="C40" s="41" t="str">
        <f>INDEX('90_SEMA'!$G$7:$H$183,34,NYELV_IDX)</f>
        <v>I. KÉSZLETEK</v>
      </c>
      <c r="D40" s="31">
        <f>'11_MUNKATABLA'!$K$40</f>
        <v>0</v>
      </c>
      <c r="E40" s="31">
        <f>'03B_NYITO'!$E$40</f>
        <v>0</v>
      </c>
      <c r="F40" s="37">
        <f t="shared" si="1"/>
        <v>0</v>
      </c>
    </row>
    <row r="41" spans="2:6" ht="15" customHeight="1" x14ac:dyDescent="0.3">
      <c r="B41" s="29" t="s">
        <v>64</v>
      </c>
      <c r="C41" s="42" t="str">
        <f>INDEX('90_SEMA'!$G$7:$H$183,35,NYELV_IDX)</f>
        <v>1. Anyagok</v>
      </c>
      <c r="D41" s="37">
        <f>'11_MUNKATABLA'!$K$41</f>
        <v>0</v>
      </c>
      <c r="E41" s="37">
        <f>'03B_NYITO'!$E$41</f>
        <v>0</v>
      </c>
      <c r="F41" s="37">
        <f t="shared" si="1"/>
        <v>0</v>
      </c>
    </row>
    <row r="42" spans="2:6" ht="15" customHeight="1" x14ac:dyDescent="0.3">
      <c r="B42" s="29" t="s">
        <v>65</v>
      </c>
      <c r="C42" s="42" t="str">
        <f>INDEX('90_SEMA'!$G$7:$H$183,36,NYELV_IDX)</f>
        <v>2. Befejezetlen termelés és félkész termékek</v>
      </c>
      <c r="D42" s="37">
        <f>'11_MUNKATABLA'!$K$42</f>
        <v>0</v>
      </c>
      <c r="E42" s="37">
        <f>'03B_NYITO'!$E$42</f>
        <v>0</v>
      </c>
      <c r="F42" s="37">
        <f t="shared" si="1"/>
        <v>0</v>
      </c>
    </row>
    <row r="43" spans="2:6" ht="15" customHeight="1" x14ac:dyDescent="0.3">
      <c r="B43" s="29" t="s">
        <v>66</v>
      </c>
      <c r="C43" s="42" t="str">
        <f>INDEX('90_SEMA'!$G$7:$H$183,37,NYELV_IDX)</f>
        <v>3. Növendék-, hízó- és egyéb állatok</v>
      </c>
      <c r="D43" s="37">
        <f>'11_MUNKATABLA'!$K$43</f>
        <v>0</v>
      </c>
      <c r="E43" s="37">
        <f>'03B_NYITO'!$E$43</f>
        <v>0</v>
      </c>
      <c r="F43" s="37">
        <f t="shared" si="1"/>
        <v>0</v>
      </c>
    </row>
    <row r="44" spans="2:6" ht="15" customHeight="1" x14ac:dyDescent="0.3">
      <c r="B44" s="29" t="s">
        <v>67</v>
      </c>
      <c r="C44" s="42" t="str">
        <f>INDEX('90_SEMA'!$G$7:$H$183,38,NYELV_IDX)</f>
        <v>4. Késztermékek</v>
      </c>
      <c r="D44" s="37">
        <f>'11_MUNKATABLA'!$K$44</f>
        <v>0</v>
      </c>
      <c r="E44" s="37">
        <f>'03B_NYITO'!$E$44</f>
        <v>0</v>
      </c>
      <c r="F44" s="37">
        <f t="shared" si="1"/>
        <v>0</v>
      </c>
    </row>
    <row r="45" spans="2:6" ht="15" customHeight="1" x14ac:dyDescent="0.3">
      <c r="B45" s="29" t="s">
        <v>68</v>
      </c>
      <c r="C45" s="42" t="str">
        <f>INDEX('90_SEMA'!$G$7:$H$183,39,NYELV_IDX)</f>
        <v>5. Áruk</v>
      </c>
      <c r="D45" s="37">
        <f>'11_MUNKATABLA'!$K$45</f>
        <v>0</v>
      </c>
      <c r="E45" s="37">
        <f>'03B_NYITO'!$E$45</f>
        <v>0</v>
      </c>
      <c r="F45" s="37">
        <f t="shared" si="1"/>
        <v>0</v>
      </c>
    </row>
    <row r="46" spans="2:6" ht="15" customHeight="1" x14ac:dyDescent="0.3">
      <c r="B46" s="29" t="s">
        <v>69</v>
      </c>
      <c r="C46" s="42" t="str">
        <f>INDEX('90_SEMA'!$G$7:$H$183,40,NYELV_IDX)</f>
        <v>6. Készletekre adott előlegek</v>
      </c>
      <c r="D46" s="37">
        <f>'11_MUNKATABLA'!$K$46</f>
        <v>0</v>
      </c>
      <c r="E46" s="37">
        <f>'03B_NYITO'!$E$46</f>
        <v>0</v>
      </c>
      <c r="F46" s="37">
        <f t="shared" si="1"/>
        <v>0</v>
      </c>
    </row>
    <row r="47" spans="2:6" ht="15" customHeight="1" x14ac:dyDescent="0.3">
      <c r="B47" s="29" t="s">
        <v>70</v>
      </c>
      <c r="C47" s="41" t="str">
        <f>INDEX('90_SEMA'!$G$7:$H$183,41,NYELV_IDX)</f>
        <v>II. KÖVETELÉSEK</v>
      </c>
      <c r="D47" s="31">
        <f>'11_MUNKATABLA'!$K$47</f>
        <v>0</v>
      </c>
      <c r="E47" s="31">
        <f>'03B_NYITO'!$E$47</f>
        <v>0</v>
      </c>
      <c r="F47" s="37">
        <f t="shared" si="1"/>
        <v>0</v>
      </c>
    </row>
    <row r="48" spans="2:6" ht="15" customHeight="1" x14ac:dyDescent="0.3">
      <c r="B48" s="29" t="s">
        <v>71</v>
      </c>
      <c r="C48" s="42" t="str">
        <f>INDEX('90_SEMA'!$G$7:$H$183,42,NYELV_IDX)</f>
        <v>1. Követelések áruszállításból és szolgáltatásból (vevők)</v>
      </c>
      <c r="D48" s="37">
        <f>'11_MUNKATABLA'!$K$48</f>
        <v>0</v>
      </c>
      <c r="E48" s="37">
        <f>'03B_NYITO'!$E$48</f>
        <v>0</v>
      </c>
      <c r="F48" s="37">
        <f t="shared" si="1"/>
        <v>0</v>
      </c>
    </row>
    <row r="49" spans="2:6" ht="15" customHeight="1" x14ac:dyDescent="0.3">
      <c r="B49" s="29" t="s">
        <v>72</v>
      </c>
      <c r="C49" s="42" t="str">
        <f>INDEX('90_SEMA'!$G$7:$H$183,43,NYELV_IDX)</f>
        <v>2. Követelések kapcsolt vállalkozással szemben</v>
      </c>
      <c r="D49" s="37">
        <f>'11_MUNKATABLA'!$K$49</f>
        <v>0</v>
      </c>
      <c r="E49" s="37">
        <f>'03B_NYITO'!$E$49</f>
        <v>0</v>
      </c>
      <c r="F49" s="37">
        <f t="shared" si="1"/>
        <v>0</v>
      </c>
    </row>
    <row r="50" spans="2:6" ht="15" customHeight="1" x14ac:dyDescent="0.3">
      <c r="B50" s="29" t="s">
        <v>73</v>
      </c>
      <c r="C50" s="42" t="str">
        <f>INDEX('90_SEMA'!$G$7:$H$183,44,NYELV_IDX)</f>
        <v>3. Követelések jelentős tulajdoni részesedési viszonyban lévő vállalkozással szemben</v>
      </c>
      <c r="D50" s="37">
        <f>'11_MUNKATABLA'!$K$50</f>
        <v>0</v>
      </c>
      <c r="E50" s="37">
        <f>'03B_NYITO'!$E$50</f>
        <v>0</v>
      </c>
      <c r="F50" s="37">
        <f t="shared" si="1"/>
        <v>0</v>
      </c>
    </row>
    <row r="51" spans="2:6" ht="15" customHeight="1" x14ac:dyDescent="0.3">
      <c r="B51" s="29" t="s">
        <v>74</v>
      </c>
      <c r="C51" s="42" t="str">
        <f>INDEX('90_SEMA'!$G$7:$H$183,45,NYELV_IDX)</f>
        <v>4. Követelések egyéb részesedési viszonyban lévő vállalkozással szemben</v>
      </c>
      <c r="D51" s="37">
        <f>'11_MUNKATABLA'!$K$51</f>
        <v>0</v>
      </c>
      <c r="E51" s="37">
        <f>'03B_NYITO'!$E$51</f>
        <v>0</v>
      </c>
      <c r="F51" s="37">
        <f t="shared" si="1"/>
        <v>0</v>
      </c>
    </row>
    <row r="52" spans="2:6" ht="15" customHeight="1" x14ac:dyDescent="0.3">
      <c r="B52" s="29" t="s">
        <v>75</v>
      </c>
      <c r="C52" s="42" t="str">
        <f>INDEX('90_SEMA'!$G$7:$H$183,46,NYELV_IDX)</f>
        <v>5. Váltókövetelések</v>
      </c>
      <c r="D52" s="37">
        <f>'11_MUNKATABLA'!$K$52</f>
        <v>0</v>
      </c>
      <c r="E52" s="37">
        <f>'03B_NYITO'!$E$52</f>
        <v>0</v>
      </c>
      <c r="F52" s="37">
        <f t="shared" si="1"/>
        <v>0</v>
      </c>
    </row>
    <row r="53" spans="2:6" ht="15" customHeight="1" x14ac:dyDescent="0.3">
      <c r="B53" s="29" t="s">
        <v>76</v>
      </c>
      <c r="C53" s="42" t="str">
        <f>INDEX('90_SEMA'!$G$7:$H$183,47,NYELV_IDX)</f>
        <v>6. Egyéb követelések</v>
      </c>
      <c r="D53" s="37">
        <f>'11_MUNKATABLA'!$K$53</f>
        <v>0</v>
      </c>
      <c r="E53" s="37">
        <f>'03B_NYITO'!$E$53</f>
        <v>0</v>
      </c>
      <c r="F53" s="37">
        <f t="shared" si="1"/>
        <v>0</v>
      </c>
    </row>
    <row r="54" spans="2:6" ht="15" customHeight="1" x14ac:dyDescent="0.3">
      <c r="B54" s="29" t="s">
        <v>77</v>
      </c>
      <c r="C54" s="42" t="str">
        <f>INDEX('90_SEMA'!$G$7:$H$183,48,NYELV_IDX)</f>
        <v>7. Követelések értékelési különbözete</v>
      </c>
      <c r="D54" s="37">
        <f>'11_MUNKATABLA'!$K$54</f>
        <v>0</v>
      </c>
      <c r="E54" s="37">
        <f>'03B_NYITO'!$E$54</f>
        <v>0</v>
      </c>
      <c r="F54" s="37">
        <f t="shared" si="1"/>
        <v>0</v>
      </c>
    </row>
    <row r="55" spans="2:6" ht="15" customHeight="1" x14ac:dyDescent="0.3">
      <c r="B55" s="29" t="s">
        <v>78</v>
      </c>
      <c r="C55" s="42" t="str">
        <f>INDEX('90_SEMA'!$G$7:$H$183,49,NYELV_IDX)</f>
        <v>8. Származékos ügyletek pozitív értékelési különbözete</v>
      </c>
      <c r="D55" s="37">
        <f>'11_MUNKATABLA'!$K$55</f>
        <v>0</v>
      </c>
      <c r="E55" s="37">
        <f>'03B_NYITO'!$E$55</f>
        <v>0</v>
      </c>
      <c r="F55" s="37">
        <f t="shared" si="1"/>
        <v>0</v>
      </c>
    </row>
    <row r="56" spans="2:6" ht="15" customHeight="1" x14ac:dyDescent="0.3">
      <c r="B56" s="29" t="s">
        <v>79</v>
      </c>
      <c r="C56" s="42" t="str">
        <f>INDEX('90_SEMA'!$G$7:$H$183,50,NYELV_IDX)</f>
        <v>9. Konszolidációból adódó (számított) társasági adó követelés</v>
      </c>
      <c r="D56" s="37">
        <f>'11_MUNKATABLA'!$K$56</f>
        <v>0</v>
      </c>
      <c r="E56" s="37">
        <f>'03B_NYITO'!$E$56</f>
        <v>0</v>
      </c>
      <c r="F56" s="37">
        <f t="shared" si="1"/>
        <v>0</v>
      </c>
    </row>
    <row r="57" spans="2:6" ht="15" customHeight="1" x14ac:dyDescent="0.3">
      <c r="B57" s="29" t="s">
        <v>80</v>
      </c>
      <c r="C57" s="41" t="str">
        <f>INDEX('90_SEMA'!$G$7:$H$183,51,NYELV_IDX)</f>
        <v>III. ÉRTÉKPAPÍROK</v>
      </c>
      <c r="D57" s="31">
        <f>'11_MUNKATABLA'!$K$57</f>
        <v>0</v>
      </c>
      <c r="E57" s="31">
        <f>'03B_NYITO'!$E$57</f>
        <v>0</v>
      </c>
      <c r="F57" s="37">
        <f t="shared" si="1"/>
        <v>0</v>
      </c>
    </row>
    <row r="58" spans="2:6" ht="15" customHeight="1" x14ac:dyDescent="0.3">
      <c r="B58" s="29" t="s">
        <v>81</v>
      </c>
      <c r="C58" s="42" t="str">
        <f>INDEX('90_SEMA'!$G$7:$H$183,52,NYELV_IDX)</f>
        <v>1. Részesedés kapcsolt vállalkozásban</v>
      </c>
      <c r="D58" s="37">
        <f>'11_MUNKATABLA'!$K$58</f>
        <v>0</v>
      </c>
      <c r="E58" s="37">
        <f>'03B_NYITO'!$E$58</f>
        <v>0</v>
      </c>
      <c r="F58" s="37">
        <f t="shared" si="1"/>
        <v>0</v>
      </c>
    </row>
    <row r="59" spans="2:6" ht="15" customHeight="1" x14ac:dyDescent="0.3">
      <c r="B59" s="29" t="s">
        <v>82</v>
      </c>
      <c r="C59" s="42" t="str">
        <f>INDEX('90_SEMA'!$G$7:$H$183,53,NYELV_IDX)</f>
        <v>2. Jelentős tulajdoni részesedés</v>
      </c>
      <c r="D59" s="37">
        <f>'11_MUNKATABLA'!$K$59</f>
        <v>0</v>
      </c>
      <c r="E59" s="37">
        <f>'03B_NYITO'!$E$59</f>
        <v>0</v>
      </c>
      <c r="F59" s="37">
        <f t="shared" si="1"/>
        <v>0</v>
      </c>
    </row>
    <row r="60" spans="2:6" ht="15" customHeight="1" x14ac:dyDescent="0.3">
      <c r="B60" s="29" t="s">
        <v>83</v>
      </c>
      <c r="C60" s="42" t="str">
        <f>INDEX('90_SEMA'!$G$7:$H$183,54,NYELV_IDX)</f>
        <v>3. Egyéb részesedés</v>
      </c>
      <c r="D60" s="37">
        <f>'11_MUNKATABLA'!$K$60</f>
        <v>0</v>
      </c>
      <c r="E60" s="37">
        <f>'03B_NYITO'!$E$60</f>
        <v>0</v>
      </c>
      <c r="F60" s="37">
        <f t="shared" si="1"/>
        <v>0</v>
      </c>
    </row>
    <row r="61" spans="2:6" ht="15" customHeight="1" x14ac:dyDescent="0.3">
      <c r="B61" s="29" t="s">
        <v>84</v>
      </c>
      <c r="C61" s="42" t="str">
        <f>INDEX('90_SEMA'!$G$7:$H$183,55,NYELV_IDX)</f>
        <v>4. Saját részvények, saját üzletrészek</v>
      </c>
      <c r="D61" s="37">
        <f>'11_MUNKATABLA'!$K$61</f>
        <v>0</v>
      </c>
      <c r="E61" s="37">
        <f>'03B_NYITO'!$E$61</f>
        <v>0</v>
      </c>
      <c r="F61" s="37">
        <f t="shared" si="1"/>
        <v>0</v>
      </c>
    </row>
    <row r="62" spans="2:6" ht="15" customHeight="1" x14ac:dyDescent="0.3">
      <c r="B62" s="29" t="s">
        <v>85</v>
      </c>
      <c r="C62" s="42" t="str">
        <f>INDEX('90_SEMA'!$G$7:$H$183,56,NYELV_IDX)</f>
        <v>5. Forgatási célú hitelviszonyt megtestesítő értékpapírok</v>
      </c>
      <c r="D62" s="37">
        <f>'11_MUNKATABLA'!$K$62</f>
        <v>0</v>
      </c>
      <c r="E62" s="37">
        <f>'03B_NYITO'!$E$62</f>
        <v>0</v>
      </c>
      <c r="F62" s="37">
        <f t="shared" si="1"/>
        <v>0</v>
      </c>
    </row>
    <row r="63" spans="2:6" ht="15" customHeight="1" x14ac:dyDescent="0.3">
      <c r="B63" s="29" t="s">
        <v>86</v>
      </c>
      <c r="C63" s="42" t="str">
        <f>INDEX('90_SEMA'!$G$7:$H$183,57,NYELV_IDX)</f>
        <v>6. Értékpapírok értékelési különbözete</v>
      </c>
      <c r="D63" s="37">
        <f>'11_MUNKATABLA'!$K$63</f>
        <v>0</v>
      </c>
      <c r="E63" s="37">
        <f>'03B_NYITO'!$E$63</f>
        <v>0</v>
      </c>
      <c r="F63" s="37">
        <f t="shared" si="1"/>
        <v>0</v>
      </c>
    </row>
    <row r="64" spans="2:6" ht="15" customHeight="1" x14ac:dyDescent="0.3">
      <c r="B64" s="29" t="s">
        <v>87</v>
      </c>
      <c r="C64" s="41" t="str">
        <f>INDEX('90_SEMA'!$G$7:$H$183,58,NYELV_IDX)</f>
        <v>IV. PÉNZESZKÖZÖK</v>
      </c>
      <c r="D64" s="31">
        <f>'11_MUNKATABLA'!$K$64</f>
        <v>0</v>
      </c>
      <c r="E64" s="31">
        <f>'03B_NYITO'!$E$64</f>
        <v>0</v>
      </c>
      <c r="F64" s="37">
        <f t="shared" si="1"/>
        <v>0</v>
      </c>
    </row>
    <row r="65" spans="2:6" ht="15" customHeight="1" x14ac:dyDescent="0.3">
      <c r="B65" s="29" t="s">
        <v>88</v>
      </c>
      <c r="C65" s="42" t="str">
        <f>INDEX('90_SEMA'!$G$7:$H$183,59,NYELV_IDX)</f>
        <v>1. Pénztár, csekkek</v>
      </c>
      <c r="D65" s="37">
        <f>'11_MUNKATABLA'!$K$65</f>
        <v>0</v>
      </c>
      <c r="E65" s="37">
        <f>'03B_NYITO'!$E$65</f>
        <v>0</v>
      </c>
      <c r="F65" s="37">
        <f t="shared" si="1"/>
        <v>0</v>
      </c>
    </row>
    <row r="66" spans="2:6" ht="15" customHeight="1" x14ac:dyDescent="0.3">
      <c r="B66" s="29" t="s">
        <v>89</v>
      </c>
      <c r="C66" s="42" t="str">
        <f>INDEX('90_SEMA'!$G$7:$H$183,60,NYELV_IDX)</f>
        <v>2. Bankbetétek</v>
      </c>
      <c r="D66" s="37">
        <f>'11_MUNKATABLA'!$K$66</f>
        <v>0</v>
      </c>
      <c r="E66" s="37">
        <f>'03B_NYITO'!$E$66</f>
        <v>0</v>
      </c>
      <c r="F66" s="37">
        <f t="shared" si="1"/>
        <v>0</v>
      </c>
    </row>
    <row r="67" spans="2:6" ht="15" customHeight="1" x14ac:dyDescent="0.3">
      <c r="B67" s="29" t="s">
        <v>90</v>
      </c>
      <c r="C67" s="40" t="str">
        <f>INDEX('90_SEMA'!$G$7:$H$183,61,NYELV_IDX)</f>
        <v>C. Aktív időbeli elhatárolások</v>
      </c>
      <c r="D67" s="31">
        <f>'11_MUNKATABLA'!$K$67</f>
        <v>0</v>
      </c>
      <c r="E67" s="31">
        <f>'03B_NYITO'!$E$67</f>
        <v>0</v>
      </c>
      <c r="F67" s="37">
        <f t="shared" si="1"/>
        <v>0</v>
      </c>
    </row>
    <row r="68" spans="2:6" ht="15" customHeight="1" x14ac:dyDescent="0.3">
      <c r="B68" s="29" t="s">
        <v>91</v>
      </c>
      <c r="C68" s="42" t="str">
        <f>INDEX('90_SEMA'!$G$7:$H$183,62,NYELV_IDX)</f>
        <v>1. Bevételek aktív időbeli elhatárolása</v>
      </c>
      <c r="D68" s="37">
        <f>'11_MUNKATABLA'!$K$68</f>
        <v>0</v>
      </c>
      <c r="E68" s="37">
        <f>'03B_NYITO'!$E$68</f>
        <v>0</v>
      </c>
      <c r="F68" s="37">
        <f t="shared" si="1"/>
        <v>0</v>
      </c>
    </row>
    <row r="69" spans="2:6" ht="15" customHeight="1" x14ac:dyDescent="0.3">
      <c r="B69" s="29" t="s">
        <v>92</v>
      </c>
      <c r="C69" s="42" t="str">
        <f>INDEX('90_SEMA'!$G$7:$H$183,63,NYELV_IDX)</f>
        <v>2. Költségek, ráfordítások aktív időbeli elhatárolása</v>
      </c>
      <c r="D69" s="37">
        <f>'11_MUNKATABLA'!$K$69</f>
        <v>0</v>
      </c>
      <c r="E69" s="37">
        <f>'03B_NYITO'!$E$69</f>
        <v>0</v>
      </c>
      <c r="F69" s="37">
        <f t="shared" si="1"/>
        <v>0</v>
      </c>
    </row>
    <row r="70" spans="2:6" ht="15" customHeight="1" x14ac:dyDescent="0.3">
      <c r="B70" s="29" t="s">
        <v>93</v>
      </c>
      <c r="C70" s="42" t="str">
        <f>INDEX('90_SEMA'!$G$7:$H$183,64,NYELV_IDX)</f>
        <v>3. Halasztott ráfordítások</v>
      </c>
      <c r="D70" s="37">
        <f>'11_MUNKATABLA'!$K$70</f>
        <v>0</v>
      </c>
      <c r="E70" s="37">
        <f>'03B_NYITO'!$E$70</f>
        <v>0</v>
      </c>
      <c r="F70" s="37">
        <f t="shared" si="1"/>
        <v>0</v>
      </c>
    </row>
    <row r="71" spans="2:6" ht="15" customHeight="1" x14ac:dyDescent="0.3">
      <c r="B71" s="29" t="s">
        <v>134</v>
      </c>
      <c r="C71" s="40" t="str">
        <f>INDEX('91_NYELV'!$C$7:$D$303,263,NYELV_IDX)</f>
        <v>D. Egy éven belül esedékes kötelezettségek</v>
      </c>
      <c r="D71" s="31">
        <f>'11_MUNKATABLA'!$K$110</f>
        <v>0</v>
      </c>
      <c r="E71" s="31">
        <f>'03B_NYITO'!$E$110</f>
        <v>0</v>
      </c>
      <c r="F71" s="37">
        <f t="shared" ref="F71:F102" si="2">$D71-$E71</f>
        <v>0</v>
      </c>
    </row>
    <row r="72" spans="2:6" ht="15" customHeight="1" x14ac:dyDescent="0.3">
      <c r="B72" s="29" t="s">
        <v>135</v>
      </c>
      <c r="C72" s="42" t="str">
        <f>INDEX('90_SEMA'!$G$7:$H$183,105,NYELV_IDX)</f>
        <v>1. Rövid lejáratú kölcsönök</v>
      </c>
      <c r="D72" s="37">
        <f>'11_MUNKATABLA'!$K$111</f>
        <v>0</v>
      </c>
      <c r="E72" s="37">
        <f>'03B_NYITO'!$E$111</f>
        <v>0</v>
      </c>
      <c r="F72" s="37">
        <f t="shared" si="2"/>
        <v>0</v>
      </c>
    </row>
    <row r="73" spans="2:6" ht="15" customHeight="1" x14ac:dyDescent="0.3">
      <c r="B73" s="29" t="s">
        <v>136</v>
      </c>
      <c r="C73" s="34" t="str">
        <f>INDEX('90_SEMA'!$G$7:$H$183,106,NYELV_IDX)</f>
        <v xml:space="preserve">     – ebből: az átváltoztatható és átváltozó kötvények</v>
      </c>
      <c r="D73" s="37">
        <f>'11_MUNKATABLA'!$K$112</f>
        <v>0</v>
      </c>
      <c r="E73" s="37">
        <f>'03B_NYITO'!$E$112</f>
        <v>0</v>
      </c>
      <c r="F73" s="37">
        <f t="shared" si="2"/>
        <v>0</v>
      </c>
    </row>
    <row r="74" spans="2:6" ht="15" customHeight="1" x14ac:dyDescent="0.3">
      <c r="B74" s="29" t="s">
        <v>137</v>
      </c>
      <c r="C74" s="42" t="str">
        <f>INDEX('90_SEMA'!$G$7:$H$183,107,NYELV_IDX)</f>
        <v>2. Rövid lejáratú hitelek</v>
      </c>
      <c r="D74" s="37">
        <f>'11_MUNKATABLA'!$K$113</f>
        <v>0</v>
      </c>
      <c r="E74" s="37">
        <f>'03B_NYITO'!$E$113</f>
        <v>0</v>
      </c>
      <c r="F74" s="37">
        <f t="shared" si="2"/>
        <v>0</v>
      </c>
    </row>
    <row r="75" spans="2:6" ht="15" customHeight="1" x14ac:dyDescent="0.3">
      <c r="B75" s="29" t="s">
        <v>138</v>
      </c>
      <c r="C75" s="42" t="str">
        <f>INDEX('90_SEMA'!$G$7:$H$183,108,NYELV_IDX)</f>
        <v>3. Vevőktől kapott előlegek</v>
      </c>
      <c r="D75" s="37">
        <f>'11_MUNKATABLA'!$K$114</f>
        <v>0</v>
      </c>
      <c r="E75" s="37">
        <f>'03B_NYITO'!$E$114</f>
        <v>0</v>
      </c>
      <c r="F75" s="37">
        <f t="shared" si="2"/>
        <v>0</v>
      </c>
    </row>
    <row r="76" spans="2:6" ht="15" customHeight="1" x14ac:dyDescent="0.3">
      <c r="B76" s="29" t="s">
        <v>139</v>
      </c>
      <c r="C76" s="42" t="str">
        <f>INDEX('90_SEMA'!$G$7:$H$183,109,NYELV_IDX)</f>
        <v>4. Kötelezettségek áruszállításból és szolgáltatásból (szállítók)</v>
      </c>
      <c r="D76" s="37">
        <f>'11_MUNKATABLA'!$K$115</f>
        <v>0</v>
      </c>
      <c r="E76" s="37">
        <f>'03B_NYITO'!$E$115</f>
        <v>0</v>
      </c>
      <c r="F76" s="37">
        <f t="shared" si="2"/>
        <v>0</v>
      </c>
    </row>
    <row r="77" spans="2:6" ht="15" customHeight="1" x14ac:dyDescent="0.3">
      <c r="B77" s="29" t="s">
        <v>140</v>
      </c>
      <c r="C77" s="42" t="str">
        <f>INDEX('90_SEMA'!$G$7:$H$183,110,NYELV_IDX)</f>
        <v>5. Váltótartozások</v>
      </c>
      <c r="D77" s="37">
        <f>'11_MUNKATABLA'!$K$116</f>
        <v>0</v>
      </c>
      <c r="E77" s="37">
        <f>'03B_NYITO'!$E$116</f>
        <v>0</v>
      </c>
      <c r="F77" s="37">
        <f t="shared" si="2"/>
        <v>0</v>
      </c>
    </row>
    <row r="78" spans="2:6" ht="15" customHeight="1" x14ac:dyDescent="0.3">
      <c r="B78" s="29" t="s">
        <v>141</v>
      </c>
      <c r="C78" s="42" t="str">
        <f>INDEX('90_SEMA'!$G$7:$H$183,111,NYELV_IDX)</f>
        <v>6. Rövid lejáratú kötelezettségek kapcsolt vállalkozással szemben</v>
      </c>
      <c r="D78" s="37">
        <f>'11_MUNKATABLA'!$K$117</f>
        <v>0</v>
      </c>
      <c r="E78" s="37">
        <f>'03B_NYITO'!$E$117</f>
        <v>0</v>
      </c>
      <c r="F78" s="37">
        <f t="shared" si="2"/>
        <v>0</v>
      </c>
    </row>
    <row r="79" spans="2:6" ht="15" customHeight="1" x14ac:dyDescent="0.3">
      <c r="B79" s="29" t="s">
        <v>142</v>
      </c>
      <c r="C79" s="42" t="str">
        <f>INDEX('90_SEMA'!$G$7:$H$183,112,NYELV_IDX)</f>
        <v>7. Rövid lejáratú kötelezettségek jelentős tulajdoni részesedési viszonyban lévő vállalkozásokkal szemben</v>
      </c>
      <c r="D79" s="37">
        <f>'11_MUNKATABLA'!$K$118</f>
        <v>0</v>
      </c>
      <c r="E79" s="37">
        <f>'03B_NYITO'!$E$118</f>
        <v>0</v>
      </c>
      <c r="F79" s="37">
        <f t="shared" si="2"/>
        <v>0</v>
      </c>
    </row>
    <row r="80" spans="2:6" ht="15" customHeight="1" x14ac:dyDescent="0.3">
      <c r="B80" s="29" t="s">
        <v>143</v>
      </c>
      <c r="C80" s="42" t="str">
        <f>INDEX('90_SEMA'!$G$7:$H$183,113,NYELV_IDX)</f>
        <v>8. Rövid lejáratú kötelezettségek egyéb részesedési viszonyban lévő vállalkozással szemben</v>
      </c>
      <c r="D80" s="37">
        <f>'11_MUNKATABLA'!$K$119</f>
        <v>0</v>
      </c>
      <c r="E80" s="37">
        <f>'03B_NYITO'!$E$119</f>
        <v>0</v>
      </c>
      <c r="F80" s="37">
        <f t="shared" si="2"/>
        <v>0</v>
      </c>
    </row>
    <row r="81" spans="2:6" ht="15" customHeight="1" x14ac:dyDescent="0.3">
      <c r="B81" s="29" t="s">
        <v>144</v>
      </c>
      <c r="C81" s="42" t="str">
        <f>INDEX('90_SEMA'!$G$7:$H$183,114,NYELV_IDX)</f>
        <v>9. Egyéb rövid lejáratú kötelezettségek</v>
      </c>
      <c r="D81" s="37">
        <f>'11_MUNKATABLA'!$K$120</f>
        <v>0</v>
      </c>
      <c r="E81" s="37">
        <f>'03B_NYITO'!$E$120</f>
        <v>0</v>
      </c>
      <c r="F81" s="37">
        <f t="shared" si="2"/>
        <v>0</v>
      </c>
    </row>
    <row r="82" spans="2:6" ht="15" customHeight="1" x14ac:dyDescent="0.3">
      <c r="B82" s="29" t="s">
        <v>145</v>
      </c>
      <c r="C82" s="42" t="str">
        <f>INDEX('90_SEMA'!$G$7:$H$183,115,NYELV_IDX)</f>
        <v>10. Kötelezettségek értékelési különbözete</v>
      </c>
      <c r="D82" s="37">
        <f>'11_MUNKATABLA'!$K$121</f>
        <v>0</v>
      </c>
      <c r="E82" s="37">
        <f>'03B_NYITO'!$E$121</f>
        <v>0</v>
      </c>
      <c r="F82" s="37">
        <f t="shared" si="2"/>
        <v>0</v>
      </c>
    </row>
    <row r="83" spans="2:6" ht="15" customHeight="1" x14ac:dyDescent="0.3">
      <c r="B83" s="29" t="s">
        <v>146</v>
      </c>
      <c r="C83" s="42" t="str">
        <f>INDEX('90_SEMA'!$G$7:$H$183,116,NYELV_IDX)</f>
        <v>11. Származékos ügyletek negatív értékelési különbözete</v>
      </c>
      <c r="D83" s="37">
        <f>'11_MUNKATABLA'!$K$122</f>
        <v>0</v>
      </c>
      <c r="E83" s="37">
        <f>'03B_NYITO'!$E$122</f>
        <v>0</v>
      </c>
      <c r="F83" s="37">
        <f t="shared" si="2"/>
        <v>0</v>
      </c>
    </row>
    <row r="84" spans="2:6" ht="15" customHeight="1" x14ac:dyDescent="0.3">
      <c r="B84" s="29" t="s">
        <v>147</v>
      </c>
      <c r="C84" s="42" t="str">
        <f>INDEX('90_SEMA'!$G$7:$H$183,117,NYELV_IDX)</f>
        <v>12. Konszolidációból adódó (számított) társasági adó tartozás</v>
      </c>
      <c r="D84" s="37">
        <f>'11_MUNKATABLA'!$K$123</f>
        <v>0</v>
      </c>
      <c r="E84" s="37">
        <f>'03B_NYITO'!$E$123</f>
        <v>0</v>
      </c>
      <c r="F84" s="37">
        <f t="shared" si="2"/>
        <v>0</v>
      </c>
    </row>
    <row r="85" spans="2:6" ht="15" customHeight="1" x14ac:dyDescent="0.3">
      <c r="B85" s="29" t="s">
        <v>148</v>
      </c>
      <c r="C85" s="40" t="str">
        <f>INDEX('91_NYELV'!$C$7:$D$303,264,NYELV_IDX)</f>
        <v>E. Passzív időbeli elhatárolások</v>
      </c>
      <c r="D85" s="31">
        <f>'11_MUNKATABLA'!$K$124</f>
        <v>0</v>
      </c>
      <c r="E85" s="31">
        <f>'03B_NYITO'!$E$124</f>
        <v>0</v>
      </c>
      <c r="F85" s="37">
        <f t="shared" si="2"/>
        <v>0</v>
      </c>
    </row>
    <row r="86" spans="2:6" ht="15" customHeight="1" x14ac:dyDescent="0.3">
      <c r="B86" s="29" t="s">
        <v>149</v>
      </c>
      <c r="C86" s="42" t="str">
        <f>INDEX('90_SEMA'!$G$7:$H$183,119,NYELV_IDX)</f>
        <v>1. Bevételek passzív időbeli elhatárolása</v>
      </c>
      <c r="D86" s="37">
        <f>'11_MUNKATABLA'!$K$125</f>
        <v>0</v>
      </c>
      <c r="E86" s="37">
        <f>'03B_NYITO'!$E$125</f>
        <v>0</v>
      </c>
      <c r="F86" s="37">
        <f t="shared" si="2"/>
        <v>0</v>
      </c>
    </row>
    <row r="87" spans="2:6" ht="15" customHeight="1" x14ac:dyDescent="0.3">
      <c r="B87" s="29" t="s">
        <v>150</v>
      </c>
      <c r="C87" s="42" t="str">
        <f>INDEX('90_SEMA'!$G$7:$H$183,120,NYELV_IDX)</f>
        <v>2. Költségek, ráfordítások passzív időbeli elhatárolása</v>
      </c>
      <c r="D87" s="37">
        <f>'11_MUNKATABLA'!$K$126</f>
        <v>0</v>
      </c>
      <c r="E87" s="37">
        <f>'03B_NYITO'!$E$126</f>
        <v>0</v>
      </c>
      <c r="F87" s="37">
        <f t="shared" si="2"/>
        <v>0</v>
      </c>
    </row>
    <row r="88" spans="2:6" ht="15" customHeight="1" x14ac:dyDescent="0.3">
      <c r="B88" s="29" t="s">
        <v>151</v>
      </c>
      <c r="C88" s="42" t="str">
        <f>INDEX('90_SEMA'!$G$7:$H$183,121,NYELV_IDX)</f>
        <v>3. Halasztott bevételek</v>
      </c>
      <c r="D88" s="37">
        <f>'11_MUNKATABLA'!$K$127</f>
        <v>0</v>
      </c>
      <c r="E88" s="37">
        <f>'03B_NYITO'!$E$127</f>
        <v>0</v>
      </c>
      <c r="F88" s="37">
        <f t="shared" si="2"/>
        <v>0</v>
      </c>
    </row>
    <row r="89" spans="2:6" ht="15" customHeight="1" x14ac:dyDescent="0.3">
      <c r="B89" s="14" t="s">
        <v>223</v>
      </c>
      <c r="C89" s="45" t="str">
        <f>INDEX('91_NYELV'!$C$7:$D$303,265,NYELV_IDX)</f>
        <v>F. Forgóeszközök – rövid lejáratú kötelezettségek különbözete (B+C–D–E)</v>
      </c>
      <c r="D89" s="44">
        <f>$D$39+$D$67-$D$71-$D$85</f>
        <v>0</v>
      </c>
      <c r="E89" s="44">
        <f>$E$39+$E$67-$E$71-$E$85</f>
        <v>0</v>
      </c>
      <c r="F89" s="44">
        <f t="shared" si="2"/>
        <v>0</v>
      </c>
    </row>
    <row r="90" spans="2:6" ht="15" customHeight="1" x14ac:dyDescent="0.3">
      <c r="B90" s="14" t="s">
        <v>224</v>
      </c>
      <c r="C90" s="45" t="str">
        <f>INDEX('91_NYELV'!$C$7:$D$303,266,NYELV_IDX)</f>
        <v>G. Az eszközök összértéke az egy éven belül esedékes kötelezettségek levonása után (A+F)</v>
      </c>
      <c r="D90" s="44">
        <f>$D$7+$D$89</f>
        <v>0</v>
      </c>
      <c r="E90" s="44">
        <f>$E$7+$E$89</f>
        <v>0</v>
      </c>
      <c r="F90" s="44">
        <f t="shared" si="2"/>
        <v>0</v>
      </c>
    </row>
    <row r="91" spans="2:6" ht="15" customHeight="1" x14ac:dyDescent="0.3">
      <c r="B91" s="14" t="s">
        <v>225</v>
      </c>
      <c r="C91" s="45" t="str">
        <f>INDEX('91_NYELV'!$C$7:$D$303,267,NYELV_IDX)</f>
        <v>H. Egy évnél hosszabb lejáratú kötelezettségek</v>
      </c>
      <c r="D91" s="44">
        <f>$D$92+$D$103</f>
        <v>0</v>
      </c>
      <c r="E91" s="44">
        <f>$E$92+$E$103</f>
        <v>0</v>
      </c>
      <c r="F91" s="44">
        <f t="shared" si="2"/>
        <v>0</v>
      </c>
    </row>
    <row r="92" spans="2:6" ht="15" customHeight="1" x14ac:dyDescent="0.3">
      <c r="B92" s="29" t="s">
        <v>123</v>
      </c>
      <c r="C92" s="40" t="str">
        <f>INDEX('91_NYELV'!$C$7:$D$303,268,NYELV_IDX)</f>
        <v>I. Hosszú lejáratú kötelezettségek</v>
      </c>
      <c r="D92" s="31">
        <f>'11_MUNKATABLA'!$K$99</f>
        <v>0</v>
      </c>
      <c r="E92" s="31">
        <f>'03B_NYITO'!$E$99</f>
        <v>0</v>
      </c>
      <c r="F92" s="37">
        <f t="shared" si="2"/>
        <v>0</v>
      </c>
    </row>
    <row r="93" spans="2:6" ht="15" customHeight="1" x14ac:dyDescent="0.3">
      <c r="B93" s="29" t="s">
        <v>124</v>
      </c>
      <c r="C93" s="42" t="str">
        <f>INDEX('90_SEMA'!$G$7:$H$183,94,NYELV_IDX)</f>
        <v>1. Hosszú lejáratra kapott kölcsönök</v>
      </c>
      <c r="D93" s="37">
        <f>'11_MUNKATABLA'!$K$100</f>
        <v>0</v>
      </c>
      <c r="E93" s="37">
        <f>'03B_NYITO'!$E$100</f>
        <v>0</v>
      </c>
      <c r="F93" s="37">
        <f t="shared" si="2"/>
        <v>0</v>
      </c>
    </row>
    <row r="94" spans="2:6" ht="15" customHeight="1" x14ac:dyDescent="0.3">
      <c r="B94" s="29" t="s">
        <v>125</v>
      </c>
      <c r="C94" s="42" t="str">
        <f>INDEX('90_SEMA'!$G$7:$H$183,95,NYELV_IDX)</f>
        <v>2. Átváltoztatható és átváltozó kötvények</v>
      </c>
      <c r="D94" s="37">
        <f>'11_MUNKATABLA'!$K$101</f>
        <v>0</v>
      </c>
      <c r="E94" s="37">
        <f>'03B_NYITO'!$E$101</f>
        <v>0</v>
      </c>
      <c r="F94" s="37">
        <f t="shared" si="2"/>
        <v>0</v>
      </c>
    </row>
    <row r="95" spans="2:6" ht="15" customHeight="1" x14ac:dyDescent="0.3">
      <c r="B95" s="29" t="s">
        <v>126</v>
      </c>
      <c r="C95" s="42" t="str">
        <f>INDEX('90_SEMA'!$G$7:$H$183,96,NYELV_IDX)</f>
        <v>3. Tartozások kötvénykibocsátásból</v>
      </c>
      <c r="D95" s="37">
        <f>'11_MUNKATABLA'!$K$102</f>
        <v>0</v>
      </c>
      <c r="E95" s="37">
        <f>'03B_NYITO'!$E$102</f>
        <v>0</v>
      </c>
      <c r="F95" s="37">
        <f t="shared" si="2"/>
        <v>0</v>
      </c>
    </row>
    <row r="96" spans="2:6" ht="15" customHeight="1" x14ac:dyDescent="0.3">
      <c r="B96" s="29" t="s">
        <v>127</v>
      </c>
      <c r="C96" s="42" t="str">
        <f>INDEX('90_SEMA'!$G$7:$H$183,97,NYELV_IDX)</f>
        <v>4. Beruházási és fejlesztési hitelek</v>
      </c>
      <c r="D96" s="37">
        <f>'11_MUNKATABLA'!$K$103</f>
        <v>0</v>
      </c>
      <c r="E96" s="37">
        <f>'03B_NYITO'!$E$103</f>
        <v>0</v>
      </c>
      <c r="F96" s="37">
        <f t="shared" si="2"/>
        <v>0</v>
      </c>
    </row>
    <row r="97" spans="2:6" ht="15" customHeight="1" x14ac:dyDescent="0.3">
      <c r="B97" s="29" t="s">
        <v>128</v>
      </c>
      <c r="C97" s="42" t="str">
        <f>INDEX('90_SEMA'!$G$7:$H$183,98,NYELV_IDX)</f>
        <v>5. Egyéb hosszú lejáratú hitelek</v>
      </c>
      <c r="D97" s="37">
        <f>'11_MUNKATABLA'!$K$104</f>
        <v>0</v>
      </c>
      <c r="E97" s="37">
        <f>'03B_NYITO'!$E$104</f>
        <v>0</v>
      </c>
      <c r="F97" s="37">
        <f t="shared" si="2"/>
        <v>0</v>
      </c>
    </row>
    <row r="98" spans="2:6" ht="15" customHeight="1" x14ac:dyDescent="0.3">
      <c r="B98" s="29" t="s">
        <v>129</v>
      </c>
      <c r="C98" s="42" t="str">
        <f>INDEX('90_SEMA'!$G$7:$H$183,99,NYELV_IDX)</f>
        <v>6. Tartós kötelezettségek kapcsolt vállalkozással szemben</v>
      </c>
      <c r="D98" s="37">
        <f>'11_MUNKATABLA'!$K$105</f>
        <v>0</v>
      </c>
      <c r="E98" s="37">
        <f>'03B_NYITO'!$E$105</f>
        <v>0</v>
      </c>
      <c r="F98" s="37">
        <f t="shared" si="2"/>
        <v>0</v>
      </c>
    </row>
    <row r="99" spans="2:6" ht="15" customHeight="1" x14ac:dyDescent="0.3">
      <c r="B99" s="29" t="s">
        <v>130</v>
      </c>
      <c r="C99" s="42" t="str">
        <f>INDEX('90_SEMA'!$G$7:$H$183,100,NYELV_IDX)</f>
        <v>7. Tartós kötelezettségek jelentős tulajdoni részesedési viszonyban lévő vállalkozásokkal szemben</v>
      </c>
      <c r="D99" s="37">
        <f>'11_MUNKATABLA'!$K$106</f>
        <v>0</v>
      </c>
      <c r="E99" s="37">
        <f>'03B_NYITO'!$E$106</f>
        <v>0</v>
      </c>
      <c r="F99" s="37">
        <f t="shared" si="2"/>
        <v>0</v>
      </c>
    </row>
    <row r="100" spans="2:6" ht="15" customHeight="1" x14ac:dyDescent="0.3">
      <c r="B100" s="29" t="s">
        <v>131</v>
      </c>
      <c r="C100" s="42" t="str">
        <f>INDEX('90_SEMA'!$G$7:$H$183,101,NYELV_IDX)</f>
        <v>8. Tartós kötelezettségek egyéb részesedési viszonyban lévő vállalkozással szemben</v>
      </c>
      <c r="D100" s="37">
        <f>'11_MUNKATABLA'!$K$107</f>
        <v>0</v>
      </c>
      <c r="E100" s="37">
        <f>'03B_NYITO'!$E$107</f>
        <v>0</v>
      </c>
      <c r="F100" s="37">
        <f t="shared" si="2"/>
        <v>0</v>
      </c>
    </row>
    <row r="101" spans="2:6" ht="15" customHeight="1" x14ac:dyDescent="0.3">
      <c r="B101" s="29" t="s">
        <v>132</v>
      </c>
      <c r="C101" s="42" t="str">
        <f>INDEX('90_SEMA'!$G$7:$H$183,102,NYELV_IDX)</f>
        <v>9. Egyéb hosszú lejáratú kötelezettségek</v>
      </c>
      <c r="D101" s="37">
        <f>'11_MUNKATABLA'!$K$108</f>
        <v>0</v>
      </c>
      <c r="E101" s="37">
        <f>'03B_NYITO'!$E$108</f>
        <v>0</v>
      </c>
      <c r="F101" s="37">
        <f t="shared" si="2"/>
        <v>0</v>
      </c>
    </row>
    <row r="102" spans="2:6" ht="15" customHeight="1" x14ac:dyDescent="0.3">
      <c r="B102" s="29" t="s">
        <v>133</v>
      </c>
      <c r="C102" s="42" t="str">
        <f>INDEX('90_SEMA'!$G$7:$H$183,103,NYELV_IDX)</f>
        <v>10. Halasztott adókötelezettség</v>
      </c>
      <c r="D102" s="37">
        <f>'11_MUNKATABLA'!$K$109</f>
        <v>0</v>
      </c>
      <c r="E102" s="37">
        <f>'03B_NYITO'!$E$109</f>
        <v>0</v>
      </c>
      <c r="F102" s="37">
        <f t="shared" si="2"/>
        <v>0</v>
      </c>
    </row>
    <row r="103" spans="2:6" ht="15" customHeight="1" x14ac:dyDescent="0.3">
      <c r="B103" s="29" t="s">
        <v>117</v>
      </c>
      <c r="C103" s="40" t="str">
        <f>INDEX('91_NYELV'!$C$7:$D$303,269,NYELV_IDX)</f>
        <v>II. Hátrasorolt kötelezettségek</v>
      </c>
      <c r="D103" s="31">
        <f>'11_MUNKATABLA'!$K$93</f>
        <v>0</v>
      </c>
      <c r="E103" s="31">
        <f>'03B_NYITO'!$E$93</f>
        <v>0</v>
      </c>
      <c r="F103" s="37">
        <f t="shared" ref="F103:F129" si="3">$D103-$E103</f>
        <v>0</v>
      </c>
    </row>
    <row r="104" spans="2:6" ht="15" customHeight="1" x14ac:dyDescent="0.3">
      <c r="B104" s="29" t="s">
        <v>118</v>
      </c>
      <c r="C104" s="42" t="str">
        <f>INDEX('90_SEMA'!$G$7:$H$183,88,NYELV_IDX)</f>
        <v>1. Hátrasorolt kötelezettségek kapcsolt vállalkozással szemben</v>
      </c>
      <c r="D104" s="37">
        <f>'11_MUNKATABLA'!$K$94</f>
        <v>0</v>
      </c>
      <c r="E104" s="37">
        <f>'03B_NYITO'!$E$94</f>
        <v>0</v>
      </c>
      <c r="F104" s="37">
        <f t="shared" si="3"/>
        <v>0</v>
      </c>
    </row>
    <row r="105" spans="2:6" ht="15" customHeight="1" x14ac:dyDescent="0.3">
      <c r="B105" s="29" t="s">
        <v>119</v>
      </c>
      <c r="C105" s="42" t="str">
        <f>INDEX('90_SEMA'!$G$7:$H$183,89,NYELV_IDX)</f>
        <v>2. Hátrasorolt kötelezettségek jelentős tulajdoni részesedési viszonyban lévő vállalkozással szemben</v>
      </c>
      <c r="D105" s="37">
        <f>'11_MUNKATABLA'!$K$95</f>
        <v>0</v>
      </c>
      <c r="E105" s="37">
        <f>'03B_NYITO'!$E$95</f>
        <v>0</v>
      </c>
      <c r="F105" s="37">
        <f t="shared" si="3"/>
        <v>0</v>
      </c>
    </row>
    <row r="106" spans="2:6" ht="15" customHeight="1" x14ac:dyDescent="0.3">
      <c r="B106" s="29" t="s">
        <v>120</v>
      </c>
      <c r="C106" s="42" t="str">
        <f>INDEX('90_SEMA'!$G$7:$H$183,90,NYELV_IDX)</f>
        <v>3. Hátrasorolt kötelezettségek egyéb részesedési viszonyban lévő vállalkozással szemben</v>
      </c>
      <c r="D106" s="37">
        <f>'11_MUNKATABLA'!$K$96</f>
        <v>0</v>
      </c>
      <c r="E106" s="37">
        <f>'03B_NYITO'!$E$96</f>
        <v>0</v>
      </c>
      <c r="F106" s="37">
        <f t="shared" si="3"/>
        <v>0</v>
      </c>
    </row>
    <row r="107" spans="2:6" ht="15" customHeight="1" x14ac:dyDescent="0.3">
      <c r="B107" s="29" t="s">
        <v>121</v>
      </c>
      <c r="C107" s="42" t="str">
        <f>INDEX('90_SEMA'!$G$7:$H$183,91,NYELV_IDX)</f>
        <v>4. Hátrasorolt kötelezettségek egyéb gazdálkodóval szemben</v>
      </c>
      <c r="D107" s="37">
        <f>'11_MUNKATABLA'!$K$97</f>
        <v>0</v>
      </c>
      <c r="E107" s="37">
        <f>'03B_NYITO'!$E$97</f>
        <v>0</v>
      </c>
      <c r="F107" s="37">
        <f t="shared" si="3"/>
        <v>0</v>
      </c>
    </row>
    <row r="108" spans="2:6" ht="15" customHeight="1" x14ac:dyDescent="0.3">
      <c r="B108" s="29" t="s">
        <v>122</v>
      </c>
      <c r="C108" s="42" t="str">
        <f>INDEX('90_SEMA'!$G$7:$H$183,92,NYELV_IDX)</f>
        <v>5. Tőkekonszolidációs különbözet leányvállalatokból</v>
      </c>
      <c r="D108" s="37">
        <f>'11_MUNKATABLA'!$K$98</f>
        <v>0</v>
      </c>
      <c r="E108" s="37">
        <f>'03B_NYITO'!$E$98</f>
        <v>0</v>
      </c>
      <c r="F108" s="37">
        <f t="shared" si="3"/>
        <v>0</v>
      </c>
    </row>
    <row r="109" spans="2:6" ht="15" customHeight="1" x14ac:dyDescent="0.3">
      <c r="B109" s="29" t="s">
        <v>112</v>
      </c>
      <c r="C109" s="40" t="str">
        <f>INDEX('91_NYELV'!$C$7:$D$303,270,NYELV_IDX)</f>
        <v>I. Céltartalékok</v>
      </c>
      <c r="D109" s="31">
        <f>'11_MUNKATABLA'!$K$88</f>
        <v>0</v>
      </c>
      <c r="E109" s="31">
        <f>'03B_NYITO'!$E$88</f>
        <v>0</v>
      </c>
      <c r="F109" s="37">
        <f t="shared" si="3"/>
        <v>0</v>
      </c>
    </row>
    <row r="110" spans="2:6" ht="15" customHeight="1" x14ac:dyDescent="0.3">
      <c r="B110" s="29" t="s">
        <v>113</v>
      </c>
      <c r="C110" s="42" t="str">
        <f>INDEX('90_SEMA'!$G$7:$H$183,83,NYELV_IDX)</f>
        <v>1. Céltartalék a várható kötelezettségekre</v>
      </c>
      <c r="D110" s="37">
        <f>'11_MUNKATABLA'!$K$89</f>
        <v>0</v>
      </c>
      <c r="E110" s="37">
        <f>'03B_NYITO'!$E$89</f>
        <v>0</v>
      </c>
      <c r="F110" s="37">
        <f t="shared" si="3"/>
        <v>0</v>
      </c>
    </row>
    <row r="111" spans="2:6" ht="15" customHeight="1" x14ac:dyDescent="0.3">
      <c r="B111" s="29" t="s">
        <v>114</v>
      </c>
      <c r="C111" s="42" t="str">
        <f>INDEX('90_SEMA'!$G$7:$H$183,84,NYELV_IDX)</f>
        <v>2. Céltartalék a jövőbeni költségekre</v>
      </c>
      <c r="D111" s="37">
        <f>'11_MUNKATABLA'!$K$90</f>
        <v>0</v>
      </c>
      <c r="E111" s="37">
        <f>'03B_NYITO'!$E$90</f>
        <v>0</v>
      </c>
      <c r="F111" s="37">
        <f t="shared" si="3"/>
        <v>0</v>
      </c>
    </row>
    <row r="112" spans="2:6" ht="15" customHeight="1" x14ac:dyDescent="0.3">
      <c r="B112" s="29" t="s">
        <v>115</v>
      </c>
      <c r="C112" s="42" t="str">
        <f>INDEX('90_SEMA'!$G$7:$H$183,85,NYELV_IDX)</f>
        <v>3. Egyéb céltartalék</v>
      </c>
      <c r="D112" s="37">
        <f>'11_MUNKATABLA'!$K$91</f>
        <v>0</v>
      </c>
      <c r="E112" s="37">
        <f>'03B_NYITO'!$E$91</f>
        <v>0</v>
      </c>
      <c r="F112" s="37">
        <f t="shared" si="3"/>
        <v>0</v>
      </c>
    </row>
    <row r="113" spans="2:6" ht="15" customHeight="1" x14ac:dyDescent="0.3">
      <c r="B113" s="29" t="s">
        <v>94</v>
      </c>
      <c r="C113" s="40" t="str">
        <f>INDEX('91_NYELV'!$C$7:$D$303,271,NYELV_IDX)</f>
        <v>J. Saját tőke</v>
      </c>
      <c r="D113" s="31">
        <f>'11_MUNKATABLA'!$K$71</f>
        <v>0</v>
      </c>
      <c r="E113" s="31">
        <f>'03B_NYITO'!$E$71</f>
        <v>0</v>
      </c>
      <c r="F113" s="37">
        <f t="shared" si="3"/>
        <v>0</v>
      </c>
    </row>
    <row r="114" spans="2:6" ht="15" customHeight="1" x14ac:dyDescent="0.3">
      <c r="B114" s="29" t="s">
        <v>95</v>
      </c>
      <c r="C114" s="41" t="str">
        <f>INDEX('90_SEMA'!$G$7:$H$183,66,NYELV_IDX)</f>
        <v>I. JEGYZETT TŐKE</v>
      </c>
      <c r="D114" s="31">
        <f>'11_MUNKATABLA'!$K$72</f>
        <v>0</v>
      </c>
      <c r="E114" s="31">
        <f>'03B_NYITO'!$E$72</f>
        <v>0</v>
      </c>
      <c r="F114" s="37">
        <f t="shared" si="3"/>
        <v>0</v>
      </c>
    </row>
    <row r="115" spans="2:6" ht="15" customHeight="1" x14ac:dyDescent="0.3">
      <c r="B115" s="29" t="s">
        <v>96</v>
      </c>
      <c r="C115" s="34" t="str">
        <f>INDEX('90_SEMA'!$G$7:$H$183,67,NYELV_IDX)</f>
        <v xml:space="preserve">     Ebből: visszavásárolt tulajdoni részesedés névértéken</v>
      </c>
      <c r="D115" s="37">
        <f>'11_MUNKATABLA'!$K$73</f>
        <v>0</v>
      </c>
      <c r="E115" s="37">
        <f>'03B_NYITO'!$E$73</f>
        <v>0</v>
      </c>
      <c r="F115" s="37">
        <f t="shared" si="3"/>
        <v>0</v>
      </c>
    </row>
    <row r="116" spans="2:6" ht="15" customHeight="1" x14ac:dyDescent="0.3">
      <c r="B116" s="29" t="s">
        <v>98</v>
      </c>
      <c r="C116" s="41" t="str">
        <f>INDEX('90_SEMA'!$G$7:$H$183,68,NYELV_IDX)</f>
        <v>II. JEGYZETT, DE MÉG BE NEM FIZETETT TŐKE (-)</v>
      </c>
      <c r="D116" s="31">
        <f>'11_MUNKATABLA'!$K$74</f>
        <v>0</v>
      </c>
      <c r="E116" s="31">
        <f>'03B_NYITO'!$E$74</f>
        <v>0</v>
      </c>
      <c r="F116" s="37">
        <f t="shared" si="3"/>
        <v>0</v>
      </c>
    </row>
    <row r="117" spans="2:6" ht="15" customHeight="1" x14ac:dyDescent="0.3">
      <c r="B117" s="29" t="s">
        <v>99</v>
      </c>
      <c r="C117" s="41" t="str">
        <f>INDEX('90_SEMA'!$G$7:$H$183,69,NYELV_IDX)</f>
        <v>III. TŐKETARTALÉK</v>
      </c>
      <c r="D117" s="31">
        <f>'11_MUNKATABLA'!$K$75</f>
        <v>0</v>
      </c>
      <c r="E117" s="31">
        <f>'03B_NYITO'!$E$75</f>
        <v>0</v>
      </c>
      <c r="F117" s="37">
        <f t="shared" si="3"/>
        <v>0</v>
      </c>
    </row>
    <row r="118" spans="2:6" ht="15" customHeight="1" x14ac:dyDescent="0.3">
      <c r="B118" s="29" t="s">
        <v>100</v>
      </c>
      <c r="C118" s="41" t="str">
        <f>INDEX('90_SEMA'!$G$7:$H$183,70,NYELV_IDX)</f>
        <v>IV. EREDMÉNYTARTALÉK</v>
      </c>
      <c r="D118" s="31">
        <f>'11_MUNKATABLA'!$K$76</f>
        <v>0</v>
      </c>
      <c r="E118" s="31">
        <f>'03B_NYITO'!$E$76</f>
        <v>0</v>
      </c>
      <c r="F118" s="37">
        <f t="shared" si="3"/>
        <v>0</v>
      </c>
    </row>
    <row r="119" spans="2:6" ht="15" customHeight="1" x14ac:dyDescent="0.3">
      <c r="B119" s="29" t="s">
        <v>101</v>
      </c>
      <c r="C119" s="41" t="str">
        <f>INDEX('90_SEMA'!$G$7:$H$183,71,NYELV_IDX)</f>
        <v>V. LEKÖTÖTT TARTALÉK</v>
      </c>
      <c r="D119" s="31">
        <f>'11_MUNKATABLA'!$K$77</f>
        <v>0</v>
      </c>
      <c r="E119" s="31">
        <f>'03B_NYITO'!$E$77</f>
        <v>0</v>
      </c>
      <c r="F119" s="37">
        <f t="shared" si="3"/>
        <v>0</v>
      </c>
    </row>
    <row r="120" spans="2:6" ht="15" customHeight="1" x14ac:dyDescent="0.3">
      <c r="B120" s="29" t="s">
        <v>102</v>
      </c>
      <c r="C120" s="41" t="str">
        <f>INDEX('90_SEMA'!$G$7:$H$183,72,NYELV_IDX)</f>
        <v>VI. ÉRTÉKELÉSI TARTALÉK</v>
      </c>
      <c r="D120" s="31">
        <f>'11_MUNKATABLA'!$K$78</f>
        <v>0</v>
      </c>
      <c r="E120" s="31">
        <f>'03B_NYITO'!$E$78</f>
        <v>0</v>
      </c>
      <c r="F120" s="37">
        <f t="shared" si="3"/>
        <v>0</v>
      </c>
    </row>
    <row r="121" spans="2:6" ht="15" customHeight="1" x14ac:dyDescent="0.3">
      <c r="B121" s="29" t="s">
        <v>103</v>
      </c>
      <c r="C121" s="42" t="str">
        <f>INDEX('90_SEMA'!$G$7:$H$183,73,NYELV_IDX)</f>
        <v>1. Értékhelyesbítés értékelési tartaléka</v>
      </c>
      <c r="D121" s="37">
        <f>'11_MUNKATABLA'!$K$79</f>
        <v>0</v>
      </c>
      <c r="E121" s="37">
        <f>'03B_NYITO'!$E$79</f>
        <v>0</v>
      </c>
      <c r="F121" s="37">
        <f t="shared" si="3"/>
        <v>0</v>
      </c>
    </row>
    <row r="122" spans="2:6" ht="15" customHeight="1" x14ac:dyDescent="0.3">
      <c r="B122" s="29" t="s">
        <v>104</v>
      </c>
      <c r="C122" s="42" t="str">
        <f>INDEX('90_SEMA'!$G$7:$H$183,74,NYELV_IDX)</f>
        <v>2. Valós értékelés értékelési tartaléka</v>
      </c>
      <c r="D122" s="37">
        <f>'11_MUNKATABLA'!$K$80</f>
        <v>0</v>
      </c>
      <c r="E122" s="37">
        <f>'03B_NYITO'!$E$80</f>
        <v>0</v>
      </c>
      <c r="F122" s="37">
        <f t="shared" si="3"/>
        <v>0</v>
      </c>
    </row>
    <row r="123" spans="2:6" ht="15" customHeight="1" x14ac:dyDescent="0.3">
      <c r="B123" s="29" t="s">
        <v>105</v>
      </c>
      <c r="C123" s="41" t="str">
        <f>INDEX('90_SEMA'!$G$7:$H$183,75,NYELV_IDX)</f>
        <v>VII. Korrigált adózott eredmény</v>
      </c>
      <c r="D123" s="31">
        <f>'11_MUNKATABLA'!$K$81</f>
        <v>0</v>
      </c>
      <c r="E123" s="31">
        <f>'03B_NYITO'!$E$81</f>
        <v>0</v>
      </c>
      <c r="F123" s="37">
        <f t="shared" si="3"/>
        <v>0</v>
      </c>
    </row>
    <row r="124" spans="2:6" ht="15" customHeight="1" x14ac:dyDescent="0.3">
      <c r="B124" s="29" t="s">
        <v>106</v>
      </c>
      <c r="C124" s="41" t="str">
        <f>INDEX('90_SEMA'!$G$7:$H$183,76,NYELV_IDX)</f>
        <v>VIII. Leányvállalati saját tőke változás (±)</v>
      </c>
      <c r="D124" s="31">
        <f>'11_MUNKATABLA'!$K$82</f>
        <v>0</v>
      </c>
      <c r="E124" s="31">
        <f>'03B_NYITO'!$E$82</f>
        <v>0</v>
      </c>
      <c r="F124" s="37">
        <f t="shared" si="3"/>
        <v>0</v>
      </c>
    </row>
    <row r="125" spans="2:6" ht="15" customHeight="1" x14ac:dyDescent="0.3">
      <c r="B125" s="29" t="s">
        <v>107</v>
      </c>
      <c r="C125" s="41" t="str">
        <f>INDEX('90_SEMA'!$G$7:$H$183,77,NYELV_IDX)</f>
        <v>IX. Konszolidáció miatti változások (±)</v>
      </c>
      <c r="D125" s="31">
        <f>'11_MUNKATABLA'!$K$83</f>
        <v>0</v>
      </c>
      <c r="E125" s="31">
        <f>'03B_NYITO'!$E$83</f>
        <v>0</v>
      </c>
      <c r="F125" s="37">
        <f t="shared" si="3"/>
        <v>0</v>
      </c>
    </row>
    <row r="126" spans="2:6" ht="15" customHeight="1" x14ac:dyDescent="0.3">
      <c r="B126" s="29" t="s">
        <v>108</v>
      </c>
      <c r="C126" s="42" t="str">
        <f>INDEX('90_SEMA'!$G$7:$H$183,78,NYELV_IDX)</f>
        <v xml:space="preserve">     – adósságkonszolidálás különbözetéből</v>
      </c>
      <c r="D126" s="37">
        <f>'11_MUNKATABLA'!$K$84</f>
        <v>0</v>
      </c>
      <c r="E126" s="37">
        <f>'03B_NYITO'!$E$84</f>
        <v>0</v>
      </c>
      <c r="F126" s="37">
        <f t="shared" si="3"/>
        <v>0</v>
      </c>
    </row>
    <row r="127" spans="2:6" ht="15" customHeight="1" x14ac:dyDescent="0.3">
      <c r="B127" s="29" t="s">
        <v>109</v>
      </c>
      <c r="C127" s="42" t="str">
        <f>INDEX('90_SEMA'!$G$7:$H$183,79,NYELV_IDX)</f>
        <v xml:space="preserve">     – közbenső eredmény különbözetéből</v>
      </c>
      <c r="D127" s="37">
        <f>'11_MUNKATABLA'!$K$85</f>
        <v>0</v>
      </c>
      <c r="E127" s="37">
        <f>'03B_NYITO'!$E$85</f>
        <v>0</v>
      </c>
      <c r="F127" s="37">
        <f t="shared" si="3"/>
        <v>0</v>
      </c>
    </row>
    <row r="128" spans="2:6" ht="15" hidden="1" customHeight="1" x14ac:dyDescent="0.3">
      <c r="B128" s="29"/>
      <c r="C128" s="42"/>
      <c r="D128" s="37"/>
      <c r="E128" s="37"/>
      <c r="F128" s="37">
        <f t="shared" si="3"/>
        <v>0</v>
      </c>
    </row>
    <row r="129" spans="2:6" ht="15" customHeight="1" x14ac:dyDescent="0.3">
      <c r="B129" s="29" t="s">
        <v>111</v>
      </c>
      <c r="C129" s="41" t="str">
        <f>INDEX('90_SEMA'!$G$7:$H$183,81,NYELV_IDX)</f>
        <v>X. Külső tagok (más tulajdonosok) részesedése</v>
      </c>
      <c r="D129" s="31">
        <f>'11_MUNKATABLA'!$K$87</f>
        <v>0</v>
      </c>
      <c r="E129" s="31">
        <f>'03B_NYITO'!$E$87</f>
        <v>0</v>
      </c>
      <c r="F129" s="37">
        <f t="shared" si="3"/>
        <v>0</v>
      </c>
    </row>
    <row r="131" spans="2:6" ht="15" customHeight="1" x14ac:dyDescent="0.3">
      <c r="C131" s="46" t="str">
        <f>INDEX('91_NYELV'!$C$7:$D$303,262,NYELV_IDX)</f>
        <v>Egyezőség: G = H + I + J</v>
      </c>
      <c r="D131" s="36">
        <f>$D$90-$D$91-$D$109-$D$113</f>
        <v>0</v>
      </c>
      <c r="E131" s="36">
        <f>$E$90-$E$91-$E$109-$E$113</f>
        <v>0</v>
      </c>
    </row>
  </sheetData>
  <sheetProtection algorithmName="SHA-512" hashValue="/lDnTa91QxMI1oYgni2OpKereRLa++IApszKR+hfAdx4RWcJjejzHzkvrDbQ800ZyAQ9Hn8d5LGzMuZKeWX8XQ==" saltValue="cDqaxqujlZDPCap0IsupTg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Munka16"/>
  <dimension ref="B1:F64"/>
  <sheetViews>
    <sheetView showGridLines="0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6640625" defaultRowHeight="14.4" x14ac:dyDescent="0.3"/>
  <cols>
    <col min="2" max="2" width="15" style="1" customWidth="1"/>
    <col min="3" max="3" width="68" style="1" customWidth="1"/>
    <col min="4" max="5" width="20" style="1" customWidth="1"/>
    <col min="6" max="6" width="18" style="1" customWidth="1"/>
  </cols>
  <sheetData>
    <row r="1" spans="2:6" ht="79.5" customHeight="1" x14ac:dyDescent="0.3"/>
    <row r="3" spans="2:6" ht="19.5" customHeight="1" x14ac:dyDescent="0.4">
      <c r="B3" s="12" t="str">
        <f>INDEX('91_NYELV'!$C$7:$D$303,53,NYELV_IDX) &amp; IF(EK_VALT=1,""," – NEM AKTÍV (jelenleg a(z) " &amp; '01_BEALLITASOK'!$C$17 &amp; " van kiválasztva)")</f>
        <v>13. Konszolidált eredménykimutatás</v>
      </c>
    </row>
    <row r="4" spans="2:6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6" ht="15" customHeight="1" x14ac:dyDescent="0.3">
      <c r="B6" s="20" t="str">
        <f>INDEX('91_NYELV'!$C$7:$D$303,82,NYELV_IDX)</f>
        <v>Kód</v>
      </c>
      <c r="C6" s="20" t="str">
        <f>INDEX('91_NYELV'!$C$7:$D$303,83,NYELV_IDX)</f>
        <v>Megnevezés</v>
      </c>
      <c r="D6" s="20" t="str">
        <f>INDEX('91_NYELV'!$C$7:$D$303,161,NYELV_IDX)</f>
        <v>Tárgyév</v>
      </c>
      <c r="E6" s="20" t="str">
        <f>INDEX('91_NYELV'!$C$7:$D$303,162,NYELV_IDX)</f>
        <v>Előző év</v>
      </c>
      <c r="F6" s="20" t="str">
        <f>INDEX('91_NYELV'!$C$7:$D$303,163,NYELV_IDX)</f>
        <v>Változás</v>
      </c>
    </row>
    <row r="7" spans="2:6" ht="15" customHeight="1" x14ac:dyDescent="0.3">
      <c r="B7" s="29" t="s">
        <v>153</v>
      </c>
      <c r="C7" s="42" t="str">
        <f>INDEX('90_SEMA'!$G$7:$H$183,123,NYELV_IDX)</f>
        <v>01. Belföldi értékesítés nettó árbevétele</v>
      </c>
      <c r="D7" s="37">
        <f>'11_MUNKATABLA'!$K$129</f>
        <v>0</v>
      </c>
      <c r="E7" s="37">
        <f>'03B_NYITO'!$E$129</f>
        <v>0</v>
      </c>
      <c r="F7" s="37">
        <f t="shared" ref="F7:F38" si="0">$D7-$E7</f>
        <v>0</v>
      </c>
    </row>
    <row r="8" spans="2:6" ht="15" customHeight="1" x14ac:dyDescent="0.3">
      <c r="B8" s="29" t="s">
        <v>154</v>
      </c>
      <c r="C8" s="42" t="str">
        <f>INDEX('90_SEMA'!$G$7:$H$183,124,NYELV_IDX)</f>
        <v>02. Exportértékesítés nettó árbevétele</v>
      </c>
      <c r="D8" s="37">
        <f>'11_MUNKATABLA'!$K$130</f>
        <v>0</v>
      </c>
      <c r="E8" s="37">
        <f>'03B_NYITO'!$E$130</f>
        <v>0</v>
      </c>
      <c r="F8" s="37">
        <f t="shared" si="0"/>
        <v>0</v>
      </c>
    </row>
    <row r="9" spans="2:6" ht="15" customHeight="1" x14ac:dyDescent="0.3">
      <c r="B9" s="29" t="s">
        <v>152</v>
      </c>
      <c r="C9" s="41" t="str">
        <f>INDEX('90_SEMA'!$G$7:$H$183,122,NYELV_IDX)</f>
        <v>I. Értékesítés nettó árbevétele</v>
      </c>
      <c r="D9" s="31">
        <f>'11_MUNKATABLA'!$K$128</f>
        <v>0</v>
      </c>
      <c r="E9" s="31">
        <f>'03B_NYITO'!$E$128</f>
        <v>0</v>
      </c>
      <c r="F9" s="37">
        <f t="shared" si="0"/>
        <v>0</v>
      </c>
    </row>
    <row r="10" spans="2:6" ht="15" customHeight="1" x14ac:dyDescent="0.3">
      <c r="B10" s="29" t="s">
        <v>156</v>
      </c>
      <c r="C10" s="42" t="str">
        <f>INDEX('90_SEMA'!$G$7:$H$183,126,NYELV_IDX)</f>
        <v>03. Saját termelésű készletek állományváltozása</v>
      </c>
      <c r="D10" s="37">
        <f>'11_MUNKATABLA'!$K$132</f>
        <v>0</v>
      </c>
      <c r="E10" s="37">
        <f>'03B_NYITO'!$E$132</f>
        <v>0</v>
      </c>
      <c r="F10" s="37">
        <f t="shared" si="0"/>
        <v>0</v>
      </c>
    </row>
    <row r="11" spans="2:6" ht="15" customHeight="1" x14ac:dyDescent="0.3">
      <c r="B11" s="29" t="s">
        <v>157</v>
      </c>
      <c r="C11" s="42" t="str">
        <f>INDEX('90_SEMA'!$G$7:$H$183,127,NYELV_IDX)</f>
        <v>04. Saját előállítású eszközök aktivált értéke</v>
      </c>
      <c r="D11" s="37">
        <f>'11_MUNKATABLA'!$K$133</f>
        <v>0</v>
      </c>
      <c r="E11" s="37">
        <f>'03B_NYITO'!$E$133</f>
        <v>0</v>
      </c>
      <c r="F11" s="37">
        <f t="shared" si="0"/>
        <v>0</v>
      </c>
    </row>
    <row r="12" spans="2:6" ht="15" customHeight="1" x14ac:dyDescent="0.3">
      <c r="B12" s="29" t="s">
        <v>155</v>
      </c>
      <c r="C12" s="41" t="str">
        <f>INDEX('90_SEMA'!$G$7:$H$183,125,NYELV_IDX)</f>
        <v>II. Aktivált saját teljesítmények értéke</v>
      </c>
      <c r="D12" s="31">
        <f>'11_MUNKATABLA'!$K$131</f>
        <v>0</v>
      </c>
      <c r="E12" s="31">
        <f>'03B_NYITO'!$E$131</f>
        <v>0</v>
      </c>
      <c r="F12" s="37">
        <f t="shared" si="0"/>
        <v>0</v>
      </c>
    </row>
    <row r="13" spans="2:6" ht="15" customHeight="1" x14ac:dyDescent="0.3">
      <c r="B13" s="29" t="s">
        <v>158</v>
      </c>
      <c r="C13" s="41" t="str">
        <f>INDEX('90_SEMA'!$G$7:$H$183,128,NYELV_IDX)</f>
        <v>III. Egyéb bevételek</v>
      </c>
      <c r="D13" s="31">
        <f>'11_MUNKATABLA'!$K$134</f>
        <v>0</v>
      </c>
      <c r="E13" s="31">
        <f>'03B_NYITO'!$E$134</f>
        <v>0</v>
      </c>
      <c r="F13" s="37">
        <f t="shared" si="0"/>
        <v>0</v>
      </c>
    </row>
    <row r="14" spans="2:6" ht="15" customHeight="1" x14ac:dyDescent="0.3">
      <c r="B14" s="29" t="s">
        <v>159</v>
      </c>
      <c r="C14" s="34" t="str">
        <f>INDEX('90_SEMA'!$G$7:$H$183,129,NYELV_IDX)</f>
        <v xml:space="preserve">     Ebből: visszaírt értékvesztés</v>
      </c>
      <c r="D14" s="37">
        <f>'11_MUNKATABLA'!$K$135</f>
        <v>0</v>
      </c>
      <c r="E14" s="37">
        <f>'03B_NYITO'!$E$135</f>
        <v>0</v>
      </c>
      <c r="F14" s="37">
        <f t="shared" si="0"/>
        <v>0</v>
      </c>
    </row>
    <row r="15" spans="2:6" ht="15" customHeight="1" x14ac:dyDescent="0.3">
      <c r="B15" s="29" t="s">
        <v>160</v>
      </c>
      <c r="C15" s="41" t="str">
        <f>INDEX('90_SEMA'!$G$7:$H$183,130,NYELV_IDX)</f>
        <v>III/A. Adósságkonszolidálás miatt keletkező – eredményt növelő – konszolidációs különbözet</v>
      </c>
      <c r="D15" s="31">
        <f>'11_MUNKATABLA'!$K$136</f>
        <v>0</v>
      </c>
      <c r="E15" s="31">
        <f>'03B_NYITO'!$E$136</f>
        <v>0</v>
      </c>
      <c r="F15" s="37">
        <f t="shared" si="0"/>
        <v>0</v>
      </c>
    </row>
    <row r="16" spans="2:6" ht="15" customHeight="1" x14ac:dyDescent="0.3">
      <c r="B16" s="29" t="s">
        <v>162</v>
      </c>
      <c r="C16" s="42" t="str">
        <f>INDEX('90_SEMA'!$G$7:$H$183,132,NYELV_IDX)</f>
        <v>05. Anyagköltség</v>
      </c>
      <c r="D16" s="37">
        <f>'11_MUNKATABLA'!$K$138</f>
        <v>0</v>
      </c>
      <c r="E16" s="37">
        <f>'03B_NYITO'!$E$138</f>
        <v>0</v>
      </c>
      <c r="F16" s="37">
        <f t="shared" si="0"/>
        <v>0</v>
      </c>
    </row>
    <row r="17" spans="2:6" ht="15" customHeight="1" x14ac:dyDescent="0.3">
      <c r="B17" s="29" t="s">
        <v>163</v>
      </c>
      <c r="C17" s="42" t="str">
        <f>INDEX('90_SEMA'!$G$7:$H$183,133,NYELV_IDX)</f>
        <v>06. Igénybe vett szolgáltatások értéke</v>
      </c>
      <c r="D17" s="37">
        <f>'11_MUNKATABLA'!$K$139</f>
        <v>0</v>
      </c>
      <c r="E17" s="37">
        <f>'03B_NYITO'!$E$139</f>
        <v>0</v>
      </c>
      <c r="F17" s="37">
        <f t="shared" si="0"/>
        <v>0</v>
      </c>
    </row>
    <row r="18" spans="2:6" ht="15" customHeight="1" x14ac:dyDescent="0.3">
      <c r="B18" s="29" t="s">
        <v>164</v>
      </c>
      <c r="C18" s="42" t="str">
        <f>INDEX('90_SEMA'!$G$7:$H$183,134,NYELV_IDX)</f>
        <v>07. Egyéb szolgáltatások értéke</v>
      </c>
      <c r="D18" s="37">
        <f>'11_MUNKATABLA'!$K$140</f>
        <v>0</v>
      </c>
      <c r="E18" s="37">
        <f>'03B_NYITO'!$E$140</f>
        <v>0</v>
      </c>
      <c r="F18" s="37">
        <f t="shared" si="0"/>
        <v>0</v>
      </c>
    </row>
    <row r="19" spans="2:6" ht="15" customHeight="1" x14ac:dyDescent="0.3">
      <c r="B19" s="29" t="s">
        <v>165</v>
      </c>
      <c r="C19" s="42" t="str">
        <f>INDEX('90_SEMA'!$G$7:$H$183,135,NYELV_IDX)</f>
        <v>08. Eladott áruk beszerzési értéke</v>
      </c>
      <c r="D19" s="37">
        <f>'11_MUNKATABLA'!$K$141</f>
        <v>0</v>
      </c>
      <c r="E19" s="37">
        <f>'03B_NYITO'!$E$141</f>
        <v>0</v>
      </c>
      <c r="F19" s="37">
        <f t="shared" si="0"/>
        <v>0</v>
      </c>
    </row>
    <row r="20" spans="2:6" ht="15" customHeight="1" x14ac:dyDescent="0.3">
      <c r="B20" s="29" t="s">
        <v>166</v>
      </c>
      <c r="C20" s="42" t="str">
        <f>INDEX('90_SEMA'!$G$7:$H$183,136,NYELV_IDX)</f>
        <v>09. Eladott (közvetített) szolgáltatások értéke</v>
      </c>
      <c r="D20" s="37">
        <f>'11_MUNKATABLA'!$K$142</f>
        <v>0</v>
      </c>
      <c r="E20" s="37">
        <f>'03B_NYITO'!$E$142</f>
        <v>0</v>
      </c>
      <c r="F20" s="37">
        <f t="shared" si="0"/>
        <v>0</v>
      </c>
    </row>
    <row r="21" spans="2:6" ht="15" customHeight="1" x14ac:dyDescent="0.3">
      <c r="B21" s="29" t="s">
        <v>161</v>
      </c>
      <c r="C21" s="41" t="str">
        <f>INDEX('90_SEMA'!$G$7:$H$183,131,NYELV_IDX)</f>
        <v>IV. Anyagjellegű ráfordítások</v>
      </c>
      <c r="D21" s="31">
        <f>'11_MUNKATABLA'!$K$137</f>
        <v>0</v>
      </c>
      <c r="E21" s="31">
        <f>'03B_NYITO'!$E$137</f>
        <v>0</v>
      </c>
      <c r="F21" s="37">
        <f t="shared" si="0"/>
        <v>0</v>
      </c>
    </row>
    <row r="22" spans="2:6" ht="15" customHeight="1" x14ac:dyDescent="0.3">
      <c r="B22" s="29" t="s">
        <v>168</v>
      </c>
      <c r="C22" s="42" t="str">
        <f>INDEX('90_SEMA'!$G$7:$H$183,138,NYELV_IDX)</f>
        <v>10. Bérköltség</v>
      </c>
      <c r="D22" s="37">
        <f>'11_MUNKATABLA'!$K$144</f>
        <v>0</v>
      </c>
      <c r="E22" s="37">
        <f>'03B_NYITO'!$E$144</f>
        <v>0</v>
      </c>
      <c r="F22" s="37">
        <f t="shared" si="0"/>
        <v>0</v>
      </c>
    </row>
    <row r="23" spans="2:6" ht="15" customHeight="1" x14ac:dyDescent="0.3">
      <c r="B23" s="29" t="s">
        <v>169</v>
      </c>
      <c r="C23" s="42" t="str">
        <f>INDEX('90_SEMA'!$G$7:$H$183,139,NYELV_IDX)</f>
        <v>11. Személyi jellegű egyéb kifizetések</v>
      </c>
      <c r="D23" s="37">
        <f>'11_MUNKATABLA'!$K$145</f>
        <v>0</v>
      </c>
      <c r="E23" s="37">
        <f>'03B_NYITO'!$E$145</f>
        <v>0</v>
      </c>
      <c r="F23" s="37">
        <f t="shared" si="0"/>
        <v>0</v>
      </c>
    </row>
    <row r="24" spans="2:6" ht="15" customHeight="1" x14ac:dyDescent="0.3">
      <c r="B24" s="29" t="s">
        <v>170</v>
      </c>
      <c r="C24" s="42" t="str">
        <f>INDEX('90_SEMA'!$G$7:$H$183,140,NYELV_IDX)</f>
        <v>12. Bérjárulékok</v>
      </c>
      <c r="D24" s="37">
        <f>'11_MUNKATABLA'!$K$146</f>
        <v>0</v>
      </c>
      <c r="E24" s="37">
        <f>'03B_NYITO'!$E$146</f>
        <v>0</v>
      </c>
      <c r="F24" s="37">
        <f t="shared" si="0"/>
        <v>0</v>
      </c>
    </row>
    <row r="25" spans="2:6" ht="15" customHeight="1" x14ac:dyDescent="0.3">
      <c r="B25" s="29" t="s">
        <v>167</v>
      </c>
      <c r="C25" s="41" t="str">
        <f>INDEX('90_SEMA'!$G$7:$H$183,137,NYELV_IDX)</f>
        <v>V. Személyi jellegű ráfordítások</v>
      </c>
      <c r="D25" s="31">
        <f>'11_MUNKATABLA'!$K$143</f>
        <v>0</v>
      </c>
      <c r="E25" s="31">
        <f>'03B_NYITO'!$E$143</f>
        <v>0</v>
      </c>
      <c r="F25" s="37">
        <f t="shared" si="0"/>
        <v>0</v>
      </c>
    </row>
    <row r="26" spans="2:6" ht="15" customHeight="1" x14ac:dyDescent="0.3">
      <c r="B26" s="29" t="s">
        <v>171</v>
      </c>
      <c r="C26" s="41" t="str">
        <f>INDEX('90_SEMA'!$G$7:$H$183,141,NYELV_IDX)</f>
        <v>VI. Értékcsökkenési leírás</v>
      </c>
      <c r="D26" s="31">
        <f>'11_MUNKATABLA'!$K$147</f>
        <v>0</v>
      </c>
      <c r="E26" s="31">
        <f>'03B_NYITO'!$E$147</f>
        <v>0</v>
      </c>
      <c r="F26" s="37">
        <f t="shared" si="0"/>
        <v>0</v>
      </c>
    </row>
    <row r="27" spans="2:6" ht="15" customHeight="1" x14ac:dyDescent="0.3">
      <c r="B27" s="29" t="s">
        <v>172</v>
      </c>
      <c r="C27" s="41" t="str">
        <f>INDEX('90_SEMA'!$G$7:$H$183,142,NYELV_IDX)</f>
        <v>VII. Egyéb ráfordítások</v>
      </c>
      <c r="D27" s="31">
        <f>'11_MUNKATABLA'!$K$148</f>
        <v>0</v>
      </c>
      <c r="E27" s="31">
        <f>'03B_NYITO'!$E$148</f>
        <v>0</v>
      </c>
      <c r="F27" s="37">
        <f t="shared" si="0"/>
        <v>0</v>
      </c>
    </row>
    <row r="28" spans="2:6" ht="15" customHeight="1" x14ac:dyDescent="0.3">
      <c r="B28" s="29" t="s">
        <v>173</v>
      </c>
      <c r="C28" s="34" t="str">
        <f>INDEX('90_SEMA'!$G$7:$H$183,143,NYELV_IDX)</f>
        <v xml:space="preserve">     Ebből: értékvesztés</v>
      </c>
      <c r="D28" s="37">
        <f>'11_MUNKATABLA'!$K$149</f>
        <v>0</v>
      </c>
      <c r="E28" s="37">
        <f>'03B_NYITO'!$E$149</f>
        <v>0</v>
      </c>
      <c r="F28" s="37">
        <f t="shared" si="0"/>
        <v>0</v>
      </c>
    </row>
    <row r="29" spans="2:6" ht="15" customHeight="1" x14ac:dyDescent="0.3">
      <c r="B29" s="29" t="s">
        <v>174</v>
      </c>
      <c r="C29" s="41" t="str">
        <f>INDEX('90_SEMA'!$G$7:$H$183,144,NYELV_IDX)</f>
        <v>VII/A. Adósságkonszolidálás miatt keletkező – eredményt csökkentő – konszolidációs különbözet</v>
      </c>
      <c r="D29" s="31">
        <f>'11_MUNKATABLA'!$K$150</f>
        <v>0</v>
      </c>
      <c r="E29" s="31">
        <f>'03B_NYITO'!$E$150</f>
        <v>0</v>
      </c>
      <c r="F29" s="37">
        <f t="shared" si="0"/>
        <v>0</v>
      </c>
    </row>
    <row r="30" spans="2:6" ht="15" customHeight="1" x14ac:dyDescent="0.3">
      <c r="B30" s="14" t="s">
        <v>226</v>
      </c>
      <c r="C30" s="47" t="str">
        <f>INDEX('91_NYELV'!$C$7:$D$303,213,NYELV_IDX)</f>
        <v>A. ÜZEMI (ÜZLETI) TEVÉKENYSÉG EREDMÉNYE</v>
      </c>
      <c r="D30" s="44">
        <f>'11_MUNKATABLA'!$K$128+'11_MUNKATABLA'!$K$131+'11_MUNKATABLA'!$K$134+'11_MUNKATABLA'!$K$136-'11_MUNKATABLA'!$K$137-'11_MUNKATABLA'!$K$143-'11_MUNKATABLA'!$K$147-'11_MUNKATABLA'!$K$148-'11_MUNKATABLA'!$K$150+'11_MUNKATABLA'!$K$86</f>
        <v>0</v>
      </c>
      <c r="E30" s="44">
        <f>'03B_NYITO'!$E$128+'03B_NYITO'!$E$131+'03B_NYITO'!$E$134+'03B_NYITO'!$E$136-'03B_NYITO'!$E$137-'03B_NYITO'!$E$143-'03B_NYITO'!$E$147-'03B_NYITO'!$E$148-'03B_NYITO'!$E$150+'03B_NYITO'!$E$86</f>
        <v>0</v>
      </c>
      <c r="F30" s="44">
        <f t="shared" si="0"/>
        <v>0</v>
      </c>
    </row>
    <row r="31" spans="2:6" ht="15" customHeight="1" x14ac:dyDescent="0.3">
      <c r="B31" s="29" t="s">
        <v>176</v>
      </c>
      <c r="C31" s="42" t="str">
        <f>INDEX('90_SEMA'!$G$7:$H$183,146,NYELV_IDX)</f>
        <v>13/a. Kapott osztalékok társult vállalkozástól</v>
      </c>
      <c r="D31" s="37">
        <f>'11_MUNKATABLA'!$K$152</f>
        <v>0</v>
      </c>
      <c r="E31" s="37">
        <f>'03B_NYITO'!$E$152</f>
        <v>0</v>
      </c>
      <c r="F31" s="37">
        <f t="shared" si="0"/>
        <v>0</v>
      </c>
    </row>
    <row r="32" spans="2:6" ht="15" customHeight="1" x14ac:dyDescent="0.3">
      <c r="B32" s="29" t="s">
        <v>177</v>
      </c>
      <c r="C32" s="34" t="str">
        <f>INDEX('90_SEMA'!$G$7:$H$183,147,NYELV_IDX)</f>
        <v xml:space="preserve">     Ebből: kapcsolt vállalkozástól kapott</v>
      </c>
      <c r="D32" s="37">
        <f>'11_MUNKATABLA'!$K$153</f>
        <v>0</v>
      </c>
      <c r="E32" s="37">
        <f>'03B_NYITO'!$E$153</f>
        <v>0</v>
      </c>
      <c r="F32" s="37">
        <f t="shared" si="0"/>
        <v>0</v>
      </c>
    </row>
    <row r="33" spans="2:6" ht="15" customHeight="1" x14ac:dyDescent="0.3">
      <c r="B33" s="29" t="s">
        <v>178</v>
      </c>
      <c r="C33" s="42" t="str">
        <f>INDEX('90_SEMA'!$G$7:$H$183,148,NYELV_IDX)</f>
        <v>13/b. Kapott osztalékok egyéb részesedési viszonyban lévő vállalkozástól</v>
      </c>
      <c r="D33" s="37">
        <f>'11_MUNKATABLA'!$K$154</f>
        <v>0</v>
      </c>
      <c r="E33" s="37">
        <f>'03B_NYITO'!$E$154</f>
        <v>0</v>
      </c>
      <c r="F33" s="37">
        <f t="shared" si="0"/>
        <v>0</v>
      </c>
    </row>
    <row r="34" spans="2:6" ht="15" customHeight="1" x14ac:dyDescent="0.3">
      <c r="B34" s="29" t="s">
        <v>179</v>
      </c>
      <c r="C34" s="34" t="str">
        <f>INDEX('90_SEMA'!$G$7:$H$183,149,NYELV_IDX)</f>
        <v xml:space="preserve">     Ebből: kapcsolt vállalkozástól kapott</v>
      </c>
      <c r="D34" s="37">
        <f>'11_MUNKATABLA'!$K$155</f>
        <v>0</v>
      </c>
      <c r="E34" s="37">
        <f>'03B_NYITO'!$E$155</f>
        <v>0</v>
      </c>
      <c r="F34" s="37">
        <f t="shared" si="0"/>
        <v>0</v>
      </c>
    </row>
    <row r="35" spans="2:6" ht="15" customHeight="1" x14ac:dyDescent="0.3">
      <c r="B35" s="29" t="s">
        <v>180</v>
      </c>
      <c r="C35" s="42" t="str">
        <f>INDEX('90_SEMA'!$G$7:$H$183,150,NYELV_IDX)</f>
        <v>14. Részesedésekből származó bevételek, árfolyamnyereségek</v>
      </c>
      <c r="D35" s="37">
        <f>'11_MUNKATABLA'!$K$156</f>
        <v>0</v>
      </c>
      <c r="E35" s="37">
        <f>'03B_NYITO'!$E$156</f>
        <v>0</v>
      </c>
      <c r="F35" s="37">
        <f t="shared" si="0"/>
        <v>0</v>
      </c>
    </row>
    <row r="36" spans="2:6" ht="15" customHeight="1" x14ac:dyDescent="0.3">
      <c r="B36" s="29" t="s">
        <v>181</v>
      </c>
      <c r="C36" s="34" t="str">
        <f>INDEX('90_SEMA'!$G$7:$H$183,151,NYELV_IDX)</f>
        <v xml:space="preserve">     Ebből: kapcsolt vállalkozástól kapott</v>
      </c>
      <c r="D36" s="37">
        <f>'11_MUNKATABLA'!$K$157</f>
        <v>0</v>
      </c>
      <c r="E36" s="37">
        <f>'03B_NYITO'!$E$157</f>
        <v>0</v>
      </c>
      <c r="F36" s="37">
        <f t="shared" si="0"/>
        <v>0</v>
      </c>
    </row>
    <row r="37" spans="2:6" ht="15" customHeight="1" x14ac:dyDescent="0.3">
      <c r="B37" s="29" t="s">
        <v>182</v>
      </c>
      <c r="C37" s="42" t="str">
        <f>INDEX('90_SEMA'!$G$7:$H$183,152,NYELV_IDX)</f>
        <v>15. Befektetett pénzügyi eszközökből (értékpapírokból, kölcsönökből) származó bevételek, árfolyamnyereségek</v>
      </c>
      <c r="D37" s="37">
        <f>'11_MUNKATABLA'!$K$158</f>
        <v>0</v>
      </c>
      <c r="E37" s="37">
        <f>'03B_NYITO'!$E$158</f>
        <v>0</v>
      </c>
      <c r="F37" s="37">
        <f t="shared" si="0"/>
        <v>0</v>
      </c>
    </row>
    <row r="38" spans="2:6" ht="15" customHeight="1" x14ac:dyDescent="0.3">
      <c r="B38" s="29" t="s">
        <v>183</v>
      </c>
      <c r="C38" s="34" t="str">
        <f>INDEX('90_SEMA'!$G$7:$H$183,153,NYELV_IDX)</f>
        <v xml:space="preserve">     Ebből: kapcsolt vállalkozástól kapott</v>
      </c>
      <c r="D38" s="37">
        <f>'11_MUNKATABLA'!$K$159</f>
        <v>0</v>
      </c>
      <c r="E38" s="37">
        <f>'03B_NYITO'!$E$159</f>
        <v>0</v>
      </c>
      <c r="F38" s="37">
        <f t="shared" si="0"/>
        <v>0</v>
      </c>
    </row>
    <row r="39" spans="2:6" ht="15" customHeight="1" x14ac:dyDescent="0.3">
      <c r="B39" s="29" t="s">
        <v>184</v>
      </c>
      <c r="C39" s="42" t="str">
        <f>INDEX('90_SEMA'!$G$7:$H$183,154,NYELV_IDX)</f>
        <v>16. Egyéb kapott (járó) kamatok és kamatjellegű bevételek</v>
      </c>
      <c r="D39" s="37">
        <f>'11_MUNKATABLA'!$K$160</f>
        <v>0</v>
      </c>
      <c r="E39" s="37">
        <f>'03B_NYITO'!$E$160</f>
        <v>0</v>
      </c>
      <c r="F39" s="37">
        <f t="shared" ref="F39:F63" si="1">$D39-$E39</f>
        <v>0</v>
      </c>
    </row>
    <row r="40" spans="2:6" ht="15" customHeight="1" x14ac:dyDescent="0.3">
      <c r="B40" s="29" t="s">
        <v>185</v>
      </c>
      <c r="C40" s="34" t="str">
        <f>INDEX('90_SEMA'!$G$7:$H$183,155,NYELV_IDX)</f>
        <v xml:space="preserve">     Ebből: kapcsolt vállalkozástól kapott</v>
      </c>
      <c r="D40" s="37">
        <f>'11_MUNKATABLA'!$K$161</f>
        <v>0</v>
      </c>
      <c r="E40" s="37">
        <f>'03B_NYITO'!$E$161</f>
        <v>0</v>
      </c>
      <c r="F40" s="37">
        <f t="shared" si="1"/>
        <v>0</v>
      </c>
    </row>
    <row r="41" spans="2:6" ht="15" customHeight="1" x14ac:dyDescent="0.3">
      <c r="B41" s="29" t="s">
        <v>186</v>
      </c>
      <c r="C41" s="42" t="str">
        <f>INDEX('90_SEMA'!$G$7:$H$183,156,NYELV_IDX)</f>
        <v>17. Pénzügyi műveletek egyéb bevételei</v>
      </c>
      <c r="D41" s="37">
        <f>'11_MUNKATABLA'!$K$162</f>
        <v>0</v>
      </c>
      <c r="E41" s="37">
        <f>'03B_NYITO'!$E$162</f>
        <v>0</v>
      </c>
      <c r="F41" s="37">
        <f t="shared" si="1"/>
        <v>0</v>
      </c>
    </row>
    <row r="42" spans="2:6" ht="15" customHeight="1" x14ac:dyDescent="0.3">
      <c r="B42" s="29" t="s">
        <v>187</v>
      </c>
      <c r="C42" s="34" t="str">
        <f>INDEX('90_SEMA'!$G$7:$H$183,157,NYELV_IDX)</f>
        <v xml:space="preserve">     Ebből: értékelési különbözet</v>
      </c>
      <c r="D42" s="37">
        <f>'11_MUNKATABLA'!$K$163</f>
        <v>0</v>
      </c>
      <c r="E42" s="37">
        <f>'03B_NYITO'!$E$163</f>
        <v>0</v>
      </c>
      <c r="F42" s="37">
        <f t="shared" si="1"/>
        <v>0</v>
      </c>
    </row>
    <row r="43" spans="2:6" ht="15" customHeight="1" x14ac:dyDescent="0.3">
      <c r="B43" s="29" t="s">
        <v>175</v>
      </c>
      <c r="C43" s="41" t="str">
        <f>INDEX('90_SEMA'!$G$7:$H$183,145,NYELV_IDX)</f>
        <v>VIII. Pénzügyi műveletek bevételei</v>
      </c>
      <c r="D43" s="31">
        <f>'11_MUNKATABLA'!$K$151</f>
        <v>0</v>
      </c>
      <c r="E43" s="31">
        <f>'03B_NYITO'!$E$151</f>
        <v>0</v>
      </c>
      <c r="F43" s="37">
        <f t="shared" si="1"/>
        <v>0</v>
      </c>
    </row>
    <row r="44" spans="2:6" ht="15" customHeight="1" x14ac:dyDescent="0.3">
      <c r="B44" s="29" t="s">
        <v>189</v>
      </c>
      <c r="C44" s="42" t="str">
        <f>INDEX('90_SEMA'!$G$7:$H$183,159,NYELV_IDX)</f>
        <v>18. Részesedésekből származó ráfordítások, árfolyamveszteségek</v>
      </c>
      <c r="D44" s="37">
        <f>'11_MUNKATABLA'!$K$165</f>
        <v>0</v>
      </c>
      <c r="E44" s="37">
        <f>'03B_NYITO'!$E$165</f>
        <v>0</v>
      </c>
      <c r="F44" s="37">
        <f t="shared" si="1"/>
        <v>0</v>
      </c>
    </row>
    <row r="45" spans="2:6" ht="15" customHeight="1" x14ac:dyDescent="0.3">
      <c r="B45" s="29" t="s">
        <v>190</v>
      </c>
      <c r="C45" s="34" t="str">
        <f>INDEX('90_SEMA'!$G$7:$H$183,160,NYELV_IDX)</f>
        <v xml:space="preserve">     Ebből: kapcsolt vállalkozásnak adott</v>
      </c>
      <c r="D45" s="37">
        <f>'11_MUNKATABLA'!$K$166</f>
        <v>0</v>
      </c>
      <c r="E45" s="37">
        <f>'03B_NYITO'!$E$166</f>
        <v>0</v>
      </c>
      <c r="F45" s="37">
        <f t="shared" si="1"/>
        <v>0</v>
      </c>
    </row>
    <row r="46" spans="2:6" ht="15" customHeight="1" x14ac:dyDescent="0.3">
      <c r="B46" s="29" t="s">
        <v>191</v>
      </c>
      <c r="C46" s="42" t="str">
        <f>INDEX('90_SEMA'!$G$7:$H$183,161,NYELV_IDX)</f>
        <v>19. Befektetett pénzügyi eszközökből (értékpapírokból, kölcsönökből) származó ráfordítások, árfolyamveszteségek</v>
      </c>
      <c r="D46" s="37">
        <f>'11_MUNKATABLA'!$K$167</f>
        <v>0</v>
      </c>
      <c r="E46" s="37">
        <f>'03B_NYITO'!$E$167</f>
        <v>0</v>
      </c>
      <c r="F46" s="37">
        <f t="shared" si="1"/>
        <v>0</v>
      </c>
    </row>
    <row r="47" spans="2:6" ht="15" customHeight="1" x14ac:dyDescent="0.3">
      <c r="B47" s="29" t="s">
        <v>192</v>
      </c>
      <c r="C47" s="34" t="str">
        <f>INDEX('90_SEMA'!$G$7:$H$183,162,NYELV_IDX)</f>
        <v xml:space="preserve">     Ebből: kapcsolt vállalkozásnak adott</v>
      </c>
      <c r="D47" s="37">
        <f>'11_MUNKATABLA'!$K$168</f>
        <v>0</v>
      </c>
      <c r="E47" s="37">
        <f>'03B_NYITO'!$E$168</f>
        <v>0</v>
      </c>
      <c r="F47" s="37">
        <f t="shared" si="1"/>
        <v>0</v>
      </c>
    </row>
    <row r="48" spans="2:6" ht="15" customHeight="1" x14ac:dyDescent="0.3">
      <c r="B48" s="29" t="s">
        <v>193</v>
      </c>
      <c r="C48" s="42" t="str">
        <f>INDEX('90_SEMA'!$G$7:$H$183,163,NYELV_IDX)</f>
        <v>20. Fizetendő (fizetett) kamatok és kamatjellegű ráfordítások</v>
      </c>
      <c r="D48" s="37">
        <f>'11_MUNKATABLA'!$K$169</f>
        <v>0</v>
      </c>
      <c r="E48" s="37">
        <f>'03B_NYITO'!$E$169</f>
        <v>0</v>
      </c>
      <c r="F48" s="37">
        <f t="shared" si="1"/>
        <v>0</v>
      </c>
    </row>
    <row r="49" spans="2:6" ht="15" customHeight="1" x14ac:dyDescent="0.3">
      <c r="B49" s="29" t="s">
        <v>194</v>
      </c>
      <c r="C49" s="34" t="str">
        <f>INDEX('90_SEMA'!$G$7:$H$183,164,NYELV_IDX)</f>
        <v xml:space="preserve">     Ebből: kapcsolt vállalkozásnak adott</v>
      </c>
      <c r="D49" s="37">
        <f>'11_MUNKATABLA'!$K$170</f>
        <v>0</v>
      </c>
      <c r="E49" s="37">
        <f>'03B_NYITO'!$E$170</f>
        <v>0</v>
      </c>
      <c r="F49" s="37">
        <f t="shared" si="1"/>
        <v>0</v>
      </c>
    </row>
    <row r="50" spans="2:6" ht="15" customHeight="1" x14ac:dyDescent="0.3">
      <c r="B50" s="29" t="s">
        <v>195</v>
      </c>
      <c r="C50" s="42" t="str">
        <f>INDEX('90_SEMA'!$G$7:$H$183,165,NYELV_IDX)</f>
        <v>21. Részesedések, értékpapírok, tartósan adott kölcsönök, bankbetétek értékvesztése</v>
      </c>
      <c r="D50" s="37">
        <f>'11_MUNKATABLA'!$K$171</f>
        <v>0</v>
      </c>
      <c r="E50" s="37">
        <f>'03B_NYITO'!$E$171</f>
        <v>0</v>
      </c>
      <c r="F50" s="37">
        <f t="shared" si="1"/>
        <v>0</v>
      </c>
    </row>
    <row r="51" spans="2:6" ht="15" customHeight="1" x14ac:dyDescent="0.3">
      <c r="B51" s="29" t="s">
        <v>196</v>
      </c>
      <c r="C51" s="42" t="str">
        <f>INDEX('90_SEMA'!$G$7:$H$183,166,NYELV_IDX)</f>
        <v>22. Pénzügyi műveletek egyéb ráfordításai</v>
      </c>
      <c r="D51" s="37">
        <f>'11_MUNKATABLA'!$K$172</f>
        <v>0</v>
      </c>
      <c r="E51" s="37">
        <f>'03B_NYITO'!$E$172</f>
        <v>0</v>
      </c>
      <c r="F51" s="37">
        <f t="shared" si="1"/>
        <v>0</v>
      </c>
    </row>
    <row r="52" spans="2:6" ht="15" customHeight="1" x14ac:dyDescent="0.3">
      <c r="B52" s="29" t="s">
        <v>197</v>
      </c>
      <c r="C52" s="34" t="str">
        <f>INDEX('90_SEMA'!$G$7:$H$183,167,NYELV_IDX)</f>
        <v xml:space="preserve">     Ebből: értékelési különbözet</v>
      </c>
      <c r="D52" s="37">
        <f>'11_MUNKATABLA'!$K$173</f>
        <v>0</v>
      </c>
      <c r="E52" s="37">
        <f>'03B_NYITO'!$E$173</f>
        <v>0</v>
      </c>
      <c r="F52" s="37">
        <f t="shared" si="1"/>
        <v>0</v>
      </c>
    </row>
    <row r="53" spans="2:6" ht="15" customHeight="1" x14ac:dyDescent="0.3">
      <c r="B53" s="29" t="s">
        <v>188</v>
      </c>
      <c r="C53" s="41" t="str">
        <f>INDEX('90_SEMA'!$G$7:$H$183,158,NYELV_IDX)</f>
        <v>IX. Pénzügyi műveletek ráfordításai</v>
      </c>
      <c r="D53" s="31">
        <f>'11_MUNKATABLA'!$K$164</f>
        <v>0</v>
      </c>
      <c r="E53" s="31">
        <f>'03B_NYITO'!$E$164</f>
        <v>0</v>
      </c>
      <c r="F53" s="37">
        <f t="shared" si="1"/>
        <v>0</v>
      </c>
    </row>
    <row r="54" spans="2:6" ht="15" customHeight="1" x14ac:dyDescent="0.3">
      <c r="B54" s="14" t="s">
        <v>227</v>
      </c>
      <c r="C54" s="47" t="str">
        <f>INDEX('91_NYELV'!$C$7:$D$303,214,NYELV_IDX)</f>
        <v>B. PÉNZÜGYI MŰVELETEK EREDMÉNYE</v>
      </c>
      <c r="D54" s="44">
        <f>'11_MUNKATABLA'!$K$151-'11_MUNKATABLA'!$K$164</f>
        <v>0</v>
      </c>
      <c r="E54" s="44">
        <f>'03B_NYITO'!$E$151-'03B_NYITO'!$E$164</f>
        <v>0</v>
      </c>
      <c r="F54" s="44">
        <f t="shared" si="1"/>
        <v>0</v>
      </c>
    </row>
    <row r="55" spans="2:6" ht="15" customHeight="1" x14ac:dyDescent="0.3">
      <c r="B55" s="14" t="s">
        <v>228</v>
      </c>
      <c r="C55" s="47" t="str">
        <f>INDEX('91_NYELV'!$C$7:$D$303,215,NYELV_IDX)</f>
        <v>C. ADÓZÁS ELŐTTI EREDMÉNY</v>
      </c>
      <c r="D55" s="44">
        <f>$D$30+$D$54</f>
        <v>0</v>
      </c>
      <c r="E55" s="44">
        <f>$E$30+$E$54</f>
        <v>0</v>
      </c>
      <c r="F55" s="44">
        <f t="shared" si="1"/>
        <v>0</v>
      </c>
    </row>
    <row r="56" spans="2:6" ht="15" customHeight="1" x14ac:dyDescent="0.3">
      <c r="B56" s="29" t="s">
        <v>198</v>
      </c>
      <c r="C56" s="41" t="str">
        <f>INDEX('90_SEMA'!$G$7:$H$183,168,NYELV_IDX)</f>
        <v>X. Adófizetési kötelezettség</v>
      </c>
      <c r="D56" s="31">
        <f>'11_MUNKATABLA'!$K$174</f>
        <v>0</v>
      </c>
      <c r="E56" s="31">
        <f>'03B_NYITO'!$E$174</f>
        <v>0</v>
      </c>
      <c r="F56" s="37">
        <f t="shared" si="1"/>
        <v>0</v>
      </c>
    </row>
    <row r="57" spans="2:6" ht="15" customHeight="1" x14ac:dyDescent="0.3">
      <c r="B57" s="29" t="s">
        <v>200</v>
      </c>
      <c r="C57" s="41" t="str">
        <f>INDEX('90_SEMA'!$G$7:$H$183,170,NYELV_IDX)</f>
        <v>X/A. Konszolidálásból adódó (számított) társasági adókülönbözet (±)</v>
      </c>
      <c r="D57" s="31">
        <f>'11_MUNKATABLA'!$K$176</f>
        <v>0</v>
      </c>
      <c r="E57" s="31">
        <f>'03B_NYITO'!$E$176</f>
        <v>0</v>
      </c>
      <c r="F57" s="37">
        <f t="shared" si="1"/>
        <v>0</v>
      </c>
    </row>
    <row r="58" spans="2:6" ht="15" customHeight="1" x14ac:dyDescent="0.3">
      <c r="B58" s="29" t="s">
        <v>201</v>
      </c>
      <c r="C58" s="41" t="str">
        <f>INDEX('90_SEMA'!$G$7:$H$183,171,NYELV_IDX)</f>
        <v>X/B. Halasztott adókülönbözet (±) [6. sz. mell.; tartalmilag az X/1. sorral egyezik]</v>
      </c>
      <c r="D58" s="31">
        <f>'11_MUNKATABLA'!$K$177</f>
        <v>0</v>
      </c>
      <c r="E58" s="31">
        <f>'03B_NYITO'!$E$177</f>
        <v>0</v>
      </c>
      <c r="F58" s="37">
        <f t="shared" si="1"/>
        <v>0</v>
      </c>
    </row>
    <row r="59" spans="2:6" ht="15" customHeight="1" x14ac:dyDescent="0.3">
      <c r="B59" s="29" t="s">
        <v>199</v>
      </c>
      <c r="C59" s="41" t="str">
        <f>INDEX('90_SEMA'!$G$7:$H$183,169,NYELV_IDX)</f>
        <v>X/1. Halasztott adókülönbözet (±)</v>
      </c>
      <c r="D59" s="31">
        <f>'11_MUNKATABLA'!$K$175</f>
        <v>0</v>
      </c>
      <c r="E59" s="31">
        <f>'03B_NYITO'!$E$175</f>
        <v>0</v>
      </c>
      <c r="F59" s="37">
        <f t="shared" si="1"/>
        <v>0</v>
      </c>
    </row>
    <row r="60" spans="2:6" ht="15" customHeight="1" x14ac:dyDescent="0.3">
      <c r="B60" s="14" t="s">
        <v>229</v>
      </c>
      <c r="C60" s="47" t="str">
        <f>INDEX('91_NYELV'!$C$7:$D$303,216,NYELV_IDX)</f>
        <v>D. ADÓZOTT EREDMÉNY</v>
      </c>
      <c r="D60" s="44">
        <f>$D$55-'11_MUNKATABLA'!$K$174-'11_MUNKATABLA'!$K$175-'11_MUNKATABLA'!$K$176-'11_MUNKATABLA'!$K$177</f>
        <v>0</v>
      </c>
      <c r="E60" s="44">
        <f>$E$55-'03B_NYITO'!$E$174-'03B_NYITO'!$E$175-'03B_NYITO'!$E$176-'03B_NYITO'!$E$177</f>
        <v>0</v>
      </c>
      <c r="F60" s="44">
        <f t="shared" si="1"/>
        <v>0</v>
      </c>
    </row>
    <row r="61" spans="2:6" ht="15" customHeight="1" x14ac:dyDescent="0.3">
      <c r="B61" s="29" t="s">
        <v>202</v>
      </c>
      <c r="C61" s="41" t="str">
        <f>INDEX('90_SEMA'!$G$7:$H$183,172,NYELV_IDX)</f>
        <v>Leányvállalatok adózott eredményéből külső tagok (más tulajdonosok) részesedése</v>
      </c>
      <c r="D61" s="31">
        <f>'11_MUNKATABLA'!$K$178</f>
        <v>0</v>
      </c>
      <c r="E61" s="31">
        <f>'03B_NYITO'!$E$178</f>
        <v>0</v>
      </c>
      <c r="F61" s="37">
        <f t="shared" si="1"/>
        <v>0</v>
      </c>
    </row>
    <row r="62" spans="2:6" ht="15" customHeight="1" x14ac:dyDescent="0.3">
      <c r="B62" s="14" t="s">
        <v>230</v>
      </c>
      <c r="C62" s="47" t="str">
        <f>INDEX('91_NYELV'!$C$7:$D$303,217,NYELV_IDX)</f>
        <v>E. KORRIGÁLT ADÓZOTT EREDMÉNY</v>
      </c>
      <c r="D62" s="44">
        <f>$D$60-'11_MUNKATABLA'!$K$178</f>
        <v>0</v>
      </c>
      <c r="E62" s="44">
        <f>$E$60-'03B_NYITO'!$E$178</f>
        <v>0</v>
      </c>
      <c r="F62" s="44">
        <f t="shared" si="1"/>
        <v>0</v>
      </c>
    </row>
    <row r="63" spans="2:6" x14ac:dyDescent="0.3">
      <c r="B63" s="29" t="s">
        <v>110</v>
      </c>
      <c r="C63" s="34" t="str">
        <f>IF(NYELV_IDX=1,"Devizás átszámítás különbözete [Szt. 123. § (9)]","Currency translation difference [Accounting Act s.123(9)]")</f>
        <v>Devizás átszámítás különbözete [Szt. 123. § (9)]</v>
      </c>
      <c r="D63" s="37">
        <f>'11_MUNKATABLA'!$K$86</f>
        <v>0</v>
      </c>
      <c r="E63" s="37">
        <f>'03B_NYITO'!$E$86</f>
        <v>0</v>
      </c>
      <c r="F63" s="1">
        <f t="shared" si="1"/>
        <v>0</v>
      </c>
    </row>
    <row r="64" spans="2:6" x14ac:dyDescent="0.3">
      <c r="B64" s="29"/>
      <c r="C64" s="34"/>
      <c r="D64" s="37"/>
      <c r="E64" s="37"/>
    </row>
  </sheetData>
  <sheetProtection algorithmName="SHA-512" hashValue="ePuTWX1sTNbIUzqJF3k0PwzJ11s4pdk6pDW4XnmPWUOSm5ftJswu64+bP5fHMUuKyAVke+CFcVclvSUWuWprNw==" saltValue="7rYECmFa1pKxL6eojKumQg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Munka17"/>
  <dimension ref="B1:F59"/>
  <sheetViews>
    <sheetView showGridLines="0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6640625" defaultRowHeight="14.4" x14ac:dyDescent="0.3"/>
  <cols>
    <col min="2" max="2" width="14" style="1" customWidth="1"/>
    <col min="3" max="3" width="70" style="1" customWidth="1"/>
    <col min="4" max="5" width="20" style="1" customWidth="1"/>
    <col min="6" max="6" width="18" style="1" customWidth="1"/>
  </cols>
  <sheetData>
    <row r="1" spans="2:6" ht="79.5" customHeight="1" x14ac:dyDescent="0.3"/>
    <row r="3" spans="2:6" ht="19.5" customHeight="1" x14ac:dyDescent="0.4">
      <c r="B3" s="12" t="str">
        <f>INDEX('91_NYELV'!$C$7:$D$303,254,NYELV_IDX) &amp; IF(EK_VALT=2,""," – NEM AKTÍV (jelenleg a(z) " &amp; '01_BEALLITASOK'!$C$17 &amp; " van kiválasztva)")</f>
        <v>13/B. Konszolidált eredménykimutatás – forgalmi költség eljárással [3. sz. melléklet] – NEM AKTÍV (jelenleg a(z) Összköltség eljárás van kiválasztva)</v>
      </c>
    </row>
    <row r="4" spans="2:6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6" ht="15" customHeight="1" x14ac:dyDescent="0.3">
      <c r="B6" s="20" t="str">
        <f>INDEX('91_NYELV'!$C$7:$D$303,82,NYELV_IDX)</f>
        <v>Kód</v>
      </c>
      <c r="C6" s="20" t="str">
        <f>INDEX('91_NYELV'!$C$7:$D$303,83,NYELV_IDX)</f>
        <v>Megnevezés</v>
      </c>
      <c r="D6" s="20" t="str">
        <f>INDEX('91_NYELV'!$C$7:$D$303,161,NYELV_IDX)</f>
        <v>Tárgyév</v>
      </c>
      <c r="E6" s="20" t="str">
        <f>INDEX('91_NYELV'!$C$7:$D$303,162,NYELV_IDX)</f>
        <v>Előző év</v>
      </c>
      <c r="F6" s="20" t="str">
        <f>INDEX('91_NYELV'!$C$7:$D$303,163,NYELV_IDX)</f>
        <v>Változás</v>
      </c>
    </row>
    <row r="7" spans="2:6" ht="15" customHeight="1" x14ac:dyDescent="0.3">
      <c r="B7" s="29" t="s">
        <v>153</v>
      </c>
      <c r="C7" s="42" t="str">
        <f>INDEX('90_SEMA'!$G$7:$H$183,123,NYELV_IDX)</f>
        <v>01. Belföldi értékesítés nettó árbevétele</v>
      </c>
      <c r="D7" s="37">
        <f>'11_MUNKATABLA'!$K$129</f>
        <v>0</v>
      </c>
      <c r="E7" s="37">
        <f>'03B_NYITO'!$E$129</f>
        <v>0</v>
      </c>
      <c r="F7" s="37">
        <f t="shared" ref="F7:F38" si="0">$D7-$E7</f>
        <v>0</v>
      </c>
    </row>
    <row r="8" spans="2:6" ht="15" customHeight="1" x14ac:dyDescent="0.3">
      <c r="B8" s="29" t="s">
        <v>154</v>
      </c>
      <c r="C8" s="42" t="str">
        <f>INDEX('90_SEMA'!$G$7:$H$183,124,NYELV_IDX)</f>
        <v>02. Exportértékesítés nettó árbevétele</v>
      </c>
      <c r="D8" s="37">
        <f>'11_MUNKATABLA'!$K$130</f>
        <v>0</v>
      </c>
      <c r="E8" s="37">
        <f>'03B_NYITO'!$E$130</f>
        <v>0</v>
      </c>
      <c r="F8" s="37">
        <f t="shared" si="0"/>
        <v>0</v>
      </c>
    </row>
    <row r="9" spans="2:6" ht="15" customHeight="1" x14ac:dyDescent="0.3">
      <c r="B9" s="29" t="s">
        <v>152</v>
      </c>
      <c r="C9" s="41" t="str">
        <f>INDEX('90_SEMA'!$G$7:$H$183,122,NYELV_IDX)</f>
        <v>I. Értékesítés nettó árbevétele</v>
      </c>
      <c r="D9" s="31">
        <f>'11_MUNKATABLA'!$K$128</f>
        <v>0</v>
      </c>
      <c r="E9" s="31">
        <f>'03B_NYITO'!$E$128</f>
        <v>0</v>
      </c>
      <c r="F9" s="37">
        <f t="shared" si="0"/>
        <v>0</v>
      </c>
    </row>
    <row r="10" spans="2:6" ht="15" customHeight="1" x14ac:dyDescent="0.3">
      <c r="B10" s="29" t="s">
        <v>204</v>
      </c>
      <c r="C10" s="42" t="str">
        <f>INDEX('90_SEMA'!$G$7:$H$183,174,NYELV_IDX)</f>
        <v>03. Értékesítés elszámolt közvetlen önköltsége</v>
      </c>
      <c r="D10" s="37">
        <f>'11_MUNKATABLA'!$K$180</f>
        <v>0</v>
      </c>
      <c r="E10" s="37">
        <f>'03B_NYITO'!$E$180</f>
        <v>0</v>
      </c>
      <c r="F10" s="37">
        <f t="shared" si="0"/>
        <v>0</v>
      </c>
    </row>
    <row r="11" spans="2:6" ht="15" customHeight="1" x14ac:dyDescent="0.3">
      <c r="B11" s="29" t="s">
        <v>165</v>
      </c>
      <c r="C11" s="42" t="str">
        <f>INDEX('91_NYELV'!$C$7:$D$303,272,NYELV_IDX)</f>
        <v>04. Eladott áruk beszerzési értéke</v>
      </c>
      <c r="D11" s="37">
        <f>'11_MUNKATABLA'!$K$141</f>
        <v>0</v>
      </c>
      <c r="E11" s="37">
        <f>'03B_NYITO'!$E$141</f>
        <v>0</v>
      </c>
      <c r="F11" s="37">
        <f t="shared" si="0"/>
        <v>0</v>
      </c>
    </row>
    <row r="12" spans="2:6" ht="15" customHeight="1" x14ac:dyDescent="0.3">
      <c r="B12" s="29" t="s">
        <v>166</v>
      </c>
      <c r="C12" s="42" t="str">
        <f>INDEX('91_NYELV'!$C$7:$D$303,273,NYELV_IDX)</f>
        <v>05. Eladott (közvetített) szolgáltatások értéke</v>
      </c>
      <c r="D12" s="37">
        <f>'11_MUNKATABLA'!$K$142</f>
        <v>0</v>
      </c>
      <c r="E12" s="37">
        <f>'03B_NYITO'!$E$142</f>
        <v>0</v>
      </c>
      <c r="F12" s="37">
        <f t="shared" si="0"/>
        <v>0</v>
      </c>
    </row>
    <row r="13" spans="2:6" ht="15" customHeight="1" x14ac:dyDescent="0.3">
      <c r="B13" s="29" t="s">
        <v>231</v>
      </c>
      <c r="C13" s="48" t="str">
        <f>INDEX('91_NYELV'!$C$7:$D$303,274,NYELV_IDX)</f>
        <v>II. Értékesítés közvetlen költségei (03+04+05)</v>
      </c>
      <c r="D13" s="31">
        <f>$D$10+$D$11+$D$12</f>
        <v>0</v>
      </c>
      <c r="E13" s="31">
        <f>$E$10+$E$11+$E$12</f>
        <v>0</v>
      </c>
      <c r="F13" s="37">
        <f t="shared" si="0"/>
        <v>0</v>
      </c>
    </row>
    <row r="14" spans="2:6" ht="15" customHeight="1" x14ac:dyDescent="0.3">
      <c r="B14" s="29" t="s">
        <v>232</v>
      </c>
      <c r="C14" s="48" t="str">
        <f>INDEX('91_NYELV'!$C$7:$D$303,275,NYELV_IDX)</f>
        <v>III. Értékesítés bruttó eredménye (I–II)</v>
      </c>
      <c r="D14" s="31">
        <f>$D$9-$D$13</f>
        <v>0</v>
      </c>
      <c r="E14" s="31">
        <f>$E$9-$E$13</f>
        <v>0</v>
      </c>
      <c r="F14" s="37">
        <f t="shared" si="0"/>
        <v>0</v>
      </c>
    </row>
    <row r="15" spans="2:6" ht="15" customHeight="1" x14ac:dyDescent="0.3">
      <c r="B15" s="29" t="s">
        <v>205</v>
      </c>
      <c r="C15" s="42" t="str">
        <f>INDEX('90_SEMA'!$G$7:$H$183,175,NYELV_IDX)</f>
        <v>06. Értékesítési, forgalmazási költségek</v>
      </c>
      <c r="D15" s="37">
        <f>'11_MUNKATABLA'!$K$181</f>
        <v>0</v>
      </c>
      <c r="E15" s="37">
        <f>'03B_NYITO'!$E$181</f>
        <v>0</v>
      </c>
      <c r="F15" s="37">
        <f t="shared" si="0"/>
        <v>0</v>
      </c>
    </row>
    <row r="16" spans="2:6" ht="15" customHeight="1" x14ac:dyDescent="0.3">
      <c r="B16" s="29" t="s">
        <v>206</v>
      </c>
      <c r="C16" s="42" t="str">
        <f>INDEX('90_SEMA'!$G$7:$H$183,176,NYELV_IDX)</f>
        <v>07. Igazgatási költségek</v>
      </c>
      <c r="D16" s="37">
        <f>'11_MUNKATABLA'!$K$182</f>
        <v>0</v>
      </c>
      <c r="E16" s="37">
        <f>'03B_NYITO'!$E$182</f>
        <v>0</v>
      </c>
      <c r="F16" s="37">
        <f t="shared" si="0"/>
        <v>0</v>
      </c>
    </row>
    <row r="17" spans="2:6" ht="15" customHeight="1" x14ac:dyDescent="0.3">
      <c r="B17" s="29" t="s">
        <v>207</v>
      </c>
      <c r="C17" s="42" t="str">
        <f>INDEX('90_SEMA'!$G$7:$H$183,177,NYELV_IDX)</f>
        <v>08. Egyéb általános költségek</v>
      </c>
      <c r="D17" s="37">
        <f>'11_MUNKATABLA'!$K$183</f>
        <v>0</v>
      </c>
      <c r="E17" s="37">
        <f>'03B_NYITO'!$E$183</f>
        <v>0</v>
      </c>
      <c r="F17" s="37">
        <f t="shared" si="0"/>
        <v>0</v>
      </c>
    </row>
    <row r="18" spans="2:6" ht="15" customHeight="1" x14ac:dyDescent="0.3">
      <c r="B18" s="29" t="s">
        <v>233</v>
      </c>
      <c r="C18" s="48" t="str">
        <f>INDEX('91_NYELV'!$C$7:$D$303,276,NYELV_IDX)</f>
        <v>IV. Értékesítés közvetett költségei (06+07+08)</v>
      </c>
      <c r="D18" s="31">
        <f>$D$15+$D$16+$D$17</f>
        <v>0</v>
      </c>
      <c r="E18" s="31">
        <f>$E$15+$E$16+$E$17</f>
        <v>0</v>
      </c>
      <c r="F18" s="37">
        <f t="shared" si="0"/>
        <v>0</v>
      </c>
    </row>
    <row r="19" spans="2:6" ht="15" customHeight="1" x14ac:dyDescent="0.3">
      <c r="B19" s="29" t="s">
        <v>158</v>
      </c>
      <c r="C19" s="41" t="str">
        <f>INDEX('91_NYELV'!$C$7:$D$303,277,NYELV_IDX)</f>
        <v>V. Egyéb bevételek</v>
      </c>
      <c r="D19" s="31">
        <f>'11_MUNKATABLA'!$K$134</f>
        <v>0</v>
      </c>
      <c r="E19" s="31">
        <f>'03B_NYITO'!$E$134</f>
        <v>0</v>
      </c>
      <c r="F19" s="37">
        <f t="shared" si="0"/>
        <v>0</v>
      </c>
    </row>
    <row r="20" spans="2:6" ht="15" customHeight="1" x14ac:dyDescent="0.3">
      <c r="B20" s="29" t="s">
        <v>159</v>
      </c>
      <c r="C20" s="34" t="str">
        <f>INDEX('90_SEMA'!$G$7:$H$183,129,NYELV_IDX)</f>
        <v xml:space="preserve">     Ebből: visszaírt értékvesztés</v>
      </c>
      <c r="D20" s="37">
        <f>'11_MUNKATABLA'!$K$135</f>
        <v>0</v>
      </c>
      <c r="E20" s="37">
        <f>'03B_NYITO'!$E$135</f>
        <v>0</v>
      </c>
      <c r="F20" s="37">
        <f t="shared" si="0"/>
        <v>0</v>
      </c>
    </row>
    <row r="21" spans="2:6" ht="15" customHeight="1" x14ac:dyDescent="0.3">
      <c r="B21" s="29" t="s">
        <v>160</v>
      </c>
      <c r="C21" s="41" t="str">
        <f>INDEX('90_SEMA'!$G$7:$H$183,130,NYELV_IDX)</f>
        <v>III/A. Adósságkonszolidálás miatt keletkező – eredményt növelő – konszolidációs különbözet</v>
      </c>
      <c r="D21" s="31">
        <f>'11_MUNKATABLA'!$K$136</f>
        <v>0</v>
      </c>
      <c r="E21" s="31">
        <f>'03B_NYITO'!$E$136</f>
        <v>0</v>
      </c>
      <c r="F21" s="37">
        <f t="shared" si="0"/>
        <v>0</v>
      </c>
    </row>
    <row r="22" spans="2:6" ht="15" customHeight="1" x14ac:dyDescent="0.3">
      <c r="B22" s="29" t="s">
        <v>172</v>
      </c>
      <c r="C22" s="41" t="str">
        <f>INDEX('91_NYELV'!$C$7:$D$303,278,NYELV_IDX)</f>
        <v>VI. Egyéb ráfordítások</v>
      </c>
      <c r="D22" s="31">
        <f>'11_MUNKATABLA'!$K$148</f>
        <v>0</v>
      </c>
      <c r="E22" s="31">
        <f>'03B_NYITO'!$E$148</f>
        <v>0</v>
      </c>
      <c r="F22" s="37">
        <f t="shared" si="0"/>
        <v>0</v>
      </c>
    </row>
    <row r="23" spans="2:6" ht="15" customHeight="1" x14ac:dyDescent="0.3">
      <c r="B23" s="29" t="s">
        <v>173</v>
      </c>
      <c r="C23" s="34" t="str">
        <f>INDEX('90_SEMA'!$G$7:$H$183,143,NYELV_IDX)</f>
        <v xml:space="preserve">     Ebből: értékvesztés</v>
      </c>
      <c r="D23" s="37">
        <f>'11_MUNKATABLA'!$K$149</f>
        <v>0</v>
      </c>
      <c r="E23" s="37">
        <f>'03B_NYITO'!$E$149</f>
        <v>0</v>
      </c>
      <c r="F23" s="37">
        <f t="shared" si="0"/>
        <v>0</v>
      </c>
    </row>
    <row r="24" spans="2:6" ht="15" customHeight="1" x14ac:dyDescent="0.3">
      <c r="B24" s="29" t="s">
        <v>174</v>
      </c>
      <c r="C24" s="41" t="str">
        <f>INDEX('90_SEMA'!$G$7:$H$183,144,NYELV_IDX)</f>
        <v>VII/A. Adósságkonszolidálás miatt keletkező – eredményt csökkentő – konszolidációs különbözet</v>
      </c>
      <c r="D24" s="31">
        <f>'11_MUNKATABLA'!$K$150</f>
        <v>0</v>
      </c>
      <c r="E24" s="31">
        <f>'03B_NYITO'!$E$150</f>
        <v>0</v>
      </c>
      <c r="F24" s="37">
        <f t="shared" si="0"/>
        <v>0</v>
      </c>
    </row>
    <row r="25" spans="2:6" ht="15" customHeight="1" x14ac:dyDescent="0.3">
      <c r="B25" s="29" t="s">
        <v>226</v>
      </c>
      <c r="C25" s="45" t="str">
        <f>INDEX('91_NYELV'!$C$7:$D$303,279,NYELV_IDX)</f>
        <v>A. Üzemi (üzleti) tevékenység eredménye (+III–IV+V–VI)</v>
      </c>
      <c r="D25" s="44">
        <f>$D$14-$D$18+$D$19+$D$21-$D$22-$D$24+'11_MUNKATABLA'!$K$86</f>
        <v>0</v>
      </c>
      <c r="E25" s="44">
        <f>$E$14-$E$18+$E$19+$E$21-$E$22-$E$24+'03B_NYITO'!$E$86</f>
        <v>0</v>
      </c>
      <c r="F25" s="37">
        <f t="shared" si="0"/>
        <v>0</v>
      </c>
    </row>
    <row r="26" spans="2:6" ht="15" customHeight="1" x14ac:dyDescent="0.3">
      <c r="B26" s="29" t="s">
        <v>176</v>
      </c>
      <c r="C26" s="42" t="str">
        <f>INDEX('90_SEMA'!$G$7:$H$183,146,NYELV_IDX)</f>
        <v>13/a. Kapott osztalékok társult vállalkozástól</v>
      </c>
      <c r="D26" s="37">
        <f>'11_MUNKATABLA'!$K$152</f>
        <v>0</v>
      </c>
      <c r="E26" s="37">
        <f>'03B_NYITO'!$E$152</f>
        <v>0</v>
      </c>
      <c r="F26" s="37">
        <f t="shared" si="0"/>
        <v>0</v>
      </c>
    </row>
    <row r="27" spans="2:6" ht="15" customHeight="1" x14ac:dyDescent="0.3">
      <c r="B27" s="29" t="s">
        <v>177</v>
      </c>
      <c r="C27" s="34" t="str">
        <f>INDEX('90_SEMA'!$G$7:$H$183,147,NYELV_IDX)</f>
        <v xml:space="preserve">     Ebből: kapcsolt vállalkozástól kapott</v>
      </c>
      <c r="D27" s="37">
        <f>'11_MUNKATABLA'!$K$153</f>
        <v>0</v>
      </c>
      <c r="E27" s="37">
        <f>'03B_NYITO'!$E$153</f>
        <v>0</v>
      </c>
      <c r="F27" s="37">
        <f t="shared" si="0"/>
        <v>0</v>
      </c>
    </row>
    <row r="28" spans="2:6" ht="15" customHeight="1" x14ac:dyDescent="0.3">
      <c r="B28" s="29" t="s">
        <v>178</v>
      </c>
      <c r="C28" s="42" t="str">
        <f>INDEX('90_SEMA'!$G$7:$H$183,148,NYELV_IDX)</f>
        <v>13/b. Kapott osztalékok egyéb részesedési viszonyban lévő vállalkozástól</v>
      </c>
      <c r="D28" s="37">
        <f>'11_MUNKATABLA'!$K$154</f>
        <v>0</v>
      </c>
      <c r="E28" s="37">
        <f>'03B_NYITO'!$E$154</f>
        <v>0</v>
      </c>
      <c r="F28" s="37">
        <f t="shared" si="0"/>
        <v>0</v>
      </c>
    </row>
    <row r="29" spans="2:6" ht="15" customHeight="1" x14ac:dyDescent="0.3">
      <c r="B29" s="29" t="s">
        <v>179</v>
      </c>
      <c r="C29" s="34" t="str">
        <f>INDEX('90_SEMA'!$G$7:$H$183,149,NYELV_IDX)</f>
        <v xml:space="preserve">     Ebből: kapcsolt vállalkozástól kapott</v>
      </c>
      <c r="D29" s="37">
        <f>'11_MUNKATABLA'!$K$155</f>
        <v>0</v>
      </c>
      <c r="E29" s="37">
        <f>'03B_NYITO'!$E$155</f>
        <v>0</v>
      </c>
      <c r="F29" s="37">
        <f t="shared" si="0"/>
        <v>0</v>
      </c>
    </row>
    <row r="30" spans="2:6" ht="15" customHeight="1" x14ac:dyDescent="0.3">
      <c r="B30" s="29" t="s">
        <v>180</v>
      </c>
      <c r="C30" s="42" t="str">
        <f>INDEX('90_SEMA'!$G$7:$H$183,150,NYELV_IDX)</f>
        <v>14. Részesedésekből származó bevételek, árfolyamnyereségek</v>
      </c>
      <c r="D30" s="37">
        <f>'11_MUNKATABLA'!$K$156</f>
        <v>0</v>
      </c>
      <c r="E30" s="37">
        <f>'03B_NYITO'!$E$156</f>
        <v>0</v>
      </c>
      <c r="F30" s="37">
        <f t="shared" si="0"/>
        <v>0</v>
      </c>
    </row>
    <row r="31" spans="2:6" ht="15" customHeight="1" x14ac:dyDescent="0.3">
      <c r="B31" s="29" t="s">
        <v>181</v>
      </c>
      <c r="C31" s="34" t="str">
        <f>INDEX('90_SEMA'!$G$7:$H$183,151,NYELV_IDX)</f>
        <v xml:space="preserve">     Ebből: kapcsolt vállalkozástól kapott</v>
      </c>
      <c r="D31" s="37">
        <f>'11_MUNKATABLA'!$K$157</f>
        <v>0</v>
      </c>
      <c r="E31" s="37">
        <f>'03B_NYITO'!$E$157</f>
        <v>0</v>
      </c>
      <c r="F31" s="37">
        <f t="shared" si="0"/>
        <v>0</v>
      </c>
    </row>
    <row r="32" spans="2:6" ht="15" customHeight="1" x14ac:dyDescent="0.3">
      <c r="B32" s="29" t="s">
        <v>182</v>
      </c>
      <c r="C32" s="42" t="str">
        <f>INDEX('90_SEMA'!$G$7:$H$183,152,NYELV_IDX)</f>
        <v>15. Befektetett pénzügyi eszközökből (értékpapírokból, kölcsönökből) származó bevételek, árfolyamnyereségek</v>
      </c>
      <c r="D32" s="37">
        <f>'11_MUNKATABLA'!$K$158</f>
        <v>0</v>
      </c>
      <c r="E32" s="37">
        <f>'03B_NYITO'!$E$158</f>
        <v>0</v>
      </c>
      <c r="F32" s="37">
        <f t="shared" si="0"/>
        <v>0</v>
      </c>
    </row>
    <row r="33" spans="2:6" ht="15" customHeight="1" x14ac:dyDescent="0.3">
      <c r="B33" s="29" t="s">
        <v>183</v>
      </c>
      <c r="C33" s="34" t="str">
        <f>INDEX('90_SEMA'!$G$7:$H$183,153,NYELV_IDX)</f>
        <v xml:space="preserve">     Ebből: kapcsolt vállalkozástól kapott</v>
      </c>
      <c r="D33" s="37">
        <f>'11_MUNKATABLA'!$K$159</f>
        <v>0</v>
      </c>
      <c r="E33" s="37">
        <f>'03B_NYITO'!$E$159</f>
        <v>0</v>
      </c>
      <c r="F33" s="37">
        <f t="shared" si="0"/>
        <v>0</v>
      </c>
    </row>
    <row r="34" spans="2:6" ht="15" customHeight="1" x14ac:dyDescent="0.3">
      <c r="B34" s="29" t="s">
        <v>184</v>
      </c>
      <c r="C34" s="42" t="str">
        <f>INDEX('90_SEMA'!$G$7:$H$183,154,NYELV_IDX)</f>
        <v>16. Egyéb kapott (járó) kamatok és kamatjellegű bevételek</v>
      </c>
      <c r="D34" s="37">
        <f>'11_MUNKATABLA'!$K$160</f>
        <v>0</v>
      </c>
      <c r="E34" s="37">
        <f>'03B_NYITO'!$E$160</f>
        <v>0</v>
      </c>
      <c r="F34" s="37">
        <f t="shared" si="0"/>
        <v>0</v>
      </c>
    </row>
    <row r="35" spans="2:6" ht="15" customHeight="1" x14ac:dyDescent="0.3">
      <c r="B35" s="29" t="s">
        <v>185</v>
      </c>
      <c r="C35" s="34" t="str">
        <f>INDEX('90_SEMA'!$G$7:$H$183,155,NYELV_IDX)</f>
        <v xml:space="preserve">     Ebből: kapcsolt vállalkozástól kapott</v>
      </c>
      <c r="D35" s="37">
        <f>'11_MUNKATABLA'!$K$161</f>
        <v>0</v>
      </c>
      <c r="E35" s="37">
        <f>'03B_NYITO'!$E$161</f>
        <v>0</v>
      </c>
      <c r="F35" s="37">
        <f t="shared" si="0"/>
        <v>0</v>
      </c>
    </row>
    <row r="36" spans="2:6" ht="15" customHeight="1" x14ac:dyDescent="0.3">
      <c r="B36" s="29" t="s">
        <v>186</v>
      </c>
      <c r="C36" s="42" t="str">
        <f>INDEX('90_SEMA'!$G$7:$H$183,156,NYELV_IDX)</f>
        <v>17. Pénzügyi műveletek egyéb bevételei</v>
      </c>
      <c r="D36" s="37">
        <f>'11_MUNKATABLA'!$K$162</f>
        <v>0</v>
      </c>
      <c r="E36" s="37">
        <f>'03B_NYITO'!$E$162</f>
        <v>0</v>
      </c>
      <c r="F36" s="37">
        <f t="shared" si="0"/>
        <v>0</v>
      </c>
    </row>
    <row r="37" spans="2:6" ht="15" customHeight="1" x14ac:dyDescent="0.3">
      <c r="B37" s="29" t="s">
        <v>187</v>
      </c>
      <c r="C37" s="34" t="str">
        <f>INDEX('90_SEMA'!$G$7:$H$183,157,NYELV_IDX)</f>
        <v xml:space="preserve">     Ebből: értékelési különbözet</v>
      </c>
      <c r="D37" s="37">
        <f>'11_MUNKATABLA'!$K$163</f>
        <v>0</v>
      </c>
      <c r="E37" s="37">
        <f>'03B_NYITO'!$E$163</f>
        <v>0</v>
      </c>
      <c r="F37" s="37">
        <f t="shared" si="0"/>
        <v>0</v>
      </c>
    </row>
    <row r="38" spans="2:6" ht="15" customHeight="1" x14ac:dyDescent="0.3">
      <c r="B38" s="29" t="s">
        <v>175</v>
      </c>
      <c r="C38" s="41" t="str">
        <f>INDEX('90_SEMA'!$G$7:$H$183,145,NYELV_IDX)</f>
        <v>VIII. Pénzügyi műveletek bevételei</v>
      </c>
      <c r="D38" s="31">
        <f>'11_MUNKATABLA'!$K$151</f>
        <v>0</v>
      </c>
      <c r="E38" s="31">
        <f>'03B_NYITO'!$E$151</f>
        <v>0</v>
      </c>
      <c r="F38" s="37">
        <f t="shared" si="0"/>
        <v>0</v>
      </c>
    </row>
    <row r="39" spans="2:6" ht="15" customHeight="1" x14ac:dyDescent="0.3">
      <c r="B39" s="29" t="s">
        <v>189</v>
      </c>
      <c r="C39" s="42" t="str">
        <f>INDEX('90_SEMA'!$G$7:$H$183,159,NYELV_IDX)</f>
        <v>18. Részesedésekből származó ráfordítások, árfolyamveszteségek</v>
      </c>
      <c r="D39" s="37">
        <f>'11_MUNKATABLA'!$K$165</f>
        <v>0</v>
      </c>
      <c r="E39" s="37">
        <f>'03B_NYITO'!$E$165</f>
        <v>0</v>
      </c>
      <c r="F39" s="37">
        <f t="shared" ref="F39:F58" si="1">$D39-$E39</f>
        <v>0</v>
      </c>
    </row>
    <row r="40" spans="2:6" ht="15" customHeight="1" x14ac:dyDescent="0.3">
      <c r="B40" s="29" t="s">
        <v>190</v>
      </c>
      <c r="C40" s="34" t="str">
        <f>INDEX('90_SEMA'!$G$7:$H$183,160,NYELV_IDX)</f>
        <v xml:space="preserve">     Ebből: kapcsolt vállalkozásnak adott</v>
      </c>
      <c r="D40" s="37">
        <f>'11_MUNKATABLA'!$K$166</f>
        <v>0</v>
      </c>
      <c r="E40" s="37">
        <f>'03B_NYITO'!$E$166</f>
        <v>0</v>
      </c>
      <c r="F40" s="37">
        <f t="shared" si="1"/>
        <v>0</v>
      </c>
    </row>
    <row r="41" spans="2:6" ht="15" customHeight="1" x14ac:dyDescent="0.3">
      <c r="B41" s="29" t="s">
        <v>191</v>
      </c>
      <c r="C41" s="42" t="str">
        <f>INDEX('90_SEMA'!$G$7:$H$183,161,NYELV_IDX)</f>
        <v>19. Befektetett pénzügyi eszközökből (értékpapírokból, kölcsönökből) származó ráfordítások, árfolyamveszteségek</v>
      </c>
      <c r="D41" s="37">
        <f>'11_MUNKATABLA'!$K$167</f>
        <v>0</v>
      </c>
      <c r="E41" s="37">
        <f>'03B_NYITO'!$E$167</f>
        <v>0</v>
      </c>
      <c r="F41" s="37">
        <f t="shared" si="1"/>
        <v>0</v>
      </c>
    </row>
    <row r="42" spans="2:6" ht="15" customHeight="1" x14ac:dyDescent="0.3">
      <c r="B42" s="29" t="s">
        <v>192</v>
      </c>
      <c r="C42" s="34" t="str">
        <f>INDEX('90_SEMA'!$G$7:$H$183,162,NYELV_IDX)</f>
        <v xml:space="preserve">     Ebből: kapcsolt vállalkozásnak adott</v>
      </c>
      <c r="D42" s="37">
        <f>'11_MUNKATABLA'!$K$168</f>
        <v>0</v>
      </c>
      <c r="E42" s="37">
        <f>'03B_NYITO'!$E$168</f>
        <v>0</v>
      </c>
      <c r="F42" s="37">
        <f t="shared" si="1"/>
        <v>0</v>
      </c>
    </row>
    <row r="43" spans="2:6" ht="15" customHeight="1" x14ac:dyDescent="0.3">
      <c r="B43" s="29" t="s">
        <v>193</v>
      </c>
      <c r="C43" s="42" t="str">
        <f>INDEX('90_SEMA'!$G$7:$H$183,163,NYELV_IDX)</f>
        <v>20. Fizetendő (fizetett) kamatok és kamatjellegű ráfordítások</v>
      </c>
      <c r="D43" s="37">
        <f>'11_MUNKATABLA'!$K$169</f>
        <v>0</v>
      </c>
      <c r="E43" s="37">
        <f>'03B_NYITO'!$E$169</f>
        <v>0</v>
      </c>
      <c r="F43" s="37">
        <f t="shared" si="1"/>
        <v>0</v>
      </c>
    </row>
    <row r="44" spans="2:6" ht="15" customHeight="1" x14ac:dyDescent="0.3">
      <c r="B44" s="29" t="s">
        <v>194</v>
      </c>
      <c r="C44" s="34" t="str">
        <f>INDEX('90_SEMA'!$G$7:$H$183,164,NYELV_IDX)</f>
        <v xml:space="preserve">     Ebből: kapcsolt vállalkozásnak adott</v>
      </c>
      <c r="D44" s="37">
        <f>'11_MUNKATABLA'!$K$170</f>
        <v>0</v>
      </c>
      <c r="E44" s="37">
        <f>'03B_NYITO'!$E$170</f>
        <v>0</v>
      </c>
      <c r="F44" s="37">
        <f t="shared" si="1"/>
        <v>0</v>
      </c>
    </row>
    <row r="45" spans="2:6" ht="15" customHeight="1" x14ac:dyDescent="0.3">
      <c r="B45" s="29" t="s">
        <v>195</v>
      </c>
      <c r="C45" s="42" t="str">
        <f>INDEX('90_SEMA'!$G$7:$H$183,165,NYELV_IDX)</f>
        <v>21. Részesedések, értékpapírok, tartósan adott kölcsönök, bankbetétek értékvesztése</v>
      </c>
      <c r="D45" s="37">
        <f>'11_MUNKATABLA'!$K$171</f>
        <v>0</v>
      </c>
      <c r="E45" s="37">
        <f>'03B_NYITO'!$E$171</f>
        <v>0</v>
      </c>
      <c r="F45" s="37">
        <f t="shared" si="1"/>
        <v>0</v>
      </c>
    </row>
    <row r="46" spans="2:6" ht="15" customHeight="1" x14ac:dyDescent="0.3">
      <c r="B46" s="29" t="s">
        <v>196</v>
      </c>
      <c r="C46" s="42" t="str">
        <f>INDEX('90_SEMA'!$G$7:$H$183,166,NYELV_IDX)</f>
        <v>22. Pénzügyi műveletek egyéb ráfordításai</v>
      </c>
      <c r="D46" s="37">
        <f>'11_MUNKATABLA'!$K$172</f>
        <v>0</v>
      </c>
      <c r="E46" s="37">
        <f>'03B_NYITO'!$E$172</f>
        <v>0</v>
      </c>
      <c r="F46" s="37">
        <f t="shared" si="1"/>
        <v>0</v>
      </c>
    </row>
    <row r="47" spans="2:6" ht="15" customHeight="1" x14ac:dyDescent="0.3">
      <c r="B47" s="29" t="s">
        <v>197</v>
      </c>
      <c r="C47" s="34" t="str">
        <f>INDEX('90_SEMA'!$G$7:$H$183,167,NYELV_IDX)</f>
        <v xml:space="preserve">     Ebből: értékelési különbözet</v>
      </c>
      <c r="D47" s="37">
        <f>'11_MUNKATABLA'!$K$173</f>
        <v>0</v>
      </c>
      <c r="E47" s="37">
        <f>'03B_NYITO'!$E$173</f>
        <v>0</v>
      </c>
      <c r="F47" s="37">
        <f t="shared" si="1"/>
        <v>0</v>
      </c>
    </row>
    <row r="48" spans="2:6" ht="15" customHeight="1" x14ac:dyDescent="0.3">
      <c r="B48" s="29" t="s">
        <v>188</v>
      </c>
      <c r="C48" s="41" t="str">
        <f>INDEX('90_SEMA'!$G$7:$H$183,158,NYELV_IDX)</f>
        <v>IX. Pénzügyi műveletek ráfordításai</v>
      </c>
      <c r="D48" s="31">
        <f>'11_MUNKATABLA'!$K$164</f>
        <v>0</v>
      </c>
      <c r="E48" s="31">
        <f>'03B_NYITO'!$E$164</f>
        <v>0</v>
      </c>
      <c r="F48" s="37">
        <f t="shared" si="1"/>
        <v>0</v>
      </c>
    </row>
    <row r="49" spans="2:6" ht="15" customHeight="1" x14ac:dyDescent="0.3">
      <c r="B49" s="29" t="s">
        <v>227</v>
      </c>
      <c r="C49" s="45" t="str">
        <f>INDEX('91_NYELV'!$C$7:$D$303,280,NYELV_IDX)</f>
        <v>B. Pénzügyi műveletek eredménye (VIII–IX)</v>
      </c>
      <c r="D49" s="44">
        <f>$D$38-$D$48</f>
        <v>0</v>
      </c>
      <c r="E49" s="44">
        <f>$E$38-$E$48</f>
        <v>0</v>
      </c>
      <c r="F49" s="37">
        <f t="shared" si="1"/>
        <v>0</v>
      </c>
    </row>
    <row r="50" spans="2:6" ht="15" customHeight="1" x14ac:dyDescent="0.3">
      <c r="B50" s="29" t="s">
        <v>228</v>
      </c>
      <c r="C50" s="45" t="str">
        <f>INDEX('91_NYELV'!$C$7:$D$303,281,NYELV_IDX)</f>
        <v>C. Adózás előtti eredmény (+A+B)</v>
      </c>
      <c r="D50" s="44">
        <f>$D$25+$D$49</f>
        <v>0</v>
      </c>
      <c r="E50" s="44">
        <f>$E$25+$E$49</f>
        <v>0</v>
      </c>
      <c r="F50" s="37">
        <f t="shared" si="1"/>
        <v>0</v>
      </c>
    </row>
    <row r="51" spans="2:6" ht="15" customHeight="1" x14ac:dyDescent="0.3">
      <c r="B51" s="29" t="s">
        <v>198</v>
      </c>
      <c r="C51" s="41" t="str">
        <f>INDEX('90_SEMA'!$G$7:$H$183,168,NYELV_IDX)</f>
        <v>X. Adófizetési kötelezettség</v>
      </c>
      <c r="D51" s="31">
        <f>'11_MUNKATABLA'!$K$174</f>
        <v>0</v>
      </c>
      <c r="E51" s="31">
        <f>'03B_NYITO'!$E$174</f>
        <v>0</v>
      </c>
      <c r="F51" s="37">
        <f t="shared" si="1"/>
        <v>0</v>
      </c>
    </row>
    <row r="52" spans="2:6" ht="15" customHeight="1" x14ac:dyDescent="0.3">
      <c r="B52" s="29" t="s">
        <v>200</v>
      </c>
      <c r="C52" s="41" t="str">
        <f>INDEX('90_SEMA'!$G$7:$H$183,170,NYELV_IDX)</f>
        <v>X/A. Konszolidálásból adódó (számított) társasági adókülönbözet (±)</v>
      </c>
      <c r="D52" s="31">
        <f>'11_MUNKATABLA'!$K$176</f>
        <v>0</v>
      </c>
      <c r="E52" s="31">
        <f>'03B_NYITO'!$E$176</f>
        <v>0</v>
      </c>
      <c r="F52" s="37">
        <f t="shared" si="1"/>
        <v>0</v>
      </c>
    </row>
    <row r="53" spans="2:6" ht="15" customHeight="1" x14ac:dyDescent="0.3">
      <c r="B53" s="29" t="s">
        <v>201</v>
      </c>
      <c r="C53" s="41" t="str">
        <f>INDEX('90_SEMA'!$G$7:$H$183,171,NYELV_IDX)</f>
        <v>X/B. Halasztott adókülönbözet (±) [6. sz. mell.; tartalmilag az X/1. sorral egyezik]</v>
      </c>
      <c r="D53" s="31">
        <f>'11_MUNKATABLA'!$K$177</f>
        <v>0</v>
      </c>
      <c r="E53" s="31">
        <f>'03B_NYITO'!$E$177</f>
        <v>0</v>
      </c>
      <c r="F53" s="37">
        <f t="shared" si="1"/>
        <v>0</v>
      </c>
    </row>
    <row r="54" spans="2:6" ht="15" customHeight="1" x14ac:dyDescent="0.3">
      <c r="B54" s="29" t="s">
        <v>199</v>
      </c>
      <c r="C54" s="41" t="str">
        <f>INDEX('90_SEMA'!$G$7:$H$183,169,NYELV_IDX)</f>
        <v>X/1. Halasztott adókülönbözet (±)</v>
      </c>
      <c r="D54" s="31">
        <f>'11_MUNKATABLA'!$K$175</f>
        <v>0</v>
      </c>
      <c r="E54" s="31">
        <f>'03B_NYITO'!$E$175</f>
        <v>0</v>
      </c>
      <c r="F54" s="37">
        <f t="shared" si="1"/>
        <v>0</v>
      </c>
    </row>
    <row r="55" spans="2:6" ht="15" customHeight="1" x14ac:dyDescent="0.3">
      <c r="B55" s="29" t="s">
        <v>229</v>
      </c>
      <c r="C55" s="45" t="str">
        <f>INDEX('91_NYELV'!$C$7:$D$303,282,NYELV_IDX)</f>
        <v>D. Adózott eredmény</v>
      </c>
      <c r="D55" s="44">
        <f>$D$50-$D$51-$D$54-$D$52-$D$53</f>
        <v>0</v>
      </c>
      <c r="E55" s="44">
        <f>$E$50-$E$51-$E$54-$E$52-$E$53</f>
        <v>0</v>
      </c>
      <c r="F55" s="37">
        <f t="shared" si="1"/>
        <v>0</v>
      </c>
    </row>
    <row r="56" spans="2:6" ht="15" customHeight="1" x14ac:dyDescent="0.3">
      <c r="B56" s="29" t="s">
        <v>202</v>
      </c>
      <c r="C56" s="41" t="str">
        <f>INDEX('90_SEMA'!$G$7:$H$183,172,NYELV_IDX)</f>
        <v>Leányvállalatok adózott eredményéből külső tagok (más tulajdonosok) részesedése</v>
      </c>
      <c r="D56" s="31">
        <f>'11_MUNKATABLA'!$K$178</f>
        <v>0</v>
      </c>
      <c r="E56" s="31">
        <f>'03B_NYITO'!$E$178</f>
        <v>0</v>
      </c>
      <c r="F56" s="37">
        <f t="shared" si="1"/>
        <v>0</v>
      </c>
    </row>
    <row r="57" spans="2:6" ht="15" customHeight="1" x14ac:dyDescent="0.3">
      <c r="B57" s="29" t="s">
        <v>230</v>
      </c>
      <c r="C57" s="45" t="str">
        <f>INDEX('91_NYELV'!$C$7:$D$303,283,NYELV_IDX)</f>
        <v>E. Korrigált adózott eredmény</v>
      </c>
      <c r="D57" s="44">
        <f>$D$55-$D$56</f>
        <v>0</v>
      </c>
      <c r="E57" s="44">
        <f>$E$55-$E$56</f>
        <v>0</v>
      </c>
      <c r="F57" s="37">
        <f t="shared" si="1"/>
        <v>0</v>
      </c>
    </row>
    <row r="58" spans="2:6" ht="15" customHeight="1" x14ac:dyDescent="0.3">
      <c r="B58" s="29" t="s">
        <v>110</v>
      </c>
      <c r="C58" s="42" t="str">
        <f>IF(NYELV_IDX=1,"Devizás átszámítás különbözete [Szt. 123. § (9)]","Currency translation difference [Accounting Act s.123(9)]")</f>
        <v>Devizás átszámítás különbözete [Szt. 123. § (9)]</v>
      </c>
      <c r="D58" s="37">
        <f>'11_MUNKATABLA'!$K$86</f>
        <v>0</v>
      </c>
      <c r="E58" s="37">
        <f>'03B_NYITO'!$E$86</f>
        <v>0</v>
      </c>
      <c r="F58" s="1">
        <f t="shared" si="1"/>
        <v>0</v>
      </c>
    </row>
    <row r="59" spans="2:6" ht="15" customHeight="1" x14ac:dyDescent="0.3">
      <c r="B59" s="29"/>
      <c r="C59" s="42"/>
      <c r="D59" s="37"/>
      <c r="E59" s="37"/>
    </row>
  </sheetData>
  <sheetProtection algorithmName="SHA-512" hashValue="HhH4GnezgptSXw9ojYAMDxZDzQ5EodeIVG+8sGLfuHL2irl+qYndWO7XZ/mjVb7Mu6OGaslet6f4iyDedXCTtw==" saltValue="tK5nDxMbC0zvghuzS+o/7A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Munka18"/>
  <dimension ref="B1:I45"/>
  <sheetViews>
    <sheetView showGridLines="0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ColWidth="8.6640625" defaultRowHeight="14.4" x14ac:dyDescent="0.3"/>
  <cols>
    <col min="2" max="2" width="11" style="1" customWidth="1"/>
    <col min="3" max="3" width="72" style="1" customWidth="1"/>
    <col min="4" max="4" width="5" style="1" customWidth="1"/>
    <col min="5" max="6" width="18" style="1" customWidth="1"/>
    <col min="7" max="7" width="19" style="1" customWidth="1"/>
    <col min="8" max="8" width="18" style="1" customWidth="1"/>
    <col min="9" max="9" width="62" style="1" customWidth="1"/>
  </cols>
  <sheetData>
    <row r="1" spans="2:9" ht="79.5" customHeight="1" x14ac:dyDescent="0.3"/>
    <row r="3" spans="2:9" ht="19.5" customHeight="1" x14ac:dyDescent="0.4">
      <c r="B3" s="12" t="str">
        <f>INDEX('91_NYELV'!$C$7:$D$303,182,NYELV_IDX)</f>
        <v>14. Konszolidált cash flow-kimutatás [Szt. 7. sz. melléklet]</v>
      </c>
    </row>
    <row r="4" spans="2:9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9" ht="31.5" customHeight="1" x14ac:dyDescent="0.3">
      <c r="B6" s="20" t="str">
        <f>INDEX('91_NYELV'!$C$7:$D$303,82,NYELV_IDX)</f>
        <v>Kód</v>
      </c>
      <c r="C6" s="20" t="str">
        <f>INDEX('91_NYELV'!$C$7:$D$303,83,NYELV_IDX)</f>
        <v>Megnevezés</v>
      </c>
      <c r="D6" s="20" t="str">
        <f>INDEX('91_NYELV'!$C$7:$D$303,184,NYELV_IDX)</f>
        <v>±</v>
      </c>
      <c r="E6" s="20" t="str">
        <f>INDEX('91_NYELV'!$C$7:$D$303,185,NYELV_IDX)</f>
        <v>Automatikus levezetés</v>
      </c>
      <c r="F6" s="20" t="str">
        <f>INDEX('91_NYELV'!$C$7:$D$303,186,NYELV_IDX)</f>
        <v>Kézi adat / korrekció</v>
      </c>
      <c r="G6" s="20" t="str">
        <f>INDEX('91_NYELV'!$C$7:$D$303,187,NYELV_IDX)</f>
        <v>Tárgyév összesen</v>
      </c>
      <c r="H6" s="20" t="str">
        <f>INDEX('91_NYELV'!$C$7:$D$303,162,NYELV_IDX)</f>
        <v>Előző év</v>
      </c>
      <c r="I6" s="20" t="str">
        <f>INDEX('91_NYELV'!$C$7:$D$303,188,NYELV_IDX)</f>
        <v>A levezetés alapja</v>
      </c>
    </row>
    <row r="7" spans="2:9" ht="15" customHeight="1" x14ac:dyDescent="0.3">
      <c r="B7" s="29" t="s">
        <v>234</v>
      </c>
      <c r="C7" s="42" t="str">
        <f>INDEX('91_NYELV'!$C$7:$D$303,218,NYELV_IDX)</f>
        <v>1a. Adózás előtti eredmény</v>
      </c>
      <c r="D7" s="50" t="s">
        <v>235</v>
      </c>
      <c r="E7" s="37">
        <f>IF(EK_VALT=1,'13_K_EREDMENY'!$D$55,'13B_EREDMENY_FK'!$D$50)</f>
        <v>0</v>
      </c>
      <c r="F7" s="33"/>
      <c r="G7" s="37">
        <f>$E7+$F7</f>
        <v>0</v>
      </c>
      <c r="H7" s="33"/>
      <c r="I7" s="34" t="s">
        <v>236</v>
      </c>
    </row>
    <row r="8" spans="2:9" ht="15" customHeight="1" x14ac:dyDescent="0.3">
      <c r="B8" s="29" t="s">
        <v>237</v>
      </c>
      <c r="C8" s="51" t="str">
        <f>INDEX('91_NYELV'!$C$7:$D$303,219,NYELV_IDX)</f>
        <v xml:space="preserve">        ebből: működésre kapott, pénzügyileg rendezett támogatás</v>
      </c>
      <c r="D8" s="50"/>
      <c r="E8" s="37"/>
      <c r="F8" s="33"/>
      <c r="G8" s="37">
        <f>$E8+$F8</f>
        <v>0</v>
      </c>
      <c r="H8" s="33"/>
      <c r="I8" s="34" t="s">
        <v>238</v>
      </c>
    </row>
    <row r="9" spans="2:9" ht="15" customHeight="1" x14ac:dyDescent="0.3">
      <c r="B9" s="29" t="s">
        <v>239</v>
      </c>
      <c r="C9" s="42" t="str">
        <f>INDEX('91_NYELV'!$C$7:$D$303,220,NYELV_IDX)</f>
        <v>1b. Korrekciók az adózás előtti eredményben</v>
      </c>
      <c r="D9" s="50" t="s">
        <v>235</v>
      </c>
      <c r="E9" s="37"/>
      <c r="F9" s="33"/>
      <c r="G9" s="37">
        <f>$E9+$F9</f>
        <v>0</v>
      </c>
      <c r="H9" s="33"/>
      <c r="I9" s="34" t="s">
        <v>240</v>
      </c>
    </row>
    <row r="10" spans="2:9" ht="15" customHeight="1" x14ac:dyDescent="0.3">
      <c r="B10" s="29" t="s">
        <v>241</v>
      </c>
      <c r="C10" s="42" t="str">
        <f>INDEX('91_NYELV'!$C$7:$D$303,221,NYELV_IDX)</f>
        <v>1. Korrigált adózás előtti eredmény (1a+1b)</v>
      </c>
      <c r="D10" s="50" t="s">
        <v>235</v>
      </c>
      <c r="E10" s="37"/>
      <c r="F10" s="37"/>
      <c r="G10" s="31">
        <f>$G$7+$G$9</f>
        <v>0</v>
      </c>
      <c r="H10" s="31">
        <f>$H$7+$H$9</f>
        <v>0</v>
      </c>
      <c r="I10" s="34" t="s">
        <v>242</v>
      </c>
    </row>
    <row r="11" spans="2:9" ht="15" customHeight="1" x14ac:dyDescent="0.3">
      <c r="B11" s="29" t="s">
        <v>243</v>
      </c>
      <c r="C11" s="42" t="str">
        <f>INDEX('91_NYELV'!$C$7:$D$303,222,NYELV_IDX)</f>
        <v>2. Elszámolt amortizáció</v>
      </c>
      <c r="D11" s="50" t="s">
        <v>235</v>
      </c>
      <c r="E11" s="37">
        <f>'11_MUNKATABLA'!$K$147</f>
        <v>0</v>
      </c>
      <c r="F11" s="33"/>
      <c r="G11" s="37">
        <f t="shared" ref="G11:G22" si="0">$E11+$F11</f>
        <v>0</v>
      </c>
      <c r="H11" s="33"/>
      <c r="I11" s="34" t="s">
        <v>244</v>
      </c>
    </row>
    <row r="12" spans="2:9" ht="15" customHeight="1" x14ac:dyDescent="0.3">
      <c r="B12" s="29" t="s">
        <v>245</v>
      </c>
      <c r="C12" s="42" t="str">
        <f>INDEX('91_NYELV'!$C$7:$D$303,223,NYELV_IDX)</f>
        <v>3. Elszámolt értékvesztés és visszaírás</v>
      </c>
      <c r="D12" s="50" t="s">
        <v>235</v>
      </c>
      <c r="E12" s="37"/>
      <c r="F12" s="33"/>
      <c r="G12" s="37">
        <f t="shared" si="0"/>
        <v>0</v>
      </c>
      <c r="H12" s="33"/>
      <c r="I12" s="34" t="s">
        <v>246</v>
      </c>
    </row>
    <row r="13" spans="2:9" ht="15" customHeight="1" x14ac:dyDescent="0.3">
      <c r="B13" s="29" t="s">
        <v>247</v>
      </c>
      <c r="C13" s="42" t="str">
        <f>INDEX('91_NYELV'!$C$7:$D$303,224,NYELV_IDX)</f>
        <v>4. Céltartalék képzés és felhasználás különbözete</v>
      </c>
      <c r="D13" s="50" t="s">
        <v>235</v>
      </c>
      <c r="E13" s="37">
        <f>('11_MUNKATABLA'!$K$88-'03B_NYITO'!$E$88)</f>
        <v>0</v>
      </c>
      <c r="F13" s="33"/>
      <c r="G13" s="37">
        <f t="shared" si="0"/>
        <v>0</v>
      </c>
      <c r="H13" s="33"/>
      <c r="I13" s="34" t="s">
        <v>248</v>
      </c>
    </row>
    <row r="14" spans="2:9" ht="15" customHeight="1" x14ac:dyDescent="0.3">
      <c r="B14" s="29" t="s">
        <v>249</v>
      </c>
      <c r="C14" s="42" t="str">
        <f>INDEX('91_NYELV'!$C$7:$D$303,225,NYELV_IDX)</f>
        <v>5. Befektetett eszközök értékesítésének eredménye</v>
      </c>
      <c r="D14" s="50" t="s">
        <v>235</v>
      </c>
      <c r="E14" s="37"/>
      <c r="F14" s="33"/>
      <c r="G14" s="37">
        <f t="shared" si="0"/>
        <v>0</v>
      </c>
      <c r="H14" s="33"/>
      <c r="I14" s="34" t="s">
        <v>250</v>
      </c>
    </row>
    <row r="15" spans="2:9" ht="15" customHeight="1" x14ac:dyDescent="0.3">
      <c r="B15" s="29" t="s">
        <v>251</v>
      </c>
      <c r="C15" s="42" t="str">
        <f>INDEX('91_NYELV'!$C$7:$D$303,226,NYELV_IDX)</f>
        <v>6. Szállítói kötelezettség változása</v>
      </c>
      <c r="D15" s="50" t="s">
        <v>235</v>
      </c>
      <c r="E15" s="37">
        <f>('11_MUNKATABLA'!$K$115-'03B_NYITO'!$E$115)</f>
        <v>0</v>
      </c>
      <c r="F15" s="33"/>
      <c r="G15" s="37">
        <f t="shared" si="0"/>
        <v>0</v>
      </c>
      <c r="H15" s="33"/>
      <c r="I15" s="34" t="s">
        <v>252</v>
      </c>
    </row>
    <row r="16" spans="2:9" ht="15" customHeight="1" x14ac:dyDescent="0.3">
      <c r="B16" s="29" t="s">
        <v>253</v>
      </c>
      <c r="C16" s="42" t="str">
        <f>INDEX('91_NYELV'!$C$7:$D$303,227,NYELV_IDX)</f>
        <v>7. Egyéb rövid lejáratú kötelezettség változása</v>
      </c>
      <c r="D16" s="50" t="s">
        <v>235</v>
      </c>
      <c r="E16" s="37">
        <f>('11_MUNKATABLA'!$K$116-'03B_NYITO'!$E$116)+('11_MUNKATABLA'!$K$117-'03B_NYITO'!$E$117)+('11_MUNKATABLA'!$K$118-'03B_NYITO'!$E$118)+('11_MUNKATABLA'!$K$119-'03B_NYITO'!$E$119)+('11_MUNKATABLA'!$K$120-'03B_NYITO'!$E$120)+('11_MUNKATABLA'!$K$121-'03B_NYITO'!$E$121)+('11_MUNKATABLA'!$K$122-'03B_NYITO'!$E$122)+('11_MUNKATABLA'!$K$123-'03B_NYITO'!$E$123)</f>
        <v>0</v>
      </c>
      <c r="F16" s="33"/>
      <c r="G16" s="37">
        <f t="shared" si="0"/>
        <v>0</v>
      </c>
      <c r="H16" s="33"/>
      <c r="I16" s="34" t="s">
        <v>254</v>
      </c>
    </row>
    <row r="17" spans="2:9" ht="15" customHeight="1" x14ac:dyDescent="0.3">
      <c r="B17" s="29" t="s">
        <v>255</v>
      </c>
      <c r="C17" s="42" t="str">
        <f>INDEX('91_NYELV'!$C$7:$D$303,228,NYELV_IDX)</f>
        <v>8. Passzív időbeli elhatárolások változása</v>
      </c>
      <c r="D17" s="50" t="s">
        <v>235</v>
      </c>
      <c r="E17" s="37">
        <f>('11_MUNKATABLA'!$K$124-'03B_NYITO'!$E$124)</f>
        <v>0</v>
      </c>
      <c r="F17" s="33"/>
      <c r="G17" s="37">
        <f t="shared" si="0"/>
        <v>0</v>
      </c>
      <c r="H17" s="33"/>
      <c r="I17" s="34" t="s">
        <v>256</v>
      </c>
    </row>
    <row r="18" spans="2:9" ht="15" customHeight="1" x14ac:dyDescent="0.3">
      <c r="B18" s="29" t="s">
        <v>257</v>
      </c>
      <c r="C18" s="42" t="str">
        <f>INDEX('91_NYELV'!$C$7:$D$303,229,NYELV_IDX)</f>
        <v>9. Vevőkövetelés változása</v>
      </c>
      <c r="D18" s="50" t="s">
        <v>235</v>
      </c>
      <c r="E18" s="37">
        <f>-('11_MUNKATABLA'!$K$48-'03B_NYITO'!$E$48)+('11_MUNKATABLA'!$K$114-'03B_NYITO'!$E$114)</f>
        <v>0</v>
      </c>
      <c r="F18" s="33"/>
      <c r="G18" s="37">
        <f t="shared" si="0"/>
        <v>0</v>
      </c>
      <c r="H18" s="33"/>
      <c r="I18" s="34" t="s">
        <v>258</v>
      </c>
    </row>
    <row r="19" spans="2:9" ht="15" customHeight="1" x14ac:dyDescent="0.3">
      <c r="B19" s="29" t="s">
        <v>259</v>
      </c>
      <c r="C19" s="42" t="str">
        <f>INDEX('91_NYELV'!$C$7:$D$303,230,NYELV_IDX)</f>
        <v>10. Forgóeszközök (vevőkövetelés és pénzeszköz nélkül) változása</v>
      </c>
      <c r="D19" s="50" t="s">
        <v>235</v>
      </c>
      <c r="E19" s="37">
        <f>-(('11_MUNKATABLA'!$K$40-'03B_NYITO'!$E$40)+('11_MUNKATABLA'!$K$47-'03B_NYITO'!$E$47)-('11_MUNKATABLA'!$K$48-'03B_NYITO'!$E$48)+('11_MUNKATABLA'!$K$57-'03B_NYITO'!$E$57))</f>
        <v>0</v>
      </c>
      <c r="F19" s="33"/>
      <c r="G19" s="37">
        <f t="shared" si="0"/>
        <v>0</v>
      </c>
      <c r="H19" s="33"/>
      <c r="I19" s="34" t="s">
        <v>260</v>
      </c>
    </row>
    <row r="20" spans="2:9" ht="15" customHeight="1" x14ac:dyDescent="0.3">
      <c r="B20" s="29" t="s">
        <v>261</v>
      </c>
      <c r="C20" s="42" t="str">
        <f>INDEX('91_NYELV'!$C$7:$D$303,231,NYELV_IDX)</f>
        <v>11. Aktív időbeli elhatárolások változása</v>
      </c>
      <c r="D20" s="50" t="s">
        <v>235</v>
      </c>
      <c r="E20" s="37">
        <f>-('11_MUNKATABLA'!$K$67-'03B_NYITO'!$E$67)</f>
        <v>0</v>
      </c>
      <c r="F20" s="33"/>
      <c r="G20" s="37">
        <f t="shared" si="0"/>
        <v>0</v>
      </c>
      <c r="H20" s="33"/>
      <c r="I20" s="34" t="s">
        <v>262</v>
      </c>
    </row>
    <row r="21" spans="2:9" ht="15" customHeight="1" x14ac:dyDescent="0.3">
      <c r="B21" s="29" t="s">
        <v>263</v>
      </c>
      <c r="C21" s="42" t="str">
        <f>INDEX('91_NYELV'!$C$7:$D$303,232,NYELV_IDX)</f>
        <v>12. Fizetett adó (nyereség után)</v>
      </c>
      <c r="D21" s="50" t="s">
        <v>264</v>
      </c>
      <c r="E21" s="37">
        <f>-'11_MUNKATABLA'!$K$174</f>
        <v>0</v>
      </c>
      <c r="F21" s="33"/>
      <c r="G21" s="37">
        <f t="shared" si="0"/>
        <v>0</v>
      </c>
      <c r="H21" s="33"/>
      <c r="I21" s="34" t="s">
        <v>265</v>
      </c>
    </row>
    <row r="22" spans="2:9" ht="15" customHeight="1" x14ac:dyDescent="0.3">
      <c r="B22" s="29" t="s">
        <v>266</v>
      </c>
      <c r="C22" s="42" t="str">
        <f>INDEX('91_NYELV'!$C$7:$D$303,233,NYELV_IDX)</f>
        <v>13. Fizetett osztalék, részesedés</v>
      </c>
      <c r="D22" s="50" t="s">
        <v>264</v>
      </c>
      <c r="E22" s="37"/>
      <c r="F22" s="33"/>
      <c r="G22" s="37">
        <f t="shared" si="0"/>
        <v>0</v>
      </c>
      <c r="H22" s="33"/>
      <c r="I22" s="34" t="s">
        <v>267</v>
      </c>
    </row>
    <row r="23" spans="2:9" ht="15" customHeight="1" x14ac:dyDescent="0.3">
      <c r="B23" s="29" t="s">
        <v>268</v>
      </c>
      <c r="C23" s="52" t="str">
        <f>INDEX('91_NYELV'!$C$7:$D$303,234,NYELV_IDX)</f>
        <v>I. MŰKÖDÉSI CASH FLOW (1–13. sorok)</v>
      </c>
      <c r="D23" s="50"/>
      <c r="E23" s="53"/>
      <c r="F23" s="53"/>
      <c r="G23" s="44">
        <f>$G$10+$G$11+$G$12+$G$13+$G$14+$G$15+$G$16+$G$17+$G$18+$G$19+$G$20+$G$21+$G$22</f>
        <v>0</v>
      </c>
      <c r="H23" s="44">
        <f>$H$10+$H$11+$H$12+$H$13+$H$14+$H$15+$H$16+$H$17+$H$18+$H$19+$H$20+$H$21+$H$22</f>
        <v>0</v>
      </c>
      <c r="I23" s="34"/>
    </row>
    <row r="24" spans="2:9" ht="15" customHeight="1" x14ac:dyDescent="0.3">
      <c r="B24" s="29" t="s">
        <v>269</v>
      </c>
      <c r="C24" s="42" t="str">
        <f>INDEX('91_NYELV'!$C$7:$D$303,235,NYELV_IDX)</f>
        <v>14. Befektetett eszközök beszerzése</v>
      </c>
      <c r="D24" s="50" t="s">
        <v>264</v>
      </c>
      <c r="E24" s="37"/>
      <c r="F24" s="33"/>
      <c r="G24" s="37">
        <f>$E24+$F24</f>
        <v>0</v>
      </c>
      <c r="H24" s="33"/>
      <c r="I24" s="34" t="s">
        <v>267</v>
      </c>
    </row>
    <row r="25" spans="2:9" ht="15" customHeight="1" x14ac:dyDescent="0.3">
      <c r="B25" s="29" t="s">
        <v>270</v>
      </c>
      <c r="C25" s="42" t="str">
        <f>INDEX('91_NYELV'!$C$7:$D$303,236,NYELV_IDX)</f>
        <v>15. Befektetett eszközök eladása</v>
      </c>
      <c r="D25" s="50" t="s">
        <v>235</v>
      </c>
      <c r="E25" s="37"/>
      <c r="F25" s="33"/>
      <c r="G25" s="37">
        <f>$E25+$F25</f>
        <v>0</v>
      </c>
      <c r="H25" s="33"/>
      <c r="I25" s="34" t="s">
        <v>271</v>
      </c>
    </row>
    <row r="26" spans="2:9" ht="15" customHeight="1" x14ac:dyDescent="0.3">
      <c r="B26" s="29" t="s">
        <v>272</v>
      </c>
      <c r="C26" s="42" t="str">
        <f>INDEX('91_NYELV'!$C$7:$D$303,237,NYELV_IDX)</f>
        <v>16. Hosszú lejáratra nyújtott kölcsönök és elhelyezett bankbetétek törlesztése, megszüntetése, beváltása</v>
      </c>
      <c r="D26" s="50" t="s">
        <v>235</v>
      </c>
      <c r="E26" s="37"/>
      <c r="F26" s="33"/>
      <c r="G26" s="37">
        <f>$E26+$F26</f>
        <v>0</v>
      </c>
      <c r="H26" s="33"/>
      <c r="I26" s="34" t="s">
        <v>271</v>
      </c>
    </row>
    <row r="27" spans="2:9" ht="15" customHeight="1" x14ac:dyDescent="0.3">
      <c r="B27" s="29" t="s">
        <v>273</v>
      </c>
      <c r="C27" s="42" t="str">
        <f>INDEX('91_NYELV'!$C$7:$D$303,238,NYELV_IDX)</f>
        <v>17. Hosszú lejáratra nyújtott kölcsönök és elhelyezett bankbetétek</v>
      </c>
      <c r="D27" s="50" t="s">
        <v>264</v>
      </c>
      <c r="E27" s="37"/>
      <c r="F27" s="33"/>
      <c r="G27" s="37">
        <f>$E27+$F27</f>
        <v>0</v>
      </c>
      <c r="H27" s="33"/>
      <c r="I27" s="34" t="s">
        <v>267</v>
      </c>
    </row>
    <row r="28" spans="2:9" ht="15" customHeight="1" x14ac:dyDescent="0.3">
      <c r="B28" s="29" t="s">
        <v>274</v>
      </c>
      <c r="C28" s="42" t="str">
        <f>INDEX('91_NYELV'!$C$7:$D$303,239,NYELV_IDX)</f>
        <v>18. Kapott osztalék, részesedés</v>
      </c>
      <c r="D28" s="50" t="s">
        <v>235</v>
      </c>
      <c r="E28" s="37">
        <f>'11_MUNKATABLA'!$K$152+'11_MUNKATABLA'!$K$154</f>
        <v>0</v>
      </c>
      <c r="F28" s="33"/>
      <c r="G28" s="37">
        <f>$E28+$F28</f>
        <v>0</v>
      </c>
      <c r="H28" s="33"/>
      <c r="I28" s="34" t="s">
        <v>275</v>
      </c>
    </row>
    <row r="29" spans="2:9" ht="15" customHeight="1" x14ac:dyDescent="0.3">
      <c r="B29" s="29" t="s">
        <v>276</v>
      </c>
      <c r="C29" s="52" t="str">
        <f>INDEX('91_NYELV'!$C$7:$D$303,240,NYELV_IDX)</f>
        <v>II. BEFEKTETÉSI CASH FLOW (14–18. sorok)</v>
      </c>
      <c r="D29" s="50"/>
      <c r="E29" s="53"/>
      <c r="F29" s="53"/>
      <c r="G29" s="44">
        <f>$G$24+$G$25+$G$26+$G$27+$G$28</f>
        <v>0</v>
      </c>
      <c r="H29" s="44">
        <f>$H$24+$H$25+$H$26+$H$27+$H$28</f>
        <v>0</v>
      </c>
      <c r="I29" s="34"/>
    </row>
    <row r="30" spans="2:9" ht="15" customHeight="1" x14ac:dyDescent="0.3">
      <c r="B30" s="29" t="s">
        <v>277</v>
      </c>
      <c r="C30" s="42" t="str">
        <f>INDEX('91_NYELV'!$C$7:$D$303,241,NYELV_IDX)</f>
        <v>19. Részvénykibocsátás, tőkebevonás (tőkeemelés) bevétele</v>
      </c>
      <c r="D30" s="50" t="s">
        <v>235</v>
      </c>
      <c r="E30" s="37"/>
      <c r="F30" s="33"/>
      <c r="G30" s="37">
        <f t="shared" ref="G30:G37" si="1">$E30+$F30</f>
        <v>0</v>
      </c>
      <c r="H30" s="33"/>
      <c r="I30" s="34" t="s">
        <v>271</v>
      </c>
    </row>
    <row r="31" spans="2:9" ht="15" customHeight="1" x14ac:dyDescent="0.3">
      <c r="B31" s="29" t="s">
        <v>278</v>
      </c>
      <c r="C31" s="42" t="str">
        <f>INDEX('91_NYELV'!$C$7:$D$303,242,NYELV_IDX)</f>
        <v>20. Kötvény és hitelviszonyt megtestesítő értékpapír kibocsátásának bevétele</v>
      </c>
      <c r="D31" s="50" t="s">
        <v>235</v>
      </c>
      <c r="E31" s="37"/>
      <c r="F31" s="33"/>
      <c r="G31" s="37">
        <f t="shared" si="1"/>
        <v>0</v>
      </c>
      <c r="H31" s="33"/>
      <c r="I31" s="34" t="s">
        <v>271</v>
      </c>
    </row>
    <row r="32" spans="2:9" ht="15" customHeight="1" x14ac:dyDescent="0.3">
      <c r="B32" s="29" t="s">
        <v>279</v>
      </c>
      <c r="C32" s="42" t="str">
        <f>INDEX('91_NYELV'!$C$7:$D$303,243,NYELV_IDX)</f>
        <v>21. Hitel és kölcsön felvétele</v>
      </c>
      <c r="D32" s="50" t="s">
        <v>235</v>
      </c>
      <c r="E32" s="37"/>
      <c r="F32" s="33"/>
      <c r="G32" s="37">
        <f t="shared" si="1"/>
        <v>0</v>
      </c>
      <c r="H32" s="33"/>
      <c r="I32" s="34" t="s">
        <v>271</v>
      </c>
    </row>
    <row r="33" spans="2:9" ht="15" customHeight="1" x14ac:dyDescent="0.3">
      <c r="B33" s="29" t="s">
        <v>280</v>
      </c>
      <c r="C33" s="42" t="str">
        <f>INDEX('91_NYELV'!$C$7:$D$303,244,NYELV_IDX)</f>
        <v>22. Véglegesen kapott pénzeszköz</v>
      </c>
      <c r="D33" s="50" t="s">
        <v>235</v>
      </c>
      <c r="E33" s="37"/>
      <c r="F33" s="33"/>
      <c r="G33" s="37">
        <f t="shared" si="1"/>
        <v>0</v>
      </c>
      <c r="H33" s="33"/>
      <c r="I33" s="34" t="s">
        <v>271</v>
      </c>
    </row>
    <row r="34" spans="2:9" ht="15" customHeight="1" x14ac:dyDescent="0.3">
      <c r="B34" s="29" t="s">
        <v>281</v>
      </c>
      <c r="C34" s="42" t="str">
        <f>INDEX('91_NYELV'!$C$7:$D$303,245,NYELV_IDX)</f>
        <v>23. Részvénybevonás, tőkekivonás (tőkeleszállítás)</v>
      </c>
      <c r="D34" s="50" t="s">
        <v>264</v>
      </c>
      <c r="E34" s="37"/>
      <c r="F34" s="33"/>
      <c r="G34" s="37">
        <f t="shared" si="1"/>
        <v>0</v>
      </c>
      <c r="H34" s="33"/>
      <c r="I34" s="34" t="s">
        <v>267</v>
      </c>
    </row>
    <row r="35" spans="2:9" ht="15" customHeight="1" x14ac:dyDescent="0.3">
      <c r="B35" s="29" t="s">
        <v>282</v>
      </c>
      <c r="C35" s="42" t="str">
        <f>INDEX('91_NYELV'!$C$7:$D$303,246,NYELV_IDX)</f>
        <v>24. Kötvény és hitelviszonyt megtestesítő értékpapír visszafizetése</v>
      </c>
      <c r="D35" s="50" t="s">
        <v>264</v>
      </c>
      <c r="E35" s="37"/>
      <c r="F35" s="33"/>
      <c r="G35" s="37">
        <f t="shared" si="1"/>
        <v>0</v>
      </c>
      <c r="H35" s="33"/>
      <c r="I35" s="34" t="s">
        <v>267</v>
      </c>
    </row>
    <row r="36" spans="2:9" ht="15" customHeight="1" x14ac:dyDescent="0.3">
      <c r="B36" s="29" t="s">
        <v>283</v>
      </c>
      <c r="C36" s="42" t="str">
        <f>INDEX('91_NYELV'!$C$7:$D$303,247,NYELV_IDX)</f>
        <v>25. Hitel és kölcsön törlesztése, visszafizetése</v>
      </c>
      <c r="D36" s="50" t="s">
        <v>264</v>
      </c>
      <c r="E36" s="37"/>
      <c r="F36" s="33"/>
      <c r="G36" s="37">
        <f t="shared" si="1"/>
        <v>0</v>
      </c>
      <c r="H36" s="33"/>
      <c r="I36" s="34" t="s">
        <v>267</v>
      </c>
    </row>
    <row r="37" spans="2:9" ht="15" customHeight="1" x14ac:dyDescent="0.3">
      <c r="B37" s="29" t="s">
        <v>284</v>
      </c>
      <c r="C37" s="42" t="str">
        <f>INDEX('91_NYELV'!$C$7:$D$303,248,NYELV_IDX)</f>
        <v>26. Véglegesen átadott pénzeszköz</v>
      </c>
      <c r="D37" s="50" t="s">
        <v>264</v>
      </c>
      <c r="E37" s="37"/>
      <c r="F37" s="33"/>
      <c r="G37" s="37">
        <f t="shared" si="1"/>
        <v>0</v>
      </c>
      <c r="H37" s="33"/>
      <c r="I37" s="34" t="s">
        <v>267</v>
      </c>
    </row>
    <row r="38" spans="2:9" ht="15" customHeight="1" x14ac:dyDescent="0.3">
      <c r="B38" s="29" t="s">
        <v>285</v>
      </c>
      <c r="C38" s="52" t="str">
        <f>INDEX('91_NYELV'!$C$7:$D$303,249,NYELV_IDX)</f>
        <v>III. FINANSZÍROZÁSI CASH FLOW (19–26. sorok)</v>
      </c>
      <c r="D38" s="50"/>
      <c r="E38" s="53"/>
      <c r="F38" s="53"/>
      <c r="G38" s="44">
        <f>$G$30+$G$31+$G$32+$G$33+$G$34+$G$35+$G$36+$G$37</f>
        <v>0</v>
      </c>
      <c r="H38" s="44">
        <f>$H$30+$H$31+$H$32+$H$33+$H$34+$H$35+$H$36+$H$37</f>
        <v>0</v>
      </c>
      <c r="I38" s="34"/>
    </row>
    <row r="39" spans="2:9" ht="15" customHeight="1" x14ac:dyDescent="0.3">
      <c r="B39" s="29" t="s">
        <v>286</v>
      </c>
      <c r="C39" s="52" t="str">
        <f>INDEX('91_NYELV'!$C$7:$D$303,250,NYELV_IDX)</f>
        <v>IV. PÉNZESZKÖZÖK VÁLTOZÁSA (I+II+III. sorok)</v>
      </c>
      <c r="D39" s="50"/>
      <c r="E39" s="53"/>
      <c r="F39" s="53"/>
      <c r="G39" s="44">
        <f>$G$23+$G$29+$G$38</f>
        <v>0</v>
      </c>
      <c r="H39" s="44">
        <f>$H$23+$H$29+$H$38</f>
        <v>0</v>
      </c>
      <c r="I39" s="34"/>
    </row>
    <row r="40" spans="2:9" ht="15" customHeight="1" x14ac:dyDescent="0.3">
      <c r="B40" s="29" t="s">
        <v>287</v>
      </c>
      <c r="C40" s="42" t="str">
        <f>INDEX('91_NYELV'!$C$7:$D$303,251,NYELV_IDX)</f>
        <v>27. Devizás pénzeszközök átértékelése</v>
      </c>
      <c r="D40" s="50" t="s">
        <v>235</v>
      </c>
      <c r="E40" s="37"/>
      <c r="F40" s="33"/>
      <c r="G40" s="37">
        <f>$E40+$F40</f>
        <v>0</v>
      </c>
      <c r="H40" s="33"/>
      <c r="I40" s="34" t="s">
        <v>271</v>
      </c>
    </row>
    <row r="41" spans="2:9" ht="15" customHeight="1" x14ac:dyDescent="0.3">
      <c r="B41" s="29" t="s">
        <v>288</v>
      </c>
      <c r="C41" s="52" t="str">
        <f>INDEX('91_NYELV'!$C$7:$D$303,252,NYELV_IDX)</f>
        <v>V. PÉNZESZKÖZÖK MÉRLEG SZERINTI VÁLTOZÁSA (IV+27. sorok)</v>
      </c>
      <c r="D41" s="50"/>
      <c r="E41" s="53"/>
      <c r="F41" s="53"/>
      <c r="G41" s="44">
        <f>$G$39+$G$40</f>
        <v>0</v>
      </c>
      <c r="H41" s="44">
        <f>$H$39+$H$40</f>
        <v>0</v>
      </c>
      <c r="I41" s="34"/>
    </row>
    <row r="43" spans="2:9" ht="15" customHeight="1" x14ac:dyDescent="0.3">
      <c r="C43" s="54" t="s">
        <v>289</v>
      </c>
      <c r="G43" s="36">
        <f>('11_MUNKATABLA'!$K$64-'03B_NYITO'!$E$64)</f>
        <v>0</v>
      </c>
    </row>
    <row r="45" spans="2:9" ht="15" customHeight="1" x14ac:dyDescent="0.3">
      <c r="C45" s="49" t="s">
        <v>290</v>
      </c>
    </row>
  </sheetData>
  <sheetProtection algorithmName="SHA-512" hashValue="bhTCfmnCIFi63pTDl762uNNQzz8BZ1pnW0ddC8TgYEdnZ244L+eXwXrFuDW15857zUngnnnfx15HDwR/AOCl7Q==" saltValue="enJTyqlxA+Js1zrZcEMZ+g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Munka19">
    <pageSetUpPr fitToPage="1"/>
  </sheetPr>
  <dimension ref="A1:E46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2" style="2" customWidth="1"/>
    <col min="2" max="2" width="13" style="2" customWidth="1"/>
    <col min="3" max="3" width="62" style="2" customWidth="1"/>
    <col min="4" max="4" width="58" style="2" customWidth="1"/>
    <col min="5" max="5" width="48" style="2" customWidth="1"/>
  </cols>
  <sheetData>
    <row r="1" spans="2:5" ht="73.95" customHeight="1" x14ac:dyDescent="0.3"/>
    <row r="2" spans="2:5" ht="17.399999999999999" x14ac:dyDescent="0.3">
      <c r="B2" s="65" t="s">
        <v>291</v>
      </c>
    </row>
    <row r="3" spans="2:5" x14ac:dyDescent="0.3">
      <c r="B3" s="66" t="s">
        <v>292</v>
      </c>
    </row>
    <row r="4" spans="2:5" ht="30" customHeight="1" x14ac:dyDescent="0.3">
      <c r="B4" s="75" t="s">
        <v>293</v>
      </c>
      <c r="C4" s="76"/>
      <c r="D4" s="76"/>
      <c r="E4" s="76"/>
    </row>
    <row r="6" spans="2:5" ht="28.05" customHeight="1" x14ac:dyDescent="0.3">
      <c r="B6" s="67" t="s">
        <v>294</v>
      </c>
      <c r="C6" s="67" t="s">
        <v>295</v>
      </c>
      <c r="D6" s="67" t="s">
        <v>296</v>
      </c>
      <c r="E6" s="67" t="s">
        <v>297</v>
      </c>
    </row>
    <row r="7" spans="2:5" ht="22.05" customHeight="1" x14ac:dyDescent="0.3">
      <c r="B7" s="72" t="s">
        <v>298</v>
      </c>
      <c r="C7" s="73"/>
      <c r="D7" s="74" t="s">
        <v>299</v>
      </c>
      <c r="E7" s="73"/>
    </row>
    <row r="8" spans="2:5" ht="42" customHeight="1" x14ac:dyDescent="0.3">
      <c r="B8" s="68" t="s">
        <v>300</v>
      </c>
      <c r="C8" s="69" t="s">
        <v>301</v>
      </c>
      <c r="D8" s="70" t="s">
        <v>302</v>
      </c>
      <c r="E8" s="71"/>
    </row>
    <row r="9" spans="2:5" ht="42" customHeight="1" x14ac:dyDescent="0.3">
      <c r="B9" s="68" t="s">
        <v>303</v>
      </c>
      <c r="C9" s="69" t="s">
        <v>304</v>
      </c>
      <c r="D9" s="70" t="s">
        <v>305</v>
      </c>
      <c r="E9" s="71"/>
    </row>
    <row r="10" spans="2:5" ht="42" customHeight="1" x14ac:dyDescent="0.3">
      <c r="B10" s="68" t="s">
        <v>306</v>
      </c>
      <c r="C10" s="69" t="s">
        <v>307</v>
      </c>
      <c r="D10" s="70" t="s">
        <v>308</v>
      </c>
      <c r="E10" s="71"/>
    </row>
    <row r="11" spans="2:5" ht="42" customHeight="1" x14ac:dyDescent="0.3">
      <c r="B11" s="68" t="s">
        <v>309</v>
      </c>
      <c r="C11" s="69" t="s">
        <v>310</v>
      </c>
      <c r="D11" s="70" t="s">
        <v>311</v>
      </c>
      <c r="E11" s="71"/>
    </row>
    <row r="12" spans="2:5" ht="42" customHeight="1" x14ac:dyDescent="0.3">
      <c r="B12" s="68" t="s">
        <v>312</v>
      </c>
      <c r="C12" s="69" t="s">
        <v>313</v>
      </c>
      <c r="D12" s="70" t="s">
        <v>314</v>
      </c>
      <c r="E12" s="71"/>
    </row>
    <row r="13" spans="2:5" ht="22.05" customHeight="1" x14ac:dyDescent="0.3">
      <c r="B13" s="72" t="s">
        <v>315</v>
      </c>
      <c r="C13" s="73"/>
      <c r="D13" s="74" t="s">
        <v>316</v>
      </c>
      <c r="E13" s="73"/>
    </row>
    <row r="14" spans="2:5" ht="42" customHeight="1" x14ac:dyDescent="0.3">
      <c r="B14" s="68" t="s">
        <v>317</v>
      </c>
      <c r="C14" s="69" t="s">
        <v>318</v>
      </c>
      <c r="D14" s="70" t="s">
        <v>319</v>
      </c>
      <c r="E14" s="71"/>
    </row>
    <row r="15" spans="2:5" ht="42" customHeight="1" x14ac:dyDescent="0.3">
      <c r="B15" s="68" t="s">
        <v>320</v>
      </c>
      <c r="C15" s="69" t="s">
        <v>321</v>
      </c>
      <c r="D15" s="70" t="s">
        <v>322</v>
      </c>
      <c r="E15" s="71"/>
    </row>
    <row r="16" spans="2:5" ht="42" customHeight="1" x14ac:dyDescent="0.3">
      <c r="B16" s="68" t="s">
        <v>323</v>
      </c>
      <c r="C16" s="69" t="s">
        <v>324</v>
      </c>
      <c r="D16" s="70" t="s">
        <v>325</v>
      </c>
      <c r="E16" s="71"/>
    </row>
    <row r="17" spans="2:5" ht="42" customHeight="1" x14ac:dyDescent="0.3">
      <c r="B17" s="68" t="s">
        <v>326</v>
      </c>
      <c r="C17" s="69" t="s">
        <v>327</v>
      </c>
      <c r="D17" s="70" t="s">
        <v>328</v>
      </c>
      <c r="E17" s="71"/>
    </row>
    <row r="18" spans="2:5" ht="42" customHeight="1" x14ac:dyDescent="0.3">
      <c r="B18" s="68" t="s">
        <v>329</v>
      </c>
      <c r="C18" s="69" t="s">
        <v>330</v>
      </c>
      <c r="D18" s="70" t="s">
        <v>331</v>
      </c>
      <c r="E18" s="71"/>
    </row>
    <row r="19" spans="2:5" ht="42" customHeight="1" x14ac:dyDescent="0.3">
      <c r="B19" s="68" t="s">
        <v>332</v>
      </c>
      <c r="C19" s="69" t="s">
        <v>333</v>
      </c>
      <c r="D19" s="70" t="s">
        <v>334</v>
      </c>
      <c r="E19" s="71"/>
    </row>
    <row r="20" spans="2:5" ht="42" customHeight="1" x14ac:dyDescent="0.3">
      <c r="B20" s="68" t="s">
        <v>335</v>
      </c>
      <c r="C20" s="69" t="s">
        <v>336</v>
      </c>
      <c r="D20" s="70" t="s">
        <v>337</v>
      </c>
      <c r="E20" s="71"/>
    </row>
    <row r="21" spans="2:5" ht="22.05" customHeight="1" x14ac:dyDescent="0.3">
      <c r="B21" s="72" t="s">
        <v>338</v>
      </c>
      <c r="C21" s="73"/>
      <c r="D21" s="74" t="s">
        <v>339</v>
      </c>
      <c r="E21" s="73"/>
    </row>
    <row r="22" spans="2:5" ht="42" customHeight="1" x14ac:dyDescent="0.3">
      <c r="B22" s="68" t="s">
        <v>340</v>
      </c>
      <c r="C22" s="69" t="s">
        <v>341</v>
      </c>
      <c r="D22" s="70" t="s">
        <v>342</v>
      </c>
      <c r="E22" s="71"/>
    </row>
    <row r="23" spans="2:5" ht="42" customHeight="1" x14ac:dyDescent="0.3">
      <c r="B23" s="68" t="s">
        <v>343</v>
      </c>
      <c r="C23" s="69" t="s">
        <v>344</v>
      </c>
      <c r="D23" s="70" t="s">
        <v>345</v>
      </c>
      <c r="E23" s="71"/>
    </row>
    <row r="24" spans="2:5" ht="42" customHeight="1" x14ac:dyDescent="0.3">
      <c r="B24" s="68" t="s">
        <v>346</v>
      </c>
      <c r="C24" s="69" t="s">
        <v>347</v>
      </c>
      <c r="D24" s="70" t="s">
        <v>348</v>
      </c>
      <c r="E24" s="71"/>
    </row>
    <row r="25" spans="2:5" ht="42" customHeight="1" x14ac:dyDescent="0.3">
      <c r="B25" s="68" t="s">
        <v>349</v>
      </c>
      <c r="C25" s="69" t="s">
        <v>350</v>
      </c>
      <c r="D25" s="70" t="s">
        <v>351</v>
      </c>
      <c r="E25" s="71"/>
    </row>
    <row r="26" spans="2:5" ht="42" customHeight="1" x14ac:dyDescent="0.3">
      <c r="B26" s="68" t="s">
        <v>352</v>
      </c>
      <c r="C26" s="69" t="s">
        <v>353</v>
      </c>
      <c r="D26" s="70" t="s">
        <v>354</v>
      </c>
      <c r="E26" s="71"/>
    </row>
    <row r="27" spans="2:5" ht="22.05" customHeight="1" x14ac:dyDescent="0.3">
      <c r="B27" s="72" t="s">
        <v>355</v>
      </c>
      <c r="C27" s="73"/>
      <c r="D27" s="74" t="s">
        <v>356</v>
      </c>
      <c r="E27" s="73"/>
    </row>
    <row r="28" spans="2:5" ht="42" customHeight="1" x14ac:dyDescent="0.3">
      <c r="B28" s="68" t="s">
        <v>357</v>
      </c>
      <c r="C28" s="69" t="s">
        <v>358</v>
      </c>
      <c r="D28" s="70" t="s">
        <v>359</v>
      </c>
      <c r="E28" s="71"/>
    </row>
    <row r="29" spans="2:5" ht="42" customHeight="1" x14ac:dyDescent="0.3">
      <c r="B29" s="68" t="s">
        <v>360</v>
      </c>
      <c r="C29" s="69" t="s">
        <v>361</v>
      </c>
      <c r="D29" s="70" t="s">
        <v>362</v>
      </c>
      <c r="E29" s="71"/>
    </row>
    <row r="30" spans="2:5" ht="42" customHeight="1" x14ac:dyDescent="0.3">
      <c r="B30" s="68" t="s">
        <v>363</v>
      </c>
      <c r="C30" s="69" t="s">
        <v>364</v>
      </c>
      <c r="D30" s="70" t="s">
        <v>365</v>
      </c>
      <c r="E30" s="71"/>
    </row>
    <row r="31" spans="2:5" ht="42" customHeight="1" x14ac:dyDescent="0.3">
      <c r="B31" s="68" t="s">
        <v>366</v>
      </c>
      <c r="C31" s="69" t="s">
        <v>367</v>
      </c>
      <c r="D31" s="70" t="s">
        <v>368</v>
      </c>
      <c r="E31" s="71"/>
    </row>
    <row r="32" spans="2:5" ht="42" customHeight="1" x14ac:dyDescent="0.3">
      <c r="B32" s="68" t="s">
        <v>369</v>
      </c>
      <c r="C32" s="69" t="s">
        <v>370</v>
      </c>
      <c r="D32" s="70" t="s">
        <v>371</v>
      </c>
      <c r="E32" s="71"/>
    </row>
    <row r="33" spans="2:5" ht="22.05" customHeight="1" x14ac:dyDescent="0.3">
      <c r="B33" s="72" t="s">
        <v>372</v>
      </c>
      <c r="C33" s="73"/>
      <c r="D33" s="74" t="s">
        <v>373</v>
      </c>
      <c r="E33" s="73"/>
    </row>
    <row r="34" spans="2:5" ht="42" customHeight="1" x14ac:dyDescent="0.3">
      <c r="B34" s="68" t="s">
        <v>374</v>
      </c>
      <c r="C34" s="69" t="s">
        <v>375</v>
      </c>
      <c r="D34" s="70" t="s">
        <v>376</v>
      </c>
      <c r="E34" s="71"/>
    </row>
    <row r="35" spans="2:5" ht="42" customHeight="1" x14ac:dyDescent="0.3">
      <c r="B35" s="68" t="s">
        <v>377</v>
      </c>
      <c r="C35" s="69" t="s">
        <v>378</v>
      </c>
      <c r="D35" s="70" t="s">
        <v>379</v>
      </c>
      <c r="E35" s="71"/>
    </row>
    <row r="36" spans="2:5" ht="42" customHeight="1" x14ac:dyDescent="0.3">
      <c r="B36" s="68" t="s">
        <v>380</v>
      </c>
      <c r="C36" s="69" t="s">
        <v>381</v>
      </c>
      <c r="D36" s="70" t="s">
        <v>382</v>
      </c>
      <c r="E36" s="71"/>
    </row>
    <row r="37" spans="2:5" ht="42" customHeight="1" x14ac:dyDescent="0.3">
      <c r="B37" s="68" t="s">
        <v>383</v>
      </c>
      <c r="C37" s="69" t="s">
        <v>384</v>
      </c>
      <c r="D37" s="70" t="s">
        <v>385</v>
      </c>
      <c r="E37" s="71"/>
    </row>
    <row r="38" spans="2:5" ht="42" customHeight="1" x14ac:dyDescent="0.3">
      <c r="B38" s="68" t="s">
        <v>386</v>
      </c>
      <c r="C38" s="69" t="s">
        <v>387</v>
      </c>
      <c r="D38" s="70" t="s">
        <v>388</v>
      </c>
      <c r="E38" s="71"/>
    </row>
    <row r="39" spans="2:5" ht="42" customHeight="1" x14ac:dyDescent="0.3">
      <c r="B39" s="68" t="s">
        <v>389</v>
      </c>
      <c r="C39" s="69" t="s">
        <v>390</v>
      </c>
      <c r="D39" s="70" t="s">
        <v>391</v>
      </c>
      <c r="E39" s="71"/>
    </row>
    <row r="40" spans="2:5" ht="42" customHeight="1" x14ac:dyDescent="0.3">
      <c r="B40" s="68" t="s">
        <v>392</v>
      </c>
      <c r="C40" s="69" t="s">
        <v>393</v>
      </c>
      <c r="D40" s="70" t="s">
        <v>394</v>
      </c>
      <c r="E40" s="71"/>
    </row>
    <row r="41" spans="2:5" ht="22.05" customHeight="1" x14ac:dyDescent="0.3">
      <c r="B41" s="72" t="s">
        <v>395</v>
      </c>
      <c r="C41" s="73"/>
      <c r="D41" s="74" t="s">
        <v>396</v>
      </c>
      <c r="E41" s="73"/>
    </row>
    <row r="42" spans="2:5" ht="42" customHeight="1" x14ac:dyDescent="0.3">
      <c r="B42" s="68" t="s">
        <v>397</v>
      </c>
      <c r="C42" s="69" t="s">
        <v>398</v>
      </c>
      <c r="D42" s="70" t="s">
        <v>399</v>
      </c>
      <c r="E42" s="71"/>
    </row>
    <row r="43" spans="2:5" ht="42" customHeight="1" x14ac:dyDescent="0.3">
      <c r="B43" s="68" t="s">
        <v>400</v>
      </c>
      <c r="C43" s="69" t="s">
        <v>401</v>
      </c>
      <c r="D43" s="70" t="s">
        <v>402</v>
      </c>
      <c r="E43" s="71"/>
    </row>
    <row r="44" spans="2:5" ht="42" customHeight="1" x14ac:dyDescent="0.3">
      <c r="B44" s="68" t="s">
        <v>403</v>
      </c>
      <c r="C44" s="69" t="s">
        <v>404</v>
      </c>
      <c r="D44" s="70" t="s">
        <v>405</v>
      </c>
      <c r="E44" s="71"/>
    </row>
    <row r="45" spans="2:5" ht="42" customHeight="1" x14ac:dyDescent="0.3">
      <c r="B45" s="68" t="s">
        <v>406</v>
      </c>
      <c r="C45" s="69" t="s">
        <v>407</v>
      </c>
      <c r="D45" s="70" t="s">
        <v>408</v>
      </c>
      <c r="E45" s="71"/>
    </row>
    <row r="46" spans="2:5" ht="42" customHeight="1" x14ac:dyDescent="0.3">
      <c r="B46" s="68" t="s">
        <v>409</v>
      </c>
      <c r="C46" s="69" t="s">
        <v>410</v>
      </c>
      <c r="D46" s="70" t="s">
        <v>411</v>
      </c>
      <c r="E46" s="71"/>
    </row>
  </sheetData>
  <sheetProtection algorithmName="SHA-512" hashValue="sch98yvPPyrR7dGvJKRiUHV7xKT1w0PZ7shDnX6gGeeeGEC6hwNKCi6GzlLmvFKo1lqBqY0EHjHFRuIbrXb1fQ==" saltValue="9CXf1V45PtjdmlwFByFpXw==" spinCount="100000" sheet="1" objects="1" scenarios="1" autoFilter="0"/>
  <mergeCells count="13">
    <mergeCell ref="D7:E7"/>
    <mergeCell ref="B7:C7"/>
    <mergeCell ref="B4:E4"/>
    <mergeCell ref="B33:C33"/>
    <mergeCell ref="D33:E33"/>
    <mergeCell ref="D13:E13"/>
    <mergeCell ref="B13:C13"/>
    <mergeCell ref="B41:C41"/>
    <mergeCell ref="D27:E27"/>
    <mergeCell ref="D41:E41"/>
    <mergeCell ref="B27:C27"/>
    <mergeCell ref="D21:E21"/>
    <mergeCell ref="B21:C21"/>
  </mergeCells>
  <pageMargins left="0.75" right="0.75" top="1" bottom="1" header="0.5" footer="0.5"/>
  <pageSetup fitToHeight="0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Munka20"/>
  <dimension ref="B1:E14"/>
  <sheetViews>
    <sheetView showGridLines="0" zoomScaleNormal="100" workbookViewId="0"/>
  </sheetViews>
  <sheetFormatPr defaultColWidth="8.6640625" defaultRowHeight="14.4" x14ac:dyDescent="0.3"/>
  <cols>
    <col min="2" max="2" width="6" style="1" customWidth="1"/>
    <col min="3" max="3" width="74" style="1" customWidth="1"/>
    <col min="4" max="4" width="22" style="1" customWidth="1"/>
    <col min="5" max="5" width="16" style="1" customWidth="1"/>
  </cols>
  <sheetData>
    <row r="1" spans="2:5" ht="79.5" customHeight="1" x14ac:dyDescent="0.3"/>
    <row r="3" spans="2:5" ht="19.5" customHeight="1" x14ac:dyDescent="0.4">
      <c r="B3" s="12" t="str">
        <f>INDEX('91_NYELV'!$C$7:$D$303,54,NYELV_IDX)</f>
        <v>14. Ellenőrzések</v>
      </c>
    </row>
    <row r="4" spans="2:5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5" ht="15" customHeight="1" x14ac:dyDescent="0.3">
      <c r="B6" s="20" t="str">
        <f>INDEX('91_NYELV'!$C$7:$D$303,68,NYELV_IDX)</f>
        <v>Ssz.</v>
      </c>
      <c r="C6" s="20" t="str">
        <f>INDEX('91_NYELV'!$C$7:$D$303,164,NYELV_IDX)</f>
        <v>Ellenőrzés</v>
      </c>
      <c r="D6" s="20" t="str">
        <f>INDEX('91_NYELV'!$C$7:$D$303,165,NYELV_IDX)</f>
        <v>Eltérés</v>
      </c>
      <c r="E6" s="20" t="str">
        <f>INDEX('91_NYELV'!$C$7:$D$303,166,NYELV_IDX)</f>
        <v>Eredmény</v>
      </c>
    </row>
    <row r="7" spans="2:5" ht="15" customHeight="1" x14ac:dyDescent="0.3">
      <c r="B7" s="21">
        <v>1</v>
      </c>
      <c r="C7" s="42" t="str">
        <f>INDEX('91_NYELV'!$C$7:$D$303,167,NYELV_IDX)</f>
        <v>Konszolidált eszközök = konszolidált források</v>
      </c>
      <c r="D7" s="31">
        <f>'12_K_MERLEG'!$D$129-'12_K_MERLEG'!$D$130</f>
        <v>0</v>
      </c>
      <c r="E7" s="11" t="str">
        <f>IF(ROUND($D7,0)=0,INDEX('91_NYELV'!$C$7:$D$303,6,NYELV_IDX),INDEX('91_NYELV'!$C$7:$D$303,7,NYELV_IDX))</f>
        <v>RENDBEN</v>
      </c>
    </row>
    <row r="8" spans="2:5" ht="15" customHeight="1" x14ac:dyDescent="0.3">
      <c r="B8" s="21">
        <v>2</v>
      </c>
      <c r="C8" s="42" t="str">
        <f>INDEX('91_NYELV'!$C$7:$D$303,168,NYELV_IDX)</f>
        <v>Konszolidációs napló: Tartozik = Követel</v>
      </c>
      <c r="D8" s="31">
        <f>'10_NAPLO'!$I$5-'10_NAPLO'!$J$5</f>
        <v>0</v>
      </c>
      <c r="E8" s="11" t="str">
        <f>IF(ROUND($D8,0)=0,INDEX('91_NYELV'!$C$7:$D$303,6,NYELV_IDX),INDEX('91_NYELV'!$C$7:$D$303,7,NYELV_IDX))</f>
        <v>RENDBEN</v>
      </c>
    </row>
    <row r="9" spans="2:5" ht="15" customHeight="1" x14ac:dyDescent="0.3">
      <c r="B9" s="21">
        <v>3</v>
      </c>
      <c r="C9" s="42" t="str">
        <f>INDEX('91_NYELV'!$C$7:$D$303,169,NYELV_IDX)</f>
        <v>Egyedi beszámolók: eszközök = források (mind)</v>
      </c>
      <c r="D9" s="31">
        <f>SUM('03_ADATBEVITEL'!$E$185:$X$185)</f>
        <v>0</v>
      </c>
      <c r="E9" s="11" t="str">
        <f>IF(ROUND($D9,0)=0,INDEX('91_NYELV'!$C$7:$D$303,6,NYELV_IDX),INDEX('91_NYELV'!$C$7:$D$303,7,NYELV_IDX))</f>
        <v>RENDBEN</v>
      </c>
    </row>
    <row r="10" spans="2:5" ht="15" customHeight="1" x14ac:dyDescent="0.3">
      <c r="B10" s="21">
        <v>4</v>
      </c>
      <c r="C10" s="42" t="str">
        <f>INDEX('91_NYELV'!$C$7:$D$303,170,NYELV_IDX)</f>
        <v>Egyedi beszámolók: eredmény = mérleg D.VII + devizaátszámítási különbözet</v>
      </c>
      <c r="D10" s="31">
        <f>IF(EK_VALT=1,'11_MUNKATABLA'!$G$128+'11_MUNKATABLA'!$G$131+'11_MUNKATABLA'!$G$134+'11_MUNKATABLA'!$G$136-'11_MUNKATABLA'!$G$137-'11_MUNKATABLA'!$G$143-'11_MUNKATABLA'!$G$147-'11_MUNKATABLA'!$G$148-'11_MUNKATABLA'!$G$150+'11_MUNKATABLA'!$G$151-'11_MUNKATABLA'!$G$164-'11_MUNKATABLA'!$G$174-'11_MUNKATABLA'!$G$175-'11_MUNKATABLA'!$G$176-'11_MUNKATABLA'!$G$177,'11_MUNKATABLA'!$G$128-'11_MUNKATABLA'!$G$180-'11_MUNKATABLA'!$G$141-'11_MUNKATABLA'!$G$142-'11_MUNKATABLA'!$G$181-'11_MUNKATABLA'!$G$182-'11_MUNKATABLA'!$G$183+'11_MUNKATABLA'!$G$134+'11_MUNKATABLA'!$G$136-'11_MUNKATABLA'!$G$148-'11_MUNKATABLA'!$G$150+'11_MUNKATABLA'!$G$151-'11_MUNKATABLA'!$G$164-'11_MUNKATABLA'!$G$174-'11_MUNKATABLA'!$G$175-'11_MUNKATABLA'!$G$176-'11_MUNKATABLA'!$G$177)-'11_MUNKATABLA'!$G$81+'11_MUNKATABLA'!$G$86</f>
        <v>0</v>
      </c>
      <c r="E10" s="11" t="str">
        <f>IF(ROUND($D10,0)=0,INDEX('91_NYELV'!$C$7:$D$303,6,NYELV_IDX),INDEX('91_NYELV'!$C$7:$D$303,7,NYELV_IDX))</f>
        <v>RENDBEN</v>
      </c>
    </row>
    <row r="11" spans="2:5" ht="15" customHeight="1" x14ac:dyDescent="0.3">
      <c r="B11" s="21">
        <v>5</v>
      </c>
      <c r="C11" s="42" t="str">
        <f>INDEX('91_NYELV'!$C$7:$D$303,193,NYELV_IDX)</f>
        <v>Cash flow V. sora = a pénzeszközök mérleg szerinti változása</v>
      </c>
      <c r="D11" s="31">
        <f>'14_CASHFLOW'!$G$41-('11_MUNKATABLA'!$K$64-'03B_NYITO'!$E$64)</f>
        <v>0</v>
      </c>
      <c r="E11" s="11" t="str">
        <f>IF(ROUND($D11,0)=0,INDEX('91_NYELV'!$C$7:$D$303,6,NYELV_IDX),INDEX('91_NYELV'!$C$7:$D$303,7,NYELV_IDX))</f>
        <v>RENDBEN</v>
      </c>
    </row>
    <row r="12" spans="2:5" ht="15" customHeight="1" x14ac:dyDescent="0.3">
      <c r="B12" s="21">
        <v>6</v>
      </c>
      <c r="C12" s="42" t="str">
        <f>INDEX('91_NYELV'!$C$7:$D$303,261,NYELV_IDX)</f>
        <v>Csak a választott eredménykimutatás-változat sorai vannak kitöltve</v>
      </c>
      <c r="D12" s="31">
        <f>IF(EK_VALT=1,'11_MUNKATABLA'!$K$179,'11_MUNKATABLA'!$K$131+'11_MUNKATABLA'!$K$138+'11_MUNKATABLA'!$K$139+'11_MUNKATABLA'!$K$140+'11_MUNKATABLA'!$K$143+'11_MUNKATABLA'!$K$147)</f>
        <v>0</v>
      </c>
      <c r="E12" s="11" t="str">
        <f>IF(ROUND($D12,0)=0,INDEX('91_NYELV'!$C$7:$D$303,6,NYELV_IDX),INDEX('91_NYELV'!$C$7:$D$303,7,NYELV_IDX))</f>
        <v>RENDBEN</v>
      </c>
    </row>
    <row r="13" spans="2:5" ht="15" customHeight="1" x14ac:dyDescent="0.3">
      <c r="B13" s="21">
        <v>7</v>
      </c>
      <c r="C13" s="42" t="str">
        <f>INDEX('91_NYELV'!$C$7:$D$303,172,NYELV_IDX)</f>
        <v>Minden bevont cégnél meg van adva a záró és az átlagárfolyam</v>
      </c>
      <c r="D13" s="31">
        <f>SUMPRODUCT(--('02_KONSZ_KOR'!$N$7:$N$26&lt;&gt;0),--(('02_KONSZ_KOR'!$L$7:$L$26="")+('02_KONSZ_KOR'!$M$7:$M$26="")&gt;0))</f>
        <v>0</v>
      </c>
      <c r="E13" s="11" t="str">
        <f>IF(ROUND($D13,0)=0,INDEX('91_NYELV'!$C$7:$D$303,6,NYELV_IDX),INDEX('91_NYELV'!$C$7:$D$303,7,NYELV_IDX))</f>
        <v>RENDBEN</v>
      </c>
    </row>
    <row r="14" spans="2:5" ht="15" customHeight="1" x14ac:dyDescent="0.3">
      <c r="B14" s="21">
        <v>8</v>
      </c>
      <c r="C14" s="42" t="str">
        <f>INDEX('91_NYELV'!$C$7:$D$303,171,NYELV_IDX)</f>
        <v>A napló minden séma-kódja létezik a sorsémában</v>
      </c>
      <c r="D14" s="31">
        <f>SUMPRODUCT(--('10_NAPLO'!$G$7:$G$806&lt;&gt;""),--(ISNA(MATCH('10_NAPLO'!$G$7:$G$806,'90_SEMA'!$B$7:$B$183,0))))</f>
        <v>0</v>
      </c>
      <c r="E14" s="11" t="str">
        <f>IF(ROUND($D14,0)=0,INDEX('91_NYELV'!$C$7:$D$303,6,NYELV_IDX),INDEX('91_NYELV'!$C$7:$D$303,7,NYELV_IDX))</f>
        <v>RENDBEN</v>
      </c>
    </row>
  </sheetData>
  <sheetProtection algorithmName="SHA-512" hashValue="+L1PCpbOp4BZWuEltN0hVMq3T3aJoEDH9DMsG6l1CopSow0Y6QTf+VuHZ3rJCRGKuaMmw9WZD2EARgsHAJ1/MA==" saltValue="dsbaz15fXh+G51N51nflAA==" spinCount="100000" sheet="1" objects="1" scenarios="1" autoFilter="0"/>
  <conditionalFormatting sqref="E7:E14">
    <cfRule type="expression" dxfId="1" priority="2">
      <formula>ROUND($D7,0)=0</formula>
    </cfRule>
    <cfRule type="expression" dxfId="0" priority="3">
      <formula>ROUND($D7,0)&lt;&gt;0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Munka21"/>
  <dimension ref="B1:I185"/>
  <sheetViews>
    <sheetView showGridLines="0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6640625" defaultRowHeight="14.4" x14ac:dyDescent="0.3"/>
  <cols>
    <col min="2" max="2" width="15" style="1" customWidth="1"/>
    <col min="3" max="3" width="7" style="1" customWidth="1"/>
    <col min="4" max="4" width="8" style="1" customWidth="1"/>
    <col min="5" max="5" width="9" style="1" customWidth="1"/>
    <col min="6" max="6" width="11" style="1" customWidth="1"/>
    <col min="7" max="8" width="64" style="1" customWidth="1"/>
    <col min="9" max="9" width="10" style="1" customWidth="1"/>
  </cols>
  <sheetData>
    <row r="1" spans="2:9" ht="79.5" customHeight="1" x14ac:dyDescent="0.3"/>
    <row r="3" spans="2:9" ht="19.5" customHeight="1" x14ac:dyDescent="0.4">
      <c r="B3" s="12" t="str">
        <f>INDEX('91_NYELV'!$C$7:$D$303,55,NYELV_IDX)</f>
        <v>15. Sorséma</v>
      </c>
    </row>
    <row r="4" spans="2:9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6" spans="2:9" ht="30" customHeight="1" x14ac:dyDescent="0.3">
      <c r="B6" s="20" t="str">
        <f>INDEX('91_NYELV'!$C$7:$D$303,173,NYELV_IDX)</f>
        <v>Kód</v>
      </c>
      <c r="C6" s="20" t="str">
        <f>INDEX('91_NYELV'!$C$7:$D$303,174,NYELV_IDX)</f>
        <v>Szint</v>
      </c>
      <c r="D6" s="20" t="str">
        <f>INDEX('91_NYELV'!$C$7:$D$303,175,NYELV_IDX)</f>
        <v>Típus</v>
      </c>
      <c r="E6" s="20" t="str">
        <f>INDEX('91_NYELV'!$C$7:$D$303,176,NYELV_IDX)</f>
        <v>Oldal (T/K)</v>
      </c>
      <c r="F6" s="20" t="str">
        <f>INDEX('91_NYELV'!$C$7:$D$303,177,NYELV_IDX)</f>
        <v>Adat/Összeg</v>
      </c>
      <c r="G6" s="20" t="str">
        <f>INDEX('91_NYELV'!$C$7:$D$303,178,NYELV_IDX)</f>
        <v>Megnevezés (magyar)</v>
      </c>
      <c r="H6" s="20" t="str">
        <f>INDEX('91_NYELV'!$C$7:$D$303,179,NYELV_IDX)</f>
        <v>Megnevezés (angol)</v>
      </c>
      <c r="I6" s="20" t="str">
        <f>INDEX('91_NYELV'!$C$7:$D$303,180,NYELV_IDX)</f>
        <v>Jelölés</v>
      </c>
    </row>
    <row r="7" spans="2:9" ht="15" customHeight="1" x14ac:dyDescent="0.3">
      <c r="B7" s="30" t="s">
        <v>28</v>
      </c>
      <c r="C7" s="30">
        <v>1</v>
      </c>
      <c r="D7" s="30" t="s">
        <v>218</v>
      </c>
      <c r="E7" s="30" t="s">
        <v>97</v>
      </c>
      <c r="F7" s="30" t="s">
        <v>29</v>
      </c>
      <c r="G7" s="30" t="s">
        <v>412</v>
      </c>
      <c r="H7" s="30" t="s">
        <v>413</v>
      </c>
      <c r="I7" s="30"/>
    </row>
    <row r="8" spans="2:9" ht="15" customHeight="1" x14ac:dyDescent="0.3">
      <c r="B8" s="32" t="s">
        <v>30</v>
      </c>
      <c r="C8" s="32">
        <v>2</v>
      </c>
      <c r="D8" s="32" t="s">
        <v>218</v>
      </c>
      <c r="E8" s="32" t="s">
        <v>97</v>
      </c>
      <c r="F8" s="32" t="s">
        <v>29</v>
      </c>
      <c r="G8" s="32" t="s">
        <v>414</v>
      </c>
      <c r="H8" s="32" t="s">
        <v>415</v>
      </c>
      <c r="I8" s="32"/>
    </row>
    <row r="9" spans="2:9" ht="15" customHeight="1" x14ac:dyDescent="0.3">
      <c r="B9" s="7" t="s">
        <v>31</v>
      </c>
      <c r="C9" s="7">
        <v>3</v>
      </c>
      <c r="D9" s="7" t="s">
        <v>218</v>
      </c>
      <c r="E9" s="7" t="s">
        <v>97</v>
      </c>
      <c r="F9" s="7" t="s">
        <v>32</v>
      </c>
      <c r="G9" s="7" t="s">
        <v>416</v>
      </c>
      <c r="H9" s="7" t="s">
        <v>417</v>
      </c>
      <c r="I9" s="7"/>
    </row>
    <row r="10" spans="2:9" ht="15" customHeight="1" x14ac:dyDescent="0.3">
      <c r="B10" s="7" t="s">
        <v>33</v>
      </c>
      <c r="C10" s="7">
        <v>3</v>
      </c>
      <c r="D10" s="7" t="s">
        <v>218</v>
      </c>
      <c r="E10" s="7" t="s">
        <v>97</v>
      </c>
      <c r="F10" s="7" t="s">
        <v>32</v>
      </c>
      <c r="G10" s="7" t="s">
        <v>418</v>
      </c>
      <c r="H10" s="7" t="s">
        <v>419</v>
      </c>
      <c r="I10" s="7"/>
    </row>
    <row r="11" spans="2:9" ht="15" customHeight="1" x14ac:dyDescent="0.3">
      <c r="B11" s="7" t="s">
        <v>34</v>
      </c>
      <c r="C11" s="7">
        <v>3</v>
      </c>
      <c r="D11" s="7" t="s">
        <v>218</v>
      </c>
      <c r="E11" s="7" t="s">
        <v>97</v>
      </c>
      <c r="F11" s="7" t="s">
        <v>32</v>
      </c>
      <c r="G11" s="7" t="s">
        <v>420</v>
      </c>
      <c r="H11" s="7" t="s">
        <v>421</v>
      </c>
      <c r="I11" s="7"/>
    </row>
    <row r="12" spans="2:9" ht="15" customHeight="1" x14ac:dyDescent="0.3">
      <c r="B12" s="7" t="s">
        <v>35</v>
      </c>
      <c r="C12" s="7">
        <v>3</v>
      </c>
      <c r="D12" s="7" t="s">
        <v>218</v>
      </c>
      <c r="E12" s="7" t="s">
        <v>97</v>
      </c>
      <c r="F12" s="7" t="s">
        <v>32</v>
      </c>
      <c r="G12" s="7" t="s">
        <v>422</v>
      </c>
      <c r="H12" s="7" t="s">
        <v>423</v>
      </c>
      <c r="I12" s="7"/>
    </row>
    <row r="13" spans="2:9" ht="15" customHeight="1" x14ac:dyDescent="0.3">
      <c r="B13" s="7" t="s">
        <v>36</v>
      </c>
      <c r="C13" s="7">
        <v>3</v>
      </c>
      <c r="D13" s="7" t="s">
        <v>218</v>
      </c>
      <c r="E13" s="7" t="s">
        <v>97</v>
      </c>
      <c r="F13" s="7" t="s">
        <v>32</v>
      </c>
      <c r="G13" s="7" t="s">
        <v>424</v>
      </c>
      <c r="H13" s="7" t="s">
        <v>425</v>
      </c>
      <c r="I13" s="7"/>
    </row>
    <row r="14" spans="2:9" ht="15" customHeight="1" x14ac:dyDescent="0.3">
      <c r="B14" s="7" t="s">
        <v>37</v>
      </c>
      <c r="C14" s="7">
        <v>3</v>
      </c>
      <c r="D14" s="7" t="s">
        <v>218</v>
      </c>
      <c r="E14" s="7" t="s">
        <v>97</v>
      </c>
      <c r="F14" s="7" t="s">
        <v>32</v>
      </c>
      <c r="G14" s="7" t="s">
        <v>426</v>
      </c>
      <c r="H14" s="7" t="s">
        <v>427</v>
      </c>
      <c r="I14" s="7"/>
    </row>
    <row r="15" spans="2:9" ht="15" customHeight="1" x14ac:dyDescent="0.3">
      <c r="B15" s="7" t="s">
        <v>38</v>
      </c>
      <c r="C15" s="7">
        <v>3</v>
      </c>
      <c r="D15" s="7" t="s">
        <v>218</v>
      </c>
      <c r="E15" s="7" t="s">
        <v>97</v>
      </c>
      <c r="F15" s="7" t="s">
        <v>32</v>
      </c>
      <c r="G15" s="7" t="s">
        <v>428</v>
      </c>
      <c r="H15" s="7" t="s">
        <v>429</v>
      </c>
      <c r="I15" s="7"/>
    </row>
    <row r="16" spans="2:9" ht="15" customHeight="1" x14ac:dyDescent="0.3">
      <c r="B16" s="32" t="s">
        <v>39</v>
      </c>
      <c r="C16" s="32">
        <v>2</v>
      </c>
      <c r="D16" s="32" t="s">
        <v>218</v>
      </c>
      <c r="E16" s="32" t="s">
        <v>97</v>
      </c>
      <c r="F16" s="32" t="s">
        <v>29</v>
      </c>
      <c r="G16" s="32" t="s">
        <v>430</v>
      </c>
      <c r="H16" s="32" t="s">
        <v>431</v>
      </c>
      <c r="I16" s="32"/>
    </row>
    <row r="17" spans="2:9" ht="15" customHeight="1" x14ac:dyDescent="0.3">
      <c r="B17" s="7" t="s">
        <v>40</v>
      </c>
      <c r="C17" s="7">
        <v>3</v>
      </c>
      <c r="D17" s="7" t="s">
        <v>218</v>
      </c>
      <c r="E17" s="7" t="s">
        <v>97</v>
      </c>
      <c r="F17" s="7" t="s">
        <v>32</v>
      </c>
      <c r="G17" s="7" t="s">
        <v>432</v>
      </c>
      <c r="H17" s="7" t="s">
        <v>433</v>
      </c>
      <c r="I17" s="7"/>
    </row>
    <row r="18" spans="2:9" ht="15" customHeight="1" x14ac:dyDescent="0.3">
      <c r="B18" s="7" t="s">
        <v>41</v>
      </c>
      <c r="C18" s="7">
        <v>3</v>
      </c>
      <c r="D18" s="7" t="s">
        <v>218</v>
      </c>
      <c r="E18" s="7" t="s">
        <v>97</v>
      </c>
      <c r="F18" s="7" t="s">
        <v>32</v>
      </c>
      <c r="G18" s="7" t="s">
        <v>434</v>
      </c>
      <c r="H18" s="7" t="s">
        <v>435</v>
      </c>
      <c r="I18" s="7"/>
    </row>
    <row r="19" spans="2:9" ht="15" customHeight="1" x14ac:dyDescent="0.3">
      <c r="B19" s="7" t="s">
        <v>42</v>
      </c>
      <c r="C19" s="7">
        <v>3</v>
      </c>
      <c r="D19" s="7" t="s">
        <v>218</v>
      </c>
      <c r="E19" s="7" t="s">
        <v>97</v>
      </c>
      <c r="F19" s="7" t="s">
        <v>32</v>
      </c>
      <c r="G19" s="7" t="s">
        <v>436</v>
      </c>
      <c r="H19" s="7" t="s">
        <v>437</v>
      </c>
      <c r="I19" s="7"/>
    </row>
    <row r="20" spans="2:9" ht="15" customHeight="1" x14ac:dyDescent="0.3">
      <c r="B20" s="7" t="s">
        <v>43</v>
      </c>
      <c r="C20" s="7">
        <v>3</v>
      </c>
      <c r="D20" s="7" t="s">
        <v>218</v>
      </c>
      <c r="E20" s="7" t="s">
        <v>97</v>
      </c>
      <c r="F20" s="7" t="s">
        <v>32</v>
      </c>
      <c r="G20" s="7" t="s">
        <v>438</v>
      </c>
      <c r="H20" s="7" t="s">
        <v>439</v>
      </c>
      <c r="I20" s="7"/>
    </row>
    <row r="21" spans="2:9" ht="15" customHeight="1" x14ac:dyDescent="0.3">
      <c r="B21" s="7" t="s">
        <v>44</v>
      </c>
      <c r="C21" s="7">
        <v>3</v>
      </c>
      <c r="D21" s="7" t="s">
        <v>218</v>
      </c>
      <c r="E21" s="7" t="s">
        <v>97</v>
      </c>
      <c r="F21" s="7" t="s">
        <v>32</v>
      </c>
      <c r="G21" s="7" t="s">
        <v>440</v>
      </c>
      <c r="H21" s="7" t="s">
        <v>441</v>
      </c>
      <c r="I21" s="7"/>
    </row>
    <row r="22" spans="2:9" ht="15" customHeight="1" x14ac:dyDescent="0.3">
      <c r="B22" s="7" t="s">
        <v>45</v>
      </c>
      <c r="C22" s="7">
        <v>3</v>
      </c>
      <c r="D22" s="7" t="s">
        <v>218</v>
      </c>
      <c r="E22" s="7" t="s">
        <v>97</v>
      </c>
      <c r="F22" s="7" t="s">
        <v>32</v>
      </c>
      <c r="G22" s="7" t="s">
        <v>442</v>
      </c>
      <c r="H22" s="7" t="s">
        <v>443</v>
      </c>
      <c r="I22" s="7"/>
    </row>
    <row r="23" spans="2:9" ht="15" customHeight="1" x14ac:dyDescent="0.3">
      <c r="B23" s="7" t="s">
        <v>46</v>
      </c>
      <c r="C23" s="7">
        <v>3</v>
      </c>
      <c r="D23" s="7" t="s">
        <v>218</v>
      </c>
      <c r="E23" s="7" t="s">
        <v>97</v>
      </c>
      <c r="F23" s="7" t="s">
        <v>32</v>
      </c>
      <c r="G23" s="7" t="s">
        <v>444</v>
      </c>
      <c r="H23" s="7" t="s">
        <v>445</v>
      </c>
      <c r="I23" s="7"/>
    </row>
    <row r="24" spans="2:9" ht="15" customHeight="1" x14ac:dyDescent="0.3">
      <c r="B24" s="32" t="s">
        <v>47</v>
      </c>
      <c r="C24" s="32">
        <v>2</v>
      </c>
      <c r="D24" s="32" t="s">
        <v>218</v>
      </c>
      <c r="E24" s="32" t="s">
        <v>97</v>
      </c>
      <c r="F24" s="32" t="s">
        <v>29</v>
      </c>
      <c r="G24" s="32" t="s">
        <v>446</v>
      </c>
      <c r="H24" s="32" t="s">
        <v>447</v>
      </c>
      <c r="I24" s="32"/>
    </row>
    <row r="25" spans="2:9" ht="15" customHeight="1" x14ac:dyDescent="0.3">
      <c r="B25" s="7" t="s">
        <v>48</v>
      </c>
      <c r="C25" s="7">
        <v>3</v>
      </c>
      <c r="D25" s="7" t="s">
        <v>218</v>
      </c>
      <c r="E25" s="7" t="s">
        <v>97</v>
      </c>
      <c r="F25" s="7" t="s">
        <v>32</v>
      </c>
      <c r="G25" s="7" t="s">
        <v>448</v>
      </c>
      <c r="H25" s="7" t="s">
        <v>449</v>
      </c>
      <c r="I25" s="7"/>
    </row>
    <row r="26" spans="2:9" ht="15" customHeight="1" x14ac:dyDescent="0.3">
      <c r="B26" s="7" t="s">
        <v>49</v>
      </c>
      <c r="C26" s="7">
        <v>3</v>
      </c>
      <c r="D26" s="7" t="s">
        <v>218</v>
      </c>
      <c r="E26" s="7" t="s">
        <v>97</v>
      </c>
      <c r="F26" s="7" t="s">
        <v>32</v>
      </c>
      <c r="G26" s="7" t="s">
        <v>450</v>
      </c>
      <c r="H26" s="7" t="s">
        <v>451</v>
      </c>
      <c r="I26" s="7"/>
    </row>
    <row r="27" spans="2:9" ht="15" customHeight="1" x14ac:dyDescent="0.3">
      <c r="B27" s="7" t="s">
        <v>50</v>
      </c>
      <c r="C27" s="7">
        <v>3</v>
      </c>
      <c r="D27" s="7" t="s">
        <v>218</v>
      </c>
      <c r="E27" s="7" t="s">
        <v>97</v>
      </c>
      <c r="F27" s="7" t="s">
        <v>32</v>
      </c>
      <c r="G27" s="7" t="s">
        <v>452</v>
      </c>
      <c r="H27" s="7" t="s">
        <v>453</v>
      </c>
      <c r="I27" s="7"/>
    </row>
    <row r="28" spans="2:9" ht="15" customHeight="1" x14ac:dyDescent="0.3">
      <c r="B28" s="7" t="s">
        <v>51</v>
      </c>
      <c r="C28" s="7">
        <v>3</v>
      </c>
      <c r="D28" s="7" t="s">
        <v>218</v>
      </c>
      <c r="E28" s="7" t="s">
        <v>97</v>
      </c>
      <c r="F28" s="7" t="s">
        <v>32</v>
      </c>
      <c r="G28" s="7" t="s">
        <v>454</v>
      </c>
      <c r="H28" s="7" t="s">
        <v>455</v>
      </c>
      <c r="I28" s="7"/>
    </row>
    <row r="29" spans="2:9" ht="15" customHeight="1" x14ac:dyDescent="0.3">
      <c r="B29" s="7" t="s">
        <v>52</v>
      </c>
      <c r="C29" s="7">
        <v>3</v>
      </c>
      <c r="D29" s="7" t="s">
        <v>218</v>
      </c>
      <c r="E29" s="7" t="s">
        <v>97</v>
      </c>
      <c r="F29" s="7" t="s">
        <v>32</v>
      </c>
      <c r="G29" s="7" t="s">
        <v>456</v>
      </c>
      <c r="H29" s="7" t="s">
        <v>457</v>
      </c>
      <c r="I29" s="7"/>
    </row>
    <row r="30" spans="2:9" ht="15" customHeight="1" x14ac:dyDescent="0.3">
      <c r="B30" s="7" t="s">
        <v>53</v>
      </c>
      <c r="C30" s="7">
        <v>3</v>
      </c>
      <c r="D30" s="7" t="s">
        <v>218</v>
      </c>
      <c r="E30" s="7" t="s">
        <v>97</v>
      </c>
      <c r="F30" s="7" t="s">
        <v>32</v>
      </c>
      <c r="G30" s="7" t="s">
        <v>458</v>
      </c>
      <c r="H30" s="7" t="s">
        <v>459</v>
      </c>
      <c r="I30" s="7"/>
    </row>
    <row r="31" spans="2:9" ht="15" customHeight="1" x14ac:dyDescent="0.3">
      <c r="B31" s="7" t="s">
        <v>54</v>
      </c>
      <c r="C31" s="7">
        <v>3</v>
      </c>
      <c r="D31" s="7" t="s">
        <v>218</v>
      </c>
      <c r="E31" s="7" t="s">
        <v>97</v>
      </c>
      <c r="F31" s="7" t="s">
        <v>32</v>
      </c>
      <c r="G31" s="7" t="s">
        <v>460</v>
      </c>
      <c r="H31" s="7" t="s">
        <v>461</v>
      </c>
      <c r="I31" s="7"/>
    </row>
    <row r="32" spans="2:9" ht="15" customHeight="1" x14ac:dyDescent="0.3">
      <c r="B32" s="7" t="s">
        <v>55</v>
      </c>
      <c r="C32" s="7">
        <v>3</v>
      </c>
      <c r="D32" s="7" t="s">
        <v>218</v>
      </c>
      <c r="E32" s="7" t="s">
        <v>97</v>
      </c>
      <c r="F32" s="7" t="s">
        <v>32</v>
      </c>
      <c r="G32" s="7" t="s">
        <v>462</v>
      </c>
      <c r="H32" s="7" t="s">
        <v>463</v>
      </c>
      <c r="I32" s="7"/>
    </row>
    <row r="33" spans="2:9" ht="15" customHeight="1" x14ac:dyDescent="0.3">
      <c r="B33" s="7" t="s">
        <v>56</v>
      </c>
      <c r="C33" s="7">
        <v>3</v>
      </c>
      <c r="D33" s="7" t="s">
        <v>218</v>
      </c>
      <c r="E33" s="7" t="s">
        <v>97</v>
      </c>
      <c r="F33" s="7" t="s">
        <v>32</v>
      </c>
      <c r="G33" s="7" t="s">
        <v>464</v>
      </c>
      <c r="H33" s="7" t="s">
        <v>465</v>
      </c>
      <c r="I33" s="7"/>
    </row>
    <row r="34" spans="2:9" ht="15" customHeight="1" x14ac:dyDescent="0.3">
      <c r="B34" s="7" t="s">
        <v>57</v>
      </c>
      <c r="C34" s="7">
        <v>3</v>
      </c>
      <c r="D34" s="7" t="s">
        <v>218</v>
      </c>
      <c r="E34" s="7" t="s">
        <v>97</v>
      </c>
      <c r="F34" s="7" t="s">
        <v>32</v>
      </c>
      <c r="G34" s="7" t="s">
        <v>466</v>
      </c>
      <c r="H34" s="7" t="s">
        <v>467</v>
      </c>
      <c r="I34" s="7"/>
    </row>
    <row r="35" spans="2:9" ht="15" customHeight="1" x14ac:dyDescent="0.3">
      <c r="B35" s="55" t="s">
        <v>58</v>
      </c>
      <c r="C35" s="55">
        <v>3</v>
      </c>
      <c r="D35" s="55" t="s">
        <v>218</v>
      </c>
      <c r="E35" s="55" t="s">
        <v>97</v>
      </c>
      <c r="F35" s="55" t="s">
        <v>29</v>
      </c>
      <c r="G35" s="55" t="s">
        <v>468</v>
      </c>
      <c r="H35" s="55" t="s">
        <v>469</v>
      </c>
      <c r="I35" s="55" t="s">
        <v>220</v>
      </c>
    </row>
    <row r="36" spans="2:9" ht="15" customHeight="1" x14ac:dyDescent="0.3">
      <c r="B36" s="55" t="s">
        <v>59</v>
      </c>
      <c r="C36" s="55">
        <v>4</v>
      </c>
      <c r="D36" s="55" t="s">
        <v>218</v>
      </c>
      <c r="E36" s="55" t="s">
        <v>97</v>
      </c>
      <c r="F36" s="55" t="s">
        <v>32</v>
      </c>
      <c r="G36" s="55" t="s">
        <v>470</v>
      </c>
      <c r="H36" s="55" t="s">
        <v>471</v>
      </c>
      <c r="I36" s="55" t="s">
        <v>220</v>
      </c>
    </row>
    <row r="37" spans="2:9" ht="15" customHeight="1" x14ac:dyDescent="0.3">
      <c r="B37" s="55" t="s">
        <v>60</v>
      </c>
      <c r="C37" s="55">
        <v>4</v>
      </c>
      <c r="D37" s="55" t="s">
        <v>218</v>
      </c>
      <c r="E37" s="55" t="s">
        <v>97</v>
      </c>
      <c r="F37" s="55" t="s">
        <v>32</v>
      </c>
      <c r="G37" s="55" t="s">
        <v>472</v>
      </c>
      <c r="H37" s="55" t="s">
        <v>473</v>
      </c>
      <c r="I37" s="55" t="s">
        <v>220</v>
      </c>
    </row>
    <row r="38" spans="2:9" ht="15" customHeight="1" x14ac:dyDescent="0.3">
      <c r="B38" s="32" t="s">
        <v>61</v>
      </c>
      <c r="C38" s="32">
        <v>2</v>
      </c>
      <c r="D38" s="32" t="s">
        <v>218</v>
      </c>
      <c r="E38" s="32" t="s">
        <v>97</v>
      </c>
      <c r="F38" s="32" t="s">
        <v>32</v>
      </c>
      <c r="G38" s="32" t="s">
        <v>474</v>
      </c>
      <c r="H38" s="32" t="s">
        <v>475</v>
      </c>
      <c r="I38" s="32"/>
    </row>
    <row r="39" spans="2:9" ht="15" customHeight="1" x14ac:dyDescent="0.3">
      <c r="B39" s="30" t="s">
        <v>62</v>
      </c>
      <c r="C39" s="30">
        <v>1</v>
      </c>
      <c r="D39" s="30" t="s">
        <v>218</v>
      </c>
      <c r="E39" s="30" t="s">
        <v>97</v>
      </c>
      <c r="F39" s="30" t="s">
        <v>29</v>
      </c>
      <c r="G39" s="30" t="s">
        <v>476</v>
      </c>
      <c r="H39" s="30" t="s">
        <v>477</v>
      </c>
      <c r="I39" s="30"/>
    </row>
    <row r="40" spans="2:9" ht="15" customHeight="1" x14ac:dyDescent="0.3">
      <c r="B40" s="32" t="s">
        <v>63</v>
      </c>
      <c r="C40" s="32">
        <v>2</v>
      </c>
      <c r="D40" s="32" t="s">
        <v>218</v>
      </c>
      <c r="E40" s="32" t="s">
        <v>97</v>
      </c>
      <c r="F40" s="32" t="s">
        <v>29</v>
      </c>
      <c r="G40" s="32" t="s">
        <v>478</v>
      </c>
      <c r="H40" s="32" t="s">
        <v>479</v>
      </c>
      <c r="I40" s="32"/>
    </row>
    <row r="41" spans="2:9" ht="15" customHeight="1" x14ac:dyDescent="0.3">
      <c r="B41" s="7" t="s">
        <v>64</v>
      </c>
      <c r="C41" s="7">
        <v>3</v>
      </c>
      <c r="D41" s="7" t="s">
        <v>218</v>
      </c>
      <c r="E41" s="7" t="s">
        <v>97</v>
      </c>
      <c r="F41" s="7" t="s">
        <v>32</v>
      </c>
      <c r="G41" s="7" t="s">
        <v>480</v>
      </c>
      <c r="H41" s="7" t="s">
        <v>481</v>
      </c>
      <c r="I41" s="7"/>
    </row>
    <row r="42" spans="2:9" ht="15" customHeight="1" x14ac:dyDescent="0.3">
      <c r="B42" s="7" t="s">
        <v>65</v>
      </c>
      <c r="C42" s="7">
        <v>3</v>
      </c>
      <c r="D42" s="7" t="s">
        <v>218</v>
      </c>
      <c r="E42" s="7" t="s">
        <v>97</v>
      </c>
      <c r="F42" s="7" t="s">
        <v>32</v>
      </c>
      <c r="G42" s="7" t="s">
        <v>482</v>
      </c>
      <c r="H42" s="7" t="s">
        <v>483</v>
      </c>
      <c r="I42" s="7"/>
    </row>
    <row r="43" spans="2:9" ht="15" customHeight="1" x14ac:dyDescent="0.3">
      <c r="B43" s="7" t="s">
        <v>66</v>
      </c>
      <c r="C43" s="7">
        <v>3</v>
      </c>
      <c r="D43" s="7" t="s">
        <v>218</v>
      </c>
      <c r="E43" s="7" t="s">
        <v>97</v>
      </c>
      <c r="F43" s="7" t="s">
        <v>32</v>
      </c>
      <c r="G43" s="7" t="s">
        <v>484</v>
      </c>
      <c r="H43" s="7" t="s">
        <v>485</v>
      </c>
      <c r="I43" s="7"/>
    </row>
    <row r="44" spans="2:9" ht="15" customHeight="1" x14ac:dyDescent="0.3">
      <c r="B44" s="7" t="s">
        <v>67</v>
      </c>
      <c r="C44" s="7">
        <v>3</v>
      </c>
      <c r="D44" s="7" t="s">
        <v>218</v>
      </c>
      <c r="E44" s="7" t="s">
        <v>97</v>
      </c>
      <c r="F44" s="7" t="s">
        <v>32</v>
      </c>
      <c r="G44" s="7" t="s">
        <v>486</v>
      </c>
      <c r="H44" s="7" t="s">
        <v>487</v>
      </c>
      <c r="I44" s="7"/>
    </row>
    <row r="45" spans="2:9" ht="15" customHeight="1" x14ac:dyDescent="0.3">
      <c r="B45" s="7" t="s">
        <v>68</v>
      </c>
      <c r="C45" s="7">
        <v>3</v>
      </c>
      <c r="D45" s="7" t="s">
        <v>218</v>
      </c>
      <c r="E45" s="7" t="s">
        <v>97</v>
      </c>
      <c r="F45" s="7" t="s">
        <v>32</v>
      </c>
      <c r="G45" s="7" t="s">
        <v>488</v>
      </c>
      <c r="H45" s="7" t="s">
        <v>489</v>
      </c>
      <c r="I45" s="7"/>
    </row>
    <row r="46" spans="2:9" ht="15" customHeight="1" x14ac:dyDescent="0.3">
      <c r="B46" s="7" t="s">
        <v>69</v>
      </c>
      <c r="C46" s="7">
        <v>3</v>
      </c>
      <c r="D46" s="7" t="s">
        <v>218</v>
      </c>
      <c r="E46" s="7" t="s">
        <v>97</v>
      </c>
      <c r="F46" s="7" t="s">
        <v>32</v>
      </c>
      <c r="G46" s="7" t="s">
        <v>490</v>
      </c>
      <c r="H46" s="7" t="s">
        <v>491</v>
      </c>
      <c r="I46" s="7"/>
    </row>
    <row r="47" spans="2:9" ht="15" customHeight="1" x14ac:dyDescent="0.3">
      <c r="B47" s="32" t="s">
        <v>70</v>
      </c>
      <c r="C47" s="32">
        <v>2</v>
      </c>
      <c r="D47" s="32" t="s">
        <v>218</v>
      </c>
      <c r="E47" s="32" t="s">
        <v>97</v>
      </c>
      <c r="F47" s="32" t="s">
        <v>29</v>
      </c>
      <c r="G47" s="32" t="s">
        <v>492</v>
      </c>
      <c r="H47" s="32" t="s">
        <v>493</v>
      </c>
      <c r="I47" s="32"/>
    </row>
    <row r="48" spans="2:9" ht="15" customHeight="1" x14ac:dyDescent="0.3">
      <c r="B48" s="7" t="s">
        <v>71</v>
      </c>
      <c r="C48" s="7">
        <v>3</v>
      </c>
      <c r="D48" s="7" t="s">
        <v>218</v>
      </c>
      <c r="E48" s="7" t="s">
        <v>97</v>
      </c>
      <c r="F48" s="7" t="s">
        <v>32</v>
      </c>
      <c r="G48" s="7" t="s">
        <v>494</v>
      </c>
      <c r="H48" s="7" t="s">
        <v>495</v>
      </c>
      <c r="I48" s="7"/>
    </row>
    <row r="49" spans="2:9" ht="15" customHeight="1" x14ac:dyDescent="0.3">
      <c r="B49" s="7" t="s">
        <v>72</v>
      </c>
      <c r="C49" s="7">
        <v>3</v>
      </c>
      <c r="D49" s="7" t="s">
        <v>218</v>
      </c>
      <c r="E49" s="7" t="s">
        <v>97</v>
      </c>
      <c r="F49" s="7" t="s">
        <v>32</v>
      </c>
      <c r="G49" s="7" t="s">
        <v>496</v>
      </c>
      <c r="H49" s="7" t="s">
        <v>497</v>
      </c>
      <c r="I49" s="7"/>
    </row>
    <row r="50" spans="2:9" ht="15" customHeight="1" x14ac:dyDescent="0.3">
      <c r="B50" s="7" t="s">
        <v>73</v>
      </c>
      <c r="C50" s="7">
        <v>3</v>
      </c>
      <c r="D50" s="7" t="s">
        <v>218</v>
      </c>
      <c r="E50" s="7" t="s">
        <v>97</v>
      </c>
      <c r="F50" s="7" t="s">
        <v>32</v>
      </c>
      <c r="G50" s="7" t="s">
        <v>498</v>
      </c>
      <c r="H50" s="7" t="s">
        <v>499</v>
      </c>
      <c r="I50" s="7"/>
    </row>
    <row r="51" spans="2:9" ht="15" customHeight="1" x14ac:dyDescent="0.3">
      <c r="B51" s="7" t="s">
        <v>74</v>
      </c>
      <c r="C51" s="7">
        <v>3</v>
      </c>
      <c r="D51" s="7" t="s">
        <v>218</v>
      </c>
      <c r="E51" s="7" t="s">
        <v>97</v>
      </c>
      <c r="F51" s="7" t="s">
        <v>32</v>
      </c>
      <c r="G51" s="7" t="s">
        <v>500</v>
      </c>
      <c r="H51" s="7" t="s">
        <v>501</v>
      </c>
      <c r="I51" s="7"/>
    </row>
    <row r="52" spans="2:9" ht="15" customHeight="1" x14ac:dyDescent="0.3">
      <c r="B52" s="7" t="s">
        <v>75</v>
      </c>
      <c r="C52" s="7">
        <v>3</v>
      </c>
      <c r="D52" s="7" t="s">
        <v>218</v>
      </c>
      <c r="E52" s="7" t="s">
        <v>97</v>
      </c>
      <c r="F52" s="7" t="s">
        <v>32</v>
      </c>
      <c r="G52" s="7" t="s">
        <v>502</v>
      </c>
      <c r="H52" s="7" t="s">
        <v>503</v>
      </c>
      <c r="I52" s="7"/>
    </row>
    <row r="53" spans="2:9" ht="15" customHeight="1" x14ac:dyDescent="0.3">
      <c r="B53" s="7" t="s">
        <v>76</v>
      </c>
      <c r="C53" s="7">
        <v>3</v>
      </c>
      <c r="D53" s="7" t="s">
        <v>218</v>
      </c>
      <c r="E53" s="7" t="s">
        <v>97</v>
      </c>
      <c r="F53" s="7" t="s">
        <v>32</v>
      </c>
      <c r="G53" s="7" t="s">
        <v>504</v>
      </c>
      <c r="H53" s="7" t="s">
        <v>505</v>
      </c>
      <c r="I53" s="7"/>
    </row>
    <row r="54" spans="2:9" ht="15" customHeight="1" x14ac:dyDescent="0.3">
      <c r="B54" s="7" t="s">
        <v>77</v>
      </c>
      <c r="C54" s="7">
        <v>3</v>
      </c>
      <c r="D54" s="7" t="s">
        <v>218</v>
      </c>
      <c r="E54" s="7" t="s">
        <v>97</v>
      </c>
      <c r="F54" s="7" t="s">
        <v>32</v>
      </c>
      <c r="G54" s="7" t="s">
        <v>506</v>
      </c>
      <c r="H54" s="7" t="s">
        <v>507</v>
      </c>
      <c r="I54" s="7"/>
    </row>
    <row r="55" spans="2:9" ht="15" customHeight="1" x14ac:dyDescent="0.3">
      <c r="B55" s="7" t="s">
        <v>78</v>
      </c>
      <c r="C55" s="7">
        <v>3</v>
      </c>
      <c r="D55" s="7" t="s">
        <v>218</v>
      </c>
      <c r="E55" s="7" t="s">
        <v>97</v>
      </c>
      <c r="F55" s="7" t="s">
        <v>32</v>
      </c>
      <c r="G55" s="7" t="s">
        <v>508</v>
      </c>
      <c r="H55" s="7" t="s">
        <v>509</v>
      </c>
      <c r="I55" s="7"/>
    </row>
    <row r="56" spans="2:9" ht="15" customHeight="1" x14ac:dyDescent="0.3">
      <c r="B56" s="55" t="s">
        <v>79</v>
      </c>
      <c r="C56" s="55">
        <v>3</v>
      </c>
      <c r="D56" s="55" t="s">
        <v>218</v>
      </c>
      <c r="E56" s="55" t="s">
        <v>97</v>
      </c>
      <c r="F56" s="55" t="s">
        <v>32</v>
      </c>
      <c r="G56" s="55" t="s">
        <v>510</v>
      </c>
      <c r="H56" s="55" t="s">
        <v>511</v>
      </c>
      <c r="I56" s="55" t="s">
        <v>220</v>
      </c>
    </row>
    <row r="57" spans="2:9" ht="15" customHeight="1" x14ac:dyDescent="0.3">
      <c r="B57" s="32" t="s">
        <v>80</v>
      </c>
      <c r="C57" s="32">
        <v>2</v>
      </c>
      <c r="D57" s="32" t="s">
        <v>218</v>
      </c>
      <c r="E57" s="32" t="s">
        <v>97</v>
      </c>
      <c r="F57" s="32" t="s">
        <v>29</v>
      </c>
      <c r="G57" s="32" t="s">
        <v>512</v>
      </c>
      <c r="H57" s="32" t="s">
        <v>513</v>
      </c>
      <c r="I57" s="32"/>
    </row>
    <row r="58" spans="2:9" ht="15" customHeight="1" x14ac:dyDescent="0.3">
      <c r="B58" s="7" t="s">
        <v>81</v>
      </c>
      <c r="C58" s="7">
        <v>3</v>
      </c>
      <c r="D58" s="7" t="s">
        <v>218</v>
      </c>
      <c r="E58" s="7" t="s">
        <v>97</v>
      </c>
      <c r="F58" s="7" t="s">
        <v>32</v>
      </c>
      <c r="G58" s="7" t="s">
        <v>514</v>
      </c>
      <c r="H58" s="7" t="s">
        <v>515</v>
      </c>
      <c r="I58" s="7"/>
    </row>
    <row r="59" spans="2:9" ht="15" customHeight="1" x14ac:dyDescent="0.3">
      <c r="B59" s="7" t="s">
        <v>82</v>
      </c>
      <c r="C59" s="7">
        <v>3</v>
      </c>
      <c r="D59" s="7" t="s">
        <v>218</v>
      </c>
      <c r="E59" s="7" t="s">
        <v>97</v>
      </c>
      <c r="F59" s="7" t="s">
        <v>32</v>
      </c>
      <c r="G59" s="7" t="s">
        <v>516</v>
      </c>
      <c r="H59" s="7" t="s">
        <v>517</v>
      </c>
      <c r="I59" s="7"/>
    </row>
    <row r="60" spans="2:9" ht="15" customHeight="1" x14ac:dyDescent="0.3">
      <c r="B60" s="7" t="s">
        <v>83</v>
      </c>
      <c r="C60" s="7">
        <v>3</v>
      </c>
      <c r="D60" s="7" t="s">
        <v>218</v>
      </c>
      <c r="E60" s="7" t="s">
        <v>97</v>
      </c>
      <c r="F60" s="7" t="s">
        <v>32</v>
      </c>
      <c r="G60" s="7" t="s">
        <v>518</v>
      </c>
      <c r="H60" s="7" t="s">
        <v>519</v>
      </c>
      <c r="I60" s="7"/>
    </row>
    <row r="61" spans="2:9" ht="15" customHeight="1" x14ac:dyDescent="0.3">
      <c r="B61" s="7" t="s">
        <v>84</v>
      </c>
      <c r="C61" s="7">
        <v>3</v>
      </c>
      <c r="D61" s="7" t="s">
        <v>218</v>
      </c>
      <c r="E61" s="7" t="s">
        <v>97</v>
      </c>
      <c r="F61" s="7" t="s">
        <v>32</v>
      </c>
      <c r="G61" s="7" t="s">
        <v>520</v>
      </c>
      <c r="H61" s="7" t="s">
        <v>521</v>
      </c>
      <c r="I61" s="7"/>
    </row>
    <row r="62" spans="2:9" ht="15" customHeight="1" x14ac:dyDescent="0.3">
      <c r="B62" s="7" t="s">
        <v>85</v>
      </c>
      <c r="C62" s="7">
        <v>3</v>
      </c>
      <c r="D62" s="7" t="s">
        <v>218</v>
      </c>
      <c r="E62" s="7" t="s">
        <v>97</v>
      </c>
      <c r="F62" s="7" t="s">
        <v>32</v>
      </c>
      <c r="G62" s="7" t="s">
        <v>522</v>
      </c>
      <c r="H62" s="7" t="s">
        <v>523</v>
      </c>
      <c r="I62" s="7"/>
    </row>
    <row r="63" spans="2:9" ht="15" customHeight="1" x14ac:dyDescent="0.3">
      <c r="B63" s="7" t="s">
        <v>86</v>
      </c>
      <c r="C63" s="7">
        <v>3</v>
      </c>
      <c r="D63" s="7" t="s">
        <v>218</v>
      </c>
      <c r="E63" s="7" t="s">
        <v>97</v>
      </c>
      <c r="F63" s="7" t="s">
        <v>32</v>
      </c>
      <c r="G63" s="7" t="s">
        <v>524</v>
      </c>
      <c r="H63" s="7" t="s">
        <v>525</v>
      </c>
      <c r="I63" s="7"/>
    </row>
    <row r="64" spans="2:9" ht="15" customHeight="1" x14ac:dyDescent="0.3">
      <c r="B64" s="32" t="s">
        <v>87</v>
      </c>
      <c r="C64" s="32">
        <v>2</v>
      </c>
      <c r="D64" s="32" t="s">
        <v>218</v>
      </c>
      <c r="E64" s="32" t="s">
        <v>97</v>
      </c>
      <c r="F64" s="32" t="s">
        <v>29</v>
      </c>
      <c r="G64" s="32" t="s">
        <v>526</v>
      </c>
      <c r="H64" s="32" t="s">
        <v>527</v>
      </c>
      <c r="I64" s="32"/>
    </row>
    <row r="65" spans="2:9" ht="15" customHeight="1" x14ac:dyDescent="0.3">
      <c r="B65" s="7" t="s">
        <v>88</v>
      </c>
      <c r="C65" s="7">
        <v>3</v>
      </c>
      <c r="D65" s="7" t="s">
        <v>218</v>
      </c>
      <c r="E65" s="7" t="s">
        <v>97</v>
      </c>
      <c r="F65" s="7" t="s">
        <v>32</v>
      </c>
      <c r="G65" s="7" t="s">
        <v>528</v>
      </c>
      <c r="H65" s="7" t="s">
        <v>529</v>
      </c>
      <c r="I65" s="7"/>
    </row>
    <row r="66" spans="2:9" ht="15" customHeight="1" x14ac:dyDescent="0.3">
      <c r="B66" s="7" t="s">
        <v>89</v>
      </c>
      <c r="C66" s="7">
        <v>3</v>
      </c>
      <c r="D66" s="7" t="s">
        <v>218</v>
      </c>
      <c r="E66" s="7" t="s">
        <v>97</v>
      </c>
      <c r="F66" s="7" t="s">
        <v>32</v>
      </c>
      <c r="G66" s="7" t="s">
        <v>530</v>
      </c>
      <c r="H66" s="7" t="s">
        <v>531</v>
      </c>
      <c r="I66" s="7"/>
    </row>
    <row r="67" spans="2:9" ht="15" customHeight="1" x14ac:dyDescent="0.3">
      <c r="B67" s="30" t="s">
        <v>90</v>
      </c>
      <c r="C67" s="30">
        <v>1</v>
      </c>
      <c r="D67" s="30" t="s">
        <v>218</v>
      </c>
      <c r="E67" s="30" t="s">
        <v>97</v>
      </c>
      <c r="F67" s="30" t="s">
        <v>29</v>
      </c>
      <c r="G67" s="30" t="s">
        <v>532</v>
      </c>
      <c r="H67" s="30" t="s">
        <v>533</v>
      </c>
      <c r="I67" s="30"/>
    </row>
    <row r="68" spans="2:9" ht="15" customHeight="1" x14ac:dyDescent="0.3">
      <c r="B68" s="7" t="s">
        <v>91</v>
      </c>
      <c r="C68" s="7">
        <v>3</v>
      </c>
      <c r="D68" s="7" t="s">
        <v>218</v>
      </c>
      <c r="E68" s="7" t="s">
        <v>97</v>
      </c>
      <c r="F68" s="7" t="s">
        <v>32</v>
      </c>
      <c r="G68" s="7" t="s">
        <v>534</v>
      </c>
      <c r="H68" s="7" t="s">
        <v>535</v>
      </c>
      <c r="I68" s="7"/>
    </row>
    <row r="69" spans="2:9" ht="15" customHeight="1" x14ac:dyDescent="0.3">
      <c r="B69" s="7" t="s">
        <v>92</v>
      </c>
      <c r="C69" s="7">
        <v>3</v>
      </c>
      <c r="D69" s="7" t="s">
        <v>218</v>
      </c>
      <c r="E69" s="7" t="s">
        <v>97</v>
      </c>
      <c r="F69" s="7" t="s">
        <v>32</v>
      </c>
      <c r="G69" s="7" t="s">
        <v>536</v>
      </c>
      <c r="H69" s="7" t="s">
        <v>537</v>
      </c>
      <c r="I69" s="7"/>
    </row>
    <row r="70" spans="2:9" ht="15" customHeight="1" x14ac:dyDescent="0.3">
      <c r="B70" s="7" t="s">
        <v>93</v>
      </c>
      <c r="C70" s="7">
        <v>3</v>
      </c>
      <c r="D70" s="7" t="s">
        <v>218</v>
      </c>
      <c r="E70" s="7" t="s">
        <v>97</v>
      </c>
      <c r="F70" s="7" t="s">
        <v>32</v>
      </c>
      <c r="G70" s="7" t="s">
        <v>538</v>
      </c>
      <c r="H70" s="7" t="s">
        <v>539</v>
      </c>
      <c r="I70" s="7"/>
    </row>
    <row r="71" spans="2:9" ht="15" customHeight="1" x14ac:dyDescent="0.3">
      <c r="B71" s="30" t="s">
        <v>94</v>
      </c>
      <c r="C71" s="30">
        <v>1</v>
      </c>
      <c r="D71" s="30" t="s">
        <v>219</v>
      </c>
      <c r="E71" s="30" t="s">
        <v>220</v>
      </c>
      <c r="F71" s="30" t="s">
        <v>29</v>
      </c>
      <c r="G71" s="30" t="s">
        <v>540</v>
      </c>
      <c r="H71" s="30" t="s">
        <v>541</v>
      </c>
      <c r="I71" s="30"/>
    </row>
    <row r="72" spans="2:9" ht="15" customHeight="1" x14ac:dyDescent="0.3">
      <c r="B72" s="32" t="s">
        <v>95</v>
      </c>
      <c r="C72" s="32">
        <v>2</v>
      </c>
      <c r="D72" s="32" t="s">
        <v>219</v>
      </c>
      <c r="E72" s="32" t="s">
        <v>220</v>
      </c>
      <c r="F72" s="32" t="s">
        <v>32</v>
      </c>
      <c r="G72" s="32" t="s">
        <v>542</v>
      </c>
      <c r="H72" s="32" t="s">
        <v>543</v>
      </c>
      <c r="I72" s="32"/>
    </row>
    <row r="73" spans="2:9" ht="15" customHeight="1" x14ac:dyDescent="0.3">
      <c r="B73" s="7" t="s">
        <v>96</v>
      </c>
      <c r="C73" s="7">
        <v>3</v>
      </c>
      <c r="D73" s="7" t="s">
        <v>219</v>
      </c>
      <c r="E73" s="7" t="s">
        <v>220</v>
      </c>
      <c r="F73" s="7" t="s">
        <v>97</v>
      </c>
      <c r="G73" s="7" t="s">
        <v>544</v>
      </c>
      <c r="H73" s="7" t="s">
        <v>545</v>
      </c>
      <c r="I73" s="7"/>
    </row>
    <row r="74" spans="2:9" ht="15" customHeight="1" x14ac:dyDescent="0.3">
      <c r="B74" s="32" t="s">
        <v>98</v>
      </c>
      <c r="C74" s="32">
        <v>2</v>
      </c>
      <c r="D74" s="32" t="s">
        <v>219</v>
      </c>
      <c r="E74" s="32" t="s">
        <v>220</v>
      </c>
      <c r="F74" s="32" t="s">
        <v>32</v>
      </c>
      <c r="G74" s="32" t="s">
        <v>546</v>
      </c>
      <c r="H74" s="32" t="s">
        <v>547</v>
      </c>
      <c r="I74" s="32"/>
    </row>
    <row r="75" spans="2:9" ht="15" customHeight="1" x14ac:dyDescent="0.3">
      <c r="B75" s="32" t="s">
        <v>99</v>
      </c>
      <c r="C75" s="32">
        <v>2</v>
      </c>
      <c r="D75" s="32" t="s">
        <v>219</v>
      </c>
      <c r="E75" s="32" t="s">
        <v>220</v>
      </c>
      <c r="F75" s="32" t="s">
        <v>32</v>
      </c>
      <c r="G75" s="32" t="s">
        <v>548</v>
      </c>
      <c r="H75" s="32" t="s">
        <v>549</v>
      </c>
      <c r="I75" s="32"/>
    </row>
    <row r="76" spans="2:9" ht="15" customHeight="1" x14ac:dyDescent="0.3">
      <c r="B76" s="32" t="s">
        <v>100</v>
      </c>
      <c r="C76" s="32">
        <v>2</v>
      </c>
      <c r="D76" s="32" t="s">
        <v>219</v>
      </c>
      <c r="E76" s="32" t="s">
        <v>220</v>
      </c>
      <c r="F76" s="32" t="s">
        <v>32</v>
      </c>
      <c r="G76" s="32" t="s">
        <v>550</v>
      </c>
      <c r="H76" s="32" t="s">
        <v>551</v>
      </c>
      <c r="I76" s="32"/>
    </row>
    <row r="77" spans="2:9" ht="15" customHeight="1" x14ac:dyDescent="0.3">
      <c r="B77" s="32" t="s">
        <v>101</v>
      </c>
      <c r="C77" s="32">
        <v>2</v>
      </c>
      <c r="D77" s="32" t="s">
        <v>219</v>
      </c>
      <c r="E77" s="32" t="s">
        <v>220</v>
      </c>
      <c r="F77" s="32" t="s">
        <v>32</v>
      </c>
      <c r="G77" s="32" t="s">
        <v>552</v>
      </c>
      <c r="H77" s="32" t="s">
        <v>553</v>
      </c>
      <c r="I77" s="32"/>
    </row>
    <row r="78" spans="2:9" ht="15" customHeight="1" x14ac:dyDescent="0.3">
      <c r="B78" s="32" t="s">
        <v>102</v>
      </c>
      <c r="C78" s="32">
        <v>2</v>
      </c>
      <c r="D78" s="32" t="s">
        <v>219</v>
      </c>
      <c r="E78" s="32" t="s">
        <v>220</v>
      </c>
      <c r="F78" s="32" t="s">
        <v>29</v>
      </c>
      <c r="G78" s="32" t="s">
        <v>554</v>
      </c>
      <c r="H78" s="32" t="s">
        <v>555</v>
      </c>
      <c r="I78" s="32"/>
    </row>
    <row r="79" spans="2:9" ht="15" customHeight="1" x14ac:dyDescent="0.3">
      <c r="B79" s="7" t="s">
        <v>103</v>
      </c>
      <c r="C79" s="7">
        <v>3</v>
      </c>
      <c r="D79" s="7" t="s">
        <v>219</v>
      </c>
      <c r="E79" s="7" t="s">
        <v>220</v>
      </c>
      <c r="F79" s="7" t="s">
        <v>32</v>
      </c>
      <c r="G79" s="7" t="s">
        <v>556</v>
      </c>
      <c r="H79" s="7" t="s">
        <v>557</v>
      </c>
      <c r="I79" s="7"/>
    </row>
    <row r="80" spans="2:9" ht="15" customHeight="1" x14ac:dyDescent="0.3">
      <c r="B80" s="7" t="s">
        <v>104</v>
      </c>
      <c r="C80" s="7">
        <v>3</v>
      </c>
      <c r="D80" s="7" t="s">
        <v>219</v>
      </c>
      <c r="E80" s="7" t="s">
        <v>220</v>
      </c>
      <c r="F80" s="7" t="s">
        <v>32</v>
      </c>
      <c r="G80" s="7" t="s">
        <v>558</v>
      </c>
      <c r="H80" s="7" t="s">
        <v>559</v>
      </c>
      <c r="I80" s="7"/>
    </row>
    <row r="81" spans="2:9" ht="15" customHeight="1" x14ac:dyDescent="0.3">
      <c r="B81" s="56" t="s">
        <v>105</v>
      </c>
      <c r="C81" s="56">
        <v>2</v>
      </c>
      <c r="D81" s="56" t="s">
        <v>219</v>
      </c>
      <c r="E81" s="56" t="s">
        <v>220</v>
      </c>
      <c r="F81" s="56" t="s">
        <v>32</v>
      </c>
      <c r="G81" s="56" t="s">
        <v>560</v>
      </c>
      <c r="H81" s="56" t="s">
        <v>561</v>
      </c>
      <c r="I81" s="56" t="s">
        <v>220</v>
      </c>
    </row>
    <row r="82" spans="2:9" ht="15" customHeight="1" x14ac:dyDescent="0.3">
      <c r="B82" s="56" t="s">
        <v>106</v>
      </c>
      <c r="C82" s="56">
        <v>2</v>
      </c>
      <c r="D82" s="56" t="s">
        <v>219</v>
      </c>
      <c r="E82" s="56" t="s">
        <v>220</v>
      </c>
      <c r="F82" s="56" t="s">
        <v>32</v>
      </c>
      <c r="G82" s="56" t="s">
        <v>562</v>
      </c>
      <c r="H82" s="56" t="s">
        <v>563</v>
      </c>
      <c r="I82" s="56" t="s">
        <v>220</v>
      </c>
    </row>
    <row r="83" spans="2:9" ht="15" customHeight="1" x14ac:dyDescent="0.3">
      <c r="B83" s="56" t="s">
        <v>107</v>
      </c>
      <c r="C83" s="56">
        <v>2</v>
      </c>
      <c r="D83" s="56" t="s">
        <v>219</v>
      </c>
      <c r="E83" s="56" t="s">
        <v>220</v>
      </c>
      <c r="F83" s="56" t="s">
        <v>29</v>
      </c>
      <c r="G83" s="56" t="s">
        <v>564</v>
      </c>
      <c r="H83" s="56" t="s">
        <v>565</v>
      </c>
      <c r="I83" s="56" t="s">
        <v>220</v>
      </c>
    </row>
    <row r="84" spans="2:9" ht="15" customHeight="1" x14ac:dyDescent="0.3">
      <c r="B84" s="55" t="s">
        <v>108</v>
      </c>
      <c r="C84" s="55">
        <v>3</v>
      </c>
      <c r="D84" s="55" t="s">
        <v>219</v>
      </c>
      <c r="E84" s="55" t="s">
        <v>220</v>
      </c>
      <c r="F84" s="55" t="s">
        <v>32</v>
      </c>
      <c r="G84" s="55" t="s">
        <v>566</v>
      </c>
      <c r="H84" s="55" t="s">
        <v>567</v>
      </c>
      <c r="I84" s="55" t="s">
        <v>220</v>
      </c>
    </row>
    <row r="85" spans="2:9" ht="15" customHeight="1" x14ac:dyDescent="0.3">
      <c r="B85" s="55" t="s">
        <v>109</v>
      </c>
      <c r="C85" s="55">
        <v>3</v>
      </c>
      <c r="D85" s="55" t="s">
        <v>219</v>
      </c>
      <c r="E85" s="55" t="s">
        <v>220</v>
      </c>
      <c r="F85" s="55" t="s">
        <v>32</v>
      </c>
      <c r="G85" s="55" t="s">
        <v>568</v>
      </c>
      <c r="H85" s="55" t="s">
        <v>569</v>
      </c>
      <c r="I85" s="55" t="s">
        <v>220</v>
      </c>
    </row>
    <row r="86" spans="2:9" ht="15" customHeight="1" x14ac:dyDescent="0.3">
      <c r="B86" s="7" t="s">
        <v>110</v>
      </c>
      <c r="C86" s="7">
        <v>3</v>
      </c>
      <c r="D86" s="7" t="s">
        <v>219</v>
      </c>
      <c r="E86" s="7" t="s">
        <v>220</v>
      </c>
      <c r="F86" s="7" t="s">
        <v>32</v>
      </c>
      <c r="G86" s="7" t="s">
        <v>570</v>
      </c>
      <c r="H86" s="7" t="s">
        <v>571</v>
      </c>
      <c r="I86" s="7" t="s">
        <v>572</v>
      </c>
    </row>
    <row r="87" spans="2:9" ht="15" customHeight="1" x14ac:dyDescent="0.3">
      <c r="B87" s="56" t="s">
        <v>111</v>
      </c>
      <c r="C87" s="56">
        <v>2</v>
      </c>
      <c r="D87" s="56" t="s">
        <v>219</v>
      </c>
      <c r="E87" s="56" t="s">
        <v>220</v>
      </c>
      <c r="F87" s="56" t="s">
        <v>32</v>
      </c>
      <c r="G87" s="56" t="s">
        <v>573</v>
      </c>
      <c r="H87" s="56" t="s">
        <v>574</v>
      </c>
      <c r="I87" s="56" t="s">
        <v>220</v>
      </c>
    </row>
    <row r="88" spans="2:9" ht="15" customHeight="1" x14ac:dyDescent="0.3">
      <c r="B88" s="30" t="s">
        <v>112</v>
      </c>
      <c r="C88" s="30">
        <v>1</v>
      </c>
      <c r="D88" s="30" t="s">
        <v>219</v>
      </c>
      <c r="E88" s="30" t="s">
        <v>220</v>
      </c>
      <c r="F88" s="30" t="s">
        <v>29</v>
      </c>
      <c r="G88" s="30" t="s">
        <v>575</v>
      </c>
      <c r="H88" s="30" t="s">
        <v>576</v>
      </c>
      <c r="I88" s="30"/>
    </row>
    <row r="89" spans="2:9" ht="15" customHeight="1" x14ac:dyDescent="0.3">
      <c r="B89" s="7" t="s">
        <v>113</v>
      </c>
      <c r="C89" s="7">
        <v>3</v>
      </c>
      <c r="D89" s="7" t="s">
        <v>219</v>
      </c>
      <c r="E89" s="7" t="s">
        <v>220</v>
      </c>
      <c r="F89" s="7" t="s">
        <v>32</v>
      </c>
      <c r="G89" s="7" t="s">
        <v>577</v>
      </c>
      <c r="H89" s="7" t="s">
        <v>578</v>
      </c>
      <c r="I89" s="7"/>
    </row>
    <row r="90" spans="2:9" ht="15" customHeight="1" x14ac:dyDescent="0.3">
      <c r="B90" s="7" t="s">
        <v>114</v>
      </c>
      <c r="C90" s="7">
        <v>3</v>
      </c>
      <c r="D90" s="7" t="s">
        <v>219</v>
      </c>
      <c r="E90" s="7" t="s">
        <v>220</v>
      </c>
      <c r="F90" s="7" t="s">
        <v>32</v>
      </c>
      <c r="G90" s="7" t="s">
        <v>579</v>
      </c>
      <c r="H90" s="7" t="s">
        <v>580</v>
      </c>
      <c r="I90" s="7"/>
    </row>
    <row r="91" spans="2:9" ht="15" customHeight="1" x14ac:dyDescent="0.3">
      <c r="B91" s="7" t="s">
        <v>115</v>
      </c>
      <c r="C91" s="7">
        <v>3</v>
      </c>
      <c r="D91" s="7" t="s">
        <v>219</v>
      </c>
      <c r="E91" s="7" t="s">
        <v>220</v>
      </c>
      <c r="F91" s="7" t="s">
        <v>32</v>
      </c>
      <c r="G91" s="7" t="s">
        <v>581</v>
      </c>
      <c r="H91" s="7" t="s">
        <v>582</v>
      </c>
      <c r="I91" s="7"/>
    </row>
    <row r="92" spans="2:9" ht="15" customHeight="1" x14ac:dyDescent="0.3">
      <c r="B92" s="30" t="s">
        <v>116</v>
      </c>
      <c r="C92" s="30">
        <v>1</v>
      </c>
      <c r="D92" s="30" t="s">
        <v>219</v>
      </c>
      <c r="E92" s="30" t="s">
        <v>220</v>
      </c>
      <c r="F92" s="30" t="s">
        <v>29</v>
      </c>
      <c r="G92" s="30" t="s">
        <v>583</v>
      </c>
      <c r="H92" s="30" t="s">
        <v>584</v>
      </c>
      <c r="I92" s="30"/>
    </row>
    <row r="93" spans="2:9" ht="15" customHeight="1" x14ac:dyDescent="0.3">
      <c r="B93" s="32" t="s">
        <v>117</v>
      </c>
      <c r="C93" s="32">
        <v>2</v>
      </c>
      <c r="D93" s="32" t="s">
        <v>219</v>
      </c>
      <c r="E93" s="32" t="s">
        <v>220</v>
      </c>
      <c r="F93" s="32" t="s">
        <v>29</v>
      </c>
      <c r="G93" s="32" t="s">
        <v>585</v>
      </c>
      <c r="H93" s="32" t="s">
        <v>586</v>
      </c>
      <c r="I93" s="32"/>
    </row>
    <row r="94" spans="2:9" ht="15" customHeight="1" x14ac:dyDescent="0.3">
      <c r="B94" s="7" t="s">
        <v>118</v>
      </c>
      <c r="C94" s="7">
        <v>3</v>
      </c>
      <c r="D94" s="7" t="s">
        <v>219</v>
      </c>
      <c r="E94" s="7" t="s">
        <v>220</v>
      </c>
      <c r="F94" s="7" t="s">
        <v>32</v>
      </c>
      <c r="G94" s="7" t="s">
        <v>587</v>
      </c>
      <c r="H94" s="7" t="s">
        <v>588</v>
      </c>
      <c r="I94" s="7"/>
    </row>
    <row r="95" spans="2:9" ht="15" customHeight="1" x14ac:dyDescent="0.3">
      <c r="B95" s="7" t="s">
        <v>119</v>
      </c>
      <c r="C95" s="7">
        <v>3</v>
      </c>
      <c r="D95" s="7" t="s">
        <v>219</v>
      </c>
      <c r="E95" s="7" t="s">
        <v>220</v>
      </c>
      <c r="F95" s="7" t="s">
        <v>32</v>
      </c>
      <c r="G95" s="7" t="s">
        <v>589</v>
      </c>
      <c r="H95" s="7" t="s">
        <v>590</v>
      </c>
      <c r="I95" s="7"/>
    </row>
    <row r="96" spans="2:9" ht="15" customHeight="1" x14ac:dyDescent="0.3">
      <c r="B96" s="7" t="s">
        <v>120</v>
      </c>
      <c r="C96" s="7">
        <v>3</v>
      </c>
      <c r="D96" s="7" t="s">
        <v>219</v>
      </c>
      <c r="E96" s="7" t="s">
        <v>220</v>
      </c>
      <c r="F96" s="7" t="s">
        <v>32</v>
      </c>
      <c r="G96" s="7" t="s">
        <v>591</v>
      </c>
      <c r="H96" s="7" t="s">
        <v>592</v>
      </c>
      <c r="I96" s="7"/>
    </row>
    <row r="97" spans="2:9" ht="15" customHeight="1" x14ac:dyDescent="0.3">
      <c r="B97" s="7" t="s">
        <v>121</v>
      </c>
      <c r="C97" s="7">
        <v>3</v>
      </c>
      <c r="D97" s="7" t="s">
        <v>219</v>
      </c>
      <c r="E97" s="7" t="s">
        <v>220</v>
      </c>
      <c r="F97" s="7" t="s">
        <v>32</v>
      </c>
      <c r="G97" s="7" t="s">
        <v>593</v>
      </c>
      <c r="H97" s="7" t="s">
        <v>594</v>
      </c>
      <c r="I97" s="7"/>
    </row>
    <row r="98" spans="2:9" ht="15" customHeight="1" x14ac:dyDescent="0.3">
      <c r="B98" s="55" t="s">
        <v>122</v>
      </c>
      <c r="C98" s="55">
        <v>3</v>
      </c>
      <c r="D98" s="55" t="s">
        <v>219</v>
      </c>
      <c r="E98" s="55" t="s">
        <v>220</v>
      </c>
      <c r="F98" s="55" t="s">
        <v>32</v>
      </c>
      <c r="G98" s="55" t="s">
        <v>595</v>
      </c>
      <c r="H98" s="55" t="s">
        <v>596</v>
      </c>
      <c r="I98" s="55" t="s">
        <v>220</v>
      </c>
    </row>
    <row r="99" spans="2:9" ht="15" customHeight="1" x14ac:dyDescent="0.3">
      <c r="B99" s="32" t="s">
        <v>123</v>
      </c>
      <c r="C99" s="32">
        <v>2</v>
      </c>
      <c r="D99" s="32" t="s">
        <v>219</v>
      </c>
      <c r="E99" s="32" t="s">
        <v>220</v>
      </c>
      <c r="F99" s="32" t="s">
        <v>29</v>
      </c>
      <c r="G99" s="32" t="s">
        <v>597</v>
      </c>
      <c r="H99" s="32" t="s">
        <v>598</v>
      </c>
      <c r="I99" s="32"/>
    </row>
    <row r="100" spans="2:9" ht="15" customHeight="1" x14ac:dyDescent="0.3">
      <c r="B100" s="7" t="s">
        <v>124</v>
      </c>
      <c r="C100" s="7">
        <v>3</v>
      </c>
      <c r="D100" s="7" t="s">
        <v>219</v>
      </c>
      <c r="E100" s="7" t="s">
        <v>220</v>
      </c>
      <c r="F100" s="7" t="s">
        <v>32</v>
      </c>
      <c r="G100" s="7" t="s">
        <v>599</v>
      </c>
      <c r="H100" s="7" t="s">
        <v>600</v>
      </c>
      <c r="I100" s="7"/>
    </row>
    <row r="101" spans="2:9" ht="15" customHeight="1" x14ac:dyDescent="0.3">
      <c r="B101" s="7" t="s">
        <v>125</v>
      </c>
      <c r="C101" s="7">
        <v>3</v>
      </c>
      <c r="D101" s="7" t="s">
        <v>219</v>
      </c>
      <c r="E101" s="7" t="s">
        <v>220</v>
      </c>
      <c r="F101" s="7" t="s">
        <v>32</v>
      </c>
      <c r="G101" s="7" t="s">
        <v>601</v>
      </c>
      <c r="H101" s="7" t="s">
        <v>602</v>
      </c>
      <c r="I101" s="7"/>
    </row>
    <row r="102" spans="2:9" ht="15" customHeight="1" x14ac:dyDescent="0.3">
      <c r="B102" s="7" t="s">
        <v>126</v>
      </c>
      <c r="C102" s="7">
        <v>3</v>
      </c>
      <c r="D102" s="7" t="s">
        <v>219</v>
      </c>
      <c r="E102" s="7" t="s">
        <v>220</v>
      </c>
      <c r="F102" s="7" t="s">
        <v>32</v>
      </c>
      <c r="G102" s="7" t="s">
        <v>603</v>
      </c>
      <c r="H102" s="7" t="s">
        <v>604</v>
      </c>
      <c r="I102" s="7"/>
    </row>
    <row r="103" spans="2:9" ht="15" customHeight="1" x14ac:dyDescent="0.3">
      <c r="B103" s="7" t="s">
        <v>127</v>
      </c>
      <c r="C103" s="7">
        <v>3</v>
      </c>
      <c r="D103" s="7" t="s">
        <v>219</v>
      </c>
      <c r="E103" s="7" t="s">
        <v>220</v>
      </c>
      <c r="F103" s="7" t="s">
        <v>32</v>
      </c>
      <c r="G103" s="7" t="s">
        <v>605</v>
      </c>
      <c r="H103" s="7" t="s">
        <v>606</v>
      </c>
      <c r="I103" s="7"/>
    </row>
    <row r="104" spans="2:9" ht="15" customHeight="1" x14ac:dyDescent="0.3">
      <c r="B104" s="7" t="s">
        <v>128</v>
      </c>
      <c r="C104" s="7">
        <v>3</v>
      </c>
      <c r="D104" s="7" t="s">
        <v>219</v>
      </c>
      <c r="E104" s="7" t="s">
        <v>220</v>
      </c>
      <c r="F104" s="7" t="s">
        <v>32</v>
      </c>
      <c r="G104" s="7" t="s">
        <v>607</v>
      </c>
      <c r="H104" s="7" t="s">
        <v>608</v>
      </c>
      <c r="I104" s="7"/>
    </row>
    <row r="105" spans="2:9" ht="15" customHeight="1" x14ac:dyDescent="0.3">
      <c r="B105" s="7" t="s">
        <v>129</v>
      </c>
      <c r="C105" s="7">
        <v>3</v>
      </c>
      <c r="D105" s="7" t="s">
        <v>219</v>
      </c>
      <c r="E105" s="7" t="s">
        <v>220</v>
      </c>
      <c r="F105" s="7" t="s">
        <v>32</v>
      </c>
      <c r="G105" s="7" t="s">
        <v>609</v>
      </c>
      <c r="H105" s="7" t="s">
        <v>610</v>
      </c>
      <c r="I105" s="7"/>
    </row>
    <row r="106" spans="2:9" ht="15" customHeight="1" x14ac:dyDescent="0.3">
      <c r="B106" s="7" t="s">
        <v>130</v>
      </c>
      <c r="C106" s="7">
        <v>3</v>
      </c>
      <c r="D106" s="7" t="s">
        <v>219</v>
      </c>
      <c r="E106" s="7" t="s">
        <v>220</v>
      </c>
      <c r="F106" s="7" t="s">
        <v>32</v>
      </c>
      <c r="G106" s="7" t="s">
        <v>611</v>
      </c>
      <c r="H106" s="7" t="s">
        <v>612</v>
      </c>
      <c r="I106" s="7"/>
    </row>
    <row r="107" spans="2:9" ht="15" customHeight="1" x14ac:dyDescent="0.3">
      <c r="B107" s="7" t="s">
        <v>131</v>
      </c>
      <c r="C107" s="7">
        <v>3</v>
      </c>
      <c r="D107" s="7" t="s">
        <v>219</v>
      </c>
      <c r="E107" s="7" t="s">
        <v>220</v>
      </c>
      <c r="F107" s="7" t="s">
        <v>32</v>
      </c>
      <c r="G107" s="7" t="s">
        <v>613</v>
      </c>
      <c r="H107" s="7" t="s">
        <v>614</v>
      </c>
      <c r="I107" s="7"/>
    </row>
    <row r="108" spans="2:9" ht="15" customHeight="1" x14ac:dyDescent="0.3">
      <c r="B108" s="7" t="s">
        <v>132</v>
      </c>
      <c r="C108" s="7">
        <v>3</v>
      </c>
      <c r="D108" s="7" t="s">
        <v>219</v>
      </c>
      <c r="E108" s="7" t="s">
        <v>220</v>
      </c>
      <c r="F108" s="7" t="s">
        <v>32</v>
      </c>
      <c r="G108" s="7" t="s">
        <v>615</v>
      </c>
      <c r="H108" s="7" t="s">
        <v>616</v>
      </c>
      <c r="I108" s="7"/>
    </row>
    <row r="109" spans="2:9" ht="15" customHeight="1" x14ac:dyDescent="0.3">
      <c r="B109" s="7" t="s">
        <v>133</v>
      </c>
      <c r="C109" s="7">
        <v>3</v>
      </c>
      <c r="D109" s="7" t="s">
        <v>219</v>
      </c>
      <c r="E109" s="7" t="s">
        <v>220</v>
      </c>
      <c r="F109" s="7" t="s">
        <v>32</v>
      </c>
      <c r="G109" s="7" t="s">
        <v>617</v>
      </c>
      <c r="H109" s="7" t="s">
        <v>618</v>
      </c>
      <c r="I109" s="7"/>
    </row>
    <row r="110" spans="2:9" ht="15" customHeight="1" x14ac:dyDescent="0.3">
      <c r="B110" s="32" t="s">
        <v>134</v>
      </c>
      <c r="C110" s="32">
        <v>2</v>
      </c>
      <c r="D110" s="32" t="s">
        <v>219</v>
      </c>
      <c r="E110" s="32" t="s">
        <v>220</v>
      </c>
      <c r="F110" s="32" t="s">
        <v>29</v>
      </c>
      <c r="G110" s="32" t="s">
        <v>619</v>
      </c>
      <c r="H110" s="32" t="s">
        <v>620</v>
      </c>
      <c r="I110" s="32"/>
    </row>
    <row r="111" spans="2:9" ht="15" customHeight="1" x14ac:dyDescent="0.3">
      <c r="B111" s="7" t="s">
        <v>135</v>
      </c>
      <c r="C111" s="7">
        <v>3</v>
      </c>
      <c r="D111" s="7" t="s">
        <v>219</v>
      </c>
      <c r="E111" s="7" t="s">
        <v>220</v>
      </c>
      <c r="F111" s="7" t="s">
        <v>32</v>
      </c>
      <c r="G111" s="7" t="s">
        <v>621</v>
      </c>
      <c r="H111" s="7" t="s">
        <v>622</v>
      </c>
      <c r="I111" s="7"/>
    </row>
    <row r="112" spans="2:9" ht="15" customHeight="1" x14ac:dyDescent="0.3">
      <c r="B112" s="7" t="s">
        <v>136</v>
      </c>
      <c r="C112" s="7">
        <v>4</v>
      </c>
      <c r="D112" s="7" t="s">
        <v>219</v>
      </c>
      <c r="E112" s="7" t="s">
        <v>220</v>
      </c>
      <c r="F112" s="7" t="s">
        <v>97</v>
      </c>
      <c r="G112" s="7" t="s">
        <v>623</v>
      </c>
      <c r="H112" s="7" t="s">
        <v>624</v>
      </c>
      <c r="I112" s="7"/>
    </row>
    <row r="113" spans="2:9" ht="15" customHeight="1" x14ac:dyDescent="0.3">
      <c r="B113" s="7" t="s">
        <v>137</v>
      </c>
      <c r="C113" s="7">
        <v>3</v>
      </c>
      <c r="D113" s="7" t="s">
        <v>219</v>
      </c>
      <c r="E113" s="7" t="s">
        <v>220</v>
      </c>
      <c r="F113" s="7" t="s">
        <v>32</v>
      </c>
      <c r="G113" s="7" t="s">
        <v>625</v>
      </c>
      <c r="H113" s="7" t="s">
        <v>626</v>
      </c>
      <c r="I113" s="7"/>
    </row>
    <row r="114" spans="2:9" ht="15" customHeight="1" x14ac:dyDescent="0.3">
      <c r="B114" s="7" t="s">
        <v>138</v>
      </c>
      <c r="C114" s="7">
        <v>3</v>
      </c>
      <c r="D114" s="7" t="s">
        <v>219</v>
      </c>
      <c r="E114" s="7" t="s">
        <v>220</v>
      </c>
      <c r="F114" s="7" t="s">
        <v>32</v>
      </c>
      <c r="G114" s="7" t="s">
        <v>627</v>
      </c>
      <c r="H114" s="7" t="s">
        <v>628</v>
      </c>
      <c r="I114" s="7"/>
    </row>
    <row r="115" spans="2:9" ht="15" customHeight="1" x14ac:dyDescent="0.3">
      <c r="B115" s="7" t="s">
        <v>139</v>
      </c>
      <c r="C115" s="7">
        <v>3</v>
      </c>
      <c r="D115" s="7" t="s">
        <v>219</v>
      </c>
      <c r="E115" s="7" t="s">
        <v>220</v>
      </c>
      <c r="F115" s="7" t="s">
        <v>32</v>
      </c>
      <c r="G115" s="7" t="s">
        <v>629</v>
      </c>
      <c r="H115" s="7" t="s">
        <v>630</v>
      </c>
      <c r="I115" s="7"/>
    </row>
    <row r="116" spans="2:9" ht="15" customHeight="1" x14ac:dyDescent="0.3">
      <c r="B116" s="7" t="s">
        <v>140</v>
      </c>
      <c r="C116" s="7">
        <v>3</v>
      </c>
      <c r="D116" s="7" t="s">
        <v>219</v>
      </c>
      <c r="E116" s="7" t="s">
        <v>220</v>
      </c>
      <c r="F116" s="7" t="s">
        <v>32</v>
      </c>
      <c r="G116" s="7" t="s">
        <v>631</v>
      </c>
      <c r="H116" s="7" t="s">
        <v>632</v>
      </c>
      <c r="I116" s="7"/>
    </row>
    <row r="117" spans="2:9" ht="15" customHeight="1" x14ac:dyDescent="0.3">
      <c r="B117" s="7" t="s">
        <v>141</v>
      </c>
      <c r="C117" s="7">
        <v>3</v>
      </c>
      <c r="D117" s="7" t="s">
        <v>219</v>
      </c>
      <c r="E117" s="7" t="s">
        <v>220</v>
      </c>
      <c r="F117" s="7" t="s">
        <v>32</v>
      </c>
      <c r="G117" s="7" t="s">
        <v>633</v>
      </c>
      <c r="H117" s="7" t="s">
        <v>634</v>
      </c>
      <c r="I117" s="7"/>
    </row>
    <row r="118" spans="2:9" ht="15" customHeight="1" x14ac:dyDescent="0.3">
      <c r="B118" s="7" t="s">
        <v>142</v>
      </c>
      <c r="C118" s="7">
        <v>3</v>
      </c>
      <c r="D118" s="7" t="s">
        <v>219</v>
      </c>
      <c r="E118" s="7" t="s">
        <v>220</v>
      </c>
      <c r="F118" s="7" t="s">
        <v>32</v>
      </c>
      <c r="G118" s="7" t="s">
        <v>635</v>
      </c>
      <c r="H118" s="7" t="s">
        <v>636</v>
      </c>
      <c r="I118" s="7"/>
    </row>
    <row r="119" spans="2:9" ht="15" customHeight="1" x14ac:dyDescent="0.3">
      <c r="B119" s="7" t="s">
        <v>143</v>
      </c>
      <c r="C119" s="7">
        <v>3</v>
      </c>
      <c r="D119" s="7" t="s">
        <v>219</v>
      </c>
      <c r="E119" s="7" t="s">
        <v>220</v>
      </c>
      <c r="F119" s="7" t="s">
        <v>32</v>
      </c>
      <c r="G119" s="7" t="s">
        <v>637</v>
      </c>
      <c r="H119" s="7" t="s">
        <v>638</v>
      </c>
      <c r="I119" s="7"/>
    </row>
    <row r="120" spans="2:9" ht="15" customHeight="1" x14ac:dyDescent="0.3">
      <c r="B120" s="7" t="s">
        <v>144</v>
      </c>
      <c r="C120" s="7">
        <v>3</v>
      </c>
      <c r="D120" s="7" t="s">
        <v>219</v>
      </c>
      <c r="E120" s="7" t="s">
        <v>220</v>
      </c>
      <c r="F120" s="7" t="s">
        <v>32</v>
      </c>
      <c r="G120" s="7" t="s">
        <v>639</v>
      </c>
      <c r="H120" s="7" t="s">
        <v>640</v>
      </c>
      <c r="I120" s="7"/>
    </row>
    <row r="121" spans="2:9" ht="15" customHeight="1" x14ac:dyDescent="0.3">
      <c r="B121" s="7" t="s">
        <v>145</v>
      </c>
      <c r="C121" s="7">
        <v>3</v>
      </c>
      <c r="D121" s="7" t="s">
        <v>219</v>
      </c>
      <c r="E121" s="7" t="s">
        <v>220</v>
      </c>
      <c r="F121" s="7" t="s">
        <v>32</v>
      </c>
      <c r="G121" s="7" t="s">
        <v>641</v>
      </c>
      <c r="H121" s="7" t="s">
        <v>642</v>
      </c>
      <c r="I121" s="7"/>
    </row>
    <row r="122" spans="2:9" ht="15" customHeight="1" x14ac:dyDescent="0.3">
      <c r="B122" s="7" t="s">
        <v>146</v>
      </c>
      <c r="C122" s="7">
        <v>3</v>
      </c>
      <c r="D122" s="7" t="s">
        <v>219</v>
      </c>
      <c r="E122" s="7" t="s">
        <v>220</v>
      </c>
      <c r="F122" s="7" t="s">
        <v>32</v>
      </c>
      <c r="G122" s="7" t="s">
        <v>643</v>
      </c>
      <c r="H122" s="7" t="s">
        <v>644</v>
      </c>
      <c r="I122" s="7"/>
    </row>
    <row r="123" spans="2:9" ht="15" customHeight="1" x14ac:dyDescent="0.3">
      <c r="B123" s="55" t="s">
        <v>147</v>
      </c>
      <c r="C123" s="55">
        <v>3</v>
      </c>
      <c r="D123" s="55" t="s">
        <v>219</v>
      </c>
      <c r="E123" s="55" t="s">
        <v>220</v>
      </c>
      <c r="F123" s="55" t="s">
        <v>32</v>
      </c>
      <c r="G123" s="55" t="s">
        <v>645</v>
      </c>
      <c r="H123" s="55" t="s">
        <v>646</v>
      </c>
      <c r="I123" s="55" t="s">
        <v>220</v>
      </c>
    </row>
    <row r="124" spans="2:9" ht="15" customHeight="1" x14ac:dyDescent="0.3">
      <c r="B124" s="30" t="s">
        <v>148</v>
      </c>
      <c r="C124" s="30">
        <v>1</v>
      </c>
      <c r="D124" s="30" t="s">
        <v>219</v>
      </c>
      <c r="E124" s="30" t="s">
        <v>220</v>
      </c>
      <c r="F124" s="30" t="s">
        <v>29</v>
      </c>
      <c r="G124" s="30" t="s">
        <v>647</v>
      </c>
      <c r="H124" s="30" t="s">
        <v>648</v>
      </c>
      <c r="I124" s="30"/>
    </row>
    <row r="125" spans="2:9" ht="15" customHeight="1" x14ac:dyDescent="0.3">
      <c r="B125" s="7" t="s">
        <v>149</v>
      </c>
      <c r="C125" s="7">
        <v>3</v>
      </c>
      <c r="D125" s="7" t="s">
        <v>219</v>
      </c>
      <c r="E125" s="7" t="s">
        <v>220</v>
      </c>
      <c r="F125" s="7" t="s">
        <v>32</v>
      </c>
      <c r="G125" s="7" t="s">
        <v>649</v>
      </c>
      <c r="H125" s="7" t="s">
        <v>650</v>
      </c>
      <c r="I125" s="7"/>
    </row>
    <row r="126" spans="2:9" ht="15" customHeight="1" x14ac:dyDescent="0.3">
      <c r="B126" s="7" t="s">
        <v>150</v>
      </c>
      <c r="C126" s="7">
        <v>3</v>
      </c>
      <c r="D126" s="7" t="s">
        <v>219</v>
      </c>
      <c r="E126" s="7" t="s">
        <v>220</v>
      </c>
      <c r="F126" s="7" t="s">
        <v>32</v>
      </c>
      <c r="G126" s="7" t="s">
        <v>651</v>
      </c>
      <c r="H126" s="7" t="s">
        <v>652</v>
      </c>
      <c r="I126" s="7"/>
    </row>
    <row r="127" spans="2:9" ht="15" customHeight="1" x14ac:dyDescent="0.3">
      <c r="B127" s="7" t="s">
        <v>151</v>
      </c>
      <c r="C127" s="7">
        <v>3</v>
      </c>
      <c r="D127" s="7" t="s">
        <v>219</v>
      </c>
      <c r="E127" s="7" t="s">
        <v>220</v>
      </c>
      <c r="F127" s="7" t="s">
        <v>32</v>
      </c>
      <c r="G127" s="7" t="s">
        <v>653</v>
      </c>
      <c r="H127" s="7" t="s">
        <v>654</v>
      </c>
      <c r="I127" s="7"/>
    </row>
    <row r="128" spans="2:9" ht="15" customHeight="1" x14ac:dyDescent="0.3">
      <c r="B128" s="32" t="s">
        <v>152</v>
      </c>
      <c r="C128" s="32">
        <v>2</v>
      </c>
      <c r="D128" s="32" t="s">
        <v>221</v>
      </c>
      <c r="E128" s="32" t="s">
        <v>220</v>
      </c>
      <c r="F128" s="32" t="s">
        <v>29</v>
      </c>
      <c r="G128" s="32" t="s">
        <v>655</v>
      </c>
      <c r="H128" s="32" t="s">
        <v>656</v>
      </c>
      <c r="I128" s="32"/>
    </row>
    <row r="129" spans="2:9" ht="15" customHeight="1" x14ac:dyDescent="0.3">
      <c r="B129" s="7" t="s">
        <v>153</v>
      </c>
      <c r="C129" s="7">
        <v>3</v>
      </c>
      <c r="D129" s="7" t="s">
        <v>221</v>
      </c>
      <c r="E129" s="7" t="s">
        <v>220</v>
      </c>
      <c r="F129" s="7" t="s">
        <v>32</v>
      </c>
      <c r="G129" s="7" t="s">
        <v>657</v>
      </c>
      <c r="H129" s="7" t="s">
        <v>658</v>
      </c>
      <c r="I129" s="7"/>
    </row>
    <row r="130" spans="2:9" ht="15" customHeight="1" x14ac:dyDescent="0.3">
      <c r="B130" s="7" t="s">
        <v>154</v>
      </c>
      <c r="C130" s="7">
        <v>3</v>
      </c>
      <c r="D130" s="7" t="s">
        <v>221</v>
      </c>
      <c r="E130" s="7" t="s">
        <v>220</v>
      </c>
      <c r="F130" s="7" t="s">
        <v>32</v>
      </c>
      <c r="G130" s="7" t="s">
        <v>659</v>
      </c>
      <c r="H130" s="7" t="s">
        <v>660</v>
      </c>
      <c r="I130" s="7"/>
    </row>
    <row r="131" spans="2:9" ht="15" customHeight="1" x14ac:dyDescent="0.3">
      <c r="B131" s="32" t="s">
        <v>155</v>
      </c>
      <c r="C131" s="32">
        <v>2</v>
      </c>
      <c r="D131" s="32" t="s">
        <v>221</v>
      </c>
      <c r="E131" s="32" t="s">
        <v>220</v>
      </c>
      <c r="F131" s="32" t="s">
        <v>29</v>
      </c>
      <c r="G131" s="32" t="s">
        <v>661</v>
      </c>
      <c r="H131" s="32" t="s">
        <v>662</v>
      </c>
      <c r="I131" s="32"/>
    </row>
    <row r="132" spans="2:9" ht="15" customHeight="1" x14ac:dyDescent="0.3">
      <c r="B132" s="7" t="s">
        <v>156</v>
      </c>
      <c r="C132" s="7">
        <v>3</v>
      </c>
      <c r="D132" s="7" t="s">
        <v>221</v>
      </c>
      <c r="E132" s="7" t="s">
        <v>220</v>
      </c>
      <c r="F132" s="7" t="s">
        <v>32</v>
      </c>
      <c r="G132" s="7" t="s">
        <v>663</v>
      </c>
      <c r="H132" s="7" t="s">
        <v>664</v>
      </c>
      <c r="I132" s="7"/>
    </row>
    <row r="133" spans="2:9" ht="15" customHeight="1" x14ac:dyDescent="0.3">
      <c r="B133" s="7" t="s">
        <v>157</v>
      </c>
      <c r="C133" s="7">
        <v>3</v>
      </c>
      <c r="D133" s="7" t="s">
        <v>221</v>
      </c>
      <c r="E133" s="7" t="s">
        <v>220</v>
      </c>
      <c r="F133" s="7" t="s">
        <v>32</v>
      </c>
      <c r="G133" s="7" t="s">
        <v>665</v>
      </c>
      <c r="H133" s="7" t="s">
        <v>666</v>
      </c>
      <c r="I133" s="7"/>
    </row>
    <row r="134" spans="2:9" ht="15" customHeight="1" x14ac:dyDescent="0.3">
      <c r="B134" s="32" t="s">
        <v>158</v>
      </c>
      <c r="C134" s="32">
        <v>2</v>
      </c>
      <c r="D134" s="32" t="s">
        <v>221</v>
      </c>
      <c r="E134" s="32" t="s">
        <v>220</v>
      </c>
      <c r="F134" s="32" t="s">
        <v>32</v>
      </c>
      <c r="G134" s="32" t="s">
        <v>667</v>
      </c>
      <c r="H134" s="32" t="s">
        <v>668</v>
      </c>
      <c r="I134" s="32"/>
    </row>
    <row r="135" spans="2:9" ht="15" customHeight="1" x14ac:dyDescent="0.3">
      <c r="B135" s="7" t="s">
        <v>159</v>
      </c>
      <c r="C135" s="7">
        <v>3</v>
      </c>
      <c r="D135" s="7" t="s">
        <v>221</v>
      </c>
      <c r="E135" s="7" t="s">
        <v>220</v>
      </c>
      <c r="F135" s="7" t="s">
        <v>97</v>
      </c>
      <c r="G135" s="7" t="s">
        <v>669</v>
      </c>
      <c r="H135" s="7" t="s">
        <v>670</v>
      </c>
      <c r="I135" s="7"/>
    </row>
    <row r="136" spans="2:9" ht="15" customHeight="1" x14ac:dyDescent="0.3">
      <c r="B136" s="56" t="s">
        <v>160</v>
      </c>
      <c r="C136" s="56">
        <v>2</v>
      </c>
      <c r="D136" s="56" t="s">
        <v>221</v>
      </c>
      <c r="E136" s="56" t="s">
        <v>220</v>
      </c>
      <c r="F136" s="56" t="s">
        <v>32</v>
      </c>
      <c r="G136" s="56" t="s">
        <v>671</v>
      </c>
      <c r="H136" s="56" t="s">
        <v>672</v>
      </c>
      <c r="I136" s="56" t="s">
        <v>220</v>
      </c>
    </row>
    <row r="137" spans="2:9" ht="15" customHeight="1" x14ac:dyDescent="0.3">
      <c r="B137" s="32" t="s">
        <v>161</v>
      </c>
      <c r="C137" s="32">
        <v>2</v>
      </c>
      <c r="D137" s="32" t="s">
        <v>221</v>
      </c>
      <c r="E137" s="32" t="s">
        <v>97</v>
      </c>
      <c r="F137" s="32" t="s">
        <v>29</v>
      </c>
      <c r="G137" s="32" t="s">
        <v>673</v>
      </c>
      <c r="H137" s="32" t="s">
        <v>674</v>
      </c>
      <c r="I137" s="32"/>
    </row>
    <row r="138" spans="2:9" ht="15" customHeight="1" x14ac:dyDescent="0.3">
      <c r="B138" s="7" t="s">
        <v>162</v>
      </c>
      <c r="C138" s="7">
        <v>3</v>
      </c>
      <c r="D138" s="7" t="s">
        <v>221</v>
      </c>
      <c r="E138" s="7" t="s">
        <v>97</v>
      </c>
      <c r="F138" s="7" t="s">
        <v>32</v>
      </c>
      <c r="G138" s="7" t="s">
        <v>675</v>
      </c>
      <c r="H138" s="7" t="s">
        <v>676</v>
      </c>
      <c r="I138" s="7"/>
    </row>
    <row r="139" spans="2:9" ht="15" customHeight="1" x14ac:dyDescent="0.3">
      <c r="B139" s="7" t="s">
        <v>163</v>
      </c>
      <c r="C139" s="7">
        <v>3</v>
      </c>
      <c r="D139" s="7" t="s">
        <v>221</v>
      </c>
      <c r="E139" s="7" t="s">
        <v>97</v>
      </c>
      <c r="F139" s="7" t="s">
        <v>32</v>
      </c>
      <c r="G139" s="7" t="s">
        <v>677</v>
      </c>
      <c r="H139" s="7" t="s">
        <v>678</v>
      </c>
      <c r="I139" s="7"/>
    </row>
    <row r="140" spans="2:9" ht="15" customHeight="1" x14ac:dyDescent="0.3">
      <c r="B140" s="7" t="s">
        <v>164</v>
      </c>
      <c r="C140" s="7">
        <v>3</v>
      </c>
      <c r="D140" s="7" t="s">
        <v>221</v>
      </c>
      <c r="E140" s="7" t="s">
        <v>97</v>
      </c>
      <c r="F140" s="7" t="s">
        <v>32</v>
      </c>
      <c r="G140" s="7" t="s">
        <v>679</v>
      </c>
      <c r="H140" s="7" t="s">
        <v>680</v>
      </c>
      <c r="I140" s="7"/>
    </row>
    <row r="141" spans="2:9" ht="15" customHeight="1" x14ac:dyDescent="0.3">
      <c r="B141" s="7" t="s">
        <v>165</v>
      </c>
      <c r="C141" s="7">
        <v>3</v>
      </c>
      <c r="D141" s="7" t="s">
        <v>221</v>
      </c>
      <c r="E141" s="7" t="s">
        <v>97</v>
      </c>
      <c r="F141" s="7" t="s">
        <v>32</v>
      </c>
      <c r="G141" s="7" t="s">
        <v>681</v>
      </c>
      <c r="H141" s="7" t="s">
        <v>682</v>
      </c>
      <c r="I141" s="7"/>
    </row>
    <row r="142" spans="2:9" ht="15" customHeight="1" x14ac:dyDescent="0.3">
      <c r="B142" s="7" t="s">
        <v>166</v>
      </c>
      <c r="C142" s="7">
        <v>3</v>
      </c>
      <c r="D142" s="7" t="s">
        <v>221</v>
      </c>
      <c r="E142" s="7" t="s">
        <v>97</v>
      </c>
      <c r="F142" s="7" t="s">
        <v>32</v>
      </c>
      <c r="G142" s="7" t="s">
        <v>683</v>
      </c>
      <c r="H142" s="7" t="s">
        <v>684</v>
      </c>
      <c r="I142" s="7"/>
    </row>
    <row r="143" spans="2:9" ht="15" customHeight="1" x14ac:dyDescent="0.3">
      <c r="B143" s="32" t="s">
        <v>167</v>
      </c>
      <c r="C143" s="32">
        <v>2</v>
      </c>
      <c r="D143" s="32" t="s">
        <v>221</v>
      </c>
      <c r="E143" s="32" t="s">
        <v>97</v>
      </c>
      <c r="F143" s="32" t="s">
        <v>29</v>
      </c>
      <c r="G143" s="32" t="s">
        <v>685</v>
      </c>
      <c r="H143" s="32" t="s">
        <v>686</v>
      </c>
      <c r="I143" s="32"/>
    </row>
    <row r="144" spans="2:9" ht="15" customHeight="1" x14ac:dyDescent="0.3">
      <c r="B144" s="7" t="s">
        <v>168</v>
      </c>
      <c r="C144" s="7">
        <v>3</v>
      </c>
      <c r="D144" s="7" t="s">
        <v>221</v>
      </c>
      <c r="E144" s="7" t="s">
        <v>97</v>
      </c>
      <c r="F144" s="7" t="s">
        <v>32</v>
      </c>
      <c r="G144" s="7" t="s">
        <v>687</v>
      </c>
      <c r="H144" s="7" t="s">
        <v>688</v>
      </c>
      <c r="I144" s="7"/>
    </row>
    <row r="145" spans="2:9" ht="15" customHeight="1" x14ac:dyDescent="0.3">
      <c r="B145" s="7" t="s">
        <v>169</v>
      </c>
      <c r="C145" s="7">
        <v>3</v>
      </c>
      <c r="D145" s="7" t="s">
        <v>221</v>
      </c>
      <c r="E145" s="7" t="s">
        <v>97</v>
      </c>
      <c r="F145" s="7" t="s">
        <v>32</v>
      </c>
      <c r="G145" s="7" t="s">
        <v>689</v>
      </c>
      <c r="H145" s="7" t="s">
        <v>690</v>
      </c>
      <c r="I145" s="7"/>
    </row>
    <row r="146" spans="2:9" ht="15" customHeight="1" x14ac:dyDescent="0.3">
      <c r="B146" s="7" t="s">
        <v>170</v>
      </c>
      <c r="C146" s="7">
        <v>3</v>
      </c>
      <c r="D146" s="7" t="s">
        <v>221</v>
      </c>
      <c r="E146" s="7" t="s">
        <v>97</v>
      </c>
      <c r="F146" s="7" t="s">
        <v>32</v>
      </c>
      <c r="G146" s="7" t="s">
        <v>691</v>
      </c>
      <c r="H146" s="7" t="s">
        <v>692</v>
      </c>
      <c r="I146" s="7"/>
    </row>
    <row r="147" spans="2:9" ht="15" customHeight="1" x14ac:dyDescent="0.3">
      <c r="B147" s="32" t="s">
        <v>171</v>
      </c>
      <c r="C147" s="32">
        <v>2</v>
      </c>
      <c r="D147" s="32" t="s">
        <v>221</v>
      </c>
      <c r="E147" s="32" t="s">
        <v>97</v>
      </c>
      <c r="F147" s="32" t="s">
        <v>32</v>
      </c>
      <c r="G147" s="32" t="s">
        <v>693</v>
      </c>
      <c r="H147" s="32" t="s">
        <v>694</v>
      </c>
      <c r="I147" s="32"/>
    </row>
    <row r="148" spans="2:9" ht="15" customHeight="1" x14ac:dyDescent="0.3">
      <c r="B148" s="32" t="s">
        <v>172</v>
      </c>
      <c r="C148" s="32">
        <v>2</v>
      </c>
      <c r="D148" s="32" t="s">
        <v>221</v>
      </c>
      <c r="E148" s="32" t="s">
        <v>97</v>
      </c>
      <c r="F148" s="32" t="s">
        <v>32</v>
      </c>
      <c r="G148" s="32" t="s">
        <v>695</v>
      </c>
      <c r="H148" s="32" t="s">
        <v>696</v>
      </c>
      <c r="I148" s="32"/>
    </row>
    <row r="149" spans="2:9" ht="15" customHeight="1" x14ac:dyDescent="0.3">
      <c r="B149" s="7" t="s">
        <v>173</v>
      </c>
      <c r="C149" s="7">
        <v>3</v>
      </c>
      <c r="D149" s="7" t="s">
        <v>221</v>
      </c>
      <c r="E149" s="7" t="s">
        <v>97</v>
      </c>
      <c r="F149" s="7" t="s">
        <v>97</v>
      </c>
      <c r="G149" s="7" t="s">
        <v>697</v>
      </c>
      <c r="H149" s="7" t="s">
        <v>698</v>
      </c>
      <c r="I149" s="7"/>
    </row>
    <row r="150" spans="2:9" ht="15" customHeight="1" x14ac:dyDescent="0.3">
      <c r="B150" s="56" t="s">
        <v>174</v>
      </c>
      <c r="C150" s="56">
        <v>2</v>
      </c>
      <c r="D150" s="56" t="s">
        <v>221</v>
      </c>
      <c r="E150" s="56" t="s">
        <v>97</v>
      </c>
      <c r="F150" s="56" t="s">
        <v>32</v>
      </c>
      <c r="G150" s="56" t="s">
        <v>699</v>
      </c>
      <c r="H150" s="56" t="s">
        <v>700</v>
      </c>
      <c r="I150" s="56" t="s">
        <v>220</v>
      </c>
    </row>
    <row r="151" spans="2:9" ht="15" customHeight="1" x14ac:dyDescent="0.3">
      <c r="B151" s="32" t="s">
        <v>175</v>
      </c>
      <c r="C151" s="32">
        <v>2</v>
      </c>
      <c r="D151" s="32" t="s">
        <v>221</v>
      </c>
      <c r="E151" s="32" t="s">
        <v>220</v>
      </c>
      <c r="F151" s="32" t="s">
        <v>29</v>
      </c>
      <c r="G151" s="32" t="s">
        <v>701</v>
      </c>
      <c r="H151" s="32" t="s">
        <v>702</v>
      </c>
      <c r="I151" s="32"/>
    </row>
    <row r="152" spans="2:9" ht="15" customHeight="1" x14ac:dyDescent="0.3">
      <c r="B152" s="55" t="s">
        <v>176</v>
      </c>
      <c r="C152" s="55">
        <v>3</v>
      </c>
      <c r="D152" s="55" t="s">
        <v>221</v>
      </c>
      <c r="E152" s="55" t="s">
        <v>220</v>
      </c>
      <c r="F152" s="55" t="s">
        <v>32</v>
      </c>
      <c r="G152" s="55" t="s">
        <v>703</v>
      </c>
      <c r="H152" s="55" t="s">
        <v>704</v>
      </c>
      <c r="I152" s="55" t="s">
        <v>220</v>
      </c>
    </row>
    <row r="153" spans="2:9" ht="15" customHeight="1" x14ac:dyDescent="0.3">
      <c r="B153" s="7" t="s">
        <v>177</v>
      </c>
      <c r="C153" s="7">
        <v>4</v>
      </c>
      <c r="D153" s="7" t="s">
        <v>221</v>
      </c>
      <c r="E153" s="7" t="s">
        <v>220</v>
      </c>
      <c r="F153" s="7" t="s">
        <v>97</v>
      </c>
      <c r="G153" s="7" t="s">
        <v>705</v>
      </c>
      <c r="H153" s="7" t="s">
        <v>706</v>
      </c>
      <c r="I153" s="7"/>
    </row>
    <row r="154" spans="2:9" ht="15" customHeight="1" x14ac:dyDescent="0.3">
      <c r="B154" s="55" t="s">
        <v>178</v>
      </c>
      <c r="C154" s="55">
        <v>3</v>
      </c>
      <c r="D154" s="55" t="s">
        <v>221</v>
      </c>
      <c r="E154" s="55" t="s">
        <v>220</v>
      </c>
      <c r="F154" s="55" t="s">
        <v>32</v>
      </c>
      <c r="G154" s="55" t="s">
        <v>707</v>
      </c>
      <c r="H154" s="55" t="s">
        <v>708</v>
      </c>
      <c r="I154" s="55" t="s">
        <v>220</v>
      </c>
    </row>
    <row r="155" spans="2:9" ht="15" customHeight="1" x14ac:dyDescent="0.3">
      <c r="B155" s="7" t="s">
        <v>179</v>
      </c>
      <c r="C155" s="7">
        <v>4</v>
      </c>
      <c r="D155" s="7" t="s">
        <v>221</v>
      </c>
      <c r="E155" s="7" t="s">
        <v>220</v>
      </c>
      <c r="F155" s="7" t="s">
        <v>97</v>
      </c>
      <c r="G155" s="7" t="s">
        <v>705</v>
      </c>
      <c r="H155" s="7" t="s">
        <v>706</v>
      </c>
      <c r="I155" s="7"/>
    </row>
    <row r="156" spans="2:9" ht="15" customHeight="1" x14ac:dyDescent="0.3">
      <c r="B156" s="7" t="s">
        <v>180</v>
      </c>
      <c r="C156" s="7">
        <v>3</v>
      </c>
      <c r="D156" s="7" t="s">
        <v>221</v>
      </c>
      <c r="E156" s="7" t="s">
        <v>220</v>
      </c>
      <c r="F156" s="7" t="s">
        <v>32</v>
      </c>
      <c r="G156" s="7" t="s">
        <v>709</v>
      </c>
      <c r="H156" s="7" t="s">
        <v>710</v>
      </c>
      <c r="I156" s="7"/>
    </row>
    <row r="157" spans="2:9" ht="15" customHeight="1" x14ac:dyDescent="0.3">
      <c r="B157" s="7" t="s">
        <v>181</v>
      </c>
      <c r="C157" s="7">
        <v>4</v>
      </c>
      <c r="D157" s="7" t="s">
        <v>221</v>
      </c>
      <c r="E157" s="7" t="s">
        <v>220</v>
      </c>
      <c r="F157" s="7" t="s">
        <v>97</v>
      </c>
      <c r="G157" s="7" t="s">
        <v>705</v>
      </c>
      <c r="H157" s="7" t="s">
        <v>706</v>
      </c>
      <c r="I157" s="7"/>
    </row>
    <row r="158" spans="2:9" ht="15" customHeight="1" x14ac:dyDescent="0.3">
      <c r="B158" s="7" t="s">
        <v>182</v>
      </c>
      <c r="C158" s="7">
        <v>3</v>
      </c>
      <c r="D158" s="7" t="s">
        <v>221</v>
      </c>
      <c r="E158" s="7" t="s">
        <v>220</v>
      </c>
      <c r="F158" s="7" t="s">
        <v>32</v>
      </c>
      <c r="G158" s="7" t="s">
        <v>711</v>
      </c>
      <c r="H158" s="7" t="s">
        <v>712</v>
      </c>
      <c r="I158" s="7"/>
    </row>
    <row r="159" spans="2:9" ht="15" customHeight="1" x14ac:dyDescent="0.3">
      <c r="B159" s="7" t="s">
        <v>183</v>
      </c>
      <c r="C159" s="7">
        <v>4</v>
      </c>
      <c r="D159" s="7" t="s">
        <v>221</v>
      </c>
      <c r="E159" s="7" t="s">
        <v>220</v>
      </c>
      <c r="F159" s="7" t="s">
        <v>97</v>
      </c>
      <c r="G159" s="7" t="s">
        <v>705</v>
      </c>
      <c r="H159" s="7" t="s">
        <v>706</v>
      </c>
      <c r="I159" s="7"/>
    </row>
    <row r="160" spans="2:9" ht="15" customHeight="1" x14ac:dyDescent="0.3">
      <c r="B160" s="7" t="s">
        <v>184</v>
      </c>
      <c r="C160" s="7">
        <v>3</v>
      </c>
      <c r="D160" s="7" t="s">
        <v>221</v>
      </c>
      <c r="E160" s="7" t="s">
        <v>220</v>
      </c>
      <c r="F160" s="7" t="s">
        <v>32</v>
      </c>
      <c r="G160" s="7" t="s">
        <v>713</v>
      </c>
      <c r="H160" s="7" t="s">
        <v>714</v>
      </c>
      <c r="I160" s="7"/>
    </row>
    <row r="161" spans="2:9" ht="15" customHeight="1" x14ac:dyDescent="0.3">
      <c r="B161" s="7" t="s">
        <v>185</v>
      </c>
      <c r="C161" s="7">
        <v>4</v>
      </c>
      <c r="D161" s="7" t="s">
        <v>221</v>
      </c>
      <c r="E161" s="7" t="s">
        <v>220</v>
      </c>
      <c r="F161" s="7" t="s">
        <v>97</v>
      </c>
      <c r="G161" s="7" t="s">
        <v>705</v>
      </c>
      <c r="H161" s="7" t="s">
        <v>706</v>
      </c>
      <c r="I161" s="7"/>
    </row>
    <row r="162" spans="2:9" ht="15" customHeight="1" x14ac:dyDescent="0.3">
      <c r="B162" s="7" t="s">
        <v>186</v>
      </c>
      <c r="C162" s="7">
        <v>3</v>
      </c>
      <c r="D162" s="7" t="s">
        <v>221</v>
      </c>
      <c r="E162" s="7" t="s">
        <v>220</v>
      </c>
      <c r="F162" s="7" t="s">
        <v>32</v>
      </c>
      <c r="G162" s="7" t="s">
        <v>715</v>
      </c>
      <c r="H162" s="7" t="s">
        <v>716</v>
      </c>
      <c r="I162" s="7"/>
    </row>
    <row r="163" spans="2:9" ht="15" customHeight="1" x14ac:dyDescent="0.3">
      <c r="B163" s="7" t="s">
        <v>187</v>
      </c>
      <c r="C163" s="7">
        <v>4</v>
      </c>
      <c r="D163" s="7" t="s">
        <v>221</v>
      </c>
      <c r="E163" s="7" t="s">
        <v>220</v>
      </c>
      <c r="F163" s="7" t="s">
        <v>97</v>
      </c>
      <c r="G163" s="7" t="s">
        <v>717</v>
      </c>
      <c r="H163" s="7" t="s">
        <v>718</v>
      </c>
      <c r="I163" s="7"/>
    </row>
    <row r="164" spans="2:9" ht="15" customHeight="1" x14ac:dyDescent="0.3">
      <c r="B164" s="32" t="s">
        <v>188</v>
      </c>
      <c r="C164" s="32">
        <v>2</v>
      </c>
      <c r="D164" s="32" t="s">
        <v>221</v>
      </c>
      <c r="E164" s="32" t="s">
        <v>97</v>
      </c>
      <c r="F164" s="32" t="s">
        <v>29</v>
      </c>
      <c r="G164" s="32" t="s">
        <v>719</v>
      </c>
      <c r="H164" s="32" t="s">
        <v>720</v>
      </c>
      <c r="I164" s="32"/>
    </row>
    <row r="165" spans="2:9" ht="15" customHeight="1" x14ac:dyDescent="0.3">
      <c r="B165" s="7" t="s">
        <v>189</v>
      </c>
      <c r="C165" s="7">
        <v>3</v>
      </c>
      <c r="D165" s="7" t="s">
        <v>221</v>
      </c>
      <c r="E165" s="7" t="s">
        <v>97</v>
      </c>
      <c r="F165" s="7" t="s">
        <v>32</v>
      </c>
      <c r="G165" s="7" t="s">
        <v>721</v>
      </c>
      <c r="H165" s="7" t="s">
        <v>722</v>
      </c>
      <c r="I165" s="7"/>
    </row>
    <row r="166" spans="2:9" ht="15" customHeight="1" x14ac:dyDescent="0.3">
      <c r="B166" s="7" t="s">
        <v>190</v>
      </c>
      <c r="C166" s="7">
        <v>4</v>
      </c>
      <c r="D166" s="7" t="s">
        <v>221</v>
      </c>
      <c r="E166" s="7" t="s">
        <v>97</v>
      </c>
      <c r="F166" s="7" t="s">
        <v>97</v>
      </c>
      <c r="G166" s="7" t="s">
        <v>723</v>
      </c>
      <c r="H166" s="7" t="s">
        <v>724</v>
      </c>
      <c r="I166" s="7"/>
    </row>
    <row r="167" spans="2:9" ht="15" customHeight="1" x14ac:dyDescent="0.3">
      <c r="B167" s="7" t="s">
        <v>191</v>
      </c>
      <c r="C167" s="7">
        <v>3</v>
      </c>
      <c r="D167" s="7" t="s">
        <v>221</v>
      </c>
      <c r="E167" s="7" t="s">
        <v>97</v>
      </c>
      <c r="F167" s="7" t="s">
        <v>32</v>
      </c>
      <c r="G167" s="7" t="s">
        <v>725</v>
      </c>
      <c r="H167" s="7" t="s">
        <v>726</v>
      </c>
      <c r="I167" s="7"/>
    </row>
    <row r="168" spans="2:9" ht="15" customHeight="1" x14ac:dyDescent="0.3">
      <c r="B168" s="7" t="s">
        <v>192</v>
      </c>
      <c r="C168" s="7">
        <v>4</v>
      </c>
      <c r="D168" s="7" t="s">
        <v>221</v>
      </c>
      <c r="E168" s="7" t="s">
        <v>97</v>
      </c>
      <c r="F168" s="7" t="s">
        <v>97</v>
      </c>
      <c r="G168" s="7" t="s">
        <v>723</v>
      </c>
      <c r="H168" s="7" t="s">
        <v>724</v>
      </c>
      <c r="I168" s="7"/>
    </row>
    <row r="169" spans="2:9" ht="15" customHeight="1" x14ac:dyDescent="0.3">
      <c r="B169" s="7" t="s">
        <v>193</v>
      </c>
      <c r="C169" s="7">
        <v>3</v>
      </c>
      <c r="D169" s="7" t="s">
        <v>221</v>
      </c>
      <c r="E169" s="7" t="s">
        <v>97</v>
      </c>
      <c r="F169" s="7" t="s">
        <v>32</v>
      </c>
      <c r="G169" s="7" t="s">
        <v>727</v>
      </c>
      <c r="H169" s="7" t="s">
        <v>728</v>
      </c>
      <c r="I169" s="7"/>
    </row>
    <row r="170" spans="2:9" ht="15" customHeight="1" x14ac:dyDescent="0.3">
      <c r="B170" s="7" t="s">
        <v>194</v>
      </c>
      <c r="C170" s="7">
        <v>4</v>
      </c>
      <c r="D170" s="7" t="s">
        <v>221</v>
      </c>
      <c r="E170" s="7" t="s">
        <v>97</v>
      </c>
      <c r="F170" s="7" t="s">
        <v>97</v>
      </c>
      <c r="G170" s="7" t="s">
        <v>723</v>
      </c>
      <c r="H170" s="7" t="s">
        <v>724</v>
      </c>
      <c r="I170" s="7"/>
    </row>
    <row r="171" spans="2:9" ht="15" customHeight="1" x14ac:dyDescent="0.3">
      <c r="B171" s="7" t="s">
        <v>195</v>
      </c>
      <c r="C171" s="7">
        <v>3</v>
      </c>
      <c r="D171" s="7" t="s">
        <v>221</v>
      </c>
      <c r="E171" s="7" t="s">
        <v>97</v>
      </c>
      <c r="F171" s="7" t="s">
        <v>32</v>
      </c>
      <c r="G171" s="7" t="s">
        <v>729</v>
      </c>
      <c r="H171" s="7" t="s">
        <v>730</v>
      </c>
      <c r="I171" s="7"/>
    </row>
    <row r="172" spans="2:9" ht="15" customHeight="1" x14ac:dyDescent="0.3">
      <c r="B172" s="7" t="s">
        <v>196</v>
      </c>
      <c r="C172" s="7">
        <v>3</v>
      </c>
      <c r="D172" s="7" t="s">
        <v>221</v>
      </c>
      <c r="E172" s="7" t="s">
        <v>97</v>
      </c>
      <c r="F172" s="7" t="s">
        <v>32</v>
      </c>
      <c r="G172" s="7" t="s">
        <v>731</v>
      </c>
      <c r="H172" s="7" t="s">
        <v>732</v>
      </c>
      <c r="I172" s="7"/>
    </row>
    <row r="173" spans="2:9" ht="15" customHeight="1" x14ac:dyDescent="0.3">
      <c r="B173" s="7" t="s">
        <v>197</v>
      </c>
      <c r="C173" s="7">
        <v>4</v>
      </c>
      <c r="D173" s="7" t="s">
        <v>221</v>
      </c>
      <c r="E173" s="7" t="s">
        <v>97</v>
      </c>
      <c r="F173" s="7" t="s">
        <v>97</v>
      </c>
      <c r="G173" s="7" t="s">
        <v>717</v>
      </c>
      <c r="H173" s="7" t="s">
        <v>718</v>
      </c>
      <c r="I173" s="7"/>
    </row>
    <row r="174" spans="2:9" ht="15" customHeight="1" x14ac:dyDescent="0.3">
      <c r="B174" s="32" t="s">
        <v>198</v>
      </c>
      <c r="C174" s="32">
        <v>2</v>
      </c>
      <c r="D174" s="32" t="s">
        <v>221</v>
      </c>
      <c r="E174" s="32" t="s">
        <v>97</v>
      </c>
      <c r="F174" s="32" t="s">
        <v>32</v>
      </c>
      <c r="G174" s="32" t="s">
        <v>733</v>
      </c>
      <c r="H174" s="32" t="s">
        <v>734</v>
      </c>
      <c r="I174" s="32"/>
    </row>
    <row r="175" spans="2:9" ht="15" customHeight="1" x14ac:dyDescent="0.3">
      <c r="B175" s="32" t="s">
        <v>199</v>
      </c>
      <c r="C175" s="32">
        <v>2</v>
      </c>
      <c r="D175" s="32" t="s">
        <v>221</v>
      </c>
      <c r="E175" s="32" t="s">
        <v>97</v>
      </c>
      <c r="F175" s="32" t="s">
        <v>32</v>
      </c>
      <c r="G175" s="32" t="s">
        <v>735</v>
      </c>
      <c r="H175" s="32" t="s">
        <v>736</v>
      </c>
      <c r="I175" s="32"/>
    </row>
    <row r="176" spans="2:9" ht="15" customHeight="1" x14ac:dyDescent="0.3">
      <c r="B176" s="56" t="s">
        <v>200</v>
      </c>
      <c r="C176" s="56">
        <v>2</v>
      </c>
      <c r="D176" s="56" t="s">
        <v>221</v>
      </c>
      <c r="E176" s="56" t="s">
        <v>97</v>
      </c>
      <c r="F176" s="56" t="s">
        <v>32</v>
      </c>
      <c r="G176" s="56" t="s">
        <v>737</v>
      </c>
      <c r="H176" s="56" t="s">
        <v>738</v>
      </c>
      <c r="I176" s="56" t="s">
        <v>220</v>
      </c>
    </row>
    <row r="177" spans="2:9" ht="15" customHeight="1" x14ac:dyDescent="0.3">
      <c r="B177" s="56" t="s">
        <v>201</v>
      </c>
      <c r="C177" s="56">
        <v>2</v>
      </c>
      <c r="D177" s="56" t="s">
        <v>221</v>
      </c>
      <c r="E177" s="56" t="s">
        <v>97</v>
      </c>
      <c r="F177" s="56" t="s">
        <v>32</v>
      </c>
      <c r="G177" s="56" t="s">
        <v>739</v>
      </c>
      <c r="H177" s="56" t="s">
        <v>740</v>
      </c>
      <c r="I177" s="56" t="s">
        <v>220</v>
      </c>
    </row>
    <row r="178" spans="2:9" ht="15" customHeight="1" x14ac:dyDescent="0.3">
      <c r="B178" s="56" t="s">
        <v>202</v>
      </c>
      <c r="C178" s="56">
        <v>2</v>
      </c>
      <c r="D178" s="56" t="s">
        <v>221</v>
      </c>
      <c r="E178" s="56" t="s">
        <v>97</v>
      </c>
      <c r="F178" s="56" t="s">
        <v>32</v>
      </c>
      <c r="G178" s="56" t="s">
        <v>741</v>
      </c>
      <c r="H178" s="56" t="s">
        <v>742</v>
      </c>
      <c r="I178" s="56" t="s">
        <v>220</v>
      </c>
    </row>
    <row r="179" spans="2:9" ht="15" customHeight="1" x14ac:dyDescent="0.3">
      <c r="B179" s="32" t="s">
        <v>203</v>
      </c>
      <c r="C179" s="32">
        <v>2</v>
      </c>
      <c r="D179" s="32" t="s">
        <v>222</v>
      </c>
      <c r="E179" s="32" t="s">
        <v>97</v>
      </c>
      <c r="F179" s="32" t="s">
        <v>29</v>
      </c>
      <c r="G179" s="32" t="s">
        <v>743</v>
      </c>
      <c r="H179" s="32" t="s">
        <v>744</v>
      </c>
      <c r="I179" s="32" t="s">
        <v>745</v>
      </c>
    </row>
    <row r="180" spans="2:9" ht="15" customHeight="1" x14ac:dyDescent="0.3">
      <c r="B180" s="7" t="s">
        <v>204</v>
      </c>
      <c r="C180" s="7">
        <v>3</v>
      </c>
      <c r="D180" s="7" t="s">
        <v>222</v>
      </c>
      <c r="E180" s="7" t="s">
        <v>97</v>
      </c>
      <c r="F180" s="7" t="s">
        <v>32</v>
      </c>
      <c r="G180" s="7" t="s">
        <v>746</v>
      </c>
      <c r="H180" s="7" t="s">
        <v>747</v>
      </c>
      <c r="I180" s="7" t="s">
        <v>745</v>
      </c>
    </row>
    <row r="181" spans="2:9" ht="15" customHeight="1" x14ac:dyDescent="0.3">
      <c r="B181" s="7" t="s">
        <v>205</v>
      </c>
      <c r="C181" s="7">
        <v>3</v>
      </c>
      <c r="D181" s="7" t="s">
        <v>222</v>
      </c>
      <c r="E181" s="7" t="s">
        <v>97</v>
      </c>
      <c r="F181" s="7" t="s">
        <v>32</v>
      </c>
      <c r="G181" s="7" t="s">
        <v>748</v>
      </c>
      <c r="H181" s="7" t="s">
        <v>749</v>
      </c>
      <c r="I181" s="7" t="s">
        <v>745</v>
      </c>
    </row>
    <row r="182" spans="2:9" ht="15" customHeight="1" x14ac:dyDescent="0.3">
      <c r="B182" s="7" t="s">
        <v>206</v>
      </c>
      <c r="C182" s="7">
        <v>3</v>
      </c>
      <c r="D182" s="7" t="s">
        <v>222</v>
      </c>
      <c r="E182" s="7" t="s">
        <v>97</v>
      </c>
      <c r="F182" s="7" t="s">
        <v>32</v>
      </c>
      <c r="G182" s="7" t="s">
        <v>750</v>
      </c>
      <c r="H182" s="7" t="s">
        <v>751</v>
      </c>
      <c r="I182" s="7" t="s">
        <v>745</v>
      </c>
    </row>
    <row r="183" spans="2:9" ht="15" customHeight="1" x14ac:dyDescent="0.3">
      <c r="B183" s="7" t="s">
        <v>207</v>
      </c>
      <c r="C183" s="7">
        <v>3</v>
      </c>
      <c r="D183" s="7" t="s">
        <v>222</v>
      </c>
      <c r="E183" s="7" t="s">
        <v>97</v>
      </c>
      <c r="F183" s="7" t="s">
        <v>32</v>
      </c>
      <c r="G183" s="7" t="s">
        <v>752</v>
      </c>
      <c r="H183" s="7" t="s">
        <v>753</v>
      </c>
      <c r="I183" s="7" t="s">
        <v>745</v>
      </c>
    </row>
    <row r="185" spans="2:9" ht="15" customHeight="1" x14ac:dyDescent="0.3">
      <c r="B185" s="24" t="s">
        <v>754</v>
      </c>
    </row>
  </sheetData>
  <sheetProtection algorithmName="SHA-512" hashValue="34q9to9YSTcUiZdP2Jbzv/grj5POKdIlW8gO7cEzD8tax60UvlQ7XZ9+WagrKq9pYul/Rjwh/NTRhj+e7QePAQ==" saltValue="+2PtVFXy4isju0WHv0NKsA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Munka22"/>
  <dimension ref="B1:D303"/>
  <sheetViews>
    <sheetView showGridLines="0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ColWidth="8.6640625" defaultRowHeight="14.4" x14ac:dyDescent="0.3"/>
  <cols>
    <col min="2" max="2" width="16" style="1" customWidth="1"/>
    <col min="3" max="4" width="80" style="1" customWidth="1"/>
  </cols>
  <sheetData>
    <row r="1" spans="2:4" ht="79.5" customHeight="1" x14ac:dyDescent="0.3"/>
    <row r="3" spans="2:4" ht="17.25" customHeight="1" x14ac:dyDescent="0.3">
      <c r="B3" s="5" t="s">
        <v>755</v>
      </c>
    </row>
    <row r="4" spans="2:4" ht="15" customHeight="1" x14ac:dyDescent="0.3">
      <c r="B4" s="57" t="s">
        <v>756</v>
      </c>
    </row>
    <row r="6" spans="2:4" ht="15" customHeight="1" x14ac:dyDescent="0.3">
      <c r="B6" s="58" t="s">
        <v>757</v>
      </c>
      <c r="C6" s="58" t="s">
        <v>3</v>
      </c>
      <c r="D6" s="58" t="s">
        <v>758</v>
      </c>
    </row>
    <row r="7" spans="2:4" ht="15" customHeight="1" x14ac:dyDescent="0.3">
      <c r="B7" s="59" t="s">
        <v>759</v>
      </c>
      <c r="C7" s="60" t="s">
        <v>760</v>
      </c>
      <c r="D7" s="60" t="s">
        <v>761</v>
      </c>
    </row>
    <row r="8" spans="2:4" ht="15" customHeight="1" x14ac:dyDescent="0.3">
      <c r="B8" s="59" t="s">
        <v>762</v>
      </c>
      <c r="C8" s="60" t="s">
        <v>763</v>
      </c>
      <c r="D8" s="60" t="s">
        <v>764</v>
      </c>
    </row>
    <row r="9" spans="2:4" ht="15" customHeight="1" x14ac:dyDescent="0.3">
      <c r="B9" s="59" t="s">
        <v>765</v>
      </c>
      <c r="C9" s="60" t="s">
        <v>766</v>
      </c>
      <c r="D9" s="60" t="s">
        <v>767</v>
      </c>
    </row>
    <row r="10" spans="2:4" ht="15" customHeight="1" x14ac:dyDescent="0.3">
      <c r="B10" s="59" t="s">
        <v>768</v>
      </c>
      <c r="C10" s="60" t="s">
        <v>769</v>
      </c>
      <c r="D10" s="60" t="s">
        <v>770</v>
      </c>
    </row>
    <row r="11" spans="2:4" ht="15" customHeight="1" x14ac:dyDescent="0.3">
      <c r="B11" s="59" t="s">
        <v>771</v>
      </c>
      <c r="C11" s="60" t="s">
        <v>772</v>
      </c>
      <c r="D11" s="60" t="s">
        <v>773</v>
      </c>
    </row>
    <row r="12" spans="2:4" ht="15" customHeight="1" x14ac:dyDescent="0.3">
      <c r="B12" s="59" t="s">
        <v>774</v>
      </c>
      <c r="C12" s="60" t="s">
        <v>775</v>
      </c>
      <c r="D12" s="60" t="s">
        <v>776</v>
      </c>
    </row>
    <row r="13" spans="2:4" ht="15" customHeight="1" x14ac:dyDescent="0.3">
      <c r="B13" s="59" t="s">
        <v>777</v>
      </c>
      <c r="C13" s="60" t="s">
        <v>778</v>
      </c>
      <c r="D13" s="60" t="s">
        <v>779</v>
      </c>
    </row>
    <row r="14" spans="2:4" ht="15" customHeight="1" x14ac:dyDescent="0.3">
      <c r="B14" s="59" t="s">
        <v>780</v>
      </c>
      <c r="C14" s="60" t="s">
        <v>781</v>
      </c>
      <c r="D14" s="60" t="s">
        <v>782</v>
      </c>
    </row>
    <row r="15" spans="2:4" ht="15" customHeight="1" x14ac:dyDescent="0.3">
      <c r="B15" s="59" t="s">
        <v>783</v>
      </c>
      <c r="C15" s="60" t="s">
        <v>784</v>
      </c>
      <c r="D15" s="60" t="s">
        <v>785</v>
      </c>
    </row>
    <row r="16" spans="2:4" ht="15" customHeight="1" x14ac:dyDescent="0.3">
      <c r="B16" s="59" t="s">
        <v>786</v>
      </c>
      <c r="C16" s="60" t="s">
        <v>787</v>
      </c>
      <c r="D16" s="60" t="s">
        <v>788</v>
      </c>
    </row>
    <row r="17" spans="2:4" ht="15" customHeight="1" x14ac:dyDescent="0.3">
      <c r="B17" s="59" t="s">
        <v>789</v>
      </c>
      <c r="C17" s="60" t="s">
        <v>790</v>
      </c>
      <c r="D17" s="60" t="s">
        <v>791</v>
      </c>
    </row>
    <row r="18" spans="2:4" ht="15" customHeight="1" x14ac:dyDescent="0.3">
      <c r="B18" s="59" t="s">
        <v>792</v>
      </c>
      <c r="C18" s="60" t="s">
        <v>793</v>
      </c>
      <c r="D18" s="60" t="s">
        <v>794</v>
      </c>
    </row>
    <row r="19" spans="2:4" ht="15" customHeight="1" x14ac:dyDescent="0.3">
      <c r="B19" s="59" t="s">
        <v>795</v>
      </c>
      <c r="C19" s="60" t="s">
        <v>796</v>
      </c>
      <c r="D19" s="60" t="s">
        <v>797</v>
      </c>
    </row>
    <row r="20" spans="2:4" ht="15" customHeight="1" x14ac:dyDescent="0.3">
      <c r="B20" s="59" t="s">
        <v>798</v>
      </c>
      <c r="C20" s="60" t="s">
        <v>799</v>
      </c>
      <c r="D20" s="60" t="s">
        <v>800</v>
      </c>
    </row>
    <row r="21" spans="2:4" ht="15" customHeight="1" x14ac:dyDescent="0.3">
      <c r="B21" s="59" t="s">
        <v>801</v>
      </c>
      <c r="C21" s="60" t="s">
        <v>802</v>
      </c>
      <c r="D21" s="60" t="s">
        <v>803</v>
      </c>
    </row>
    <row r="22" spans="2:4" ht="15" customHeight="1" x14ac:dyDescent="0.3">
      <c r="B22" s="59" t="s">
        <v>804</v>
      </c>
      <c r="C22" s="60" t="s">
        <v>805</v>
      </c>
      <c r="D22" s="60" t="s">
        <v>806</v>
      </c>
    </row>
    <row r="23" spans="2:4" ht="15" customHeight="1" x14ac:dyDescent="0.3">
      <c r="B23" s="59" t="s">
        <v>807</v>
      </c>
      <c r="C23" s="60" t="s">
        <v>808</v>
      </c>
      <c r="D23" s="60" t="s">
        <v>809</v>
      </c>
    </row>
    <row r="24" spans="2:4" ht="15" customHeight="1" x14ac:dyDescent="0.3">
      <c r="B24" s="59" t="s">
        <v>810</v>
      </c>
      <c r="C24" s="60" t="s">
        <v>811</v>
      </c>
      <c r="D24" s="60" t="s">
        <v>812</v>
      </c>
    </row>
    <row r="25" spans="2:4" ht="15" customHeight="1" x14ac:dyDescent="0.3">
      <c r="B25" s="59" t="s">
        <v>813</v>
      </c>
      <c r="C25" s="60" t="s">
        <v>814</v>
      </c>
      <c r="D25" s="60" t="s">
        <v>815</v>
      </c>
    </row>
    <row r="26" spans="2:4" ht="15" customHeight="1" x14ac:dyDescent="0.3">
      <c r="B26" s="59" t="s">
        <v>816</v>
      </c>
      <c r="C26" s="60" t="s">
        <v>817</v>
      </c>
      <c r="D26" s="60" t="s">
        <v>818</v>
      </c>
    </row>
    <row r="27" spans="2:4" ht="15" customHeight="1" x14ac:dyDescent="0.3">
      <c r="B27" s="59" t="s">
        <v>819</v>
      </c>
      <c r="C27" s="60" t="s">
        <v>820</v>
      </c>
      <c r="D27" s="60" t="s">
        <v>821</v>
      </c>
    </row>
    <row r="28" spans="2:4" ht="15" customHeight="1" x14ac:dyDescent="0.3">
      <c r="B28" s="59" t="s">
        <v>822</v>
      </c>
      <c r="C28" s="60" t="s">
        <v>823</v>
      </c>
      <c r="D28" s="60" t="s">
        <v>824</v>
      </c>
    </row>
    <row r="29" spans="2:4" ht="15" customHeight="1" x14ac:dyDescent="0.3">
      <c r="B29" s="59" t="s">
        <v>825</v>
      </c>
      <c r="C29" s="60" t="s">
        <v>826</v>
      </c>
      <c r="D29" s="60" t="s">
        <v>827</v>
      </c>
    </row>
    <row r="30" spans="2:4" ht="15" customHeight="1" x14ac:dyDescent="0.3">
      <c r="B30" s="59" t="s">
        <v>828</v>
      </c>
      <c r="C30" s="60" t="s">
        <v>829</v>
      </c>
      <c r="D30" s="60" t="s">
        <v>830</v>
      </c>
    </row>
    <row r="31" spans="2:4" ht="15" customHeight="1" x14ac:dyDescent="0.3">
      <c r="B31" s="59" t="s">
        <v>831</v>
      </c>
      <c r="C31" s="60" t="s">
        <v>832</v>
      </c>
      <c r="D31" s="60" t="s">
        <v>833</v>
      </c>
    </row>
    <row r="32" spans="2:4" ht="15" customHeight="1" x14ac:dyDescent="0.3">
      <c r="B32" s="59" t="s">
        <v>834</v>
      </c>
      <c r="C32" s="60" t="s">
        <v>835</v>
      </c>
      <c r="D32" s="60" t="s">
        <v>836</v>
      </c>
    </row>
    <row r="33" spans="2:4" ht="15" customHeight="1" x14ac:dyDescent="0.3">
      <c r="B33" s="59" t="s">
        <v>837</v>
      </c>
      <c r="C33" s="60" t="s">
        <v>838</v>
      </c>
      <c r="D33" s="60" t="s">
        <v>839</v>
      </c>
    </row>
    <row r="34" spans="2:4" ht="15" customHeight="1" x14ac:dyDescent="0.3">
      <c r="B34" s="59" t="s">
        <v>840</v>
      </c>
      <c r="C34" s="60" t="s">
        <v>841</v>
      </c>
      <c r="D34" s="60" t="s">
        <v>842</v>
      </c>
    </row>
    <row r="35" spans="2:4" ht="15" customHeight="1" x14ac:dyDescent="0.3">
      <c r="B35" s="59" t="s">
        <v>843</v>
      </c>
      <c r="C35" s="60" t="s">
        <v>844</v>
      </c>
      <c r="D35" s="60" t="s">
        <v>845</v>
      </c>
    </row>
    <row r="36" spans="2:4" ht="15" customHeight="1" x14ac:dyDescent="0.3">
      <c r="B36" s="59" t="s">
        <v>846</v>
      </c>
      <c r="C36" s="60" t="s">
        <v>847</v>
      </c>
      <c r="D36" s="60" t="s">
        <v>848</v>
      </c>
    </row>
    <row r="37" spans="2:4" ht="15" customHeight="1" x14ac:dyDescent="0.3">
      <c r="B37" s="59" t="s">
        <v>849</v>
      </c>
      <c r="C37" s="60" t="s">
        <v>850</v>
      </c>
      <c r="D37" s="60" t="s">
        <v>851</v>
      </c>
    </row>
    <row r="38" spans="2:4" ht="15" customHeight="1" x14ac:dyDescent="0.3">
      <c r="B38" s="59" t="s">
        <v>852</v>
      </c>
      <c r="C38" s="60" t="s">
        <v>853</v>
      </c>
      <c r="D38" s="60" t="s">
        <v>854</v>
      </c>
    </row>
    <row r="39" spans="2:4" ht="15" customHeight="1" x14ac:dyDescent="0.3">
      <c r="B39" s="59" t="s">
        <v>855</v>
      </c>
      <c r="C39" s="60" t="s">
        <v>856</v>
      </c>
      <c r="D39" s="60" t="s">
        <v>857</v>
      </c>
    </row>
    <row r="40" spans="2:4" ht="15" customHeight="1" x14ac:dyDescent="0.3">
      <c r="B40" s="59" t="s">
        <v>858</v>
      </c>
      <c r="C40" s="60" t="s">
        <v>859</v>
      </c>
      <c r="D40" s="60" t="s">
        <v>860</v>
      </c>
    </row>
    <row r="41" spans="2:4" ht="15" customHeight="1" x14ac:dyDescent="0.3">
      <c r="B41" s="59" t="s">
        <v>861</v>
      </c>
      <c r="C41" s="60" t="s">
        <v>862</v>
      </c>
      <c r="D41" s="60" t="s">
        <v>863</v>
      </c>
    </row>
    <row r="42" spans="2:4" ht="15" customHeight="1" x14ac:dyDescent="0.3">
      <c r="B42" s="59" t="s">
        <v>864</v>
      </c>
      <c r="C42" s="60" t="s">
        <v>865</v>
      </c>
      <c r="D42" s="60" t="s">
        <v>866</v>
      </c>
    </row>
    <row r="43" spans="2:4" ht="15" customHeight="1" x14ac:dyDescent="0.3">
      <c r="B43" s="59" t="s">
        <v>867</v>
      </c>
      <c r="C43" s="60" t="s">
        <v>868</v>
      </c>
      <c r="D43" s="60" t="s">
        <v>869</v>
      </c>
    </row>
    <row r="44" spans="2:4" ht="15" customHeight="1" x14ac:dyDescent="0.3">
      <c r="B44" s="59" t="s">
        <v>870</v>
      </c>
      <c r="C44" s="60" t="s">
        <v>871</v>
      </c>
      <c r="D44" s="60" t="s">
        <v>872</v>
      </c>
    </row>
    <row r="45" spans="2:4" ht="15" customHeight="1" x14ac:dyDescent="0.3">
      <c r="B45" s="59" t="s">
        <v>873</v>
      </c>
      <c r="C45" s="60" t="s">
        <v>874</v>
      </c>
      <c r="D45" s="60" t="s">
        <v>875</v>
      </c>
    </row>
    <row r="46" spans="2:4" ht="15" customHeight="1" x14ac:dyDescent="0.3">
      <c r="B46" s="59" t="s">
        <v>876</v>
      </c>
      <c r="C46" s="60" t="s">
        <v>877</v>
      </c>
      <c r="D46" s="60" t="s">
        <v>878</v>
      </c>
    </row>
    <row r="47" spans="2:4" ht="15" customHeight="1" x14ac:dyDescent="0.3">
      <c r="B47" s="59" t="s">
        <v>879</v>
      </c>
      <c r="C47" s="60" t="s">
        <v>784</v>
      </c>
      <c r="D47" s="60" t="s">
        <v>785</v>
      </c>
    </row>
    <row r="48" spans="2:4" ht="15" customHeight="1" x14ac:dyDescent="0.3">
      <c r="B48" s="59" t="s">
        <v>880</v>
      </c>
      <c r="C48" s="60" t="s">
        <v>790</v>
      </c>
      <c r="D48" s="60" t="s">
        <v>791</v>
      </c>
    </row>
    <row r="49" spans="2:4" ht="15" customHeight="1" x14ac:dyDescent="0.3">
      <c r="B49" s="59" t="s">
        <v>881</v>
      </c>
      <c r="C49" s="60" t="s">
        <v>882</v>
      </c>
      <c r="D49" s="60" t="s">
        <v>883</v>
      </c>
    </row>
    <row r="50" spans="2:4" ht="15" customHeight="1" x14ac:dyDescent="0.3">
      <c r="B50" s="59" t="s">
        <v>884</v>
      </c>
      <c r="C50" s="60" t="s">
        <v>802</v>
      </c>
      <c r="D50" s="60" t="s">
        <v>803</v>
      </c>
    </row>
    <row r="51" spans="2:4" ht="15" customHeight="1" x14ac:dyDescent="0.3">
      <c r="B51" s="59" t="s">
        <v>885</v>
      </c>
      <c r="C51" s="60" t="s">
        <v>808</v>
      </c>
      <c r="D51" s="60" t="s">
        <v>809</v>
      </c>
    </row>
    <row r="52" spans="2:4" ht="15" customHeight="1" x14ac:dyDescent="0.3">
      <c r="B52" s="59" t="s">
        <v>886</v>
      </c>
      <c r="C52" s="60" t="s">
        <v>814</v>
      </c>
      <c r="D52" s="60" t="s">
        <v>815</v>
      </c>
    </row>
    <row r="53" spans="2:4" ht="15" customHeight="1" x14ac:dyDescent="0.3">
      <c r="B53" s="59" t="s">
        <v>887</v>
      </c>
      <c r="C53" s="60" t="s">
        <v>820</v>
      </c>
      <c r="D53" s="60" t="s">
        <v>821</v>
      </c>
    </row>
    <row r="54" spans="2:4" ht="15" customHeight="1" x14ac:dyDescent="0.3">
      <c r="B54" s="59" t="s">
        <v>888</v>
      </c>
      <c r="C54" s="60" t="s">
        <v>889</v>
      </c>
      <c r="D54" s="60" t="s">
        <v>827</v>
      </c>
    </row>
    <row r="55" spans="2:4" ht="15" customHeight="1" x14ac:dyDescent="0.3">
      <c r="B55" s="59" t="s">
        <v>890</v>
      </c>
      <c r="C55" s="60" t="s">
        <v>891</v>
      </c>
      <c r="D55" s="60" t="s">
        <v>892</v>
      </c>
    </row>
    <row r="56" spans="2:4" ht="15" customHeight="1" x14ac:dyDescent="0.3">
      <c r="B56" s="59" t="s">
        <v>893</v>
      </c>
      <c r="C56" s="60" t="s">
        <v>838</v>
      </c>
      <c r="D56" s="60" t="s">
        <v>839</v>
      </c>
    </row>
    <row r="57" spans="2:4" ht="15" customHeight="1" x14ac:dyDescent="0.3">
      <c r="B57" s="59" t="s">
        <v>894</v>
      </c>
      <c r="C57" s="60" t="s">
        <v>844</v>
      </c>
      <c r="D57" s="60" t="s">
        <v>845</v>
      </c>
    </row>
    <row r="58" spans="2:4" ht="15" customHeight="1" x14ac:dyDescent="0.3">
      <c r="B58" s="59" t="s">
        <v>895</v>
      </c>
      <c r="C58" s="60" t="s">
        <v>850</v>
      </c>
      <c r="D58" s="60" t="s">
        <v>851</v>
      </c>
    </row>
    <row r="59" spans="2:4" ht="15" customHeight="1" x14ac:dyDescent="0.3">
      <c r="B59" s="59" t="s">
        <v>896</v>
      </c>
      <c r="C59" s="60" t="s">
        <v>856</v>
      </c>
      <c r="D59" s="60" t="s">
        <v>857</v>
      </c>
    </row>
    <row r="60" spans="2:4" ht="15" customHeight="1" x14ac:dyDescent="0.3">
      <c r="B60" s="59" t="s">
        <v>897</v>
      </c>
      <c r="C60" s="60" t="s">
        <v>862</v>
      </c>
      <c r="D60" s="60" t="s">
        <v>863</v>
      </c>
    </row>
    <row r="61" spans="2:4" ht="15" customHeight="1" x14ac:dyDescent="0.3">
      <c r="B61" s="59" t="s">
        <v>898</v>
      </c>
      <c r="C61" s="60" t="s">
        <v>899</v>
      </c>
      <c r="D61" s="60" t="s">
        <v>900</v>
      </c>
    </row>
    <row r="62" spans="2:4" ht="15" customHeight="1" x14ac:dyDescent="0.3">
      <c r="B62" s="59" t="s">
        <v>901</v>
      </c>
      <c r="C62" s="60" t="s">
        <v>902</v>
      </c>
      <c r="D62" s="60" t="s">
        <v>903</v>
      </c>
    </row>
    <row r="63" spans="2:4" ht="15" customHeight="1" x14ac:dyDescent="0.3">
      <c r="B63" s="59" t="s">
        <v>904</v>
      </c>
      <c r="C63" s="60" t="s">
        <v>905</v>
      </c>
      <c r="D63" s="60" t="s">
        <v>906</v>
      </c>
    </row>
    <row r="64" spans="2:4" ht="15" customHeight="1" x14ac:dyDescent="0.3">
      <c r="B64" s="59" t="s">
        <v>907</v>
      </c>
      <c r="C64" s="60" t="s">
        <v>908</v>
      </c>
      <c r="D64" s="60" t="s">
        <v>909</v>
      </c>
    </row>
    <row r="65" spans="2:4" ht="15" customHeight="1" x14ac:dyDescent="0.3">
      <c r="B65" s="59" t="s">
        <v>910</v>
      </c>
      <c r="C65" s="60" t="s">
        <v>911</v>
      </c>
      <c r="D65" s="60" t="s">
        <v>912</v>
      </c>
    </row>
    <row r="66" spans="2:4" ht="15" customHeight="1" x14ac:dyDescent="0.3">
      <c r="B66" s="59" t="s">
        <v>913</v>
      </c>
      <c r="C66" s="60" t="s">
        <v>914</v>
      </c>
      <c r="D66" s="60" t="s">
        <v>914</v>
      </c>
    </row>
    <row r="67" spans="2:4" ht="15" customHeight="1" x14ac:dyDescent="0.3">
      <c r="B67" s="59" t="s">
        <v>915</v>
      </c>
      <c r="C67" s="60" t="s">
        <v>916</v>
      </c>
      <c r="D67" s="60" t="s">
        <v>917</v>
      </c>
    </row>
    <row r="68" spans="2:4" ht="15" customHeight="1" x14ac:dyDescent="0.3">
      <c r="B68" s="59" t="s">
        <v>918</v>
      </c>
      <c r="C68" s="60" t="s">
        <v>919</v>
      </c>
      <c r="D68" s="60" t="s">
        <v>920</v>
      </c>
    </row>
    <row r="69" spans="2:4" ht="15" customHeight="1" x14ac:dyDescent="0.3">
      <c r="B69" s="59" t="s">
        <v>921</v>
      </c>
      <c r="C69" s="60" t="s">
        <v>922</v>
      </c>
      <c r="D69" s="60" t="s">
        <v>923</v>
      </c>
    </row>
    <row r="70" spans="2:4" ht="15" customHeight="1" x14ac:dyDescent="0.3">
      <c r="B70" s="59" t="s">
        <v>924</v>
      </c>
      <c r="C70" s="60" t="s">
        <v>925</v>
      </c>
      <c r="D70" s="60" t="s">
        <v>926</v>
      </c>
    </row>
    <row r="71" spans="2:4" ht="15" customHeight="1" x14ac:dyDescent="0.3">
      <c r="B71" s="59" t="s">
        <v>927</v>
      </c>
      <c r="C71" s="60" t="s">
        <v>928</v>
      </c>
      <c r="D71" s="60" t="s">
        <v>929</v>
      </c>
    </row>
    <row r="72" spans="2:4" ht="15" customHeight="1" x14ac:dyDescent="0.3">
      <c r="B72" s="59" t="s">
        <v>930</v>
      </c>
      <c r="C72" s="60" t="s">
        <v>931</v>
      </c>
      <c r="D72" s="60" t="s">
        <v>932</v>
      </c>
    </row>
    <row r="73" spans="2:4" ht="15" customHeight="1" x14ac:dyDescent="0.3">
      <c r="B73" s="59" t="s">
        <v>933</v>
      </c>
      <c r="C73" s="60" t="s">
        <v>934</v>
      </c>
      <c r="D73" s="60" t="s">
        <v>935</v>
      </c>
    </row>
    <row r="74" spans="2:4" ht="15" customHeight="1" x14ac:dyDescent="0.3">
      <c r="B74" s="59" t="s">
        <v>936</v>
      </c>
      <c r="C74" s="60" t="s">
        <v>937</v>
      </c>
      <c r="D74" s="60" t="s">
        <v>938</v>
      </c>
    </row>
    <row r="75" spans="2:4" ht="15" customHeight="1" x14ac:dyDescent="0.3">
      <c r="B75" s="59" t="s">
        <v>939</v>
      </c>
      <c r="C75" s="60" t="s">
        <v>940</v>
      </c>
      <c r="D75" s="60" t="s">
        <v>941</v>
      </c>
    </row>
    <row r="76" spans="2:4" ht="15" customHeight="1" x14ac:dyDescent="0.3">
      <c r="B76" s="59" t="s">
        <v>942</v>
      </c>
      <c r="C76" s="60" t="s">
        <v>943</v>
      </c>
      <c r="D76" s="60" t="s">
        <v>944</v>
      </c>
    </row>
    <row r="77" spans="2:4" ht="15" customHeight="1" x14ac:dyDescent="0.3">
      <c r="B77" s="59" t="s">
        <v>945</v>
      </c>
      <c r="C77" s="60" t="s">
        <v>946</v>
      </c>
      <c r="D77" s="60" t="s">
        <v>947</v>
      </c>
    </row>
    <row r="78" spans="2:4" ht="15" customHeight="1" x14ac:dyDescent="0.3">
      <c r="B78" s="59" t="s">
        <v>948</v>
      </c>
      <c r="C78" s="60" t="s">
        <v>949</v>
      </c>
      <c r="D78" s="60" t="s">
        <v>950</v>
      </c>
    </row>
    <row r="79" spans="2:4" ht="15" customHeight="1" x14ac:dyDescent="0.3">
      <c r="B79" s="59" t="s">
        <v>951</v>
      </c>
      <c r="C79" s="60" t="s">
        <v>952</v>
      </c>
      <c r="D79" s="60" t="s">
        <v>953</v>
      </c>
    </row>
    <row r="80" spans="2:4" ht="15" customHeight="1" x14ac:dyDescent="0.3">
      <c r="B80" s="59" t="s">
        <v>954</v>
      </c>
      <c r="C80" s="60" t="s">
        <v>955</v>
      </c>
      <c r="D80" s="60" t="s">
        <v>956</v>
      </c>
    </row>
    <row r="81" spans="2:4" ht="15" customHeight="1" x14ac:dyDescent="0.3">
      <c r="B81" s="59" t="s">
        <v>957</v>
      </c>
      <c r="C81" s="60" t="s">
        <v>958</v>
      </c>
      <c r="D81" s="60" t="s">
        <v>959</v>
      </c>
    </row>
    <row r="82" spans="2:4" ht="15" customHeight="1" x14ac:dyDescent="0.3">
      <c r="B82" s="59" t="s">
        <v>960</v>
      </c>
      <c r="C82" s="60" t="s">
        <v>961</v>
      </c>
      <c r="D82" s="60" t="s">
        <v>962</v>
      </c>
    </row>
    <row r="83" spans="2:4" ht="15" customHeight="1" x14ac:dyDescent="0.3">
      <c r="B83" s="59" t="s">
        <v>963</v>
      </c>
      <c r="C83" s="60" t="s">
        <v>916</v>
      </c>
      <c r="D83" s="60" t="s">
        <v>917</v>
      </c>
    </row>
    <row r="84" spans="2:4" ht="15" customHeight="1" x14ac:dyDescent="0.3">
      <c r="B84" s="59" t="s">
        <v>964</v>
      </c>
      <c r="C84" s="60" t="s">
        <v>965</v>
      </c>
      <c r="D84" s="60" t="s">
        <v>966</v>
      </c>
    </row>
    <row r="85" spans="2:4" ht="15" customHeight="1" x14ac:dyDescent="0.3">
      <c r="B85" s="59" t="s">
        <v>967</v>
      </c>
      <c r="C85" s="60" t="s">
        <v>968</v>
      </c>
      <c r="D85" s="60" t="s">
        <v>969</v>
      </c>
    </row>
    <row r="86" spans="2:4" ht="15" customHeight="1" x14ac:dyDescent="0.3">
      <c r="B86" s="59" t="s">
        <v>970</v>
      </c>
      <c r="C86" s="60" t="s">
        <v>971</v>
      </c>
      <c r="D86" s="60" t="s">
        <v>972</v>
      </c>
    </row>
    <row r="87" spans="2:4" ht="15" customHeight="1" x14ac:dyDescent="0.3">
      <c r="B87" s="59" t="s">
        <v>973</v>
      </c>
      <c r="C87" s="60" t="s">
        <v>974</v>
      </c>
      <c r="D87" s="60" t="s">
        <v>975</v>
      </c>
    </row>
    <row r="88" spans="2:4" ht="15" customHeight="1" x14ac:dyDescent="0.3">
      <c r="B88" s="59" t="s">
        <v>976</v>
      </c>
      <c r="C88" s="60" t="s">
        <v>977</v>
      </c>
      <c r="D88" s="60" t="s">
        <v>941</v>
      </c>
    </row>
    <row r="89" spans="2:4" ht="15" customHeight="1" x14ac:dyDescent="0.3">
      <c r="B89" s="59" t="s">
        <v>978</v>
      </c>
      <c r="C89" s="60" t="s">
        <v>979</v>
      </c>
      <c r="D89" s="60" t="s">
        <v>980</v>
      </c>
    </row>
    <row r="90" spans="2:4" ht="15" customHeight="1" x14ac:dyDescent="0.3">
      <c r="B90" s="59" t="s">
        <v>981</v>
      </c>
      <c r="C90" s="60" t="s">
        <v>982</v>
      </c>
      <c r="D90" s="60" t="s">
        <v>983</v>
      </c>
    </row>
    <row r="91" spans="2:4" ht="15" customHeight="1" x14ac:dyDescent="0.3">
      <c r="B91" s="59" t="s">
        <v>984</v>
      </c>
      <c r="C91" s="60" t="s">
        <v>985</v>
      </c>
      <c r="D91" s="60" t="s">
        <v>986</v>
      </c>
    </row>
    <row r="92" spans="2:4" ht="15" customHeight="1" x14ac:dyDescent="0.3">
      <c r="B92" s="59" t="s">
        <v>987</v>
      </c>
      <c r="C92" s="60" t="s">
        <v>988</v>
      </c>
      <c r="D92" s="60" t="s">
        <v>989</v>
      </c>
    </row>
    <row r="93" spans="2:4" ht="15" customHeight="1" x14ac:dyDescent="0.3">
      <c r="B93" s="59" t="s">
        <v>990</v>
      </c>
      <c r="C93" s="60" t="s">
        <v>991</v>
      </c>
      <c r="D93" s="60" t="s">
        <v>992</v>
      </c>
    </row>
    <row r="94" spans="2:4" ht="15" customHeight="1" x14ac:dyDescent="0.3">
      <c r="B94" s="59" t="s">
        <v>993</v>
      </c>
      <c r="C94" s="60" t="s">
        <v>994</v>
      </c>
      <c r="D94" s="60" t="s">
        <v>995</v>
      </c>
    </row>
    <row r="95" spans="2:4" ht="15" customHeight="1" x14ac:dyDescent="0.3">
      <c r="B95" s="59" t="s">
        <v>996</v>
      </c>
      <c r="C95" s="60" t="s">
        <v>997</v>
      </c>
      <c r="D95" s="60" t="s">
        <v>998</v>
      </c>
    </row>
    <row r="96" spans="2:4" ht="15" customHeight="1" x14ac:dyDescent="0.3">
      <c r="B96" s="59" t="s">
        <v>999</v>
      </c>
      <c r="C96" s="60" t="s">
        <v>1000</v>
      </c>
      <c r="D96" s="60" t="s">
        <v>1001</v>
      </c>
    </row>
    <row r="97" spans="2:4" ht="15" customHeight="1" x14ac:dyDescent="0.3">
      <c r="B97" s="59" t="s">
        <v>1002</v>
      </c>
      <c r="C97" s="60" t="s">
        <v>1003</v>
      </c>
      <c r="D97" s="60" t="s">
        <v>1004</v>
      </c>
    </row>
    <row r="98" spans="2:4" ht="15" customHeight="1" x14ac:dyDescent="0.3">
      <c r="B98" s="59" t="s">
        <v>1005</v>
      </c>
      <c r="C98" s="60" t="s">
        <v>1006</v>
      </c>
      <c r="D98" s="60" t="s">
        <v>1007</v>
      </c>
    </row>
    <row r="99" spans="2:4" ht="15" customHeight="1" x14ac:dyDescent="0.3">
      <c r="B99" s="59" t="s">
        <v>1008</v>
      </c>
      <c r="C99" s="60" t="s">
        <v>1009</v>
      </c>
      <c r="D99" s="60" t="s">
        <v>1010</v>
      </c>
    </row>
    <row r="100" spans="2:4" ht="15" customHeight="1" x14ac:dyDescent="0.3">
      <c r="B100" s="59" t="s">
        <v>1011</v>
      </c>
      <c r="C100" s="60" t="s">
        <v>1012</v>
      </c>
      <c r="D100" s="60" t="s">
        <v>1013</v>
      </c>
    </row>
    <row r="101" spans="2:4" ht="15" customHeight="1" x14ac:dyDescent="0.3">
      <c r="B101" s="59" t="s">
        <v>1014</v>
      </c>
      <c r="C101" s="60" t="s">
        <v>1015</v>
      </c>
      <c r="D101" s="60" t="s">
        <v>1016</v>
      </c>
    </row>
    <row r="102" spans="2:4" ht="15" customHeight="1" x14ac:dyDescent="0.3">
      <c r="B102" s="59" t="s">
        <v>1017</v>
      </c>
      <c r="C102" s="60" t="s">
        <v>1018</v>
      </c>
      <c r="D102" s="60" t="s">
        <v>1019</v>
      </c>
    </row>
    <row r="103" spans="2:4" ht="15" customHeight="1" x14ac:dyDescent="0.3">
      <c r="B103" s="59" t="s">
        <v>1020</v>
      </c>
      <c r="C103" s="60" t="s">
        <v>1021</v>
      </c>
      <c r="D103" s="60" t="s">
        <v>1022</v>
      </c>
    </row>
    <row r="104" spans="2:4" ht="15" customHeight="1" x14ac:dyDescent="0.3">
      <c r="B104" s="59" t="s">
        <v>1023</v>
      </c>
      <c r="C104" s="60" t="s">
        <v>1024</v>
      </c>
      <c r="D104" s="60" t="s">
        <v>1025</v>
      </c>
    </row>
    <row r="105" spans="2:4" ht="15" customHeight="1" x14ac:dyDescent="0.3">
      <c r="B105" s="59" t="s">
        <v>1026</v>
      </c>
      <c r="C105" s="60" t="s">
        <v>1027</v>
      </c>
      <c r="D105" s="60" t="s">
        <v>1028</v>
      </c>
    </row>
    <row r="106" spans="2:4" ht="15" customHeight="1" x14ac:dyDescent="0.3">
      <c r="B106" s="59" t="s">
        <v>1029</v>
      </c>
      <c r="C106" s="60" t="s">
        <v>1030</v>
      </c>
      <c r="D106" s="60" t="s">
        <v>1031</v>
      </c>
    </row>
    <row r="107" spans="2:4" ht="15" customHeight="1" x14ac:dyDescent="0.3">
      <c r="B107" s="59" t="s">
        <v>1032</v>
      </c>
      <c r="C107" s="60" t="s">
        <v>1033</v>
      </c>
      <c r="D107" s="60" t="s">
        <v>1034</v>
      </c>
    </row>
    <row r="108" spans="2:4" ht="15" customHeight="1" x14ac:dyDescent="0.3">
      <c r="B108" s="59" t="s">
        <v>1035</v>
      </c>
      <c r="C108" s="60" t="s">
        <v>1036</v>
      </c>
      <c r="D108" s="60" t="s">
        <v>1037</v>
      </c>
    </row>
    <row r="109" spans="2:4" ht="15" customHeight="1" x14ac:dyDescent="0.3">
      <c r="B109" s="59" t="s">
        <v>1038</v>
      </c>
      <c r="C109" s="60" t="s">
        <v>1039</v>
      </c>
      <c r="D109" s="60" t="s">
        <v>1040</v>
      </c>
    </row>
    <row r="110" spans="2:4" ht="15" customHeight="1" x14ac:dyDescent="0.3">
      <c r="B110" s="59" t="s">
        <v>1041</v>
      </c>
      <c r="C110" s="60" t="s">
        <v>1042</v>
      </c>
      <c r="D110" s="60" t="s">
        <v>1043</v>
      </c>
    </row>
    <row r="111" spans="2:4" ht="15" customHeight="1" x14ac:dyDescent="0.3">
      <c r="B111" s="59" t="s">
        <v>1044</v>
      </c>
      <c r="C111" s="60" t="s">
        <v>1045</v>
      </c>
      <c r="D111" s="60" t="s">
        <v>1046</v>
      </c>
    </row>
    <row r="112" spans="2:4" ht="15" customHeight="1" x14ac:dyDescent="0.3">
      <c r="B112" s="59" t="s">
        <v>1047</v>
      </c>
      <c r="C112" s="60" t="s">
        <v>1048</v>
      </c>
      <c r="D112" s="60" t="s">
        <v>1049</v>
      </c>
    </row>
    <row r="113" spans="2:4" ht="15" customHeight="1" x14ac:dyDescent="0.3">
      <c r="B113" s="59" t="s">
        <v>1050</v>
      </c>
      <c r="C113" s="60" t="s">
        <v>1051</v>
      </c>
      <c r="D113" s="60" t="s">
        <v>1052</v>
      </c>
    </row>
    <row r="114" spans="2:4" ht="15" customHeight="1" x14ac:dyDescent="0.3">
      <c r="B114" s="59" t="s">
        <v>1053</v>
      </c>
      <c r="C114" s="60" t="s">
        <v>1054</v>
      </c>
      <c r="D114" s="60" t="s">
        <v>1055</v>
      </c>
    </row>
    <row r="115" spans="2:4" ht="15" customHeight="1" x14ac:dyDescent="0.3">
      <c r="B115" s="59" t="s">
        <v>1056</v>
      </c>
      <c r="C115" s="60" t="s">
        <v>1057</v>
      </c>
      <c r="D115" s="60" t="s">
        <v>1058</v>
      </c>
    </row>
    <row r="116" spans="2:4" ht="15" customHeight="1" x14ac:dyDescent="0.3">
      <c r="B116" s="59" t="s">
        <v>1059</v>
      </c>
      <c r="C116" s="60" t="s">
        <v>1060</v>
      </c>
      <c r="D116" s="60" t="s">
        <v>1061</v>
      </c>
    </row>
    <row r="117" spans="2:4" ht="15" customHeight="1" x14ac:dyDescent="0.3">
      <c r="B117" s="59" t="s">
        <v>1062</v>
      </c>
      <c r="C117" s="60" t="s">
        <v>1063</v>
      </c>
      <c r="D117" s="60" t="s">
        <v>1064</v>
      </c>
    </row>
    <row r="118" spans="2:4" ht="15" customHeight="1" x14ac:dyDescent="0.3">
      <c r="B118" s="59" t="s">
        <v>1065</v>
      </c>
      <c r="C118" s="60" t="s">
        <v>1066</v>
      </c>
      <c r="D118" s="60" t="s">
        <v>1067</v>
      </c>
    </row>
    <row r="119" spans="2:4" ht="15" customHeight="1" x14ac:dyDescent="0.3">
      <c r="B119" s="59" t="s">
        <v>1068</v>
      </c>
      <c r="C119" s="60" t="s">
        <v>1069</v>
      </c>
      <c r="D119" s="60" t="s">
        <v>1070</v>
      </c>
    </row>
    <row r="120" spans="2:4" ht="15" customHeight="1" x14ac:dyDescent="0.3">
      <c r="B120" s="59" t="s">
        <v>1071</v>
      </c>
      <c r="C120" s="60" t="s">
        <v>1072</v>
      </c>
      <c r="D120" s="60" t="s">
        <v>1073</v>
      </c>
    </row>
    <row r="121" spans="2:4" ht="15" customHeight="1" x14ac:dyDescent="0.3">
      <c r="B121" s="59" t="s">
        <v>1074</v>
      </c>
      <c r="C121" s="60" t="s">
        <v>1075</v>
      </c>
      <c r="D121" s="60" t="s">
        <v>1076</v>
      </c>
    </row>
    <row r="122" spans="2:4" ht="15" customHeight="1" x14ac:dyDescent="0.3">
      <c r="B122" s="59" t="s">
        <v>1077</v>
      </c>
      <c r="C122" s="60" t="s">
        <v>1078</v>
      </c>
      <c r="D122" s="60" t="s">
        <v>1079</v>
      </c>
    </row>
    <row r="123" spans="2:4" ht="15" customHeight="1" x14ac:dyDescent="0.3">
      <c r="B123" s="59" t="s">
        <v>1080</v>
      </c>
      <c r="C123" s="60" t="s">
        <v>1081</v>
      </c>
      <c r="D123" s="60" t="s">
        <v>1082</v>
      </c>
    </row>
    <row r="124" spans="2:4" ht="15" customHeight="1" x14ac:dyDescent="0.3">
      <c r="B124" s="59" t="s">
        <v>1083</v>
      </c>
      <c r="C124" s="60" t="s">
        <v>1084</v>
      </c>
      <c r="D124" s="60" t="s">
        <v>1085</v>
      </c>
    </row>
    <row r="125" spans="2:4" ht="15" customHeight="1" x14ac:dyDescent="0.3">
      <c r="B125" s="59" t="s">
        <v>1086</v>
      </c>
      <c r="C125" s="60" t="s">
        <v>1087</v>
      </c>
      <c r="D125" s="60" t="s">
        <v>1088</v>
      </c>
    </row>
    <row r="126" spans="2:4" ht="15" customHeight="1" x14ac:dyDescent="0.3">
      <c r="B126" s="59" t="s">
        <v>1089</v>
      </c>
      <c r="C126" s="60" t="s">
        <v>1090</v>
      </c>
      <c r="D126" s="60" t="s">
        <v>1091</v>
      </c>
    </row>
    <row r="127" spans="2:4" ht="15" customHeight="1" x14ac:dyDescent="0.3">
      <c r="B127" s="59" t="s">
        <v>1092</v>
      </c>
      <c r="C127" s="60" t="s">
        <v>1093</v>
      </c>
      <c r="D127" s="60" t="s">
        <v>1094</v>
      </c>
    </row>
    <row r="128" spans="2:4" ht="15" customHeight="1" x14ac:dyDescent="0.3">
      <c r="B128" s="59" t="s">
        <v>1095</v>
      </c>
      <c r="C128" s="60" t="s">
        <v>1096</v>
      </c>
      <c r="D128" s="60" t="s">
        <v>1097</v>
      </c>
    </row>
    <row r="129" spans="2:4" ht="15" customHeight="1" x14ac:dyDescent="0.3">
      <c r="B129" s="59" t="s">
        <v>1098</v>
      </c>
      <c r="C129" s="60" t="s">
        <v>1099</v>
      </c>
      <c r="D129" s="60" t="s">
        <v>1100</v>
      </c>
    </row>
    <row r="130" spans="2:4" ht="15" customHeight="1" x14ac:dyDescent="0.3">
      <c r="B130" s="59" t="s">
        <v>1101</v>
      </c>
      <c r="C130" s="60" t="s">
        <v>1102</v>
      </c>
      <c r="D130" s="60" t="s">
        <v>1103</v>
      </c>
    </row>
    <row r="131" spans="2:4" ht="15" customHeight="1" x14ac:dyDescent="0.3">
      <c r="B131" s="59" t="s">
        <v>1104</v>
      </c>
      <c r="C131" s="60" t="s">
        <v>1105</v>
      </c>
      <c r="D131" s="60" t="s">
        <v>1106</v>
      </c>
    </row>
    <row r="132" spans="2:4" ht="15" customHeight="1" x14ac:dyDescent="0.3">
      <c r="B132" s="59" t="s">
        <v>1107</v>
      </c>
      <c r="C132" s="60" t="s">
        <v>1108</v>
      </c>
      <c r="D132" s="60" t="s">
        <v>1109</v>
      </c>
    </row>
    <row r="133" spans="2:4" ht="15" customHeight="1" x14ac:dyDescent="0.3">
      <c r="B133" s="59" t="s">
        <v>1110</v>
      </c>
      <c r="C133" s="60" t="s">
        <v>991</v>
      </c>
      <c r="D133" s="60" t="s">
        <v>992</v>
      </c>
    </row>
    <row r="134" spans="2:4" ht="15" customHeight="1" x14ac:dyDescent="0.3">
      <c r="B134" s="59" t="s">
        <v>1111</v>
      </c>
      <c r="C134" s="60" t="s">
        <v>1112</v>
      </c>
      <c r="D134" s="60" t="s">
        <v>1113</v>
      </c>
    </row>
    <row r="135" spans="2:4" ht="15" customHeight="1" x14ac:dyDescent="0.3">
      <c r="B135" s="59" t="s">
        <v>1114</v>
      </c>
      <c r="C135" s="60" t="s">
        <v>1021</v>
      </c>
      <c r="D135" s="60" t="s">
        <v>1022</v>
      </c>
    </row>
    <row r="136" spans="2:4" ht="15" customHeight="1" x14ac:dyDescent="0.3">
      <c r="B136" s="59" t="s">
        <v>1115</v>
      </c>
      <c r="C136" s="60" t="s">
        <v>1116</v>
      </c>
      <c r="D136" s="60" t="s">
        <v>1117</v>
      </c>
    </row>
    <row r="137" spans="2:4" ht="15" customHeight="1" x14ac:dyDescent="0.3">
      <c r="B137" s="59" t="s">
        <v>1118</v>
      </c>
      <c r="C137" s="60" t="s">
        <v>1119</v>
      </c>
      <c r="D137" s="60" t="s">
        <v>1120</v>
      </c>
    </row>
    <row r="138" spans="2:4" ht="15" customHeight="1" x14ac:dyDescent="0.3">
      <c r="B138" s="59" t="s">
        <v>1121</v>
      </c>
      <c r="C138" s="60" t="s">
        <v>1122</v>
      </c>
      <c r="D138" s="60" t="s">
        <v>1123</v>
      </c>
    </row>
    <row r="139" spans="2:4" ht="15" customHeight="1" x14ac:dyDescent="0.3">
      <c r="B139" s="59" t="s">
        <v>1124</v>
      </c>
      <c r="C139" s="60" t="s">
        <v>1125</v>
      </c>
      <c r="D139" s="60" t="s">
        <v>1126</v>
      </c>
    </row>
    <row r="140" spans="2:4" ht="15" customHeight="1" x14ac:dyDescent="0.3">
      <c r="B140" s="59" t="s">
        <v>1127</v>
      </c>
      <c r="C140" s="60" t="s">
        <v>1128</v>
      </c>
      <c r="D140" s="60" t="s">
        <v>1129</v>
      </c>
    </row>
    <row r="141" spans="2:4" ht="15" customHeight="1" x14ac:dyDescent="0.3">
      <c r="B141" s="59" t="s">
        <v>1130</v>
      </c>
      <c r="C141" s="60" t="s">
        <v>1131</v>
      </c>
      <c r="D141" s="60" t="s">
        <v>1132</v>
      </c>
    </row>
    <row r="142" spans="2:4" ht="15" customHeight="1" x14ac:dyDescent="0.3">
      <c r="B142" s="59" t="s">
        <v>1133</v>
      </c>
      <c r="C142" s="60" t="s">
        <v>1134</v>
      </c>
      <c r="D142" s="60" t="s">
        <v>1135</v>
      </c>
    </row>
    <row r="143" spans="2:4" ht="15" customHeight="1" x14ac:dyDescent="0.3">
      <c r="B143" s="59" t="s">
        <v>1136</v>
      </c>
      <c r="C143" s="60" t="s">
        <v>1137</v>
      </c>
      <c r="D143" s="60" t="s">
        <v>1138</v>
      </c>
    </row>
    <row r="144" spans="2:4" ht="15" customHeight="1" x14ac:dyDescent="0.3">
      <c r="B144" s="59" t="s">
        <v>1139</v>
      </c>
      <c r="C144" s="60" t="s">
        <v>1140</v>
      </c>
      <c r="D144" s="60" t="s">
        <v>1141</v>
      </c>
    </row>
    <row r="145" spans="2:4" ht="15" customHeight="1" x14ac:dyDescent="0.3">
      <c r="B145" s="59" t="s">
        <v>1142</v>
      </c>
      <c r="C145" s="60" t="s">
        <v>1143</v>
      </c>
      <c r="D145" s="60" t="s">
        <v>1144</v>
      </c>
    </row>
    <row r="146" spans="2:4" ht="15" customHeight="1" x14ac:dyDescent="0.3">
      <c r="B146" s="59" t="s">
        <v>1145</v>
      </c>
      <c r="C146" s="60" t="s">
        <v>1146</v>
      </c>
      <c r="D146" s="60" t="s">
        <v>1147</v>
      </c>
    </row>
    <row r="147" spans="2:4" ht="15" customHeight="1" x14ac:dyDescent="0.3">
      <c r="B147" s="59" t="s">
        <v>1148</v>
      </c>
      <c r="C147" s="60" t="s">
        <v>1149</v>
      </c>
      <c r="D147" s="60" t="s">
        <v>1150</v>
      </c>
    </row>
    <row r="148" spans="2:4" ht="15" customHeight="1" x14ac:dyDescent="0.3">
      <c r="B148" s="59" t="s">
        <v>1151</v>
      </c>
      <c r="C148" s="60" t="s">
        <v>1152</v>
      </c>
      <c r="D148" s="60" t="s">
        <v>1153</v>
      </c>
    </row>
    <row r="149" spans="2:4" ht="15" customHeight="1" x14ac:dyDescent="0.3">
      <c r="B149" s="59" t="s">
        <v>1154</v>
      </c>
      <c r="C149" s="60" t="s">
        <v>937</v>
      </c>
      <c r="D149" s="60" t="s">
        <v>938</v>
      </c>
    </row>
    <row r="150" spans="2:4" ht="15" customHeight="1" x14ac:dyDescent="0.3">
      <c r="B150" s="59" t="s">
        <v>1155</v>
      </c>
      <c r="C150" s="60" t="s">
        <v>1156</v>
      </c>
      <c r="D150" s="60" t="s">
        <v>1157</v>
      </c>
    </row>
    <row r="151" spans="2:4" ht="15" customHeight="1" x14ac:dyDescent="0.3">
      <c r="B151" s="59" t="s">
        <v>1158</v>
      </c>
      <c r="C151" s="60" t="s">
        <v>1159</v>
      </c>
      <c r="D151" s="60" t="s">
        <v>1160</v>
      </c>
    </row>
    <row r="152" spans="2:4" ht="15" customHeight="1" x14ac:dyDescent="0.3">
      <c r="B152" s="59" t="s">
        <v>1161</v>
      </c>
      <c r="C152" s="60" t="s">
        <v>1162</v>
      </c>
      <c r="D152" s="60" t="s">
        <v>1163</v>
      </c>
    </row>
    <row r="153" spans="2:4" ht="15" customHeight="1" x14ac:dyDescent="0.3">
      <c r="B153" s="59" t="s">
        <v>1164</v>
      </c>
      <c r="C153" s="60" t="s">
        <v>940</v>
      </c>
      <c r="D153" s="60" t="s">
        <v>1165</v>
      </c>
    </row>
    <row r="154" spans="2:4" ht="15" customHeight="1" x14ac:dyDescent="0.3">
      <c r="B154" s="59" t="s">
        <v>1166</v>
      </c>
      <c r="C154" s="60" t="s">
        <v>1167</v>
      </c>
      <c r="D154" s="60" t="s">
        <v>1168</v>
      </c>
    </row>
    <row r="155" spans="2:4" ht="15" customHeight="1" x14ac:dyDescent="0.3">
      <c r="B155" s="59" t="s">
        <v>1169</v>
      </c>
      <c r="C155" s="60" t="s">
        <v>1170</v>
      </c>
      <c r="D155" s="60" t="s">
        <v>1171</v>
      </c>
    </row>
    <row r="156" spans="2:4" ht="15" customHeight="1" x14ac:dyDescent="0.3">
      <c r="B156" s="59" t="s">
        <v>1172</v>
      </c>
      <c r="C156" s="60" t="s">
        <v>1173</v>
      </c>
      <c r="D156" s="60" t="s">
        <v>1174</v>
      </c>
    </row>
    <row r="157" spans="2:4" ht="15" customHeight="1" x14ac:dyDescent="0.3">
      <c r="B157" s="59" t="s">
        <v>1175</v>
      </c>
      <c r="C157" s="60" t="s">
        <v>1176</v>
      </c>
      <c r="D157" s="60" t="s">
        <v>1177</v>
      </c>
    </row>
    <row r="158" spans="2:4" ht="15" customHeight="1" x14ac:dyDescent="0.3">
      <c r="B158" s="59" t="s">
        <v>1178</v>
      </c>
      <c r="C158" s="60" t="s">
        <v>1179</v>
      </c>
      <c r="D158" s="60" t="s">
        <v>980</v>
      </c>
    </row>
    <row r="159" spans="2:4" ht="15" customHeight="1" x14ac:dyDescent="0.3">
      <c r="B159" s="59" t="s">
        <v>1180</v>
      </c>
      <c r="C159" s="60" t="s">
        <v>1181</v>
      </c>
      <c r="D159" s="60" t="s">
        <v>1182</v>
      </c>
    </row>
    <row r="160" spans="2:4" ht="15" customHeight="1" x14ac:dyDescent="0.3">
      <c r="B160" s="59" t="s">
        <v>1183</v>
      </c>
      <c r="C160" s="60" t="s">
        <v>1184</v>
      </c>
      <c r="D160" s="60" t="s">
        <v>1185</v>
      </c>
    </row>
    <row r="161" spans="2:4" ht="15" customHeight="1" x14ac:dyDescent="0.3">
      <c r="B161" s="59" t="s">
        <v>1186</v>
      </c>
      <c r="C161" s="60" t="s">
        <v>1187</v>
      </c>
      <c r="D161" s="60" t="s">
        <v>1188</v>
      </c>
    </row>
    <row r="162" spans="2:4" ht="15" customHeight="1" x14ac:dyDescent="0.3">
      <c r="B162" s="59" t="s">
        <v>1189</v>
      </c>
      <c r="C162" s="60" t="s">
        <v>1190</v>
      </c>
      <c r="D162" s="60" t="s">
        <v>1191</v>
      </c>
    </row>
    <row r="163" spans="2:4" ht="15" customHeight="1" x14ac:dyDescent="0.3">
      <c r="B163" s="59" t="s">
        <v>1192</v>
      </c>
      <c r="C163" s="60" t="s">
        <v>1193</v>
      </c>
      <c r="D163" s="60" t="s">
        <v>1194</v>
      </c>
    </row>
    <row r="164" spans="2:4" ht="15" customHeight="1" x14ac:dyDescent="0.3">
      <c r="B164" s="59" t="s">
        <v>1195</v>
      </c>
      <c r="C164" s="60" t="s">
        <v>1196</v>
      </c>
      <c r="D164" s="60" t="s">
        <v>1197</v>
      </c>
    </row>
    <row r="165" spans="2:4" ht="15" customHeight="1" x14ac:dyDescent="0.3">
      <c r="B165" s="59" t="s">
        <v>1198</v>
      </c>
      <c r="C165" s="60" t="s">
        <v>1199</v>
      </c>
      <c r="D165" s="60" t="s">
        <v>1200</v>
      </c>
    </row>
    <row r="166" spans="2:4" ht="15" customHeight="1" x14ac:dyDescent="0.3">
      <c r="B166" s="59" t="s">
        <v>1201</v>
      </c>
      <c r="C166" s="60" t="s">
        <v>1202</v>
      </c>
      <c r="D166" s="60" t="s">
        <v>1203</v>
      </c>
    </row>
    <row r="167" spans="2:4" ht="15" customHeight="1" x14ac:dyDescent="0.3">
      <c r="B167" s="59" t="s">
        <v>1204</v>
      </c>
      <c r="C167" s="60" t="s">
        <v>1205</v>
      </c>
      <c r="D167" s="60" t="s">
        <v>1206</v>
      </c>
    </row>
    <row r="168" spans="2:4" ht="15" customHeight="1" x14ac:dyDescent="0.3">
      <c r="B168" s="59" t="s">
        <v>1207</v>
      </c>
      <c r="C168" s="60" t="s">
        <v>1208</v>
      </c>
      <c r="D168" s="60" t="s">
        <v>1209</v>
      </c>
    </row>
    <row r="169" spans="2:4" ht="15" customHeight="1" x14ac:dyDescent="0.3">
      <c r="B169" s="59" t="s">
        <v>1210</v>
      </c>
      <c r="C169" s="60" t="s">
        <v>1211</v>
      </c>
      <c r="D169" s="60" t="s">
        <v>1212</v>
      </c>
    </row>
    <row r="170" spans="2:4" ht="15" customHeight="1" x14ac:dyDescent="0.3">
      <c r="B170" s="59" t="s">
        <v>1213</v>
      </c>
      <c r="C170" s="60" t="s">
        <v>1214</v>
      </c>
      <c r="D170" s="60" t="s">
        <v>1215</v>
      </c>
    </row>
    <row r="171" spans="2:4" ht="15" customHeight="1" x14ac:dyDescent="0.3">
      <c r="B171" s="59" t="s">
        <v>1216</v>
      </c>
      <c r="C171" s="60" t="s">
        <v>1063</v>
      </c>
      <c r="D171" s="60" t="s">
        <v>1064</v>
      </c>
    </row>
    <row r="172" spans="2:4" ht="15" customHeight="1" x14ac:dyDescent="0.3">
      <c r="B172" s="59" t="s">
        <v>1217</v>
      </c>
      <c r="C172" s="60" t="s">
        <v>1218</v>
      </c>
      <c r="D172" s="60" t="s">
        <v>1219</v>
      </c>
    </row>
    <row r="173" spans="2:4" ht="15" customHeight="1" x14ac:dyDescent="0.3">
      <c r="B173" s="59" t="s">
        <v>1220</v>
      </c>
      <c r="C173" s="60" t="s">
        <v>1221</v>
      </c>
      <c r="D173" s="60" t="s">
        <v>1222</v>
      </c>
    </row>
    <row r="174" spans="2:4" ht="15" customHeight="1" x14ac:dyDescent="0.3">
      <c r="B174" s="59" t="s">
        <v>1223</v>
      </c>
      <c r="C174" s="60" t="s">
        <v>1224</v>
      </c>
      <c r="D174" s="60" t="s">
        <v>1225</v>
      </c>
    </row>
    <row r="175" spans="2:4" ht="15" customHeight="1" x14ac:dyDescent="0.3">
      <c r="B175" s="59" t="s">
        <v>1226</v>
      </c>
      <c r="C175" s="60" t="s">
        <v>1227</v>
      </c>
      <c r="D175" s="60" t="s">
        <v>1228</v>
      </c>
    </row>
    <row r="176" spans="2:4" ht="15" customHeight="1" x14ac:dyDescent="0.3">
      <c r="B176" s="59" t="s">
        <v>1229</v>
      </c>
      <c r="C176" s="60" t="s">
        <v>1230</v>
      </c>
      <c r="D176" s="60" t="s">
        <v>1231</v>
      </c>
    </row>
    <row r="177" spans="2:4" ht="15" customHeight="1" x14ac:dyDescent="0.3">
      <c r="B177" s="59" t="s">
        <v>1232</v>
      </c>
      <c r="C177" s="60" t="s">
        <v>1233</v>
      </c>
      <c r="D177" s="60" t="s">
        <v>1234</v>
      </c>
    </row>
    <row r="178" spans="2:4" ht="15" customHeight="1" x14ac:dyDescent="0.3">
      <c r="B178" s="59" t="s">
        <v>1235</v>
      </c>
      <c r="C178" s="60" t="s">
        <v>1236</v>
      </c>
      <c r="D178" s="60" t="s">
        <v>1237</v>
      </c>
    </row>
    <row r="179" spans="2:4" ht="15" customHeight="1" x14ac:dyDescent="0.3">
      <c r="B179" s="59" t="s">
        <v>1238</v>
      </c>
      <c r="C179" s="60" t="s">
        <v>977</v>
      </c>
      <c r="D179" s="60" t="s">
        <v>941</v>
      </c>
    </row>
    <row r="180" spans="2:4" ht="15" customHeight="1" x14ac:dyDescent="0.3">
      <c r="B180" s="59" t="s">
        <v>1239</v>
      </c>
      <c r="C180" s="60" t="s">
        <v>1240</v>
      </c>
      <c r="D180" s="60" t="s">
        <v>1241</v>
      </c>
    </row>
    <row r="181" spans="2:4" ht="15" customHeight="1" x14ac:dyDescent="0.3">
      <c r="B181" s="59" t="s">
        <v>1242</v>
      </c>
      <c r="C181" s="60" t="s">
        <v>1243</v>
      </c>
      <c r="D181" s="60" t="s">
        <v>1244</v>
      </c>
    </row>
    <row r="182" spans="2:4" ht="15" customHeight="1" x14ac:dyDescent="0.3">
      <c r="B182" s="59" t="s">
        <v>1245</v>
      </c>
      <c r="C182" s="60" t="s">
        <v>1246</v>
      </c>
      <c r="D182" s="60" t="s">
        <v>1247</v>
      </c>
    </row>
    <row r="183" spans="2:4" ht="15" customHeight="1" x14ac:dyDescent="0.3">
      <c r="B183" s="59" t="s">
        <v>1248</v>
      </c>
      <c r="C183" s="60" t="s">
        <v>1249</v>
      </c>
      <c r="D183" s="60" t="s">
        <v>1250</v>
      </c>
    </row>
    <row r="184" spans="2:4" ht="15" customHeight="1" x14ac:dyDescent="0.3">
      <c r="B184" s="59" t="s">
        <v>1251</v>
      </c>
      <c r="C184" s="60" t="s">
        <v>295</v>
      </c>
      <c r="D184" s="60" t="s">
        <v>1252</v>
      </c>
    </row>
    <row r="185" spans="2:4" ht="15" customHeight="1" x14ac:dyDescent="0.3">
      <c r="B185" s="59" t="s">
        <v>1253</v>
      </c>
      <c r="C185" s="60" t="s">
        <v>1254</v>
      </c>
      <c r="D185" s="60" t="s">
        <v>1255</v>
      </c>
    </row>
    <row r="186" spans="2:4" ht="15" customHeight="1" x14ac:dyDescent="0.3">
      <c r="B186" s="59" t="s">
        <v>1256</v>
      </c>
      <c r="C186" s="60" t="s">
        <v>1257</v>
      </c>
      <c r="D186" s="60" t="s">
        <v>1258</v>
      </c>
    </row>
    <row r="187" spans="2:4" ht="15" customHeight="1" x14ac:dyDescent="0.3">
      <c r="B187" s="59" t="s">
        <v>1259</v>
      </c>
      <c r="C187" s="60" t="s">
        <v>1260</v>
      </c>
      <c r="D187" s="60" t="s">
        <v>1261</v>
      </c>
    </row>
    <row r="188" spans="2:4" ht="15" customHeight="1" x14ac:dyDescent="0.3">
      <c r="B188" s="59" t="s">
        <v>1262</v>
      </c>
      <c r="C188" s="60" t="s">
        <v>1263</v>
      </c>
      <c r="D188" s="60" t="s">
        <v>1264</v>
      </c>
    </row>
    <row r="189" spans="2:4" ht="15" customHeight="1" x14ac:dyDescent="0.3">
      <c r="B189" s="59" t="s">
        <v>1265</v>
      </c>
      <c r="C189" s="60" t="s">
        <v>1266</v>
      </c>
      <c r="D189" s="60" t="s">
        <v>1267</v>
      </c>
    </row>
    <row r="190" spans="2:4" ht="15" customHeight="1" x14ac:dyDescent="0.3">
      <c r="B190" s="59" t="s">
        <v>1268</v>
      </c>
      <c r="C190" s="60" t="s">
        <v>1269</v>
      </c>
      <c r="D190" s="60" t="s">
        <v>1269</v>
      </c>
    </row>
    <row r="191" spans="2:4" ht="15" customHeight="1" x14ac:dyDescent="0.3">
      <c r="B191" s="59" t="s">
        <v>1270</v>
      </c>
      <c r="C191" s="60" t="s">
        <v>1271</v>
      </c>
      <c r="D191" s="60" t="s">
        <v>1272</v>
      </c>
    </row>
    <row r="192" spans="2:4" ht="15" customHeight="1" x14ac:dyDescent="0.3">
      <c r="B192" s="59" t="s">
        <v>1273</v>
      </c>
      <c r="C192" s="60" t="s">
        <v>1274</v>
      </c>
      <c r="D192" s="60" t="s">
        <v>1275</v>
      </c>
    </row>
    <row r="193" spans="2:4" ht="15" customHeight="1" x14ac:dyDescent="0.3">
      <c r="B193" s="59" t="s">
        <v>1276</v>
      </c>
      <c r="C193" s="60" t="s">
        <v>1277</v>
      </c>
      <c r="D193" s="60" t="s">
        <v>1278</v>
      </c>
    </row>
    <row r="194" spans="2:4" ht="15" customHeight="1" x14ac:dyDescent="0.3">
      <c r="B194" s="59" t="s">
        <v>1279</v>
      </c>
      <c r="C194" s="60" t="s">
        <v>1280</v>
      </c>
      <c r="D194" s="60" t="s">
        <v>1281</v>
      </c>
    </row>
    <row r="195" spans="2:4" ht="15" customHeight="1" x14ac:dyDescent="0.3">
      <c r="B195" s="59" t="s">
        <v>1282</v>
      </c>
      <c r="C195" s="60" t="s">
        <v>1283</v>
      </c>
      <c r="D195" s="60" t="s">
        <v>1284</v>
      </c>
    </row>
    <row r="196" spans="2:4" ht="15" customHeight="1" x14ac:dyDescent="0.3">
      <c r="B196" s="59" t="s">
        <v>1285</v>
      </c>
      <c r="C196" s="60" t="s">
        <v>1286</v>
      </c>
      <c r="D196" s="60" t="s">
        <v>1287</v>
      </c>
    </row>
    <row r="197" spans="2:4" ht="15" customHeight="1" x14ac:dyDescent="0.3">
      <c r="B197" s="59" t="s">
        <v>1288</v>
      </c>
      <c r="C197" s="60" t="s">
        <v>1289</v>
      </c>
      <c r="D197" s="60" t="s">
        <v>1290</v>
      </c>
    </row>
    <row r="198" spans="2:4" ht="15" customHeight="1" x14ac:dyDescent="0.3">
      <c r="B198" s="59" t="s">
        <v>1291</v>
      </c>
      <c r="C198" s="60" t="s">
        <v>1292</v>
      </c>
      <c r="D198" s="60" t="s">
        <v>1293</v>
      </c>
    </row>
    <row r="199" spans="2:4" ht="15" customHeight="1" x14ac:dyDescent="0.3">
      <c r="B199" s="59" t="s">
        <v>1294</v>
      </c>
      <c r="C199" s="60" t="s">
        <v>1295</v>
      </c>
      <c r="D199" s="60" t="s">
        <v>1296</v>
      </c>
    </row>
    <row r="200" spans="2:4" ht="15" customHeight="1" x14ac:dyDescent="0.3">
      <c r="B200" s="59" t="s">
        <v>1297</v>
      </c>
      <c r="C200" s="60" t="s">
        <v>1298</v>
      </c>
      <c r="D200" s="60" t="s">
        <v>1299</v>
      </c>
    </row>
    <row r="201" spans="2:4" ht="15" customHeight="1" x14ac:dyDescent="0.3">
      <c r="B201" s="59" t="s">
        <v>1300</v>
      </c>
      <c r="C201" s="60" t="s">
        <v>1301</v>
      </c>
      <c r="D201" s="60" t="s">
        <v>1302</v>
      </c>
    </row>
    <row r="202" spans="2:4" ht="15" customHeight="1" x14ac:dyDescent="0.3">
      <c r="B202" s="59" t="s">
        <v>1303</v>
      </c>
      <c r="C202" s="60" t="s">
        <v>1304</v>
      </c>
      <c r="D202" s="60" t="s">
        <v>761</v>
      </c>
    </row>
    <row r="203" spans="2:4" ht="15" customHeight="1" x14ac:dyDescent="0.3">
      <c r="B203" s="59" t="s">
        <v>1305</v>
      </c>
      <c r="C203" s="60" t="s">
        <v>1306</v>
      </c>
      <c r="D203" s="60" t="s">
        <v>1307</v>
      </c>
    </row>
    <row r="204" spans="2:4" ht="15" customHeight="1" x14ac:dyDescent="0.3">
      <c r="B204" s="59" t="s">
        <v>1308</v>
      </c>
      <c r="C204" s="60" t="s">
        <v>1309</v>
      </c>
      <c r="D204" s="60" t="s">
        <v>1310</v>
      </c>
    </row>
    <row r="205" spans="2:4" ht="15" customHeight="1" x14ac:dyDescent="0.3">
      <c r="B205" s="59" t="s">
        <v>1311</v>
      </c>
      <c r="C205" s="60" t="s">
        <v>1312</v>
      </c>
      <c r="D205" s="60" t="s">
        <v>1313</v>
      </c>
    </row>
    <row r="206" spans="2:4" ht="15" customHeight="1" x14ac:dyDescent="0.3">
      <c r="B206" s="59" t="s">
        <v>1314</v>
      </c>
      <c r="C206" s="60" t="s">
        <v>1315</v>
      </c>
      <c r="D206" s="60" t="s">
        <v>1316</v>
      </c>
    </row>
    <row r="207" spans="2:4" ht="15" customHeight="1" x14ac:dyDescent="0.3">
      <c r="B207" s="59" t="s">
        <v>1317</v>
      </c>
      <c r="C207" s="60" t="s">
        <v>1318</v>
      </c>
      <c r="D207" s="60" t="s">
        <v>1319</v>
      </c>
    </row>
    <row r="208" spans="2:4" ht="15" customHeight="1" x14ac:dyDescent="0.3">
      <c r="B208" s="59" t="s">
        <v>1320</v>
      </c>
      <c r="C208" s="60" t="s">
        <v>1321</v>
      </c>
      <c r="D208" s="60" t="s">
        <v>1322</v>
      </c>
    </row>
    <row r="209" spans="2:4" ht="15" customHeight="1" x14ac:dyDescent="0.3">
      <c r="B209" s="59" t="s">
        <v>1323</v>
      </c>
      <c r="C209" s="60" t="s">
        <v>1324</v>
      </c>
      <c r="D209" s="60" t="s">
        <v>1325</v>
      </c>
    </row>
    <row r="210" spans="2:4" ht="15" customHeight="1" x14ac:dyDescent="0.3">
      <c r="B210" s="59" t="s">
        <v>1326</v>
      </c>
      <c r="C210" s="60" t="s">
        <v>1327</v>
      </c>
      <c r="D210" s="60" t="s">
        <v>1328</v>
      </c>
    </row>
    <row r="211" spans="2:4" ht="15" customHeight="1" x14ac:dyDescent="0.3">
      <c r="B211" s="59" t="s">
        <v>1329</v>
      </c>
      <c r="C211" s="60" t="s">
        <v>1330</v>
      </c>
      <c r="D211" s="60" t="s">
        <v>1331</v>
      </c>
    </row>
    <row r="212" spans="2:4" ht="15" customHeight="1" x14ac:dyDescent="0.3">
      <c r="B212" s="59" t="s">
        <v>1332</v>
      </c>
      <c r="C212" s="60" t="s">
        <v>1333</v>
      </c>
      <c r="D212" s="60" t="s">
        <v>1334</v>
      </c>
    </row>
    <row r="213" spans="2:4" ht="15" customHeight="1" x14ac:dyDescent="0.3">
      <c r="B213" s="59" t="s">
        <v>1335</v>
      </c>
      <c r="C213" s="60" t="s">
        <v>1336</v>
      </c>
      <c r="D213" s="60" t="s">
        <v>1337</v>
      </c>
    </row>
    <row r="214" spans="2:4" ht="15" customHeight="1" x14ac:dyDescent="0.3">
      <c r="B214" s="59" t="s">
        <v>1338</v>
      </c>
      <c r="C214" s="60" t="s">
        <v>1339</v>
      </c>
      <c r="D214" s="60" t="s">
        <v>1340</v>
      </c>
    </row>
    <row r="215" spans="2:4" ht="15" customHeight="1" x14ac:dyDescent="0.3">
      <c r="B215" s="59" t="s">
        <v>1341</v>
      </c>
      <c r="C215" s="60" t="s">
        <v>1342</v>
      </c>
      <c r="D215" s="60" t="s">
        <v>1343</v>
      </c>
    </row>
    <row r="216" spans="2:4" ht="15" customHeight="1" x14ac:dyDescent="0.3">
      <c r="B216" s="59" t="s">
        <v>1344</v>
      </c>
      <c r="C216" s="60" t="s">
        <v>1345</v>
      </c>
      <c r="D216" s="60" t="s">
        <v>1346</v>
      </c>
    </row>
    <row r="217" spans="2:4" ht="15" customHeight="1" x14ac:dyDescent="0.3">
      <c r="B217" s="59" t="s">
        <v>1347</v>
      </c>
      <c r="C217" s="60" t="s">
        <v>1348</v>
      </c>
      <c r="D217" s="60" t="s">
        <v>1349</v>
      </c>
    </row>
    <row r="218" spans="2:4" ht="15" customHeight="1" x14ac:dyDescent="0.3">
      <c r="B218" s="59" t="s">
        <v>1350</v>
      </c>
      <c r="C218" s="60" t="s">
        <v>1351</v>
      </c>
      <c r="D218" s="60" t="s">
        <v>1352</v>
      </c>
    </row>
    <row r="219" spans="2:4" ht="15" customHeight="1" x14ac:dyDescent="0.3">
      <c r="B219" s="59" t="s">
        <v>1353</v>
      </c>
      <c r="C219" s="60" t="s">
        <v>1354</v>
      </c>
      <c r="D219" s="60" t="s">
        <v>1355</v>
      </c>
    </row>
    <row r="220" spans="2:4" ht="15" customHeight="1" x14ac:dyDescent="0.3">
      <c r="B220" s="59" t="s">
        <v>1356</v>
      </c>
      <c r="C220" s="60" t="s">
        <v>1357</v>
      </c>
      <c r="D220" s="60" t="s">
        <v>1358</v>
      </c>
    </row>
    <row r="221" spans="2:4" ht="15" customHeight="1" x14ac:dyDescent="0.3">
      <c r="B221" s="59" t="s">
        <v>1359</v>
      </c>
      <c r="C221" s="60" t="s">
        <v>1360</v>
      </c>
      <c r="D221" s="60" t="s">
        <v>1361</v>
      </c>
    </row>
    <row r="222" spans="2:4" ht="15" customHeight="1" x14ac:dyDescent="0.3">
      <c r="B222" s="59" t="s">
        <v>1362</v>
      </c>
      <c r="C222" s="60" t="s">
        <v>1363</v>
      </c>
      <c r="D222" s="60" t="s">
        <v>1364</v>
      </c>
    </row>
    <row r="223" spans="2:4" ht="15" customHeight="1" x14ac:dyDescent="0.3">
      <c r="B223" s="59" t="s">
        <v>1365</v>
      </c>
      <c r="C223" s="60" t="s">
        <v>1366</v>
      </c>
      <c r="D223" s="60" t="s">
        <v>1367</v>
      </c>
    </row>
    <row r="224" spans="2:4" ht="15" customHeight="1" x14ac:dyDescent="0.3">
      <c r="B224" s="59" t="s">
        <v>1368</v>
      </c>
      <c r="C224" s="60" t="s">
        <v>1369</v>
      </c>
      <c r="D224" s="60" t="s">
        <v>1370</v>
      </c>
    </row>
    <row r="225" spans="2:4" ht="15" customHeight="1" x14ac:dyDescent="0.3">
      <c r="B225" s="59" t="s">
        <v>1371</v>
      </c>
      <c r="C225" s="60" t="s">
        <v>1372</v>
      </c>
      <c r="D225" s="60" t="s">
        <v>1373</v>
      </c>
    </row>
    <row r="226" spans="2:4" ht="15" customHeight="1" x14ac:dyDescent="0.3">
      <c r="B226" s="59" t="s">
        <v>1374</v>
      </c>
      <c r="C226" s="60" t="s">
        <v>1375</v>
      </c>
      <c r="D226" s="60" t="s">
        <v>1376</v>
      </c>
    </row>
    <row r="227" spans="2:4" ht="15" customHeight="1" x14ac:dyDescent="0.3">
      <c r="B227" s="59" t="s">
        <v>1377</v>
      </c>
      <c r="C227" s="60" t="s">
        <v>1378</v>
      </c>
      <c r="D227" s="60" t="s">
        <v>1379</v>
      </c>
    </row>
    <row r="228" spans="2:4" ht="15" customHeight="1" x14ac:dyDescent="0.3">
      <c r="B228" s="59" t="s">
        <v>1380</v>
      </c>
      <c r="C228" s="60" t="s">
        <v>1381</v>
      </c>
      <c r="D228" s="60" t="s">
        <v>1382</v>
      </c>
    </row>
    <row r="229" spans="2:4" ht="15" customHeight="1" x14ac:dyDescent="0.3">
      <c r="B229" s="59" t="s">
        <v>1383</v>
      </c>
      <c r="C229" s="60" t="s">
        <v>1384</v>
      </c>
      <c r="D229" s="60" t="s">
        <v>1385</v>
      </c>
    </row>
    <row r="230" spans="2:4" ht="15" customHeight="1" x14ac:dyDescent="0.3">
      <c r="B230" s="59" t="s">
        <v>1386</v>
      </c>
      <c r="C230" s="60" t="s">
        <v>1387</v>
      </c>
      <c r="D230" s="60" t="s">
        <v>1388</v>
      </c>
    </row>
    <row r="231" spans="2:4" ht="15" customHeight="1" x14ac:dyDescent="0.3">
      <c r="B231" s="59" t="s">
        <v>1389</v>
      </c>
      <c r="C231" s="60" t="s">
        <v>1390</v>
      </c>
      <c r="D231" s="60" t="s">
        <v>1391</v>
      </c>
    </row>
    <row r="232" spans="2:4" ht="15" customHeight="1" x14ac:dyDescent="0.3">
      <c r="B232" s="59" t="s">
        <v>1392</v>
      </c>
      <c r="C232" s="60" t="s">
        <v>1393</v>
      </c>
      <c r="D232" s="60" t="s">
        <v>1394</v>
      </c>
    </row>
    <row r="233" spans="2:4" ht="15" customHeight="1" x14ac:dyDescent="0.3">
      <c r="B233" s="59" t="s">
        <v>1395</v>
      </c>
      <c r="C233" s="60" t="s">
        <v>1396</v>
      </c>
      <c r="D233" s="60" t="s">
        <v>1397</v>
      </c>
    </row>
    <row r="234" spans="2:4" ht="15" customHeight="1" x14ac:dyDescent="0.3">
      <c r="B234" s="59" t="s">
        <v>1398</v>
      </c>
      <c r="C234" s="60" t="s">
        <v>1399</v>
      </c>
      <c r="D234" s="60" t="s">
        <v>1400</v>
      </c>
    </row>
    <row r="235" spans="2:4" ht="15" customHeight="1" x14ac:dyDescent="0.3">
      <c r="B235" s="59" t="s">
        <v>1401</v>
      </c>
      <c r="C235" s="60" t="s">
        <v>1402</v>
      </c>
      <c r="D235" s="60" t="s">
        <v>1403</v>
      </c>
    </row>
    <row r="236" spans="2:4" ht="15" customHeight="1" x14ac:dyDescent="0.3">
      <c r="B236" s="59" t="s">
        <v>1404</v>
      </c>
      <c r="C236" s="60" t="s">
        <v>1405</v>
      </c>
      <c r="D236" s="60" t="s">
        <v>1406</v>
      </c>
    </row>
    <row r="237" spans="2:4" ht="15" customHeight="1" x14ac:dyDescent="0.3">
      <c r="B237" s="59" t="s">
        <v>1407</v>
      </c>
      <c r="C237" s="60" t="s">
        <v>1408</v>
      </c>
      <c r="D237" s="60" t="s">
        <v>1409</v>
      </c>
    </row>
    <row r="238" spans="2:4" ht="15" customHeight="1" x14ac:dyDescent="0.3">
      <c r="B238" s="59" t="s">
        <v>1410</v>
      </c>
      <c r="C238" s="60" t="s">
        <v>1411</v>
      </c>
      <c r="D238" s="60" t="s">
        <v>1412</v>
      </c>
    </row>
    <row r="239" spans="2:4" ht="15" customHeight="1" x14ac:dyDescent="0.3">
      <c r="B239" s="59" t="s">
        <v>1413</v>
      </c>
      <c r="C239" s="60" t="s">
        <v>1414</v>
      </c>
      <c r="D239" s="60" t="s">
        <v>1415</v>
      </c>
    </row>
    <row r="240" spans="2:4" ht="15" customHeight="1" x14ac:dyDescent="0.3">
      <c r="B240" s="59" t="s">
        <v>1416</v>
      </c>
      <c r="C240" s="60" t="s">
        <v>1417</v>
      </c>
      <c r="D240" s="60" t="s">
        <v>1418</v>
      </c>
    </row>
    <row r="241" spans="2:4" ht="15" customHeight="1" x14ac:dyDescent="0.3">
      <c r="B241" s="59" t="s">
        <v>1419</v>
      </c>
      <c r="C241" s="60" t="s">
        <v>1420</v>
      </c>
      <c r="D241" s="60" t="s">
        <v>1421</v>
      </c>
    </row>
    <row r="242" spans="2:4" ht="15" customHeight="1" x14ac:dyDescent="0.3">
      <c r="B242" s="59" t="s">
        <v>1422</v>
      </c>
      <c r="C242" s="60" t="s">
        <v>1423</v>
      </c>
      <c r="D242" s="60" t="s">
        <v>1424</v>
      </c>
    </row>
    <row r="243" spans="2:4" ht="15" customHeight="1" x14ac:dyDescent="0.3">
      <c r="B243" s="59" t="s">
        <v>1425</v>
      </c>
      <c r="C243" s="60" t="s">
        <v>1426</v>
      </c>
      <c r="D243" s="60" t="s">
        <v>1427</v>
      </c>
    </row>
    <row r="244" spans="2:4" ht="15" customHeight="1" x14ac:dyDescent="0.3">
      <c r="B244" s="59" t="s">
        <v>1428</v>
      </c>
      <c r="C244" s="60" t="s">
        <v>1429</v>
      </c>
      <c r="D244" s="60" t="s">
        <v>1430</v>
      </c>
    </row>
    <row r="245" spans="2:4" ht="15" customHeight="1" x14ac:dyDescent="0.3">
      <c r="B245" s="59" t="s">
        <v>1431</v>
      </c>
      <c r="C245" s="60" t="s">
        <v>1432</v>
      </c>
      <c r="D245" s="60" t="s">
        <v>1433</v>
      </c>
    </row>
    <row r="246" spans="2:4" ht="15" customHeight="1" x14ac:dyDescent="0.3">
      <c r="B246" s="59" t="s">
        <v>1434</v>
      </c>
      <c r="C246" s="60" t="s">
        <v>1435</v>
      </c>
      <c r="D246" s="60" t="s">
        <v>1436</v>
      </c>
    </row>
    <row r="247" spans="2:4" ht="15" customHeight="1" x14ac:dyDescent="0.3">
      <c r="B247" s="59" t="s">
        <v>1437</v>
      </c>
      <c r="C247" s="60" t="s">
        <v>1438</v>
      </c>
      <c r="D247" s="60" t="s">
        <v>1439</v>
      </c>
    </row>
    <row r="248" spans="2:4" ht="15" customHeight="1" x14ac:dyDescent="0.3">
      <c r="B248" s="59" t="s">
        <v>1440</v>
      </c>
      <c r="C248" s="60" t="s">
        <v>1441</v>
      </c>
      <c r="D248" s="60" t="s">
        <v>1442</v>
      </c>
    </row>
    <row r="249" spans="2:4" ht="15" customHeight="1" x14ac:dyDescent="0.3">
      <c r="B249" s="59" t="s">
        <v>1443</v>
      </c>
      <c r="C249" s="60" t="s">
        <v>1444</v>
      </c>
      <c r="D249" s="60" t="s">
        <v>1445</v>
      </c>
    </row>
    <row r="250" spans="2:4" ht="15" customHeight="1" x14ac:dyDescent="0.3">
      <c r="B250" s="59" t="s">
        <v>1446</v>
      </c>
      <c r="C250" s="60" t="s">
        <v>1447</v>
      </c>
      <c r="D250" s="60" t="s">
        <v>1448</v>
      </c>
    </row>
    <row r="251" spans="2:4" ht="15" customHeight="1" x14ac:dyDescent="0.3">
      <c r="B251" s="59" t="s">
        <v>1449</v>
      </c>
      <c r="C251" s="60" t="s">
        <v>1450</v>
      </c>
      <c r="D251" s="60" t="s">
        <v>1451</v>
      </c>
    </row>
    <row r="252" spans="2:4" ht="15" customHeight="1" x14ac:dyDescent="0.3">
      <c r="B252" s="59" t="s">
        <v>1452</v>
      </c>
      <c r="C252" s="60" t="s">
        <v>1453</v>
      </c>
      <c r="D252" s="60" t="s">
        <v>1454</v>
      </c>
    </row>
    <row r="253" spans="2:4" ht="15" customHeight="1" x14ac:dyDescent="0.3">
      <c r="B253" s="59" t="s">
        <v>1455</v>
      </c>
      <c r="C253" s="60" t="s">
        <v>1456</v>
      </c>
      <c r="D253" s="60" t="s">
        <v>1457</v>
      </c>
    </row>
    <row r="254" spans="2:4" ht="15" customHeight="1" x14ac:dyDescent="0.3">
      <c r="B254" s="59" t="s">
        <v>1458</v>
      </c>
      <c r="C254" s="60" t="s">
        <v>1459</v>
      </c>
      <c r="D254" s="60" t="s">
        <v>1460</v>
      </c>
    </row>
    <row r="255" spans="2:4" ht="15" customHeight="1" x14ac:dyDescent="0.3">
      <c r="B255" s="59" t="s">
        <v>1461</v>
      </c>
      <c r="C255" s="60" t="s">
        <v>1462</v>
      </c>
      <c r="D255" s="60" t="s">
        <v>1463</v>
      </c>
    </row>
    <row r="256" spans="2:4" ht="15" customHeight="1" x14ac:dyDescent="0.3">
      <c r="B256" s="59" t="s">
        <v>1464</v>
      </c>
      <c r="C256" s="60" t="s">
        <v>1465</v>
      </c>
      <c r="D256" s="60" t="s">
        <v>1466</v>
      </c>
    </row>
    <row r="257" spans="2:4" ht="15" customHeight="1" x14ac:dyDescent="0.3">
      <c r="B257" s="59" t="s">
        <v>1467</v>
      </c>
      <c r="C257" s="60" t="s">
        <v>1468</v>
      </c>
      <c r="D257" s="60" t="s">
        <v>1469</v>
      </c>
    </row>
    <row r="258" spans="2:4" ht="15" customHeight="1" x14ac:dyDescent="0.3">
      <c r="B258" s="59" t="s">
        <v>1470</v>
      </c>
      <c r="C258" s="60" t="s">
        <v>1471</v>
      </c>
      <c r="D258" s="60" t="s">
        <v>1472</v>
      </c>
    </row>
    <row r="259" spans="2:4" ht="15" customHeight="1" x14ac:dyDescent="0.3">
      <c r="B259" s="59" t="s">
        <v>1473</v>
      </c>
      <c r="C259" s="60" t="s">
        <v>1474</v>
      </c>
      <c r="D259" s="60" t="s">
        <v>1475</v>
      </c>
    </row>
    <row r="260" spans="2:4" ht="15" customHeight="1" x14ac:dyDescent="0.3">
      <c r="B260" s="59" t="s">
        <v>1476</v>
      </c>
      <c r="C260" s="60" t="s">
        <v>1477</v>
      </c>
      <c r="D260" s="60" t="s">
        <v>1478</v>
      </c>
    </row>
    <row r="261" spans="2:4" ht="15" customHeight="1" x14ac:dyDescent="0.3">
      <c r="B261" s="59" t="s">
        <v>1479</v>
      </c>
      <c r="C261" s="60" t="s">
        <v>1480</v>
      </c>
      <c r="D261" s="60" t="s">
        <v>1481</v>
      </c>
    </row>
    <row r="262" spans="2:4" ht="15" customHeight="1" x14ac:dyDescent="0.3">
      <c r="B262" s="59" t="s">
        <v>1482</v>
      </c>
      <c r="C262" s="60" t="s">
        <v>1483</v>
      </c>
      <c r="D262" s="60" t="s">
        <v>1484</v>
      </c>
    </row>
    <row r="263" spans="2:4" ht="15" customHeight="1" x14ac:dyDescent="0.3">
      <c r="B263" s="59" t="s">
        <v>1485</v>
      </c>
      <c r="C263" s="60" t="s">
        <v>1486</v>
      </c>
      <c r="D263" s="60" t="s">
        <v>1487</v>
      </c>
    </row>
    <row r="264" spans="2:4" ht="15" customHeight="1" x14ac:dyDescent="0.3">
      <c r="B264" s="59" t="s">
        <v>1488</v>
      </c>
      <c r="C264" s="60" t="s">
        <v>1489</v>
      </c>
      <c r="D264" s="60" t="s">
        <v>1490</v>
      </c>
    </row>
    <row r="265" spans="2:4" ht="15" customHeight="1" x14ac:dyDescent="0.3">
      <c r="B265" s="59" t="s">
        <v>1491</v>
      </c>
      <c r="C265" s="60" t="s">
        <v>1492</v>
      </c>
      <c r="D265" s="60" t="s">
        <v>1493</v>
      </c>
    </row>
    <row r="266" spans="2:4" ht="15" customHeight="1" x14ac:dyDescent="0.3">
      <c r="B266" s="59" t="s">
        <v>1494</v>
      </c>
      <c r="C266" s="60" t="s">
        <v>1495</v>
      </c>
      <c r="D266" s="60" t="s">
        <v>1496</v>
      </c>
    </row>
    <row r="267" spans="2:4" ht="15" customHeight="1" x14ac:dyDescent="0.3">
      <c r="B267" s="59" t="s">
        <v>1497</v>
      </c>
      <c r="C267" s="60" t="s">
        <v>1498</v>
      </c>
      <c r="D267" s="60" t="s">
        <v>1499</v>
      </c>
    </row>
    <row r="268" spans="2:4" ht="15" customHeight="1" x14ac:dyDescent="0.3">
      <c r="B268" s="59" t="s">
        <v>1500</v>
      </c>
      <c r="C268" s="60" t="s">
        <v>1501</v>
      </c>
      <c r="D268" s="60" t="s">
        <v>1502</v>
      </c>
    </row>
    <row r="269" spans="2:4" ht="15" customHeight="1" x14ac:dyDescent="0.3">
      <c r="B269" s="59" t="s">
        <v>1503</v>
      </c>
      <c r="C269" s="60" t="s">
        <v>1504</v>
      </c>
      <c r="D269" s="60" t="s">
        <v>1505</v>
      </c>
    </row>
    <row r="270" spans="2:4" ht="15" customHeight="1" x14ac:dyDescent="0.3">
      <c r="B270" s="59" t="s">
        <v>1506</v>
      </c>
      <c r="C270" s="60" t="s">
        <v>1507</v>
      </c>
      <c r="D270" s="60" t="s">
        <v>1508</v>
      </c>
    </row>
    <row r="271" spans="2:4" ht="15" customHeight="1" x14ac:dyDescent="0.3">
      <c r="B271" s="59" t="s">
        <v>1509</v>
      </c>
      <c r="C271" s="60" t="s">
        <v>1510</v>
      </c>
      <c r="D271" s="60" t="s">
        <v>1511</v>
      </c>
    </row>
    <row r="272" spans="2:4" ht="15" customHeight="1" x14ac:dyDescent="0.3">
      <c r="B272" s="59" t="s">
        <v>1512</v>
      </c>
      <c r="C272" s="60" t="s">
        <v>1513</v>
      </c>
      <c r="D272" s="60" t="s">
        <v>1514</v>
      </c>
    </row>
    <row r="273" spans="2:4" ht="15" customHeight="1" x14ac:dyDescent="0.3">
      <c r="B273" s="59" t="s">
        <v>1515</v>
      </c>
      <c r="C273" s="60" t="s">
        <v>1516</v>
      </c>
      <c r="D273" s="60" t="s">
        <v>1517</v>
      </c>
    </row>
    <row r="274" spans="2:4" ht="15" customHeight="1" x14ac:dyDescent="0.3">
      <c r="B274" s="59" t="s">
        <v>1518</v>
      </c>
      <c r="C274" s="60" t="s">
        <v>1519</v>
      </c>
      <c r="D274" s="60" t="s">
        <v>1520</v>
      </c>
    </row>
    <row r="275" spans="2:4" ht="15" customHeight="1" x14ac:dyDescent="0.3">
      <c r="B275" s="59" t="s">
        <v>1521</v>
      </c>
      <c r="C275" s="60" t="s">
        <v>1522</v>
      </c>
      <c r="D275" s="60" t="s">
        <v>1523</v>
      </c>
    </row>
    <row r="276" spans="2:4" ht="15" customHeight="1" x14ac:dyDescent="0.3">
      <c r="B276" s="59" t="s">
        <v>1524</v>
      </c>
      <c r="C276" s="60" t="s">
        <v>1525</v>
      </c>
      <c r="D276" s="60" t="s">
        <v>1526</v>
      </c>
    </row>
    <row r="277" spans="2:4" ht="15" customHeight="1" x14ac:dyDescent="0.3">
      <c r="B277" s="59" t="s">
        <v>1527</v>
      </c>
      <c r="C277" s="60" t="s">
        <v>1528</v>
      </c>
      <c r="D277" s="60" t="s">
        <v>1529</v>
      </c>
    </row>
    <row r="278" spans="2:4" ht="15" customHeight="1" x14ac:dyDescent="0.3">
      <c r="B278" s="59" t="s">
        <v>1530</v>
      </c>
      <c r="C278" s="60" t="s">
        <v>1531</v>
      </c>
      <c r="D278" s="60" t="s">
        <v>1532</v>
      </c>
    </row>
    <row r="279" spans="2:4" ht="15" customHeight="1" x14ac:dyDescent="0.3">
      <c r="B279" s="59" t="s">
        <v>1533</v>
      </c>
      <c r="C279" s="60" t="s">
        <v>1534</v>
      </c>
      <c r="D279" s="60" t="s">
        <v>1535</v>
      </c>
    </row>
    <row r="280" spans="2:4" ht="15" customHeight="1" x14ac:dyDescent="0.3">
      <c r="B280" s="59" t="s">
        <v>1536</v>
      </c>
      <c r="C280" s="60" t="s">
        <v>1537</v>
      </c>
      <c r="D280" s="60" t="s">
        <v>1538</v>
      </c>
    </row>
    <row r="281" spans="2:4" ht="15" customHeight="1" x14ac:dyDescent="0.3">
      <c r="B281" s="59" t="s">
        <v>1539</v>
      </c>
      <c r="C281" s="60" t="s">
        <v>1540</v>
      </c>
      <c r="D281" s="60" t="s">
        <v>1541</v>
      </c>
    </row>
    <row r="282" spans="2:4" ht="15" customHeight="1" x14ac:dyDescent="0.3">
      <c r="B282" s="59" t="s">
        <v>1542</v>
      </c>
      <c r="C282" s="60" t="s">
        <v>1543</v>
      </c>
      <c r="D282" s="60" t="s">
        <v>1544</v>
      </c>
    </row>
    <row r="283" spans="2:4" ht="15" customHeight="1" x14ac:dyDescent="0.3">
      <c r="B283" s="59" t="s">
        <v>1545</v>
      </c>
      <c r="C283" s="60" t="s">
        <v>1546</v>
      </c>
      <c r="D283" s="60" t="s">
        <v>1547</v>
      </c>
    </row>
    <row r="284" spans="2:4" ht="15" customHeight="1" x14ac:dyDescent="0.3">
      <c r="B284" s="59" t="s">
        <v>1548</v>
      </c>
      <c r="C284" s="60" t="s">
        <v>1549</v>
      </c>
      <c r="D284" s="60" t="s">
        <v>1550</v>
      </c>
    </row>
    <row r="285" spans="2:4" ht="15" customHeight="1" x14ac:dyDescent="0.3">
      <c r="B285" s="59" t="s">
        <v>1551</v>
      </c>
      <c r="C285" s="60" t="s">
        <v>1552</v>
      </c>
      <c r="D285" s="60" t="s">
        <v>1553</v>
      </c>
    </row>
    <row r="286" spans="2:4" ht="15" customHeight="1" x14ac:dyDescent="0.3">
      <c r="B286" s="59" t="s">
        <v>1554</v>
      </c>
      <c r="C286" s="60" t="s">
        <v>1555</v>
      </c>
      <c r="D286" s="60" t="s">
        <v>1556</v>
      </c>
    </row>
    <row r="287" spans="2:4" ht="15" customHeight="1" x14ac:dyDescent="0.3">
      <c r="B287" s="59" t="s">
        <v>1557</v>
      </c>
      <c r="C287" s="60" t="s">
        <v>1558</v>
      </c>
      <c r="D287" s="60" t="s">
        <v>1559</v>
      </c>
    </row>
    <row r="288" spans="2:4" ht="15" customHeight="1" x14ac:dyDescent="0.3">
      <c r="B288" s="59" t="s">
        <v>1560</v>
      </c>
      <c r="C288" s="60" t="s">
        <v>1561</v>
      </c>
      <c r="D288" s="60" t="s">
        <v>1562</v>
      </c>
    </row>
    <row r="289" spans="2:4" ht="15" customHeight="1" x14ac:dyDescent="0.3">
      <c r="B289" s="59" t="s">
        <v>1563</v>
      </c>
      <c r="C289" s="60" t="s">
        <v>1564</v>
      </c>
      <c r="D289" s="60" t="s">
        <v>1565</v>
      </c>
    </row>
    <row r="290" spans="2:4" ht="15" customHeight="1" x14ac:dyDescent="0.3">
      <c r="B290" s="59" t="s">
        <v>1566</v>
      </c>
      <c r="C290" s="60" t="s">
        <v>1567</v>
      </c>
      <c r="D290" s="60" t="s">
        <v>1568</v>
      </c>
    </row>
    <row r="291" spans="2:4" ht="15" customHeight="1" x14ac:dyDescent="0.3">
      <c r="B291" s="59" t="s">
        <v>1569</v>
      </c>
      <c r="C291" s="60" t="s">
        <v>1570</v>
      </c>
      <c r="D291" s="60" t="s">
        <v>1571</v>
      </c>
    </row>
    <row r="292" spans="2:4" ht="15" customHeight="1" x14ac:dyDescent="0.3">
      <c r="B292" s="59" t="s">
        <v>1572</v>
      </c>
      <c r="C292" s="60" t="s">
        <v>1573</v>
      </c>
      <c r="D292" s="60" t="s">
        <v>1574</v>
      </c>
    </row>
    <row r="293" spans="2:4" ht="15" customHeight="1" x14ac:dyDescent="0.3">
      <c r="B293" s="59" t="s">
        <v>1575</v>
      </c>
      <c r="C293" s="60" t="s">
        <v>1576</v>
      </c>
      <c r="D293" s="60" t="s">
        <v>1577</v>
      </c>
    </row>
    <row r="294" spans="2:4" ht="15" customHeight="1" x14ac:dyDescent="0.3">
      <c r="B294" s="59" t="s">
        <v>1578</v>
      </c>
      <c r="C294" s="60" t="s">
        <v>1214</v>
      </c>
      <c r="D294" s="60" t="s">
        <v>1215</v>
      </c>
    </row>
    <row r="295" spans="2:4" ht="15" customHeight="1" x14ac:dyDescent="0.3">
      <c r="B295" s="59" t="s">
        <v>1579</v>
      </c>
      <c r="C295" s="60" t="s">
        <v>1580</v>
      </c>
      <c r="D295" s="60" t="s">
        <v>1581</v>
      </c>
    </row>
    <row r="296" spans="2:4" ht="15" customHeight="1" x14ac:dyDescent="0.3">
      <c r="B296" s="59" t="s">
        <v>1582</v>
      </c>
      <c r="C296" s="60" t="s">
        <v>1583</v>
      </c>
      <c r="D296" s="60" t="s">
        <v>1584</v>
      </c>
    </row>
    <row r="297" spans="2:4" ht="15" customHeight="1" x14ac:dyDescent="0.3">
      <c r="B297" s="59" t="s">
        <v>1585</v>
      </c>
      <c r="C297" s="60" t="s">
        <v>1586</v>
      </c>
      <c r="D297" s="60" t="s">
        <v>1587</v>
      </c>
    </row>
    <row r="298" spans="2:4" ht="15" customHeight="1" x14ac:dyDescent="0.3">
      <c r="B298" s="59" t="s">
        <v>1588</v>
      </c>
      <c r="C298" s="60" t="s">
        <v>1589</v>
      </c>
      <c r="D298" s="60" t="s">
        <v>1590</v>
      </c>
    </row>
    <row r="299" spans="2:4" ht="15" customHeight="1" x14ac:dyDescent="0.3">
      <c r="B299" s="59" t="s">
        <v>1591</v>
      </c>
      <c r="C299" s="60" t="s">
        <v>1592</v>
      </c>
      <c r="D299" s="60" t="s">
        <v>1593</v>
      </c>
    </row>
    <row r="300" spans="2:4" ht="15" customHeight="1" x14ac:dyDescent="0.3">
      <c r="B300" s="59" t="s">
        <v>1594</v>
      </c>
      <c r="C300" s="60" t="s">
        <v>1595</v>
      </c>
      <c r="D300" s="60" t="s">
        <v>1596</v>
      </c>
    </row>
    <row r="301" spans="2:4" ht="15" customHeight="1" x14ac:dyDescent="0.3">
      <c r="B301" s="59" t="s">
        <v>1597</v>
      </c>
      <c r="C301" s="60" t="s">
        <v>1598</v>
      </c>
      <c r="D301" s="60" t="s">
        <v>1599</v>
      </c>
    </row>
    <row r="302" spans="2:4" ht="15" customHeight="1" x14ac:dyDescent="0.3">
      <c r="B302" s="59" t="s">
        <v>1600</v>
      </c>
      <c r="C302" s="60" t="s">
        <v>1601</v>
      </c>
      <c r="D302" s="60" t="s">
        <v>1602</v>
      </c>
    </row>
    <row r="303" spans="2:4" ht="15" customHeight="1" x14ac:dyDescent="0.3">
      <c r="B303" s="59" t="s">
        <v>1603</v>
      </c>
      <c r="C303" s="60" t="s">
        <v>1604</v>
      </c>
      <c r="D303" s="60" t="s">
        <v>1605</v>
      </c>
    </row>
  </sheetData>
  <sheetProtection algorithmName="SHA-512" hashValue="ng87hOIEocSwf5uPPKaIg7Up9F0fiOKiCgDKROZnELmXJk9rB5aGFrDSmyAm9zuuWtzsnz76KA2uOuPgWMKF+Q==" saltValue="OqbChFaBIoo/t+vKasxt1w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Munka23"/>
  <dimension ref="B1:C46"/>
  <sheetViews>
    <sheetView showGridLines="0" zoomScaleNormal="100" workbookViewId="0">
      <selection activeCell="A2" sqref="A2"/>
    </sheetView>
  </sheetViews>
  <sheetFormatPr defaultColWidth="8.6640625" defaultRowHeight="14.4" x14ac:dyDescent="0.3"/>
  <cols>
    <col min="2" max="2" width="5" style="1" customWidth="1"/>
    <col min="3" max="3" width="122" style="1" customWidth="1"/>
  </cols>
  <sheetData>
    <row r="1" spans="2:3" ht="79.5" customHeight="1" x14ac:dyDescent="0.3"/>
    <row r="3" spans="2:3" ht="19.5" customHeight="1" x14ac:dyDescent="0.4">
      <c r="B3" s="12" t="str">
        <f>INDEX('91_NYELV'!$C$7:$D$303,56,NYELV_IDX)</f>
        <v>16. Súgó</v>
      </c>
    </row>
    <row r="4" spans="2:3" ht="15" customHeight="1" x14ac:dyDescent="0.3">
      <c r="B4" s="13" t="str">
        <f>INDEX('91_NYELV'!$C$7:$D$303,8,NYELV_IDX)</f>
        <v>A sárga hátterű, kék betűs cellák a kitöltendő adatok. A szürke cellák képletet tartalmaznak.</v>
      </c>
    </row>
    <row r="7" spans="2:3" ht="15" customHeight="1" x14ac:dyDescent="0.3">
      <c r="C7" s="61" t="s">
        <v>1606</v>
      </c>
    </row>
    <row r="8" spans="2:3" ht="15" customHeight="1" x14ac:dyDescent="0.3">
      <c r="C8" s="60" t="s">
        <v>1607</v>
      </c>
    </row>
    <row r="9" spans="2:3" ht="15" customHeight="1" x14ac:dyDescent="0.3">
      <c r="C9" s="60" t="s">
        <v>1608</v>
      </c>
    </row>
    <row r="10" spans="2:3" ht="15" customHeight="1" x14ac:dyDescent="0.3">
      <c r="C10" s="60" t="s">
        <v>1609</v>
      </c>
    </row>
    <row r="11" spans="2:3" ht="15" customHeight="1" x14ac:dyDescent="0.3">
      <c r="C11" s="60" t="s">
        <v>1610</v>
      </c>
    </row>
    <row r="12" spans="2:3" ht="15" customHeight="1" x14ac:dyDescent="0.3">
      <c r="C12" s="60" t="s">
        <v>1611</v>
      </c>
    </row>
    <row r="13" spans="2:3" ht="15" customHeight="1" x14ac:dyDescent="0.3">
      <c r="C13" s="60" t="s">
        <v>1612</v>
      </c>
    </row>
    <row r="14" spans="2:3" ht="15" customHeight="1" x14ac:dyDescent="0.3">
      <c r="C14" s="60" t="s">
        <v>1613</v>
      </c>
    </row>
    <row r="15" spans="2:3" ht="15" customHeight="1" x14ac:dyDescent="0.3">
      <c r="C15" s="60" t="s">
        <v>1614</v>
      </c>
    </row>
    <row r="16" spans="2:3" ht="15" customHeight="1" x14ac:dyDescent="0.3">
      <c r="C16" s="60" t="s">
        <v>1615</v>
      </c>
    </row>
    <row r="17" spans="3:3" ht="15" customHeight="1" x14ac:dyDescent="0.3">
      <c r="C17" s="60" t="s">
        <v>1616</v>
      </c>
    </row>
    <row r="18" spans="3:3" ht="15" customHeight="1" x14ac:dyDescent="0.3">
      <c r="C18" s="60" t="s">
        <v>1617</v>
      </c>
    </row>
    <row r="19" spans="3:3" ht="15" customHeight="1" x14ac:dyDescent="0.3">
      <c r="C19" s="60"/>
    </row>
    <row r="20" spans="3:3" ht="15" customHeight="1" x14ac:dyDescent="0.3">
      <c r="C20" s="61" t="s">
        <v>1618</v>
      </c>
    </row>
    <row r="21" spans="3:3" ht="15" customHeight="1" x14ac:dyDescent="0.3">
      <c r="C21" s="60" t="s">
        <v>1619</v>
      </c>
    </row>
    <row r="22" spans="3:3" ht="15" customHeight="1" x14ac:dyDescent="0.3">
      <c r="C22" s="60" t="s">
        <v>1620</v>
      </c>
    </row>
    <row r="23" spans="3:3" ht="15" customHeight="1" x14ac:dyDescent="0.3">
      <c r="C23" s="60" t="s">
        <v>1621</v>
      </c>
    </row>
    <row r="24" spans="3:3" ht="15" customHeight="1" x14ac:dyDescent="0.3">
      <c r="C24" s="60" t="s">
        <v>1622</v>
      </c>
    </row>
    <row r="25" spans="3:3" ht="15" customHeight="1" x14ac:dyDescent="0.3">
      <c r="C25" s="60"/>
    </row>
    <row r="26" spans="3:3" ht="15" customHeight="1" x14ac:dyDescent="0.3">
      <c r="C26" s="61" t="s">
        <v>1623</v>
      </c>
    </row>
    <row r="27" spans="3:3" ht="15" customHeight="1" x14ac:dyDescent="0.3">
      <c r="C27" s="60" t="s">
        <v>1624</v>
      </c>
    </row>
    <row r="28" spans="3:3" ht="15" customHeight="1" x14ac:dyDescent="0.3">
      <c r="C28" s="60" t="s">
        <v>1625</v>
      </c>
    </row>
    <row r="29" spans="3:3" ht="15" customHeight="1" x14ac:dyDescent="0.3">
      <c r="C29" s="60" t="s">
        <v>1626</v>
      </c>
    </row>
    <row r="30" spans="3:3" ht="15" customHeight="1" x14ac:dyDescent="0.3">
      <c r="C30" s="60" t="s">
        <v>1627</v>
      </c>
    </row>
    <row r="31" spans="3:3" ht="15" customHeight="1" x14ac:dyDescent="0.3">
      <c r="C31" s="60" t="s">
        <v>1628</v>
      </c>
    </row>
    <row r="32" spans="3:3" ht="15" customHeight="1" x14ac:dyDescent="0.3">
      <c r="C32" s="60" t="s">
        <v>1629</v>
      </c>
    </row>
    <row r="33" spans="3:3" ht="15" customHeight="1" x14ac:dyDescent="0.3">
      <c r="C33" s="60" t="s">
        <v>1630</v>
      </c>
    </row>
    <row r="34" spans="3:3" ht="15" customHeight="1" x14ac:dyDescent="0.3">
      <c r="C34" s="60" t="s">
        <v>1631</v>
      </c>
    </row>
    <row r="35" spans="3:3" ht="15" customHeight="1" x14ac:dyDescent="0.3">
      <c r="C35" s="60" t="s">
        <v>1632</v>
      </c>
    </row>
    <row r="36" spans="3:3" ht="15" customHeight="1" x14ac:dyDescent="0.3">
      <c r="C36" s="60"/>
    </row>
    <row r="37" spans="3:3" ht="15" customHeight="1" x14ac:dyDescent="0.3">
      <c r="C37" s="62" t="s">
        <v>1633</v>
      </c>
    </row>
    <row r="38" spans="3:3" ht="15" customHeight="1" x14ac:dyDescent="0.3">
      <c r="C38" s="62" t="s">
        <v>1634</v>
      </c>
    </row>
    <row r="39" spans="3:3" ht="15" customHeight="1" x14ac:dyDescent="0.3">
      <c r="C39" s="62" t="s">
        <v>1635</v>
      </c>
    </row>
    <row r="40" spans="3:3" ht="15" customHeight="1" x14ac:dyDescent="0.3">
      <c r="C40" s="62" t="s">
        <v>1636</v>
      </c>
    </row>
    <row r="41" spans="3:3" ht="15" customHeight="1" x14ac:dyDescent="0.3">
      <c r="C41" s="62" t="s">
        <v>1637</v>
      </c>
    </row>
    <row r="42" spans="3:3" ht="15" customHeight="1" x14ac:dyDescent="0.3">
      <c r="C42" s="60"/>
    </row>
    <row r="43" spans="3:3" ht="15" customHeight="1" x14ac:dyDescent="0.3">
      <c r="C43" s="61" t="s">
        <v>1638</v>
      </c>
    </row>
    <row r="44" spans="3:3" ht="15" customHeight="1" x14ac:dyDescent="0.3">
      <c r="C44" s="60" t="s">
        <v>1639</v>
      </c>
    </row>
    <row r="45" spans="3:3" ht="15" customHeight="1" x14ac:dyDescent="0.3">
      <c r="C45" s="60" t="s">
        <v>1640</v>
      </c>
    </row>
    <row r="46" spans="3:3" ht="15" customHeight="1" x14ac:dyDescent="0.3">
      <c r="C46" s="60" t="s">
        <v>1641</v>
      </c>
    </row>
  </sheetData>
  <sheetProtection algorithmName="SHA-512" hashValue="OGcjmRtBvnDtJ20ZtG0tsBYpJdeSo0Q/riZSeDuwoDlguB5x3w7cyvLD2vcQ/ls8Q6QIrynZbQGO1D/6GAx/qg==" saltValue="UoU5q1G4OwyirmvoHQ+foA==" spinCount="100000" sheet="1" objects="1" scenarios="1" autoFilter="0"/>
  <pageMargins left="0.75" right="0.75" top="1" bottom="1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23</vt:i4>
      </vt:variant>
      <vt:variant>
        <vt:lpstr>Névvel ellátott tartományok</vt:lpstr>
      </vt:variant>
      <vt:variant>
        <vt:i4>5</vt:i4>
      </vt:variant>
    </vt:vector>
  </HeadingPairs>
  <TitlesOfParts>
    <vt:vector size="28" baseType="lpstr">
      <vt:lpstr>00_KEZDOLAP</vt:lpstr>
      <vt:lpstr>01_BEALLITASOK</vt:lpstr>
      <vt:lpstr>02_KONSZ_KOR</vt:lpstr>
      <vt:lpstr>03_ADATBEVITEL</vt:lpstr>
      <vt:lpstr>03B_NYITO</vt:lpstr>
      <vt:lpstr>04_TOKEKONSZ</vt:lpstr>
      <vt:lpstr>05_ADOSSAGKONSZ</vt:lpstr>
      <vt:lpstr>06_KOZBENSO</vt:lpstr>
      <vt:lpstr>07_BEVRAF</vt:lpstr>
      <vt:lpstr>08_EQUITY</vt:lpstr>
      <vt:lpstr>09_ADOKUL</vt:lpstr>
      <vt:lpstr>10_NAPLO</vt:lpstr>
      <vt:lpstr>11_MUNKATABLA</vt:lpstr>
      <vt:lpstr>12_K_MERLEG</vt:lpstr>
      <vt:lpstr>12B_MERLEG_B</vt:lpstr>
      <vt:lpstr>13_K_EREDMENY</vt:lpstr>
      <vt:lpstr>13B_EREDMENY_FK</vt:lpstr>
      <vt:lpstr>14_CASHFLOW</vt:lpstr>
      <vt:lpstr>15_KIEG_MELLEKLET</vt:lpstr>
      <vt:lpstr>20_ELLENORZES</vt:lpstr>
      <vt:lpstr>90_SEMA</vt:lpstr>
      <vt:lpstr>91_NYELV</vt:lpstr>
      <vt:lpstr>99_SUGO</vt:lpstr>
      <vt:lpstr>EK_VALT</vt:lpstr>
      <vt:lpstr>NYELV_IDX</vt:lpstr>
      <vt:lpstr>'15_KIEG_MELLEKLET'!Nyomtatási_terület</vt:lpstr>
      <vt:lpstr>TAO_KULCS</vt:lpstr>
      <vt:lpstr>TK_EVEK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David S</cp:lastModifiedBy>
  <cp:revision>0</cp:revision>
  <dcterms:created xsi:type="dcterms:W3CDTF">2026-08-10T22:57:14Z</dcterms:created>
  <dcterms:modified xsi:type="dcterms:W3CDTF">2026-09-12T18:42:16Z</dcterms:modified>
  <dc:language>en-US</dc:language>
</cp:coreProperties>
</file>