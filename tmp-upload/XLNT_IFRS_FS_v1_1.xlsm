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P:\MUNKAHELYRŐL\#XLLENT.AC\MUNKA\#FOLYAMATBAN\IFRS beszámoló\#LEVÉDETT\"/>
    </mc:Choice>
  </mc:AlternateContent>
  <xr:revisionPtr revIDLastSave="0" documentId="13_ncr:1_{1C3B44FE-345C-455B-A7DA-0AE03D8716A5}" xr6:coauthVersionLast="47" xr6:coauthVersionMax="47" xr10:uidLastSave="{00000000-0000-0000-0000-000000000000}"/>
  <bookViews>
    <workbookView xWindow="-108" yWindow="-108" windowWidth="23256" windowHeight="12456" tabRatio="862" xr2:uid="{00000000-000D-0000-FFFF-FFFF00000000}"/>
  </bookViews>
  <sheets>
    <sheet name="00_SETTINGS" sheetId="1" r:id="rId1"/>
    <sheet name="01_DICT" sheetId="2" r:id="rId2"/>
    <sheet name="02_COA" sheetId="3" r:id="rId3"/>
    <sheet name="03_TB" sheetId="4" r:id="rId4"/>
    <sheet name="04_ADJ" sheetId="5" r:id="rId5"/>
    <sheet name="05_ENGINE" sheetId="6" r:id="rId6"/>
    <sheet name="06_SFP" sheetId="7" r:id="rId7"/>
    <sheet name="07_PL" sheetId="8" r:id="rId8"/>
    <sheet name="08_OCI" sheetId="9" r:id="rId9"/>
    <sheet name="09_SCE" sheetId="10" r:id="rId10"/>
    <sheet name="10_CF" sheetId="11" r:id="rId11"/>
    <sheet name="11_MPM" sheetId="12" r:id="rId12"/>
    <sheet name="12_NOTES" sheetId="13" r:id="rId13"/>
    <sheet name="20_CHECKS" sheetId="14" r:id="rId14"/>
    <sheet name="90_LISTS" sheetId="15" state="hidden" r:id="rId15"/>
    <sheet name="30_OBR" sheetId="16" r:id="rId16"/>
  </sheets>
  <functionGroups builtInGroupCount="19"/>
  <definedNames>
    <definedName name="_xlnm._FilterDatabase" localSheetId="1" hidden="1">'01_DICT'!$A$3:$G$430</definedName>
    <definedName name="_xlnm._FilterDatabase" localSheetId="2" hidden="1">'02_COA'!$A$3:$V$300</definedName>
    <definedName name="ADJ_ACCT">'04_ADJ'!$D$4:$D$303</definedName>
    <definedName name="ADJ_CF">'04_ADJ'!$K$4:$K$303</definedName>
    <definedName name="ADJ_CHK">'04_ADJ'!$L$4:$L$303</definedName>
    <definedName name="ADJ_ID">'04_ADJ'!$A$4:$A$303</definedName>
    <definedName name="ADJ_LINEKEY">'04_ADJ'!$I$4:$I$303</definedName>
    <definedName name="ADJ_NATKEY">'04_ADJ'!$J$4:$J$303</definedName>
    <definedName name="ADJ_NET">'04_ADJ'!$H$4:$H$303</definedName>
    <definedName name="ADJ_PER">'04_ADJ'!$C$4:$C$303</definedName>
    <definedName name="Ccy">'00_SETTINGS'!$C$10</definedName>
    <definedName name="CF_DIFF_CY">'10_CF'!$D$52</definedName>
    <definedName name="CF_DIFF_PY">'10_CF'!$E$52</definedName>
    <definedName name="CF_UNEXPL_TOTAL">'10_CF'!$D$126</definedName>
    <definedName name="CFT_CY">'05_ENGINE'!$C$82:$C$118</definedName>
    <definedName name="CFT_MOVCY">'05_ENGINE'!$F$82:$F$118</definedName>
    <definedName name="CFT_MOVPY">'05_ENGINE'!$G$82:$G$118</definedName>
    <definedName name="CFT_OP">'05_ENGINE'!$E$82:$E$118</definedName>
    <definedName name="CFT_PY">'05_ENGINE'!$D$82:$D$118</definedName>
    <definedName name="CFT_TAG">'05_ENGINE'!$A$82:$A$118</definedName>
    <definedName name="COA_ACCT">'02_COA'!$A$4:$A$300</definedName>
    <definedName name="COA_CAT_EFF">'02_COA'!$L$4:$L$300</definedName>
    <definedName name="COA_CAT_FX">'02_COA'!$O$4:$O$300</definedName>
    <definedName name="COA_CF">'02_COA'!$Q$4:$Q$300</definedName>
    <definedName name="COA_CHK">'02_COA'!$V$4:$V$300</definedName>
    <definedName name="COA_LINE_EFF">'02_COA'!$M$4:$M$300</definedName>
    <definedName name="COA_LINE_N">'02_COA'!$G$4:$G$300</definedName>
    <definedName name="COA_NAME">'02_COA'!$B$4:$B$300</definedName>
    <definedName name="COA_OTHER">'02_COA'!$U$4:$U$300</definedName>
    <definedName name="COA_SCE">'02_COA'!$S$4:$S$300</definedName>
    <definedName name="COA_STMT">'02_COA'!$D$4:$D$300</definedName>
    <definedName name="DICT_ACTIVE">'01_DICT'!$D$4:$D$1000</definedName>
    <definedName name="DICT_DUP">'01_DICT'!$G$4:$G$1000</definedName>
    <definedName name="DICT_EN">'01_DICT'!$B$4:$B$1000</definedName>
    <definedName name="DICT_HU">'01_DICT'!$C$4:$C$1000</definedName>
    <definedName name="DICT_KEY">'01_DICT'!$A$4:$A$1000</definedName>
    <definedName name="ENG_CAT">'05_ENGINE'!$D$4:$D$77</definedName>
    <definedName name="ENG_CNC">'05_ENGINE'!$F$4:$F$77</definedName>
    <definedName name="ENG_CY">'05_ENGINE'!$K$4:$K$77</definedName>
    <definedName name="ENG_CYP">'05_ENGINE'!$R$4:$R$77</definedName>
    <definedName name="ENG_KEY">'05_ENGINE'!$A$4:$A$77</definedName>
    <definedName name="ENG_KIND">'05_ENGINE'!$G$4:$G$77</definedName>
    <definedName name="ENG_MOVCY">'05_ENGINE'!$T$4:$T$77</definedName>
    <definedName name="ENG_MOVPY">'05_ENGINE'!$U$4:$U$77</definedName>
    <definedName name="ENG_NATCY">'05_ENGINE'!$V$4:$V$77</definedName>
    <definedName name="ENG_NATPY">'05_ENGINE'!$W$4:$W$77</definedName>
    <definedName name="ENG_OP">'05_ENGINE'!$Q$4:$Q$77</definedName>
    <definedName name="ENG_PY">'05_ENGINE'!$N$4:$N$77</definedName>
    <definedName name="ENG_PYP">'05_ENGINE'!$S$4:$S$77</definedName>
    <definedName name="ENG_RECLASS">'05_ENGINE'!$H$4:$H$77</definedName>
    <definedName name="ENG_SIGN">'05_ENGINE'!$E$4:$E$77</definedName>
    <definedName name="ENG_STMT">'05_ENGINE'!$C$4:$C$77</definedName>
    <definedName name="EntityName">'00_SETTINGS'!$C$6</definedName>
    <definedName name="ExpIsFunction">(ExpMethod="Function")</definedName>
    <definedName name="ExpMethod">'00_SETTINGS'!$D$15</definedName>
    <definedName name="Lang">'00_SETTINGS'!$C$5</definedName>
    <definedName name="LangIdx">IFERROR(MATCH(Lang,LIST_LANGS,0),1)</definedName>
    <definedName name="LeaseIntAccrued">'00_SETTINGS'!$D$19</definedName>
    <definedName name="LIST_CAT_CODE">'90_LISTS'!$B$17:$B$21</definedName>
    <definedName name="LIST_CAT_EN">'90_LISTS'!$C$17:$C$21</definedName>
    <definedName name="LIST_CAT_HU">'90_LISTS'!$D$17:$D$21</definedName>
    <definedName name="LIST_CAT_TXT">'90_LISTS'!$C$17:$D$21</definedName>
    <definedName name="LIST_CF_CODE">'90_LISTS'!$B$48:$B$85</definedName>
    <definedName name="LIST_CF_EN">'90_LISTS'!$C$48:$C$85</definedName>
    <definedName name="LIST_CF_HU">'90_LISTS'!$D$48:$D$85</definedName>
    <definedName name="LIST_CF_TXT">'90_LISTS'!$C$48:$D$85</definedName>
    <definedName name="LIST_CNC_CODE">'90_LISTS'!$B$31:$B$35</definedName>
    <definedName name="LIST_CNC_EN">'90_LISTS'!$C$31:$C$35</definedName>
    <definedName name="LIST_CNC_HU">'90_LISTS'!$D$31:$D$35</definedName>
    <definedName name="LIST_CNC_TXT">'90_LISTS'!$C$31:$D$35</definedName>
    <definedName name="LIST_EXP_CODE">'90_LISTS'!$B$7:$B$8</definedName>
    <definedName name="LIST_EXP_EN">'90_LISTS'!$C$7:$C$8</definedName>
    <definedName name="LIST_EXP_HU">'90_LISTS'!$D$7:$D$8</definedName>
    <definedName name="LIST_EXP_TXT">'90_LISTS'!$C$7:$D$8</definedName>
    <definedName name="LIST_KIND_CODE">'90_LISTS'!$B$37:$B$38</definedName>
    <definedName name="LIST_KIND_EN">'90_LISTS'!$C$37:$C$38</definedName>
    <definedName name="LIST_KIND_HU">'90_LISTS'!$D$37:$D$38</definedName>
    <definedName name="LIST_KIND_TXT">'90_LISTS'!$C$37:$D$38</definedName>
    <definedName name="LIST_LANGS">'90_LISTS'!$B$4:$B$5</definedName>
    <definedName name="LIST_LANGS_CODE">'90_LISTS'!$B$4:$B$5</definedName>
    <definedName name="LIST_LANGS_EN">'90_LISTS'!$C$4:$C$5</definedName>
    <definedName name="LIST_LANGS_HU">'90_LISTS'!$D$4:$D$5</definedName>
    <definedName name="LIST_LANGS_TXT">'90_LISTS'!$C$4:$D$5</definedName>
    <definedName name="LIST_LINEKEYS_CODE">'90_LISTS'!$B$122:$B$195</definedName>
    <definedName name="LIST_LINEKEYS_F_CODE">'90_LISTS'!$B$197:$B$201</definedName>
    <definedName name="LIST_LINEKEYS_N_CODE">'90_LISTS'!$B$203:$B$209</definedName>
    <definedName name="LIST_MBA_CODE">'90_LISTS'!$B$23:$B$25</definedName>
    <definedName name="LIST_MBA_EN">'90_LISTS'!$C$23:$C$25</definedName>
    <definedName name="LIST_MBA_HU">'90_LISTS'!$D$23:$D$25</definedName>
    <definedName name="LIST_MBA_TXT">'90_LISTS'!$C$23:$D$25</definedName>
    <definedName name="LIST_OBRFIRMTYPE_CODE">'90_LISTS'!$B$102:$B$106</definedName>
    <definedName name="LIST_OBRFIRMTYPE_EN">'90_LISTS'!$C$102:$C$106</definedName>
    <definedName name="LIST_OBRFIRMTYPE_HU">'90_LISTS'!$D$102:$D$106</definedName>
    <definedName name="LIST_OBRFIRMTYPE_TXT">'90_LISTS'!$C$102:$D$106</definedName>
    <definedName name="LIST_OBRLAW_CODE">'90_LISTS'!$B$114:$B$114</definedName>
    <definedName name="LIST_OBRLAW_EN">'90_LISTS'!$C$114:$C$114</definedName>
    <definedName name="LIST_OBRLAW_HU">'90_LISTS'!$D$114:$D$114</definedName>
    <definedName name="LIST_OBRLAW_TXT">'90_LISTS'!$C$114:$D$114</definedName>
    <definedName name="LIST_OBRPATTERN_CODE">'90_LISTS'!$B$118:$B$118</definedName>
    <definedName name="LIST_OBRPATTERN_EN">'90_LISTS'!$C$118:$C$118</definedName>
    <definedName name="LIST_OBRPATTERN_HU">'90_LISTS'!$D$118:$D$118</definedName>
    <definedName name="LIST_OBRPATTERN_TXT">'90_LISTS'!$C$118:$D$118</definedName>
    <definedName name="LIST_OBRREASON_CODE">'90_LISTS'!$B$108:$B$112</definedName>
    <definedName name="LIST_OBRREASON_EN">'90_LISTS'!$C$108:$C$112</definedName>
    <definedName name="LIST_OBRREASON_HU">'90_LISTS'!$D$108:$D$112</definedName>
    <definedName name="LIST_OBRREASON_TXT">'90_LISTS'!$C$108:$D$112</definedName>
    <definedName name="LIST_OBRREPTYPE_CODE">'90_LISTS'!$B$116:$B$116</definedName>
    <definedName name="LIST_OBRREPTYPE_EN">'90_LISTS'!$C$116:$C$116</definedName>
    <definedName name="LIST_OBRREPTYPE_HU">'90_LISTS'!$D$116:$D$116</definedName>
    <definedName name="LIST_OBRREPTYPE_TXT">'90_LISTS'!$C$116:$D$116</definedName>
    <definedName name="LIST_OBRUNIT_CODE">'90_LISTS'!$B$97:$B$100</definedName>
    <definedName name="LIST_OBRUNIT_EN">'90_LISTS'!$C$97:$C$100</definedName>
    <definedName name="LIST_OBRUNIT_HU">'90_LISTS'!$D$97:$D$100</definedName>
    <definedName name="LIST_OBRUNIT_TXT">'90_LISTS'!$C$97:$D$100</definedName>
    <definedName name="LIST_OBRVAR_CODE">'90_LISTS'!$B$120:$B$120</definedName>
    <definedName name="LIST_OBRVAR_EN">'90_LISTS'!$C$120:$C$120</definedName>
    <definedName name="LIST_OBRVAR_HU">'90_LISTS'!$D$120:$D$120</definedName>
    <definedName name="LIST_OBRVAR_TXT">'90_LISTS'!$C$120:$D$120</definedName>
    <definedName name="LIST_PER_CODE">'90_LISTS'!$B$27:$B$29</definedName>
    <definedName name="LIST_PER_EN">'90_LISTS'!$C$27:$C$29</definedName>
    <definedName name="LIST_PER_HU">'90_LISTS'!$D$27:$D$29</definedName>
    <definedName name="LIST_PER_TXT">'90_LISTS'!$C$27:$D$29</definedName>
    <definedName name="LIST_RECLASS_CODE">'90_LISTS'!$B$40:$B$41</definedName>
    <definedName name="LIST_RECLASS_EN">'90_LISTS'!$C$40:$C$41</definedName>
    <definedName name="LIST_RECLASS_HU">'90_LISTS'!$D$40:$D$41</definedName>
    <definedName name="LIST_RECLASS_TXT">'90_LISTS'!$C$40:$D$41</definedName>
    <definedName name="LIST_SCE_CODE">'90_LISTS'!$B$43:$B$46</definedName>
    <definedName name="LIST_SCE_EN">'90_LISTS'!$C$43:$C$46</definedName>
    <definedName name="LIST_SCE_HU">'90_LISTS'!$D$43:$D$46</definedName>
    <definedName name="LIST_SCE_TXT">'90_LISTS'!$C$43:$D$46</definedName>
    <definedName name="LIST_STMT_CODE">'90_LISTS'!$B$13:$B$15</definedName>
    <definedName name="LIST_STMT_EN">'90_LISTS'!$C$13:$C$15</definedName>
    <definedName name="LIST_STMT_HU">'90_LISTS'!$D$13:$D$15</definedName>
    <definedName name="LIST_STMT_TXT">'90_LISTS'!$C$13:$D$15</definedName>
    <definedName name="LIST_SUBT_CODE">'90_LISTS'!$B$87:$B$91</definedName>
    <definedName name="LIST_SUBT_EN">'90_LISTS'!$C$87:$C$91</definedName>
    <definedName name="LIST_SUBT_HU">'90_LISTS'!$D$87:$D$91</definedName>
    <definedName name="LIST_SUBT_TXT">'90_LISTS'!$C$87:$D$91</definedName>
    <definedName name="LIST_UNIT_CODE">'90_LISTS'!$B$93:$B$95</definedName>
    <definedName name="LIST_UNIT_EN">'90_LISTS'!$C$93:$C$95</definedName>
    <definedName name="LIST_UNIT_HU">'90_LISTS'!$D$93:$D$95</definedName>
    <definedName name="LIST_UNIT_TXT">'90_LISTS'!$C$93:$D$95</definedName>
    <definedName name="LIST_YN_CODE">'90_LISTS'!$B$10:$B$11</definedName>
    <definedName name="LIST_YN_EN">'90_LISTS'!$C$10:$C$11</definedName>
    <definedName name="LIST_YN_HU">'90_LISTS'!$D$10:$D$11</definedName>
    <definedName name="LIST_YN_TXT">'90_LISTS'!$C$10:$D$11</definedName>
    <definedName name="MbaFinance">'00_SETTINGS'!$D$17</definedName>
    <definedName name="MbaInvest">'00_SETTINGS'!$D$16</definedName>
    <definedName name="MPM_CHK">'11_MPM'!$L$5:$L$66</definedName>
    <definedName name="NOTEA_AGREE_CY">'12_NOTES'!$D$14</definedName>
    <definedName name="NOTEA_AGREE_PY">'12_NOTES'!$E$14</definedName>
    <definedName name="_xlnm.Print_Area" localSheetId="0">'00_SETTINGS'!$A$1:$D$35</definedName>
    <definedName name="_xlnm.Print_Area" localSheetId="1">'01_DICT'!$A$1:$G$430</definedName>
    <definedName name="_xlnm.Print_Area" localSheetId="2">'02_COA'!$A$1:$V$300</definedName>
    <definedName name="_xlnm.Print_Area" localSheetId="3">'03_TB'!$A$1:$F$507</definedName>
    <definedName name="_xlnm.Print_Area" localSheetId="4">'04_ADJ'!$A$1:$L$303</definedName>
    <definedName name="_xlnm.Print_Area" localSheetId="5">'05_ENGINE'!$A$1:$W$118</definedName>
    <definedName name="_xlnm.Print_Area" localSheetId="6">'06_SFP'!$A$1:$E$60</definedName>
    <definedName name="_xlnm.Print_Area" localSheetId="7">'07_PL'!$A$1:$E$46</definedName>
    <definedName name="_xlnm.Print_Area" localSheetId="8">'08_OCI'!$A$1:$E$20</definedName>
    <definedName name="_xlnm.Print_Area" localSheetId="9">'09_SCE'!$A$1:$H$29</definedName>
    <definedName name="_xlnm.Print_Area" localSheetId="10">'10_CF'!$A$1:$E$126</definedName>
    <definedName name="_xlnm.Print_Area" localSheetId="11">'11_MPM'!$A$1:$M$66</definedName>
    <definedName name="_xlnm.Print_Area" localSheetId="12">'12_NOTES'!$A$1:$F$62</definedName>
    <definedName name="_xlnm.Print_Area" localSheetId="13">'20_CHECKS'!$A$1:$D$13</definedName>
    <definedName name="_xlnm.Print_Area" localSheetId="15">'30_OBR'!$A$1:$F$48</definedName>
    <definedName name="OBR_ATT_BALANCE">'30_OBR'!$C$43</definedName>
    <definedName name="OBR_ATT_FINANCIALSTATEMENTNOTES">'30_OBR'!$C$45</definedName>
    <definedName name="OBR_ATT_INCOMESTATEMENT">'30_OBR'!$C$44</definedName>
    <definedName name="OBR_ATT_NETINCOMERESOLUTION">'30_OBR'!$C$46</definedName>
    <definedName name="OBR_ATT_UNQUALIFIEDAUDITREPORT">'30_OBR'!$C$47</definedName>
    <definedName name="OBR_EAZON">'30_OBR'!$E$5:$E$48</definedName>
    <definedName name="OBR_ERTEK">'30_OBR'!$C$5:$C$48</definedName>
    <definedName name="OBR_KOD">'30_OBR'!$D$5:$D$48</definedName>
    <definedName name="OBR_ROW_FIRST">'30_OBR'!$E$5</definedName>
    <definedName name="OpDate">'00_SETTINGS'!$C$9</definedName>
    <definedName name="OtherThreshold">'00_SETTINGS'!$C$23</definedName>
    <definedName name="PDF_EREDMENY_UT">'00_SETTINGS'!$C$33</definedName>
    <definedName name="PDF_MERET_KB">'00_SETTINGS'!$C$34</definedName>
    <definedName name="PDF_MERLEG_UT">'00_SETTINGS'!$C$32</definedName>
    <definedName name="PL_EBITDA_CY">'07_PL'!$I$18</definedName>
    <definedName name="PL_EBITDA_PY">'07_PL'!$J$18</definedName>
    <definedName name="PL_OP_CY">'07_PL'!$D$17</definedName>
    <definedName name="PL_OP_PY">'07_PL'!$E$17</definedName>
    <definedName name="PL_PBFIT_CY">'07_PL'!$D$26</definedName>
    <definedName name="PL_PBFIT_PY">'07_PL'!$E$26</definedName>
    <definedName name="PL_PBT_CY">'07_PL'!$D$35</definedName>
    <definedName name="PL_PBT_PY">'07_PL'!$E$35</definedName>
    <definedName name="PL_PROFIT_CY">'07_PL'!$D$44</definedName>
    <definedName name="PL_PROFIT_PY">'07_PL'!$E$44</definedName>
    <definedName name="PyDate">'00_SETTINGS'!$C$8</definedName>
    <definedName name="RepDate">'00_SETTINGS'!$C$7</definedName>
    <definedName name="SCE_CLOSE_TOTAL_CY">'09_SCE'!$H$27</definedName>
    <definedName name="SCE_CLOSE_TOTAL_PY">'09_SCE'!$H$15</definedName>
    <definedName name="SCE_DIV_CY">'09_SCE'!$G$24</definedName>
    <definedName name="SCE_DIV_PY">'09_SCE'!$G$12</definedName>
    <definedName name="SCE_ISSUE_CY">'09_SCE'!$D$23:$E$23</definedName>
    <definedName name="SCE_ISSUE_PY">'09_SCE'!$D$11:$E$11</definedName>
    <definedName name="SCE_RESID_TOTAL">'09_SCE'!$H$29</definedName>
    <definedName name="SFP_DIFF_CY">'06_SFP'!$D$60</definedName>
    <definedName name="SFP_DIFF_PY">'06_SFP'!$E$60</definedName>
    <definedName name="SFP_EQ_CY">'06_SFP'!$D$37</definedName>
    <definedName name="SFP_EQ_PY">'06_SFP'!$E$37</definedName>
    <definedName name="SFP_TOTA_CY">'06_SFP'!$D$29</definedName>
    <definedName name="SFP_TOTA_PY">'06_SFP'!$E$29</definedName>
    <definedName name="SFP_TOTEL_CY">'06_SFP'!$D$58</definedName>
    <definedName name="SFP_TOTEL_PY">'06_SFP'!$E$58</definedName>
    <definedName name="ShowEbitda">'00_SETTINGS'!$D$18</definedName>
    <definedName name="TaxRate">'00_SETTINGS'!$C$22</definedName>
    <definedName name="TB_ACCT">'03_TB'!$A$6:$A$505</definedName>
    <definedName name="TB_CAT">'03_TB'!$H$6:$H$505</definedName>
    <definedName name="TB_CF">'03_TB'!$I$6:$I$505</definedName>
    <definedName name="TB_CHK">'03_TB'!$F$6:$F$505</definedName>
    <definedName name="TB_CY">'03_TB'!$C$6:$C$505</definedName>
    <definedName name="TB_LINEKEY">'03_TB'!$G$6:$G$505</definedName>
    <definedName name="TB_NATKEY">'03_TB'!$J$6:$J$505</definedName>
    <definedName name="TB_OP">'03_TB'!$E$6:$E$505</definedName>
    <definedName name="TB_PY">'03_TB'!$D$6:$D$505</definedName>
    <definedName name="TB_SUM_CY">'03_TB'!$C$507</definedName>
    <definedName name="TB_SUM_OP">'03_TB'!$E$507</definedName>
    <definedName name="TB_SUM_PY">'03_TB'!$D$507</definedName>
    <definedName name="Unit">'00_SETTINGS'!$C$11</definedName>
    <definedName name="UnitLabel">'00_SETTINGS'!$C$12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38" i="16" l="1"/>
  <c r="C37" i="16"/>
  <c r="C36" i="16"/>
  <c r="C35" i="16"/>
  <c r="C34" i="16"/>
  <c r="C33" i="16"/>
  <c r="C32" i="16"/>
  <c r="C31" i="16"/>
  <c r="D30" i="16"/>
  <c r="D29" i="16"/>
  <c r="D25" i="16"/>
  <c r="C24" i="16"/>
  <c r="C23" i="16"/>
  <c r="C22" i="16"/>
  <c r="C21" i="16"/>
  <c r="C7" i="16"/>
  <c r="D209" i="15"/>
  <c r="C209" i="15"/>
  <c r="D208" i="15"/>
  <c r="C208" i="15"/>
  <c r="D207" i="15"/>
  <c r="C207" i="15"/>
  <c r="D206" i="15"/>
  <c r="C206" i="15"/>
  <c r="D205" i="15"/>
  <c r="C205" i="15"/>
  <c r="D204" i="15"/>
  <c r="C204" i="15"/>
  <c r="D203" i="15"/>
  <c r="C203" i="15"/>
  <c r="D201" i="15"/>
  <c r="C201" i="15"/>
  <c r="D200" i="15"/>
  <c r="C200" i="15"/>
  <c r="D199" i="15"/>
  <c r="C199" i="15"/>
  <c r="D198" i="15"/>
  <c r="C198" i="15"/>
  <c r="D197" i="15"/>
  <c r="C197" i="15"/>
  <c r="D195" i="15"/>
  <c r="C195" i="15"/>
  <c r="D194" i="15"/>
  <c r="C194" i="15"/>
  <c r="D193" i="15"/>
  <c r="C193" i="15"/>
  <c r="D192" i="15"/>
  <c r="C192" i="15"/>
  <c r="D191" i="15"/>
  <c r="C191" i="15"/>
  <c r="D190" i="15"/>
  <c r="C190" i="15"/>
  <c r="D189" i="15"/>
  <c r="C189" i="15"/>
  <c r="D188" i="15"/>
  <c r="C188" i="15"/>
  <c r="D187" i="15"/>
  <c r="C187" i="15"/>
  <c r="D186" i="15"/>
  <c r="C186" i="15"/>
  <c r="D185" i="15"/>
  <c r="C185" i="15"/>
  <c r="D184" i="15"/>
  <c r="C184" i="15"/>
  <c r="D183" i="15"/>
  <c r="C183" i="15"/>
  <c r="D182" i="15"/>
  <c r="C182" i="15"/>
  <c r="D181" i="15"/>
  <c r="C181" i="15"/>
  <c r="D180" i="15"/>
  <c r="C180" i="15"/>
  <c r="D179" i="15"/>
  <c r="C179" i="15"/>
  <c r="D178" i="15"/>
  <c r="C178" i="15"/>
  <c r="D177" i="15"/>
  <c r="C177" i="15"/>
  <c r="D176" i="15"/>
  <c r="C176" i="15"/>
  <c r="D175" i="15"/>
  <c r="C175" i="15"/>
  <c r="D174" i="15"/>
  <c r="C174" i="15"/>
  <c r="D173" i="15"/>
  <c r="C173" i="15"/>
  <c r="D172" i="15"/>
  <c r="C172" i="15"/>
  <c r="D171" i="15"/>
  <c r="C171" i="15"/>
  <c r="D170" i="15"/>
  <c r="C170" i="15"/>
  <c r="D169" i="15"/>
  <c r="C169" i="15"/>
  <c r="D168" i="15"/>
  <c r="C168" i="15"/>
  <c r="D167" i="15"/>
  <c r="C167" i="15"/>
  <c r="D166" i="15"/>
  <c r="C166" i="15"/>
  <c r="D165" i="15"/>
  <c r="C165" i="15"/>
  <c r="D164" i="15"/>
  <c r="C164" i="15"/>
  <c r="D163" i="15"/>
  <c r="C163" i="15"/>
  <c r="D162" i="15"/>
  <c r="C162" i="15"/>
  <c r="D161" i="15"/>
  <c r="C161" i="15"/>
  <c r="D160" i="15"/>
  <c r="C160" i="15"/>
  <c r="D159" i="15"/>
  <c r="C159" i="15"/>
  <c r="D158" i="15"/>
  <c r="C158" i="15"/>
  <c r="D157" i="15"/>
  <c r="C157" i="15"/>
  <c r="D156" i="15"/>
  <c r="C156" i="15"/>
  <c r="D155" i="15"/>
  <c r="C155" i="15"/>
  <c r="D154" i="15"/>
  <c r="C154" i="15"/>
  <c r="D153" i="15"/>
  <c r="C153" i="15"/>
  <c r="D152" i="15"/>
  <c r="C152" i="15"/>
  <c r="D151" i="15"/>
  <c r="C151" i="15"/>
  <c r="D150" i="15"/>
  <c r="C150" i="15"/>
  <c r="D149" i="15"/>
  <c r="C149" i="15"/>
  <c r="D148" i="15"/>
  <c r="C148" i="15"/>
  <c r="D147" i="15"/>
  <c r="C147" i="15"/>
  <c r="D146" i="15"/>
  <c r="C146" i="15"/>
  <c r="D145" i="15"/>
  <c r="C145" i="15"/>
  <c r="D144" i="15"/>
  <c r="C144" i="15"/>
  <c r="D143" i="15"/>
  <c r="C143" i="15"/>
  <c r="D142" i="15"/>
  <c r="C142" i="15"/>
  <c r="D141" i="15"/>
  <c r="C141" i="15"/>
  <c r="D140" i="15"/>
  <c r="C140" i="15"/>
  <c r="D139" i="15"/>
  <c r="C139" i="15"/>
  <c r="D138" i="15"/>
  <c r="C138" i="15"/>
  <c r="D137" i="15"/>
  <c r="C137" i="15"/>
  <c r="D136" i="15"/>
  <c r="C136" i="15"/>
  <c r="D135" i="15"/>
  <c r="C135" i="15"/>
  <c r="D134" i="15"/>
  <c r="C134" i="15"/>
  <c r="D133" i="15"/>
  <c r="C133" i="15"/>
  <c r="D132" i="15"/>
  <c r="C132" i="15"/>
  <c r="D131" i="15"/>
  <c r="C131" i="15"/>
  <c r="D130" i="15"/>
  <c r="C130" i="15"/>
  <c r="D129" i="15"/>
  <c r="C129" i="15"/>
  <c r="D128" i="15"/>
  <c r="C128" i="15"/>
  <c r="D127" i="15"/>
  <c r="C127" i="15"/>
  <c r="D126" i="15"/>
  <c r="C126" i="15"/>
  <c r="D125" i="15"/>
  <c r="C125" i="15"/>
  <c r="D124" i="15"/>
  <c r="C124" i="15"/>
  <c r="D123" i="15"/>
  <c r="C123" i="15"/>
  <c r="D122" i="15"/>
  <c r="C122" i="15"/>
  <c r="D13" i="14"/>
  <c r="D12" i="14"/>
  <c r="D11" i="14"/>
  <c r="D10" i="14"/>
  <c r="D9" i="14"/>
  <c r="D8" i="14"/>
  <c r="D7" i="14"/>
  <c r="D6" i="14"/>
  <c r="D5" i="14"/>
  <c r="D4" i="14"/>
  <c r="B60" i="13"/>
  <c r="B56" i="13"/>
  <c r="B52" i="13"/>
  <c r="D36" i="13"/>
  <c r="D35" i="13"/>
  <c r="D4" i="13"/>
  <c r="B2" i="13"/>
  <c r="B66" i="12"/>
  <c r="K64" i="12"/>
  <c r="I63" i="12"/>
  <c r="H63" i="12"/>
  <c r="F63" i="12"/>
  <c r="E63" i="12"/>
  <c r="B62" i="12"/>
  <c r="B61" i="12"/>
  <c r="B60" i="12"/>
  <c r="B59" i="12"/>
  <c r="B58" i="12"/>
  <c r="B57" i="12"/>
  <c r="G56" i="12"/>
  <c r="G63" i="12" s="1"/>
  <c r="B56" i="12"/>
  <c r="D55" i="12"/>
  <c r="K53" i="12"/>
  <c r="D56" i="12" s="1"/>
  <c r="D63" i="12" s="1"/>
  <c r="K51" i="12"/>
  <c r="L66" i="12" s="1"/>
  <c r="K50" i="12"/>
  <c r="K49" i="12"/>
  <c r="B48" i="12"/>
  <c r="B45" i="12"/>
  <c r="K43" i="12"/>
  <c r="I42" i="12"/>
  <c r="H42" i="12"/>
  <c r="G42" i="12"/>
  <c r="F42" i="12"/>
  <c r="E42" i="12"/>
  <c r="B41" i="12"/>
  <c r="B40" i="12"/>
  <c r="B39" i="12"/>
  <c r="B38" i="12"/>
  <c r="B37" i="12"/>
  <c r="B36" i="12"/>
  <c r="G35" i="12"/>
  <c r="D35" i="12"/>
  <c r="D42" i="12" s="1"/>
  <c r="B35" i="12"/>
  <c r="D34" i="12"/>
  <c r="K32" i="12"/>
  <c r="K30" i="12"/>
  <c r="K29" i="12"/>
  <c r="L45" i="12" s="1"/>
  <c r="K28" i="12"/>
  <c r="B27" i="12"/>
  <c r="K22" i="12"/>
  <c r="I21" i="12"/>
  <c r="F21" i="12"/>
  <c r="E21" i="12"/>
  <c r="B20" i="12"/>
  <c r="B19" i="12"/>
  <c r="B18" i="12"/>
  <c r="B17" i="12"/>
  <c r="B16" i="12"/>
  <c r="H15" i="12"/>
  <c r="H21" i="12" s="1"/>
  <c r="E15" i="12"/>
  <c r="B15" i="12"/>
  <c r="B14" i="12"/>
  <c r="D13" i="12"/>
  <c r="K11" i="12"/>
  <c r="K9" i="12"/>
  <c r="K8" i="12"/>
  <c r="K7" i="12"/>
  <c r="B6" i="12"/>
  <c r="B2" i="12"/>
  <c r="B105" i="11"/>
  <c r="E39" i="11"/>
  <c r="D39" i="11"/>
  <c r="E29" i="11"/>
  <c r="D29" i="11"/>
  <c r="E28" i="11"/>
  <c r="D28" i="11"/>
  <c r="E27" i="11"/>
  <c r="D27" i="11"/>
  <c r="D4" i="11"/>
  <c r="B2" i="11"/>
  <c r="H25" i="10"/>
  <c r="H24" i="10"/>
  <c r="E22" i="10"/>
  <c r="D22" i="10"/>
  <c r="B17" i="10"/>
  <c r="H13" i="10"/>
  <c r="H12" i="10"/>
  <c r="E10" i="10"/>
  <c r="D10" i="10"/>
  <c r="B2" i="10"/>
  <c r="D4" i="9"/>
  <c r="B2" i="9"/>
  <c r="D4" i="8"/>
  <c r="B2" i="8"/>
  <c r="D4" i="7"/>
  <c r="B2" i="7"/>
  <c r="B118" i="6"/>
  <c r="B117" i="6"/>
  <c r="B116" i="6"/>
  <c r="B115" i="6"/>
  <c r="B114" i="6"/>
  <c r="B113" i="6"/>
  <c r="B112" i="6"/>
  <c r="B111" i="6"/>
  <c r="B110"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P3" i="6"/>
  <c r="M3" i="6"/>
  <c r="L303" i="5"/>
  <c r="K303" i="5"/>
  <c r="J303" i="5"/>
  <c r="I303" i="5"/>
  <c r="H303" i="5"/>
  <c r="C303" i="5"/>
  <c r="L302" i="5"/>
  <c r="K302" i="5"/>
  <c r="J302" i="5"/>
  <c r="I302" i="5"/>
  <c r="H302" i="5"/>
  <c r="C302" i="5"/>
  <c r="L301" i="5"/>
  <c r="K301" i="5"/>
  <c r="J301" i="5"/>
  <c r="I301" i="5"/>
  <c r="H301" i="5"/>
  <c r="C301" i="5"/>
  <c r="L300" i="5"/>
  <c r="K300" i="5"/>
  <c r="J300" i="5"/>
  <c r="I300" i="5"/>
  <c r="H300" i="5"/>
  <c r="C300" i="5"/>
  <c r="L299" i="5"/>
  <c r="K299" i="5"/>
  <c r="J299" i="5"/>
  <c r="I299" i="5"/>
  <c r="H299" i="5"/>
  <c r="C299" i="5"/>
  <c r="L298" i="5"/>
  <c r="K298" i="5"/>
  <c r="J298" i="5"/>
  <c r="I298" i="5"/>
  <c r="H298" i="5"/>
  <c r="C298" i="5"/>
  <c r="L297" i="5"/>
  <c r="K297" i="5"/>
  <c r="J297" i="5"/>
  <c r="I297" i="5"/>
  <c r="H297" i="5"/>
  <c r="C297" i="5"/>
  <c r="L296" i="5"/>
  <c r="K296" i="5"/>
  <c r="J296" i="5"/>
  <c r="I296" i="5"/>
  <c r="H296" i="5"/>
  <c r="C296" i="5"/>
  <c r="L295" i="5"/>
  <c r="K295" i="5"/>
  <c r="J295" i="5"/>
  <c r="I295" i="5"/>
  <c r="H295" i="5"/>
  <c r="C295" i="5"/>
  <c r="L294" i="5"/>
  <c r="K294" i="5"/>
  <c r="J294" i="5"/>
  <c r="I294" i="5"/>
  <c r="H294" i="5"/>
  <c r="C294" i="5"/>
  <c r="L293" i="5"/>
  <c r="K293" i="5"/>
  <c r="J293" i="5"/>
  <c r="I293" i="5"/>
  <c r="H293" i="5"/>
  <c r="C293" i="5"/>
  <c r="L292" i="5"/>
  <c r="K292" i="5"/>
  <c r="J292" i="5"/>
  <c r="I292" i="5"/>
  <c r="H292" i="5"/>
  <c r="C292" i="5"/>
  <c r="L291" i="5"/>
  <c r="K291" i="5"/>
  <c r="J291" i="5"/>
  <c r="I291" i="5"/>
  <c r="H291" i="5"/>
  <c r="C291" i="5"/>
  <c r="L290" i="5"/>
  <c r="K290" i="5"/>
  <c r="J290" i="5"/>
  <c r="I290" i="5"/>
  <c r="H290" i="5"/>
  <c r="C290" i="5"/>
  <c r="L289" i="5"/>
  <c r="K289" i="5"/>
  <c r="J289" i="5"/>
  <c r="I289" i="5"/>
  <c r="H289" i="5"/>
  <c r="C289" i="5"/>
  <c r="L288" i="5"/>
  <c r="K288" i="5"/>
  <c r="J288" i="5"/>
  <c r="I288" i="5"/>
  <c r="H288" i="5"/>
  <c r="C288" i="5"/>
  <c r="L287" i="5"/>
  <c r="K287" i="5"/>
  <c r="J287" i="5"/>
  <c r="I287" i="5"/>
  <c r="H287" i="5"/>
  <c r="C287" i="5"/>
  <c r="L286" i="5"/>
  <c r="K286" i="5"/>
  <c r="J286" i="5"/>
  <c r="I286" i="5"/>
  <c r="H286" i="5"/>
  <c r="C286" i="5"/>
  <c r="L285" i="5"/>
  <c r="K285" i="5"/>
  <c r="J285" i="5"/>
  <c r="I285" i="5"/>
  <c r="H285" i="5"/>
  <c r="C285" i="5"/>
  <c r="L284" i="5"/>
  <c r="K284" i="5"/>
  <c r="J284" i="5"/>
  <c r="I284" i="5"/>
  <c r="H284" i="5"/>
  <c r="C284" i="5"/>
  <c r="L283" i="5"/>
  <c r="K283" i="5"/>
  <c r="J283" i="5"/>
  <c r="I283" i="5"/>
  <c r="H283" i="5"/>
  <c r="C283" i="5"/>
  <c r="L282" i="5"/>
  <c r="K282" i="5"/>
  <c r="J282" i="5"/>
  <c r="I282" i="5"/>
  <c r="H282" i="5"/>
  <c r="C282" i="5"/>
  <c r="L281" i="5"/>
  <c r="K281" i="5"/>
  <c r="J281" i="5"/>
  <c r="I281" i="5"/>
  <c r="H281" i="5"/>
  <c r="C281" i="5"/>
  <c r="L280" i="5"/>
  <c r="K280" i="5"/>
  <c r="J280" i="5"/>
  <c r="I280" i="5"/>
  <c r="H280" i="5"/>
  <c r="C280" i="5"/>
  <c r="L279" i="5"/>
  <c r="K279" i="5"/>
  <c r="J279" i="5"/>
  <c r="I279" i="5"/>
  <c r="H279" i="5"/>
  <c r="C279" i="5"/>
  <c r="L278" i="5"/>
  <c r="K278" i="5"/>
  <c r="J278" i="5"/>
  <c r="I278" i="5"/>
  <c r="H278" i="5"/>
  <c r="C278" i="5"/>
  <c r="L277" i="5"/>
  <c r="K277" i="5"/>
  <c r="J277" i="5"/>
  <c r="I277" i="5"/>
  <c r="H277" i="5"/>
  <c r="C277" i="5"/>
  <c r="L276" i="5"/>
  <c r="K276" i="5"/>
  <c r="J276" i="5"/>
  <c r="I276" i="5"/>
  <c r="H276" i="5"/>
  <c r="C276" i="5"/>
  <c r="L275" i="5"/>
  <c r="K275" i="5"/>
  <c r="J275" i="5"/>
  <c r="I275" i="5"/>
  <c r="H275" i="5"/>
  <c r="C275" i="5"/>
  <c r="L274" i="5"/>
  <c r="K274" i="5"/>
  <c r="J274" i="5"/>
  <c r="I274" i="5"/>
  <c r="H274" i="5"/>
  <c r="C274" i="5"/>
  <c r="L273" i="5"/>
  <c r="K273" i="5"/>
  <c r="J273" i="5"/>
  <c r="I273" i="5"/>
  <c r="H273" i="5"/>
  <c r="C273" i="5"/>
  <c r="L272" i="5"/>
  <c r="K272" i="5"/>
  <c r="J272" i="5"/>
  <c r="I272" i="5"/>
  <c r="H272" i="5"/>
  <c r="C272" i="5"/>
  <c r="L271" i="5"/>
  <c r="K271" i="5"/>
  <c r="J271" i="5"/>
  <c r="I271" i="5"/>
  <c r="H271" i="5"/>
  <c r="C271" i="5"/>
  <c r="L270" i="5"/>
  <c r="K270" i="5"/>
  <c r="J270" i="5"/>
  <c r="I270" i="5"/>
  <c r="H270" i="5"/>
  <c r="C270" i="5"/>
  <c r="L269" i="5"/>
  <c r="K269" i="5"/>
  <c r="J269" i="5"/>
  <c r="I269" i="5"/>
  <c r="H269" i="5"/>
  <c r="C269" i="5"/>
  <c r="L268" i="5"/>
  <c r="K268" i="5"/>
  <c r="J268" i="5"/>
  <c r="I268" i="5"/>
  <c r="H268" i="5"/>
  <c r="C268" i="5"/>
  <c r="L267" i="5"/>
  <c r="K267" i="5"/>
  <c r="J267" i="5"/>
  <c r="I267" i="5"/>
  <c r="H267" i="5"/>
  <c r="C267" i="5"/>
  <c r="L266" i="5"/>
  <c r="K266" i="5"/>
  <c r="J266" i="5"/>
  <c r="I266" i="5"/>
  <c r="H266" i="5"/>
  <c r="C266" i="5"/>
  <c r="L265" i="5"/>
  <c r="K265" i="5"/>
  <c r="J265" i="5"/>
  <c r="I265" i="5"/>
  <c r="H265" i="5"/>
  <c r="C265" i="5"/>
  <c r="L264" i="5"/>
  <c r="K264" i="5"/>
  <c r="J264" i="5"/>
  <c r="I264" i="5"/>
  <c r="H264" i="5"/>
  <c r="C264" i="5"/>
  <c r="L263" i="5"/>
  <c r="K263" i="5"/>
  <c r="J263" i="5"/>
  <c r="I263" i="5"/>
  <c r="H263" i="5"/>
  <c r="C263" i="5"/>
  <c r="L262" i="5"/>
  <c r="K262" i="5"/>
  <c r="J262" i="5"/>
  <c r="I262" i="5"/>
  <c r="H262" i="5"/>
  <c r="C262" i="5"/>
  <c r="L261" i="5"/>
  <c r="K261" i="5"/>
  <c r="J261" i="5"/>
  <c r="I261" i="5"/>
  <c r="H261" i="5"/>
  <c r="C261" i="5"/>
  <c r="L260" i="5"/>
  <c r="K260" i="5"/>
  <c r="J260" i="5"/>
  <c r="I260" i="5"/>
  <c r="H260" i="5"/>
  <c r="C260" i="5"/>
  <c r="L259" i="5"/>
  <c r="K259" i="5"/>
  <c r="J259" i="5"/>
  <c r="I259" i="5"/>
  <c r="H259" i="5"/>
  <c r="C259" i="5"/>
  <c r="L258" i="5"/>
  <c r="K258" i="5"/>
  <c r="J258" i="5"/>
  <c r="I258" i="5"/>
  <c r="H258" i="5"/>
  <c r="C258" i="5"/>
  <c r="L257" i="5"/>
  <c r="K257" i="5"/>
  <c r="J257" i="5"/>
  <c r="I257" i="5"/>
  <c r="H257" i="5"/>
  <c r="C257" i="5"/>
  <c r="L256" i="5"/>
  <c r="K256" i="5"/>
  <c r="J256" i="5"/>
  <c r="I256" i="5"/>
  <c r="H256" i="5"/>
  <c r="C256" i="5"/>
  <c r="L255" i="5"/>
  <c r="K255" i="5"/>
  <c r="J255" i="5"/>
  <c r="I255" i="5"/>
  <c r="H255" i="5"/>
  <c r="C255" i="5"/>
  <c r="L254" i="5"/>
  <c r="K254" i="5"/>
  <c r="J254" i="5"/>
  <c r="I254" i="5"/>
  <c r="H254" i="5"/>
  <c r="C254" i="5"/>
  <c r="L253" i="5"/>
  <c r="K253" i="5"/>
  <c r="J253" i="5"/>
  <c r="I253" i="5"/>
  <c r="H253" i="5"/>
  <c r="C253" i="5"/>
  <c r="L252" i="5"/>
  <c r="K252" i="5"/>
  <c r="J252" i="5"/>
  <c r="I252" i="5"/>
  <c r="H252" i="5"/>
  <c r="C252" i="5"/>
  <c r="L251" i="5"/>
  <c r="K251" i="5"/>
  <c r="J251" i="5"/>
  <c r="I251" i="5"/>
  <c r="H251" i="5"/>
  <c r="C251" i="5"/>
  <c r="L250" i="5"/>
  <c r="K250" i="5"/>
  <c r="J250" i="5"/>
  <c r="I250" i="5"/>
  <c r="H250" i="5"/>
  <c r="C250" i="5"/>
  <c r="L249" i="5"/>
  <c r="K249" i="5"/>
  <c r="J249" i="5"/>
  <c r="I249" i="5"/>
  <c r="H249" i="5"/>
  <c r="C249" i="5"/>
  <c r="L248" i="5"/>
  <c r="K248" i="5"/>
  <c r="J248" i="5"/>
  <c r="I248" i="5"/>
  <c r="H248" i="5"/>
  <c r="C248" i="5"/>
  <c r="L247" i="5"/>
  <c r="K247" i="5"/>
  <c r="J247" i="5"/>
  <c r="I247" i="5"/>
  <c r="H247" i="5"/>
  <c r="C247" i="5"/>
  <c r="L246" i="5"/>
  <c r="K246" i="5"/>
  <c r="J246" i="5"/>
  <c r="I246" i="5"/>
  <c r="H246" i="5"/>
  <c r="C246" i="5"/>
  <c r="L245" i="5"/>
  <c r="K245" i="5"/>
  <c r="J245" i="5"/>
  <c r="I245" i="5"/>
  <c r="H245" i="5"/>
  <c r="C245" i="5"/>
  <c r="L244" i="5"/>
  <c r="K244" i="5"/>
  <c r="J244" i="5"/>
  <c r="I244" i="5"/>
  <c r="H244" i="5"/>
  <c r="C244" i="5"/>
  <c r="L243" i="5"/>
  <c r="K243" i="5"/>
  <c r="J243" i="5"/>
  <c r="I243" i="5"/>
  <c r="H243" i="5"/>
  <c r="C243" i="5"/>
  <c r="L242" i="5"/>
  <c r="K242" i="5"/>
  <c r="J242" i="5"/>
  <c r="I242" i="5"/>
  <c r="H242" i="5"/>
  <c r="C242" i="5"/>
  <c r="L241" i="5"/>
  <c r="K241" i="5"/>
  <c r="J241" i="5"/>
  <c r="I241" i="5"/>
  <c r="H241" i="5"/>
  <c r="C241" i="5"/>
  <c r="L240" i="5"/>
  <c r="K240" i="5"/>
  <c r="J240" i="5"/>
  <c r="I240" i="5"/>
  <c r="H240" i="5"/>
  <c r="C240" i="5"/>
  <c r="L239" i="5"/>
  <c r="K239" i="5"/>
  <c r="J239" i="5"/>
  <c r="I239" i="5"/>
  <c r="H239" i="5"/>
  <c r="C239" i="5"/>
  <c r="L238" i="5"/>
  <c r="K238" i="5"/>
  <c r="J238" i="5"/>
  <c r="I238" i="5"/>
  <c r="H238" i="5"/>
  <c r="C238" i="5"/>
  <c r="L237" i="5"/>
  <c r="K237" i="5"/>
  <c r="J237" i="5"/>
  <c r="I237" i="5"/>
  <c r="H237" i="5"/>
  <c r="C237" i="5"/>
  <c r="L236" i="5"/>
  <c r="K236" i="5"/>
  <c r="J236" i="5"/>
  <c r="I236" i="5"/>
  <c r="H236" i="5"/>
  <c r="C236" i="5"/>
  <c r="L235" i="5"/>
  <c r="K235" i="5"/>
  <c r="J235" i="5"/>
  <c r="I235" i="5"/>
  <c r="H235" i="5"/>
  <c r="C235" i="5"/>
  <c r="L234" i="5"/>
  <c r="K234" i="5"/>
  <c r="J234" i="5"/>
  <c r="I234" i="5"/>
  <c r="H234" i="5"/>
  <c r="C234" i="5"/>
  <c r="L233" i="5"/>
  <c r="K233" i="5"/>
  <c r="J233" i="5"/>
  <c r="I233" i="5"/>
  <c r="H233" i="5"/>
  <c r="C233" i="5"/>
  <c r="L232" i="5"/>
  <c r="K232" i="5"/>
  <c r="J232" i="5"/>
  <c r="I232" i="5"/>
  <c r="H232" i="5"/>
  <c r="C232" i="5"/>
  <c r="L231" i="5"/>
  <c r="K231" i="5"/>
  <c r="J231" i="5"/>
  <c r="I231" i="5"/>
  <c r="H231" i="5"/>
  <c r="C231" i="5"/>
  <c r="L230" i="5"/>
  <c r="K230" i="5"/>
  <c r="J230" i="5"/>
  <c r="I230" i="5"/>
  <c r="H230" i="5"/>
  <c r="C230" i="5"/>
  <c r="L229" i="5"/>
  <c r="K229" i="5"/>
  <c r="J229" i="5"/>
  <c r="I229" i="5"/>
  <c r="H229" i="5"/>
  <c r="C229" i="5"/>
  <c r="L228" i="5"/>
  <c r="K228" i="5"/>
  <c r="J228" i="5"/>
  <c r="I228" i="5"/>
  <c r="H228" i="5"/>
  <c r="C228" i="5"/>
  <c r="L227" i="5"/>
  <c r="K227" i="5"/>
  <c r="J227" i="5"/>
  <c r="I227" i="5"/>
  <c r="H227" i="5"/>
  <c r="C227" i="5"/>
  <c r="L226" i="5"/>
  <c r="K226" i="5"/>
  <c r="J226" i="5"/>
  <c r="I226" i="5"/>
  <c r="H226" i="5"/>
  <c r="C226" i="5"/>
  <c r="L225" i="5"/>
  <c r="K225" i="5"/>
  <c r="J225" i="5"/>
  <c r="I225" i="5"/>
  <c r="H225" i="5"/>
  <c r="C225" i="5"/>
  <c r="L224" i="5"/>
  <c r="K224" i="5"/>
  <c r="J224" i="5"/>
  <c r="I224" i="5"/>
  <c r="H224" i="5"/>
  <c r="C224" i="5"/>
  <c r="L223" i="5"/>
  <c r="K223" i="5"/>
  <c r="J223" i="5"/>
  <c r="I223" i="5"/>
  <c r="H223" i="5"/>
  <c r="C223" i="5"/>
  <c r="L222" i="5"/>
  <c r="K222" i="5"/>
  <c r="J222" i="5"/>
  <c r="I222" i="5"/>
  <c r="H222" i="5"/>
  <c r="C222" i="5"/>
  <c r="L221" i="5"/>
  <c r="K221" i="5"/>
  <c r="J221" i="5"/>
  <c r="I221" i="5"/>
  <c r="H221" i="5"/>
  <c r="C221" i="5"/>
  <c r="L220" i="5"/>
  <c r="K220" i="5"/>
  <c r="J220" i="5"/>
  <c r="I220" i="5"/>
  <c r="H220" i="5"/>
  <c r="C220" i="5"/>
  <c r="L219" i="5"/>
  <c r="K219" i="5"/>
  <c r="J219" i="5"/>
  <c r="I219" i="5"/>
  <c r="H219" i="5"/>
  <c r="C219" i="5"/>
  <c r="L218" i="5"/>
  <c r="K218" i="5"/>
  <c r="J218" i="5"/>
  <c r="I218" i="5"/>
  <c r="H218" i="5"/>
  <c r="C218" i="5"/>
  <c r="L217" i="5"/>
  <c r="K217" i="5"/>
  <c r="J217" i="5"/>
  <c r="I217" i="5"/>
  <c r="H217" i="5"/>
  <c r="C217" i="5"/>
  <c r="L216" i="5"/>
  <c r="K216" i="5"/>
  <c r="J216" i="5"/>
  <c r="I216" i="5"/>
  <c r="H216" i="5"/>
  <c r="C216" i="5"/>
  <c r="L215" i="5"/>
  <c r="K215" i="5"/>
  <c r="J215" i="5"/>
  <c r="I215" i="5"/>
  <c r="H215" i="5"/>
  <c r="C215" i="5"/>
  <c r="L214" i="5"/>
  <c r="K214" i="5"/>
  <c r="J214" i="5"/>
  <c r="I214" i="5"/>
  <c r="H214" i="5"/>
  <c r="C214" i="5"/>
  <c r="L213" i="5"/>
  <c r="K213" i="5"/>
  <c r="J213" i="5"/>
  <c r="I213" i="5"/>
  <c r="H213" i="5"/>
  <c r="C213" i="5"/>
  <c r="L212" i="5"/>
  <c r="K212" i="5"/>
  <c r="J212" i="5"/>
  <c r="I212" i="5"/>
  <c r="H212" i="5"/>
  <c r="C212" i="5"/>
  <c r="L211" i="5"/>
  <c r="K211" i="5"/>
  <c r="J211" i="5"/>
  <c r="I211" i="5"/>
  <c r="H211" i="5"/>
  <c r="C211" i="5"/>
  <c r="L210" i="5"/>
  <c r="K210" i="5"/>
  <c r="J210" i="5"/>
  <c r="I210" i="5"/>
  <c r="H210" i="5"/>
  <c r="C210" i="5"/>
  <c r="L209" i="5"/>
  <c r="K209" i="5"/>
  <c r="J209" i="5"/>
  <c r="I209" i="5"/>
  <c r="H209" i="5"/>
  <c r="C209" i="5"/>
  <c r="L208" i="5"/>
  <c r="K208" i="5"/>
  <c r="J208" i="5"/>
  <c r="I208" i="5"/>
  <c r="H208" i="5"/>
  <c r="C208" i="5"/>
  <c r="L207" i="5"/>
  <c r="K207" i="5"/>
  <c r="J207" i="5"/>
  <c r="I207" i="5"/>
  <c r="H207" i="5"/>
  <c r="C207" i="5"/>
  <c r="L206" i="5"/>
  <c r="K206" i="5"/>
  <c r="J206" i="5"/>
  <c r="I206" i="5"/>
  <c r="H206" i="5"/>
  <c r="C206" i="5"/>
  <c r="L205" i="5"/>
  <c r="K205" i="5"/>
  <c r="J205" i="5"/>
  <c r="I205" i="5"/>
  <c r="H205" i="5"/>
  <c r="C205" i="5"/>
  <c r="L204" i="5"/>
  <c r="K204" i="5"/>
  <c r="J204" i="5"/>
  <c r="I204" i="5"/>
  <c r="H204" i="5"/>
  <c r="C204" i="5"/>
  <c r="L203" i="5"/>
  <c r="K203" i="5"/>
  <c r="J203" i="5"/>
  <c r="I203" i="5"/>
  <c r="H203" i="5"/>
  <c r="C203" i="5"/>
  <c r="L202" i="5"/>
  <c r="K202" i="5"/>
  <c r="J202" i="5"/>
  <c r="I202" i="5"/>
  <c r="H202" i="5"/>
  <c r="C202" i="5"/>
  <c r="L201" i="5"/>
  <c r="K201" i="5"/>
  <c r="J201" i="5"/>
  <c r="I201" i="5"/>
  <c r="H201" i="5"/>
  <c r="C201" i="5"/>
  <c r="L200" i="5"/>
  <c r="K200" i="5"/>
  <c r="J200" i="5"/>
  <c r="I200" i="5"/>
  <c r="H200" i="5"/>
  <c r="C200" i="5"/>
  <c r="L199" i="5"/>
  <c r="K199" i="5"/>
  <c r="J199" i="5"/>
  <c r="I199" i="5"/>
  <c r="H199" i="5"/>
  <c r="C199" i="5"/>
  <c r="L198" i="5"/>
  <c r="K198" i="5"/>
  <c r="J198" i="5"/>
  <c r="I198" i="5"/>
  <c r="H198" i="5"/>
  <c r="C198" i="5"/>
  <c r="L197" i="5"/>
  <c r="K197" i="5"/>
  <c r="J197" i="5"/>
  <c r="I197" i="5"/>
  <c r="H197" i="5"/>
  <c r="C197" i="5"/>
  <c r="L196" i="5"/>
  <c r="K196" i="5"/>
  <c r="J196" i="5"/>
  <c r="I196" i="5"/>
  <c r="H196" i="5"/>
  <c r="C196" i="5"/>
  <c r="L195" i="5"/>
  <c r="K195" i="5"/>
  <c r="J195" i="5"/>
  <c r="I195" i="5"/>
  <c r="H195" i="5"/>
  <c r="C195" i="5"/>
  <c r="L194" i="5"/>
  <c r="K194" i="5"/>
  <c r="J194" i="5"/>
  <c r="I194" i="5"/>
  <c r="H194" i="5"/>
  <c r="C194" i="5"/>
  <c r="L193" i="5"/>
  <c r="K193" i="5"/>
  <c r="J193" i="5"/>
  <c r="I193" i="5"/>
  <c r="H193" i="5"/>
  <c r="C193" i="5"/>
  <c r="L192" i="5"/>
  <c r="K192" i="5"/>
  <c r="J192" i="5"/>
  <c r="I192" i="5"/>
  <c r="H192" i="5"/>
  <c r="C192" i="5"/>
  <c r="L191" i="5"/>
  <c r="K191" i="5"/>
  <c r="J191" i="5"/>
  <c r="I191" i="5"/>
  <c r="H191" i="5"/>
  <c r="C191" i="5"/>
  <c r="L190" i="5"/>
  <c r="K190" i="5"/>
  <c r="J190" i="5"/>
  <c r="I190" i="5"/>
  <c r="H190" i="5"/>
  <c r="C190" i="5"/>
  <c r="L189" i="5"/>
  <c r="K189" i="5"/>
  <c r="J189" i="5"/>
  <c r="I189" i="5"/>
  <c r="H189" i="5"/>
  <c r="C189" i="5"/>
  <c r="L188" i="5"/>
  <c r="K188" i="5"/>
  <c r="J188" i="5"/>
  <c r="I188" i="5"/>
  <c r="H188" i="5"/>
  <c r="C188" i="5"/>
  <c r="L187" i="5"/>
  <c r="K187" i="5"/>
  <c r="J187" i="5"/>
  <c r="I187" i="5"/>
  <c r="H187" i="5"/>
  <c r="C187" i="5"/>
  <c r="L186" i="5"/>
  <c r="K186" i="5"/>
  <c r="J186" i="5"/>
  <c r="I186" i="5"/>
  <c r="H186" i="5"/>
  <c r="C186" i="5"/>
  <c r="L185" i="5"/>
  <c r="K185" i="5"/>
  <c r="J185" i="5"/>
  <c r="I185" i="5"/>
  <c r="H185" i="5"/>
  <c r="C185" i="5"/>
  <c r="L184" i="5"/>
  <c r="K184" i="5"/>
  <c r="J184" i="5"/>
  <c r="I184" i="5"/>
  <c r="H184" i="5"/>
  <c r="C184" i="5"/>
  <c r="L183" i="5"/>
  <c r="K183" i="5"/>
  <c r="J183" i="5"/>
  <c r="I183" i="5"/>
  <c r="H183" i="5"/>
  <c r="C183" i="5"/>
  <c r="L182" i="5"/>
  <c r="K182" i="5"/>
  <c r="J182" i="5"/>
  <c r="I182" i="5"/>
  <c r="H182" i="5"/>
  <c r="C182" i="5"/>
  <c r="L181" i="5"/>
  <c r="K181" i="5"/>
  <c r="J181" i="5"/>
  <c r="I181" i="5"/>
  <c r="H181" i="5"/>
  <c r="C181" i="5"/>
  <c r="L180" i="5"/>
  <c r="K180" i="5"/>
  <c r="J180" i="5"/>
  <c r="I180" i="5"/>
  <c r="H180" i="5"/>
  <c r="C180" i="5"/>
  <c r="L179" i="5"/>
  <c r="K179" i="5"/>
  <c r="J179" i="5"/>
  <c r="I179" i="5"/>
  <c r="H179" i="5"/>
  <c r="C179" i="5"/>
  <c r="L178" i="5"/>
  <c r="K178" i="5"/>
  <c r="J178" i="5"/>
  <c r="I178" i="5"/>
  <c r="H178" i="5"/>
  <c r="C178" i="5"/>
  <c r="L177" i="5"/>
  <c r="K177" i="5"/>
  <c r="J177" i="5"/>
  <c r="I177" i="5"/>
  <c r="H177" i="5"/>
  <c r="C177" i="5"/>
  <c r="L176" i="5"/>
  <c r="K176" i="5"/>
  <c r="J176" i="5"/>
  <c r="I176" i="5"/>
  <c r="H176" i="5"/>
  <c r="C176" i="5"/>
  <c r="L175" i="5"/>
  <c r="K175" i="5"/>
  <c r="J175" i="5"/>
  <c r="I175" i="5"/>
  <c r="H175" i="5"/>
  <c r="C175" i="5"/>
  <c r="L174" i="5"/>
  <c r="K174" i="5"/>
  <c r="J174" i="5"/>
  <c r="I174" i="5"/>
  <c r="H174" i="5"/>
  <c r="C174" i="5"/>
  <c r="L173" i="5"/>
  <c r="K173" i="5"/>
  <c r="J173" i="5"/>
  <c r="I173" i="5"/>
  <c r="H173" i="5"/>
  <c r="C173" i="5"/>
  <c r="L172" i="5"/>
  <c r="K172" i="5"/>
  <c r="J172" i="5"/>
  <c r="I172" i="5"/>
  <c r="H172" i="5"/>
  <c r="C172" i="5"/>
  <c r="L171" i="5"/>
  <c r="K171" i="5"/>
  <c r="J171" i="5"/>
  <c r="I171" i="5"/>
  <c r="H171" i="5"/>
  <c r="C171" i="5"/>
  <c r="L170" i="5"/>
  <c r="K170" i="5"/>
  <c r="J170" i="5"/>
  <c r="I170" i="5"/>
  <c r="H170" i="5"/>
  <c r="C170" i="5"/>
  <c r="L169" i="5"/>
  <c r="K169" i="5"/>
  <c r="J169" i="5"/>
  <c r="I169" i="5"/>
  <c r="H169" i="5"/>
  <c r="C169" i="5"/>
  <c r="L168" i="5"/>
  <c r="K168" i="5"/>
  <c r="J168" i="5"/>
  <c r="I168" i="5"/>
  <c r="H168" i="5"/>
  <c r="C168" i="5"/>
  <c r="L167" i="5"/>
  <c r="K167" i="5"/>
  <c r="J167" i="5"/>
  <c r="I167" i="5"/>
  <c r="H167" i="5"/>
  <c r="C167" i="5"/>
  <c r="L166" i="5"/>
  <c r="K166" i="5"/>
  <c r="J166" i="5"/>
  <c r="I166" i="5"/>
  <c r="H166" i="5"/>
  <c r="C166" i="5"/>
  <c r="L165" i="5"/>
  <c r="K165" i="5"/>
  <c r="J165" i="5"/>
  <c r="I165" i="5"/>
  <c r="H165" i="5"/>
  <c r="C165" i="5"/>
  <c r="L164" i="5"/>
  <c r="K164" i="5"/>
  <c r="J164" i="5"/>
  <c r="I164" i="5"/>
  <c r="H164" i="5"/>
  <c r="C164" i="5"/>
  <c r="L163" i="5"/>
  <c r="K163" i="5"/>
  <c r="J163" i="5"/>
  <c r="I163" i="5"/>
  <c r="H163" i="5"/>
  <c r="C163" i="5"/>
  <c r="L162" i="5"/>
  <c r="K162" i="5"/>
  <c r="J162" i="5"/>
  <c r="I162" i="5"/>
  <c r="H162" i="5"/>
  <c r="C162" i="5"/>
  <c r="L161" i="5"/>
  <c r="K161" i="5"/>
  <c r="J161" i="5"/>
  <c r="I161" i="5"/>
  <c r="H161" i="5"/>
  <c r="C161" i="5"/>
  <c r="L160" i="5"/>
  <c r="K160" i="5"/>
  <c r="J160" i="5"/>
  <c r="I160" i="5"/>
  <c r="H160" i="5"/>
  <c r="C160" i="5"/>
  <c r="L159" i="5"/>
  <c r="K159" i="5"/>
  <c r="J159" i="5"/>
  <c r="I159" i="5"/>
  <c r="H159" i="5"/>
  <c r="C159" i="5"/>
  <c r="L158" i="5"/>
  <c r="K158" i="5"/>
  <c r="J158" i="5"/>
  <c r="I158" i="5"/>
  <c r="H158" i="5"/>
  <c r="C158" i="5"/>
  <c r="L157" i="5"/>
  <c r="K157" i="5"/>
  <c r="J157" i="5"/>
  <c r="I157" i="5"/>
  <c r="H157" i="5"/>
  <c r="C157" i="5"/>
  <c r="L156" i="5"/>
  <c r="K156" i="5"/>
  <c r="J156" i="5"/>
  <c r="I156" i="5"/>
  <c r="H156" i="5"/>
  <c r="C156" i="5"/>
  <c r="L155" i="5"/>
  <c r="K155" i="5"/>
  <c r="J155" i="5"/>
  <c r="I155" i="5"/>
  <c r="H155" i="5"/>
  <c r="C155" i="5"/>
  <c r="L154" i="5"/>
  <c r="K154" i="5"/>
  <c r="J154" i="5"/>
  <c r="I154" i="5"/>
  <c r="H154" i="5"/>
  <c r="C154" i="5"/>
  <c r="L153" i="5"/>
  <c r="K153" i="5"/>
  <c r="J153" i="5"/>
  <c r="I153" i="5"/>
  <c r="H153" i="5"/>
  <c r="C153" i="5"/>
  <c r="L152" i="5"/>
  <c r="K152" i="5"/>
  <c r="J152" i="5"/>
  <c r="I152" i="5"/>
  <c r="H152" i="5"/>
  <c r="C152" i="5"/>
  <c r="L151" i="5"/>
  <c r="K151" i="5"/>
  <c r="J151" i="5"/>
  <c r="I151" i="5"/>
  <c r="H151" i="5"/>
  <c r="C151" i="5"/>
  <c r="L150" i="5"/>
  <c r="K150" i="5"/>
  <c r="J150" i="5"/>
  <c r="I150" i="5"/>
  <c r="H150" i="5"/>
  <c r="C150" i="5"/>
  <c r="L149" i="5"/>
  <c r="K149" i="5"/>
  <c r="J149" i="5"/>
  <c r="I149" i="5"/>
  <c r="H149" i="5"/>
  <c r="C149" i="5"/>
  <c r="L148" i="5"/>
  <c r="K148" i="5"/>
  <c r="J148" i="5"/>
  <c r="I148" i="5"/>
  <c r="H148" i="5"/>
  <c r="C148" i="5"/>
  <c r="L147" i="5"/>
  <c r="K147" i="5"/>
  <c r="J147" i="5"/>
  <c r="I147" i="5"/>
  <c r="H147" i="5"/>
  <c r="C147" i="5"/>
  <c r="L146" i="5"/>
  <c r="K146" i="5"/>
  <c r="J146" i="5"/>
  <c r="I146" i="5"/>
  <c r="H146" i="5"/>
  <c r="C146" i="5"/>
  <c r="L145" i="5"/>
  <c r="K145" i="5"/>
  <c r="J145" i="5"/>
  <c r="I145" i="5"/>
  <c r="H145" i="5"/>
  <c r="C145" i="5"/>
  <c r="L144" i="5"/>
  <c r="K144" i="5"/>
  <c r="J144" i="5"/>
  <c r="I144" i="5"/>
  <c r="H144" i="5"/>
  <c r="C144" i="5"/>
  <c r="L143" i="5"/>
  <c r="K143" i="5"/>
  <c r="J143" i="5"/>
  <c r="I143" i="5"/>
  <c r="H143" i="5"/>
  <c r="C143" i="5"/>
  <c r="L142" i="5"/>
  <c r="K142" i="5"/>
  <c r="J142" i="5"/>
  <c r="I142" i="5"/>
  <c r="H142" i="5"/>
  <c r="C142" i="5"/>
  <c r="L141" i="5"/>
  <c r="K141" i="5"/>
  <c r="J141" i="5"/>
  <c r="I141" i="5"/>
  <c r="H141" i="5"/>
  <c r="C141" i="5"/>
  <c r="L140" i="5"/>
  <c r="K140" i="5"/>
  <c r="J140" i="5"/>
  <c r="I140" i="5"/>
  <c r="H140" i="5"/>
  <c r="C140" i="5"/>
  <c r="L139" i="5"/>
  <c r="K139" i="5"/>
  <c r="J139" i="5"/>
  <c r="I139" i="5"/>
  <c r="H139" i="5"/>
  <c r="C139" i="5"/>
  <c r="L138" i="5"/>
  <c r="K138" i="5"/>
  <c r="J138" i="5"/>
  <c r="I138" i="5"/>
  <c r="H138" i="5"/>
  <c r="C138" i="5"/>
  <c r="L137" i="5"/>
  <c r="K137" i="5"/>
  <c r="J137" i="5"/>
  <c r="I137" i="5"/>
  <c r="H137" i="5"/>
  <c r="C137" i="5"/>
  <c r="L136" i="5"/>
  <c r="K136" i="5"/>
  <c r="J136" i="5"/>
  <c r="I136" i="5"/>
  <c r="H136" i="5"/>
  <c r="C136" i="5"/>
  <c r="L135" i="5"/>
  <c r="K135" i="5"/>
  <c r="J135" i="5"/>
  <c r="I135" i="5"/>
  <c r="H135" i="5"/>
  <c r="C135" i="5"/>
  <c r="L134" i="5"/>
  <c r="K134" i="5"/>
  <c r="J134" i="5"/>
  <c r="I134" i="5"/>
  <c r="H134" i="5"/>
  <c r="C134" i="5"/>
  <c r="L133" i="5"/>
  <c r="K133" i="5"/>
  <c r="J133" i="5"/>
  <c r="I133" i="5"/>
  <c r="H133" i="5"/>
  <c r="C133" i="5"/>
  <c r="L132" i="5"/>
  <c r="K132" i="5"/>
  <c r="J132" i="5"/>
  <c r="I132" i="5"/>
  <c r="H132" i="5"/>
  <c r="C132" i="5"/>
  <c r="L131" i="5"/>
  <c r="K131" i="5"/>
  <c r="J131" i="5"/>
  <c r="I131" i="5"/>
  <c r="H131" i="5"/>
  <c r="C131" i="5"/>
  <c r="L130" i="5"/>
  <c r="K130" i="5"/>
  <c r="J130" i="5"/>
  <c r="I130" i="5"/>
  <c r="H130" i="5"/>
  <c r="C130" i="5"/>
  <c r="L129" i="5"/>
  <c r="K129" i="5"/>
  <c r="J129" i="5"/>
  <c r="I129" i="5"/>
  <c r="H129" i="5"/>
  <c r="C129" i="5"/>
  <c r="L128" i="5"/>
  <c r="K128" i="5"/>
  <c r="J128" i="5"/>
  <c r="I128" i="5"/>
  <c r="H128" i="5"/>
  <c r="C128" i="5"/>
  <c r="L127" i="5"/>
  <c r="K127" i="5"/>
  <c r="J127" i="5"/>
  <c r="I127" i="5"/>
  <c r="H127" i="5"/>
  <c r="C127" i="5"/>
  <c r="L126" i="5"/>
  <c r="K126" i="5"/>
  <c r="J126" i="5"/>
  <c r="I126" i="5"/>
  <c r="H126" i="5"/>
  <c r="C126" i="5"/>
  <c r="L125" i="5"/>
  <c r="K125" i="5"/>
  <c r="J125" i="5"/>
  <c r="I125" i="5"/>
  <c r="H125" i="5"/>
  <c r="C125" i="5"/>
  <c r="L124" i="5"/>
  <c r="K124" i="5"/>
  <c r="J124" i="5"/>
  <c r="I124" i="5"/>
  <c r="H124" i="5"/>
  <c r="C124" i="5"/>
  <c r="L123" i="5"/>
  <c r="K123" i="5"/>
  <c r="J123" i="5"/>
  <c r="I123" i="5"/>
  <c r="H123" i="5"/>
  <c r="C123" i="5"/>
  <c r="L122" i="5"/>
  <c r="K122" i="5"/>
  <c r="J122" i="5"/>
  <c r="I122" i="5"/>
  <c r="H122" i="5"/>
  <c r="C122" i="5"/>
  <c r="L121" i="5"/>
  <c r="K121" i="5"/>
  <c r="J121" i="5"/>
  <c r="I121" i="5"/>
  <c r="H121" i="5"/>
  <c r="C121" i="5"/>
  <c r="L120" i="5"/>
  <c r="K120" i="5"/>
  <c r="J120" i="5"/>
  <c r="I120" i="5"/>
  <c r="H120" i="5"/>
  <c r="C120" i="5"/>
  <c r="L119" i="5"/>
  <c r="K119" i="5"/>
  <c r="J119" i="5"/>
  <c r="I119" i="5"/>
  <c r="H119" i="5"/>
  <c r="C119" i="5"/>
  <c r="L118" i="5"/>
  <c r="K118" i="5"/>
  <c r="J118" i="5"/>
  <c r="I118" i="5"/>
  <c r="H118" i="5"/>
  <c r="C118" i="5"/>
  <c r="L117" i="5"/>
  <c r="K117" i="5"/>
  <c r="J117" i="5"/>
  <c r="I117" i="5"/>
  <c r="H117" i="5"/>
  <c r="C117" i="5"/>
  <c r="L116" i="5"/>
  <c r="K116" i="5"/>
  <c r="J116" i="5"/>
  <c r="I116" i="5"/>
  <c r="H116" i="5"/>
  <c r="C116" i="5"/>
  <c r="L115" i="5"/>
  <c r="K115" i="5"/>
  <c r="J115" i="5"/>
  <c r="I115" i="5"/>
  <c r="H115" i="5"/>
  <c r="C115" i="5"/>
  <c r="L114" i="5"/>
  <c r="K114" i="5"/>
  <c r="J114" i="5"/>
  <c r="I114" i="5"/>
  <c r="H114" i="5"/>
  <c r="C114" i="5"/>
  <c r="L113" i="5"/>
  <c r="K113" i="5"/>
  <c r="J113" i="5"/>
  <c r="I113" i="5"/>
  <c r="H113" i="5"/>
  <c r="C113" i="5"/>
  <c r="L112" i="5"/>
  <c r="K112" i="5"/>
  <c r="J112" i="5"/>
  <c r="I112" i="5"/>
  <c r="H112" i="5"/>
  <c r="C112" i="5"/>
  <c r="L111" i="5"/>
  <c r="K111" i="5"/>
  <c r="J111" i="5"/>
  <c r="I111" i="5"/>
  <c r="H111" i="5"/>
  <c r="C111" i="5"/>
  <c r="L110" i="5"/>
  <c r="K110" i="5"/>
  <c r="J110" i="5"/>
  <c r="I110" i="5"/>
  <c r="H110" i="5"/>
  <c r="C110" i="5"/>
  <c r="L109" i="5"/>
  <c r="K109" i="5"/>
  <c r="J109" i="5"/>
  <c r="I109" i="5"/>
  <c r="H109" i="5"/>
  <c r="C109" i="5"/>
  <c r="L108" i="5"/>
  <c r="K108" i="5"/>
  <c r="J108" i="5"/>
  <c r="I108" i="5"/>
  <c r="H108" i="5"/>
  <c r="C108" i="5"/>
  <c r="L107" i="5"/>
  <c r="K107" i="5"/>
  <c r="J107" i="5"/>
  <c r="I107" i="5"/>
  <c r="H107" i="5"/>
  <c r="C107" i="5"/>
  <c r="L106" i="5"/>
  <c r="K106" i="5"/>
  <c r="J106" i="5"/>
  <c r="I106" i="5"/>
  <c r="H106" i="5"/>
  <c r="C106" i="5"/>
  <c r="L105" i="5"/>
  <c r="K105" i="5"/>
  <c r="J105" i="5"/>
  <c r="I105" i="5"/>
  <c r="H105" i="5"/>
  <c r="C105" i="5"/>
  <c r="L104" i="5"/>
  <c r="K104" i="5"/>
  <c r="J104" i="5"/>
  <c r="I104" i="5"/>
  <c r="H104" i="5"/>
  <c r="C104" i="5"/>
  <c r="L103" i="5"/>
  <c r="K103" i="5"/>
  <c r="J103" i="5"/>
  <c r="I103" i="5"/>
  <c r="H103" i="5"/>
  <c r="C103" i="5"/>
  <c r="L102" i="5"/>
  <c r="K102" i="5"/>
  <c r="J102" i="5"/>
  <c r="I102" i="5"/>
  <c r="H102" i="5"/>
  <c r="C102" i="5"/>
  <c r="L101" i="5"/>
  <c r="K101" i="5"/>
  <c r="J101" i="5"/>
  <c r="I101" i="5"/>
  <c r="H101" i="5"/>
  <c r="C101" i="5"/>
  <c r="L100" i="5"/>
  <c r="K100" i="5"/>
  <c r="J100" i="5"/>
  <c r="I100" i="5"/>
  <c r="H100" i="5"/>
  <c r="C100" i="5"/>
  <c r="L99" i="5"/>
  <c r="K99" i="5"/>
  <c r="J99" i="5"/>
  <c r="I99" i="5"/>
  <c r="H99" i="5"/>
  <c r="C99" i="5"/>
  <c r="L98" i="5"/>
  <c r="K98" i="5"/>
  <c r="J98" i="5"/>
  <c r="I98" i="5"/>
  <c r="H98" i="5"/>
  <c r="C98" i="5"/>
  <c r="L97" i="5"/>
  <c r="K97" i="5"/>
  <c r="J97" i="5"/>
  <c r="I97" i="5"/>
  <c r="H97" i="5"/>
  <c r="C97" i="5"/>
  <c r="L96" i="5"/>
  <c r="K96" i="5"/>
  <c r="J96" i="5"/>
  <c r="I96" i="5"/>
  <c r="H96" i="5"/>
  <c r="C96" i="5"/>
  <c r="L95" i="5"/>
  <c r="K95" i="5"/>
  <c r="J95" i="5"/>
  <c r="I95" i="5"/>
  <c r="H95" i="5"/>
  <c r="C95" i="5"/>
  <c r="L94" i="5"/>
  <c r="K94" i="5"/>
  <c r="J94" i="5"/>
  <c r="I94" i="5"/>
  <c r="H94" i="5"/>
  <c r="C94" i="5"/>
  <c r="L93" i="5"/>
  <c r="K93" i="5"/>
  <c r="J93" i="5"/>
  <c r="I93" i="5"/>
  <c r="H93" i="5"/>
  <c r="C93" i="5"/>
  <c r="L92" i="5"/>
  <c r="K92" i="5"/>
  <c r="J92" i="5"/>
  <c r="I92" i="5"/>
  <c r="H92" i="5"/>
  <c r="C92" i="5"/>
  <c r="L91" i="5"/>
  <c r="K91" i="5"/>
  <c r="J91" i="5"/>
  <c r="I91" i="5"/>
  <c r="H91" i="5"/>
  <c r="C91" i="5"/>
  <c r="L90" i="5"/>
  <c r="K90" i="5"/>
  <c r="J90" i="5"/>
  <c r="I90" i="5"/>
  <c r="H90" i="5"/>
  <c r="C90" i="5"/>
  <c r="L89" i="5"/>
  <c r="K89" i="5"/>
  <c r="J89" i="5"/>
  <c r="I89" i="5"/>
  <c r="H89" i="5"/>
  <c r="C89" i="5"/>
  <c r="L88" i="5"/>
  <c r="K88" i="5"/>
  <c r="J88" i="5"/>
  <c r="I88" i="5"/>
  <c r="H88" i="5"/>
  <c r="C88" i="5"/>
  <c r="L87" i="5"/>
  <c r="K87" i="5"/>
  <c r="J87" i="5"/>
  <c r="I87" i="5"/>
  <c r="H87" i="5"/>
  <c r="C87" i="5"/>
  <c r="L86" i="5"/>
  <c r="K86" i="5"/>
  <c r="J86" i="5"/>
  <c r="I86" i="5"/>
  <c r="H86" i="5"/>
  <c r="C86" i="5"/>
  <c r="L85" i="5"/>
  <c r="K85" i="5"/>
  <c r="J85" i="5"/>
  <c r="I85" i="5"/>
  <c r="H85" i="5"/>
  <c r="C85" i="5"/>
  <c r="L84" i="5"/>
  <c r="K84" i="5"/>
  <c r="J84" i="5"/>
  <c r="I84" i="5"/>
  <c r="H84" i="5"/>
  <c r="C84" i="5"/>
  <c r="L83" i="5"/>
  <c r="K83" i="5"/>
  <c r="J83" i="5"/>
  <c r="I83" i="5"/>
  <c r="H83" i="5"/>
  <c r="C83" i="5"/>
  <c r="L82" i="5"/>
  <c r="K82" i="5"/>
  <c r="J82" i="5"/>
  <c r="I82" i="5"/>
  <c r="H82" i="5"/>
  <c r="C82" i="5"/>
  <c r="L81" i="5"/>
  <c r="K81" i="5"/>
  <c r="J81" i="5"/>
  <c r="I81" i="5"/>
  <c r="H81" i="5"/>
  <c r="C81" i="5"/>
  <c r="L80" i="5"/>
  <c r="K80" i="5"/>
  <c r="J80" i="5"/>
  <c r="I80" i="5"/>
  <c r="H80" i="5"/>
  <c r="C80" i="5"/>
  <c r="L79" i="5"/>
  <c r="K79" i="5"/>
  <c r="J79" i="5"/>
  <c r="I79" i="5"/>
  <c r="H79" i="5"/>
  <c r="C79" i="5"/>
  <c r="L78" i="5"/>
  <c r="K78" i="5"/>
  <c r="J78" i="5"/>
  <c r="I78" i="5"/>
  <c r="H78" i="5"/>
  <c r="C78" i="5"/>
  <c r="L77" i="5"/>
  <c r="K77" i="5"/>
  <c r="J77" i="5"/>
  <c r="I77" i="5"/>
  <c r="H77" i="5"/>
  <c r="C77" i="5"/>
  <c r="L76" i="5"/>
  <c r="K76" i="5"/>
  <c r="J76" i="5"/>
  <c r="I76" i="5"/>
  <c r="H76" i="5"/>
  <c r="C76" i="5"/>
  <c r="L75" i="5"/>
  <c r="K75" i="5"/>
  <c r="J75" i="5"/>
  <c r="I75" i="5"/>
  <c r="H75" i="5"/>
  <c r="C75" i="5"/>
  <c r="L74" i="5"/>
  <c r="K74" i="5"/>
  <c r="J74" i="5"/>
  <c r="I74" i="5"/>
  <c r="H74" i="5"/>
  <c r="C74" i="5"/>
  <c r="L73" i="5"/>
  <c r="K73" i="5"/>
  <c r="J73" i="5"/>
  <c r="I73" i="5"/>
  <c r="H73" i="5"/>
  <c r="C73" i="5"/>
  <c r="L72" i="5"/>
  <c r="K72" i="5"/>
  <c r="J72" i="5"/>
  <c r="I72" i="5"/>
  <c r="H72" i="5"/>
  <c r="C72" i="5"/>
  <c r="L71" i="5"/>
  <c r="K71" i="5"/>
  <c r="J71" i="5"/>
  <c r="I71" i="5"/>
  <c r="H71" i="5"/>
  <c r="C71" i="5"/>
  <c r="L70" i="5"/>
  <c r="K70" i="5"/>
  <c r="J70" i="5"/>
  <c r="I70" i="5"/>
  <c r="H70" i="5"/>
  <c r="C70" i="5"/>
  <c r="L69" i="5"/>
  <c r="K69" i="5"/>
  <c r="J69" i="5"/>
  <c r="I69" i="5"/>
  <c r="H69" i="5"/>
  <c r="C69" i="5"/>
  <c r="L68" i="5"/>
  <c r="K68" i="5"/>
  <c r="J68" i="5"/>
  <c r="I68" i="5"/>
  <c r="H68" i="5"/>
  <c r="C68" i="5"/>
  <c r="L67" i="5"/>
  <c r="K67" i="5"/>
  <c r="J67" i="5"/>
  <c r="I67" i="5"/>
  <c r="H67" i="5"/>
  <c r="C67" i="5"/>
  <c r="L66" i="5"/>
  <c r="K66" i="5"/>
  <c r="J66" i="5"/>
  <c r="I66" i="5"/>
  <c r="H66" i="5"/>
  <c r="C66" i="5"/>
  <c r="L65" i="5"/>
  <c r="K65" i="5"/>
  <c r="J65" i="5"/>
  <c r="I65" i="5"/>
  <c r="H65" i="5"/>
  <c r="C65" i="5"/>
  <c r="L64" i="5"/>
  <c r="K64" i="5"/>
  <c r="J64" i="5"/>
  <c r="I64" i="5"/>
  <c r="H64" i="5"/>
  <c r="C64" i="5"/>
  <c r="L63" i="5"/>
  <c r="K63" i="5"/>
  <c r="J63" i="5"/>
  <c r="I63" i="5"/>
  <c r="H63" i="5"/>
  <c r="C63" i="5"/>
  <c r="L62" i="5"/>
  <c r="K62" i="5"/>
  <c r="J62" i="5"/>
  <c r="I62" i="5"/>
  <c r="H62" i="5"/>
  <c r="C62" i="5"/>
  <c r="L61" i="5"/>
  <c r="K61" i="5"/>
  <c r="J61" i="5"/>
  <c r="I61" i="5"/>
  <c r="H61" i="5"/>
  <c r="C61" i="5"/>
  <c r="L60" i="5"/>
  <c r="K60" i="5"/>
  <c r="J60" i="5"/>
  <c r="I60" i="5"/>
  <c r="H60" i="5"/>
  <c r="C60" i="5"/>
  <c r="L59" i="5"/>
  <c r="K59" i="5"/>
  <c r="J59" i="5"/>
  <c r="I59" i="5"/>
  <c r="H59" i="5"/>
  <c r="C59" i="5"/>
  <c r="L58" i="5"/>
  <c r="K58" i="5"/>
  <c r="J58" i="5"/>
  <c r="I58" i="5"/>
  <c r="H58" i="5"/>
  <c r="C58" i="5"/>
  <c r="L57" i="5"/>
  <c r="K57" i="5"/>
  <c r="J57" i="5"/>
  <c r="I57" i="5"/>
  <c r="H57" i="5"/>
  <c r="C57" i="5"/>
  <c r="L56" i="5"/>
  <c r="K56" i="5"/>
  <c r="J56" i="5"/>
  <c r="I56" i="5"/>
  <c r="H56" i="5"/>
  <c r="C56" i="5"/>
  <c r="L55" i="5"/>
  <c r="K55" i="5"/>
  <c r="J55" i="5"/>
  <c r="I55" i="5"/>
  <c r="H55" i="5"/>
  <c r="C55" i="5"/>
  <c r="L54" i="5"/>
  <c r="K54" i="5"/>
  <c r="J54" i="5"/>
  <c r="I54" i="5"/>
  <c r="H54" i="5"/>
  <c r="C54" i="5"/>
  <c r="L53" i="5"/>
  <c r="K53" i="5"/>
  <c r="J53" i="5"/>
  <c r="I53" i="5"/>
  <c r="H53" i="5"/>
  <c r="C53" i="5"/>
  <c r="L52" i="5"/>
  <c r="K52" i="5"/>
  <c r="J52" i="5"/>
  <c r="I52" i="5"/>
  <c r="H52" i="5"/>
  <c r="C52" i="5"/>
  <c r="L51" i="5"/>
  <c r="K51" i="5"/>
  <c r="J51" i="5"/>
  <c r="I51" i="5"/>
  <c r="H51" i="5"/>
  <c r="C51" i="5"/>
  <c r="L50" i="5"/>
  <c r="K50" i="5"/>
  <c r="J50" i="5"/>
  <c r="I50" i="5"/>
  <c r="H50" i="5"/>
  <c r="C50" i="5"/>
  <c r="L49" i="5"/>
  <c r="K49" i="5"/>
  <c r="J49" i="5"/>
  <c r="I49" i="5"/>
  <c r="H49" i="5"/>
  <c r="C49" i="5"/>
  <c r="L48" i="5"/>
  <c r="K48" i="5"/>
  <c r="J48" i="5"/>
  <c r="I48" i="5"/>
  <c r="H48" i="5"/>
  <c r="C48" i="5"/>
  <c r="L47" i="5"/>
  <c r="K47" i="5"/>
  <c r="J47" i="5"/>
  <c r="I47" i="5"/>
  <c r="H47" i="5"/>
  <c r="C47" i="5"/>
  <c r="L46" i="5"/>
  <c r="K46" i="5"/>
  <c r="J46" i="5"/>
  <c r="I46" i="5"/>
  <c r="H46" i="5"/>
  <c r="C46" i="5"/>
  <c r="L45" i="5"/>
  <c r="K45" i="5"/>
  <c r="J45" i="5"/>
  <c r="I45" i="5"/>
  <c r="H45" i="5"/>
  <c r="C45" i="5"/>
  <c r="L44" i="5"/>
  <c r="K44" i="5"/>
  <c r="J44" i="5"/>
  <c r="I44" i="5"/>
  <c r="H44" i="5"/>
  <c r="C44" i="5"/>
  <c r="L43" i="5"/>
  <c r="K43" i="5"/>
  <c r="J43" i="5"/>
  <c r="I43" i="5"/>
  <c r="H43" i="5"/>
  <c r="C43" i="5"/>
  <c r="L42" i="5"/>
  <c r="K42" i="5"/>
  <c r="J42" i="5"/>
  <c r="I42" i="5"/>
  <c r="H42" i="5"/>
  <c r="C42" i="5"/>
  <c r="L41" i="5"/>
  <c r="K41" i="5"/>
  <c r="J41" i="5"/>
  <c r="I41" i="5"/>
  <c r="H41" i="5"/>
  <c r="C41" i="5"/>
  <c r="L40" i="5"/>
  <c r="K40" i="5"/>
  <c r="J40" i="5"/>
  <c r="I40" i="5"/>
  <c r="H40" i="5"/>
  <c r="C40" i="5"/>
  <c r="L39" i="5"/>
  <c r="K39" i="5"/>
  <c r="J39" i="5"/>
  <c r="I39" i="5"/>
  <c r="H39" i="5"/>
  <c r="C39" i="5"/>
  <c r="L38" i="5"/>
  <c r="K38" i="5"/>
  <c r="J38" i="5"/>
  <c r="I38" i="5"/>
  <c r="H38" i="5"/>
  <c r="C38" i="5"/>
  <c r="L37" i="5"/>
  <c r="K37" i="5"/>
  <c r="J37" i="5"/>
  <c r="I37" i="5"/>
  <c r="H37" i="5"/>
  <c r="C37" i="5"/>
  <c r="L36" i="5"/>
  <c r="K36" i="5"/>
  <c r="J36" i="5"/>
  <c r="I36" i="5"/>
  <c r="H36" i="5"/>
  <c r="C36" i="5"/>
  <c r="L35" i="5"/>
  <c r="K35" i="5"/>
  <c r="J35" i="5"/>
  <c r="I35" i="5"/>
  <c r="H35" i="5"/>
  <c r="C35" i="5"/>
  <c r="L34" i="5"/>
  <c r="K34" i="5"/>
  <c r="J34" i="5"/>
  <c r="I34" i="5"/>
  <c r="H34" i="5"/>
  <c r="C34" i="5"/>
  <c r="L33" i="5"/>
  <c r="K33" i="5"/>
  <c r="J33" i="5"/>
  <c r="I33" i="5"/>
  <c r="H33" i="5"/>
  <c r="C33" i="5"/>
  <c r="L32" i="5"/>
  <c r="K32" i="5"/>
  <c r="J32" i="5"/>
  <c r="I32" i="5"/>
  <c r="H32" i="5"/>
  <c r="C32" i="5"/>
  <c r="L31" i="5"/>
  <c r="K31" i="5"/>
  <c r="J31" i="5"/>
  <c r="I31" i="5"/>
  <c r="H31" i="5"/>
  <c r="C31" i="5"/>
  <c r="L30" i="5"/>
  <c r="K30" i="5"/>
  <c r="J30" i="5"/>
  <c r="I30" i="5"/>
  <c r="H30" i="5"/>
  <c r="C30" i="5"/>
  <c r="L29" i="5"/>
  <c r="K29" i="5"/>
  <c r="J29" i="5"/>
  <c r="I29" i="5"/>
  <c r="H29" i="5"/>
  <c r="C29" i="5"/>
  <c r="L28" i="5"/>
  <c r="K28" i="5"/>
  <c r="J28" i="5"/>
  <c r="I28" i="5"/>
  <c r="H28" i="5"/>
  <c r="C28" i="5"/>
  <c r="L27" i="5"/>
  <c r="K27" i="5"/>
  <c r="J27" i="5"/>
  <c r="I27" i="5"/>
  <c r="H27" i="5"/>
  <c r="C27" i="5"/>
  <c r="L26" i="5"/>
  <c r="K26" i="5"/>
  <c r="J26" i="5"/>
  <c r="I26" i="5"/>
  <c r="H26" i="5"/>
  <c r="C26" i="5"/>
  <c r="L25" i="5"/>
  <c r="K25" i="5"/>
  <c r="J25" i="5"/>
  <c r="I25" i="5"/>
  <c r="H25" i="5"/>
  <c r="C25" i="5"/>
  <c r="L24" i="5"/>
  <c r="K24" i="5"/>
  <c r="J24" i="5"/>
  <c r="I24" i="5"/>
  <c r="H24" i="5"/>
  <c r="C24" i="5"/>
  <c r="L23" i="5"/>
  <c r="K23" i="5"/>
  <c r="J23" i="5"/>
  <c r="I23" i="5"/>
  <c r="H23" i="5"/>
  <c r="C23" i="5"/>
  <c r="L22" i="5"/>
  <c r="K22" i="5"/>
  <c r="J22" i="5"/>
  <c r="I22" i="5"/>
  <c r="H22" i="5"/>
  <c r="C22" i="5"/>
  <c r="L21" i="5"/>
  <c r="K21" i="5"/>
  <c r="J21" i="5"/>
  <c r="I21" i="5"/>
  <c r="H21" i="5"/>
  <c r="C21" i="5"/>
  <c r="L20" i="5"/>
  <c r="K20" i="5"/>
  <c r="J20" i="5"/>
  <c r="I20" i="5"/>
  <c r="H20" i="5"/>
  <c r="C20" i="5"/>
  <c r="L19" i="5"/>
  <c r="K19" i="5"/>
  <c r="J19" i="5"/>
  <c r="I19" i="5"/>
  <c r="H19" i="5"/>
  <c r="C19" i="5"/>
  <c r="L18" i="5"/>
  <c r="K18" i="5"/>
  <c r="J18" i="5"/>
  <c r="I18" i="5"/>
  <c r="H18" i="5"/>
  <c r="C18" i="5"/>
  <c r="L17" i="5"/>
  <c r="K17" i="5"/>
  <c r="J17" i="5"/>
  <c r="I17" i="5"/>
  <c r="H17" i="5"/>
  <c r="C17" i="5"/>
  <c r="L16" i="5"/>
  <c r="K16" i="5"/>
  <c r="J16" i="5"/>
  <c r="I16" i="5"/>
  <c r="H16" i="5"/>
  <c r="C16" i="5"/>
  <c r="L15" i="5"/>
  <c r="K15" i="5"/>
  <c r="J15" i="5"/>
  <c r="I15" i="5"/>
  <c r="H15" i="5"/>
  <c r="C15" i="5"/>
  <c r="L14" i="5"/>
  <c r="K14" i="5"/>
  <c r="J14" i="5"/>
  <c r="I14" i="5"/>
  <c r="H14" i="5"/>
  <c r="C14" i="5"/>
  <c r="L13" i="5"/>
  <c r="K13" i="5"/>
  <c r="J13" i="5"/>
  <c r="I13" i="5"/>
  <c r="H13" i="5"/>
  <c r="C13" i="5"/>
  <c r="L12" i="5"/>
  <c r="K12" i="5"/>
  <c r="J12" i="5"/>
  <c r="I12" i="5"/>
  <c r="H12" i="5"/>
  <c r="C12" i="5"/>
  <c r="L11" i="5"/>
  <c r="K11" i="5"/>
  <c r="J11" i="5"/>
  <c r="I11" i="5"/>
  <c r="H11" i="5"/>
  <c r="C11" i="5"/>
  <c r="L10" i="5"/>
  <c r="K10" i="5"/>
  <c r="J10" i="5"/>
  <c r="I10" i="5"/>
  <c r="H10" i="5"/>
  <c r="C10" i="5"/>
  <c r="L9" i="5"/>
  <c r="K9" i="5"/>
  <c r="J9" i="5"/>
  <c r="I9" i="5"/>
  <c r="H9" i="5"/>
  <c r="C9" i="5"/>
  <c r="L8" i="5"/>
  <c r="K8" i="5"/>
  <c r="J8" i="5"/>
  <c r="I8" i="5"/>
  <c r="H8" i="5"/>
  <c r="C8" i="5"/>
  <c r="L7" i="5"/>
  <c r="K7" i="5"/>
  <c r="J7" i="5"/>
  <c r="I7" i="5"/>
  <c r="H7" i="5"/>
  <c r="C7" i="5"/>
  <c r="L6" i="5"/>
  <c r="K6" i="5"/>
  <c r="J6" i="5"/>
  <c r="I6" i="5"/>
  <c r="H6" i="5"/>
  <c r="C6" i="5"/>
  <c r="J5" i="5"/>
  <c r="H5" i="5"/>
  <c r="C5" i="5"/>
  <c r="J4" i="5"/>
  <c r="H4" i="5"/>
  <c r="C4" i="5"/>
  <c r="E507" i="4"/>
  <c r="D507" i="4"/>
  <c r="C507" i="4"/>
  <c r="J505" i="4"/>
  <c r="I505" i="4"/>
  <c r="H505" i="4"/>
  <c r="G505" i="4"/>
  <c r="F505" i="4"/>
  <c r="B505" i="4"/>
  <c r="J504" i="4"/>
  <c r="I504" i="4"/>
  <c r="H504" i="4"/>
  <c r="G504" i="4"/>
  <c r="F504" i="4"/>
  <c r="B504" i="4"/>
  <c r="J503" i="4"/>
  <c r="I503" i="4"/>
  <c r="H503" i="4"/>
  <c r="G503" i="4"/>
  <c r="F503" i="4"/>
  <c r="B503" i="4"/>
  <c r="J502" i="4"/>
  <c r="I502" i="4"/>
  <c r="H502" i="4"/>
  <c r="G502" i="4"/>
  <c r="F502" i="4"/>
  <c r="B502" i="4"/>
  <c r="J501" i="4"/>
  <c r="I501" i="4"/>
  <c r="H501" i="4"/>
  <c r="G501" i="4"/>
  <c r="F501" i="4"/>
  <c r="B501" i="4"/>
  <c r="J500" i="4"/>
  <c r="I500" i="4"/>
  <c r="H500" i="4"/>
  <c r="G500" i="4"/>
  <c r="F500" i="4"/>
  <c r="B500" i="4"/>
  <c r="J499" i="4"/>
  <c r="I499" i="4"/>
  <c r="H499" i="4"/>
  <c r="G499" i="4"/>
  <c r="F499" i="4"/>
  <c r="B499" i="4"/>
  <c r="J498" i="4"/>
  <c r="I498" i="4"/>
  <c r="H498" i="4"/>
  <c r="G498" i="4"/>
  <c r="F498" i="4"/>
  <c r="B498" i="4"/>
  <c r="J497" i="4"/>
  <c r="I497" i="4"/>
  <c r="H497" i="4"/>
  <c r="G497" i="4"/>
  <c r="F497" i="4"/>
  <c r="B497" i="4"/>
  <c r="J496" i="4"/>
  <c r="I496" i="4"/>
  <c r="H496" i="4"/>
  <c r="G496" i="4"/>
  <c r="F496" i="4"/>
  <c r="B496" i="4"/>
  <c r="J495" i="4"/>
  <c r="I495" i="4"/>
  <c r="H495" i="4"/>
  <c r="G495" i="4"/>
  <c r="F495" i="4"/>
  <c r="B495" i="4"/>
  <c r="J494" i="4"/>
  <c r="I494" i="4"/>
  <c r="H494" i="4"/>
  <c r="G494" i="4"/>
  <c r="F494" i="4"/>
  <c r="B494" i="4"/>
  <c r="J493" i="4"/>
  <c r="I493" i="4"/>
  <c r="H493" i="4"/>
  <c r="G493" i="4"/>
  <c r="F493" i="4"/>
  <c r="B493" i="4"/>
  <c r="J492" i="4"/>
  <c r="I492" i="4"/>
  <c r="H492" i="4"/>
  <c r="G492" i="4"/>
  <c r="F492" i="4"/>
  <c r="B492" i="4"/>
  <c r="J491" i="4"/>
  <c r="I491" i="4"/>
  <c r="H491" i="4"/>
  <c r="G491" i="4"/>
  <c r="F491" i="4"/>
  <c r="B491" i="4"/>
  <c r="J490" i="4"/>
  <c r="I490" i="4"/>
  <c r="H490" i="4"/>
  <c r="G490" i="4"/>
  <c r="F490" i="4"/>
  <c r="B490" i="4"/>
  <c r="J489" i="4"/>
  <c r="I489" i="4"/>
  <c r="H489" i="4"/>
  <c r="G489" i="4"/>
  <c r="F489" i="4"/>
  <c r="B489" i="4"/>
  <c r="J488" i="4"/>
  <c r="I488" i="4"/>
  <c r="H488" i="4"/>
  <c r="G488" i="4"/>
  <c r="F488" i="4"/>
  <c r="B488" i="4"/>
  <c r="J487" i="4"/>
  <c r="I487" i="4"/>
  <c r="H487" i="4"/>
  <c r="G487" i="4"/>
  <c r="F487" i="4"/>
  <c r="B487" i="4"/>
  <c r="J486" i="4"/>
  <c r="I486" i="4"/>
  <c r="H486" i="4"/>
  <c r="G486" i="4"/>
  <c r="F486" i="4"/>
  <c r="B486" i="4"/>
  <c r="J485" i="4"/>
  <c r="I485" i="4"/>
  <c r="H485" i="4"/>
  <c r="G485" i="4"/>
  <c r="F485" i="4"/>
  <c r="B485" i="4"/>
  <c r="J484" i="4"/>
  <c r="I484" i="4"/>
  <c r="H484" i="4"/>
  <c r="G484" i="4"/>
  <c r="F484" i="4"/>
  <c r="B484" i="4"/>
  <c r="J483" i="4"/>
  <c r="I483" i="4"/>
  <c r="H483" i="4"/>
  <c r="G483" i="4"/>
  <c r="F483" i="4"/>
  <c r="B483" i="4"/>
  <c r="J482" i="4"/>
  <c r="I482" i="4"/>
  <c r="H482" i="4"/>
  <c r="G482" i="4"/>
  <c r="F482" i="4"/>
  <c r="B482" i="4"/>
  <c r="J481" i="4"/>
  <c r="I481" i="4"/>
  <c r="H481" i="4"/>
  <c r="G481" i="4"/>
  <c r="F481" i="4"/>
  <c r="B481" i="4"/>
  <c r="J480" i="4"/>
  <c r="I480" i="4"/>
  <c r="H480" i="4"/>
  <c r="G480" i="4"/>
  <c r="F480" i="4"/>
  <c r="B480" i="4"/>
  <c r="J479" i="4"/>
  <c r="I479" i="4"/>
  <c r="H479" i="4"/>
  <c r="G479" i="4"/>
  <c r="F479" i="4"/>
  <c r="B479" i="4"/>
  <c r="J478" i="4"/>
  <c r="I478" i="4"/>
  <c r="H478" i="4"/>
  <c r="G478" i="4"/>
  <c r="F478" i="4"/>
  <c r="B478" i="4"/>
  <c r="J477" i="4"/>
  <c r="I477" i="4"/>
  <c r="H477" i="4"/>
  <c r="G477" i="4"/>
  <c r="F477" i="4"/>
  <c r="B477" i="4"/>
  <c r="J476" i="4"/>
  <c r="I476" i="4"/>
  <c r="H476" i="4"/>
  <c r="G476" i="4"/>
  <c r="F476" i="4"/>
  <c r="B476" i="4"/>
  <c r="J475" i="4"/>
  <c r="I475" i="4"/>
  <c r="H475" i="4"/>
  <c r="G475" i="4"/>
  <c r="F475" i="4"/>
  <c r="B475" i="4"/>
  <c r="J474" i="4"/>
  <c r="I474" i="4"/>
  <c r="H474" i="4"/>
  <c r="G474" i="4"/>
  <c r="F474" i="4"/>
  <c r="B474" i="4"/>
  <c r="J473" i="4"/>
  <c r="I473" i="4"/>
  <c r="H473" i="4"/>
  <c r="G473" i="4"/>
  <c r="F473" i="4"/>
  <c r="B473" i="4"/>
  <c r="J472" i="4"/>
  <c r="I472" i="4"/>
  <c r="H472" i="4"/>
  <c r="G472" i="4"/>
  <c r="F472" i="4"/>
  <c r="B472" i="4"/>
  <c r="J471" i="4"/>
  <c r="I471" i="4"/>
  <c r="H471" i="4"/>
  <c r="G471" i="4"/>
  <c r="F471" i="4"/>
  <c r="B471" i="4"/>
  <c r="J470" i="4"/>
  <c r="I470" i="4"/>
  <c r="H470" i="4"/>
  <c r="G470" i="4"/>
  <c r="F470" i="4"/>
  <c r="B470" i="4"/>
  <c r="J469" i="4"/>
  <c r="I469" i="4"/>
  <c r="H469" i="4"/>
  <c r="G469" i="4"/>
  <c r="F469" i="4"/>
  <c r="B469" i="4"/>
  <c r="J468" i="4"/>
  <c r="I468" i="4"/>
  <c r="H468" i="4"/>
  <c r="G468" i="4"/>
  <c r="F468" i="4"/>
  <c r="B468" i="4"/>
  <c r="J467" i="4"/>
  <c r="I467" i="4"/>
  <c r="H467" i="4"/>
  <c r="G467" i="4"/>
  <c r="F467" i="4"/>
  <c r="B467" i="4"/>
  <c r="J466" i="4"/>
  <c r="I466" i="4"/>
  <c r="H466" i="4"/>
  <c r="G466" i="4"/>
  <c r="F466" i="4"/>
  <c r="B466" i="4"/>
  <c r="J465" i="4"/>
  <c r="I465" i="4"/>
  <c r="H465" i="4"/>
  <c r="G465" i="4"/>
  <c r="F465" i="4"/>
  <c r="B465" i="4"/>
  <c r="J464" i="4"/>
  <c r="I464" i="4"/>
  <c r="H464" i="4"/>
  <c r="G464" i="4"/>
  <c r="F464" i="4"/>
  <c r="B464" i="4"/>
  <c r="J463" i="4"/>
  <c r="I463" i="4"/>
  <c r="H463" i="4"/>
  <c r="G463" i="4"/>
  <c r="F463" i="4"/>
  <c r="B463" i="4"/>
  <c r="J462" i="4"/>
  <c r="I462" i="4"/>
  <c r="H462" i="4"/>
  <c r="G462" i="4"/>
  <c r="F462" i="4"/>
  <c r="B462" i="4"/>
  <c r="J461" i="4"/>
  <c r="I461" i="4"/>
  <c r="H461" i="4"/>
  <c r="G461" i="4"/>
  <c r="F461" i="4"/>
  <c r="B461" i="4"/>
  <c r="J460" i="4"/>
  <c r="I460" i="4"/>
  <c r="H460" i="4"/>
  <c r="G460" i="4"/>
  <c r="F460" i="4"/>
  <c r="B460" i="4"/>
  <c r="J459" i="4"/>
  <c r="I459" i="4"/>
  <c r="H459" i="4"/>
  <c r="G459" i="4"/>
  <c r="F459" i="4"/>
  <c r="B459" i="4"/>
  <c r="J458" i="4"/>
  <c r="I458" i="4"/>
  <c r="H458" i="4"/>
  <c r="G458" i="4"/>
  <c r="F458" i="4"/>
  <c r="B458" i="4"/>
  <c r="J457" i="4"/>
  <c r="I457" i="4"/>
  <c r="H457" i="4"/>
  <c r="G457" i="4"/>
  <c r="F457" i="4"/>
  <c r="B457" i="4"/>
  <c r="J456" i="4"/>
  <c r="I456" i="4"/>
  <c r="H456" i="4"/>
  <c r="G456" i="4"/>
  <c r="F456" i="4"/>
  <c r="B456" i="4"/>
  <c r="J455" i="4"/>
  <c r="I455" i="4"/>
  <c r="H455" i="4"/>
  <c r="G455" i="4"/>
  <c r="F455" i="4"/>
  <c r="B455" i="4"/>
  <c r="J454" i="4"/>
  <c r="I454" i="4"/>
  <c r="H454" i="4"/>
  <c r="G454" i="4"/>
  <c r="F454" i="4"/>
  <c r="B454" i="4"/>
  <c r="J453" i="4"/>
  <c r="I453" i="4"/>
  <c r="H453" i="4"/>
  <c r="G453" i="4"/>
  <c r="F453" i="4"/>
  <c r="B453" i="4"/>
  <c r="J452" i="4"/>
  <c r="I452" i="4"/>
  <c r="H452" i="4"/>
  <c r="G452" i="4"/>
  <c r="F452" i="4"/>
  <c r="B452" i="4"/>
  <c r="J451" i="4"/>
  <c r="I451" i="4"/>
  <c r="H451" i="4"/>
  <c r="G451" i="4"/>
  <c r="F451" i="4"/>
  <c r="B451" i="4"/>
  <c r="J450" i="4"/>
  <c r="I450" i="4"/>
  <c r="H450" i="4"/>
  <c r="G450" i="4"/>
  <c r="F450" i="4"/>
  <c r="B450" i="4"/>
  <c r="J449" i="4"/>
  <c r="I449" i="4"/>
  <c r="H449" i="4"/>
  <c r="G449" i="4"/>
  <c r="F449" i="4"/>
  <c r="B449" i="4"/>
  <c r="J448" i="4"/>
  <c r="I448" i="4"/>
  <c r="H448" i="4"/>
  <c r="G448" i="4"/>
  <c r="F448" i="4"/>
  <c r="B448" i="4"/>
  <c r="J447" i="4"/>
  <c r="I447" i="4"/>
  <c r="H447" i="4"/>
  <c r="G447" i="4"/>
  <c r="F447" i="4"/>
  <c r="B447" i="4"/>
  <c r="J446" i="4"/>
  <c r="I446" i="4"/>
  <c r="H446" i="4"/>
  <c r="G446" i="4"/>
  <c r="F446" i="4"/>
  <c r="B446" i="4"/>
  <c r="J445" i="4"/>
  <c r="I445" i="4"/>
  <c r="H445" i="4"/>
  <c r="G445" i="4"/>
  <c r="F445" i="4"/>
  <c r="B445" i="4"/>
  <c r="J444" i="4"/>
  <c r="I444" i="4"/>
  <c r="H444" i="4"/>
  <c r="G444" i="4"/>
  <c r="F444" i="4"/>
  <c r="B444" i="4"/>
  <c r="J443" i="4"/>
  <c r="I443" i="4"/>
  <c r="H443" i="4"/>
  <c r="G443" i="4"/>
  <c r="F443" i="4"/>
  <c r="B443" i="4"/>
  <c r="J442" i="4"/>
  <c r="I442" i="4"/>
  <c r="H442" i="4"/>
  <c r="G442" i="4"/>
  <c r="F442" i="4"/>
  <c r="B442" i="4"/>
  <c r="J441" i="4"/>
  <c r="I441" i="4"/>
  <c r="H441" i="4"/>
  <c r="G441" i="4"/>
  <c r="F441" i="4"/>
  <c r="B441" i="4"/>
  <c r="J440" i="4"/>
  <c r="I440" i="4"/>
  <c r="H440" i="4"/>
  <c r="G440" i="4"/>
  <c r="F440" i="4"/>
  <c r="B440" i="4"/>
  <c r="J439" i="4"/>
  <c r="I439" i="4"/>
  <c r="H439" i="4"/>
  <c r="G439" i="4"/>
  <c r="F439" i="4"/>
  <c r="B439" i="4"/>
  <c r="J438" i="4"/>
  <c r="I438" i="4"/>
  <c r="H438" i="4"/>
  <c r="G438" i="4"/>
  <c r="F438" i="4"/>
  <c r="B438" i="4"/>
  <c r="J437" i="4"/>
  <c r="I437" i="4"/>
  <c r="H437" i="4"/>
  <c r="G437" i="4"/>
  <c r="F437" i="4"/>
  <c r="B437" i="4"/>
  <c r="J436" i="4"/>
  <c r="I436" i="4"/>
  <c r="H436" i="4"/>
  <c r="G436" i="4"/>
  <c r="F436" i="4"/>
  <c r="B436" i="4"/>
  <c r="J435" i="4"/>
  <c r="I435" i="4"/>
  <c r="H435" i="4"/>
  <c r="G435" i="4"/>
  <c r="F435" i="4"/>
  <c r="B435" i="4"/>
  <c r="J434" i="4"/>
  <c r="I434" i="4"/>
  <c r="H434" i="4"/>
  <c r="G434" i="4"/>
  <c r="F434" i="4"/>
  <c r="B434" i="4"/>
  <c r="J433" i="4"/>
  <c r="I433" i="4"/>
  <c r="H433" i="4"/>
  <c r="G433" i="4"/>
  <c r="F433" i="4"/>
  <c r="B433" i="4"/>
  <c r="J432" i="4"/>
  <c r="I432" i="4"/>
  <c r="H432" i="4"/>
  <c r="G432" i="4"/>
  <c r="F432" i="4"/>
  <c r="B432" i="4"/>
  <c r="J431" i="4"/>
  <c r="I431" i="4"/>
  <c r="H431" i="4"/>
  <c r="G431" i="4"/>
  <c r="F431" i="4"/>
  <c r="B431" i="4"/>
  <c r="J430" i="4"/>
  <c r="I430" i="4"/>
  <c r="H430" i="4"/>
  <c r="G430" i="4"/>
  <c r="F430" i="4"/>
  <c r="B430" i="4"/>
  <c r="J429" i="4"/>
  <c r="I429" i="4"/>
  <c r="H429" i="4"/>
  <c r="G429" i="4"/>
  <c r="F429" i="4"/>
  <c r="B429" i="4"/>
  <c r="J428" i="4"/>
  <c r="I428" i="4"/>
  <c r="H428" i="4"/>
  <c r="G428" i="4"/>
  <c r="F428" i="4"/>
  <c r="B428" i="4"/>
  <c r="J427" i="4"/>
  <c r="I427" i="4"/>
  <c r="H427" i="4"/>
  <c r="G427" i="4"/>
  <c r="F427" i="4"/>
  <c r="B427" i="4"/>
  <c r="J426" i="4"/>
  <c r="I426" i="4"/>
  <c r="H426" i="4"/>
  <c r="G426" i="4"/>
  <c r="F426" i="4"/>
  <c r="B426" i="4"/>
  <c r="J425" i="4"/>
  <c r="I425" i="4"/>
  <c r="H425" i="4"/>
  <c r="G425" i="4"/>
  <c r="F425" i="4"/>
  <c r="B425" i="4"/>
  <c r="J424" i="4"/>
  <c r="I424" i="4"/>
  <c r="H424" i="4"/>
  <c r="G424" i="4"/>
  <c r="F424" i="4"/>
  <c r="B424" i="4"/>
  <c r="J423" i="4"/>
  <c r="I423" i="4"/>
  <c r="H423" i="4"/>
  <c r="G423" i="4"/>
  <c r="F423" i="4"/>
  <c r="B423" i="4"/>
  <c r="J422" i="4"/>
  <c r="I422" i="4"/>
  <c r="H422" i="4"/>
  <c r="G422" i="4"/>
  <c r="F422" i="4"/>
  <c r="B422" i="4"/>
  <c r="J421" i="4"/>
  <c r="I421" i="4"/>
  <c r="H421" i="4"/>
  <c r="G421" i="4"/>
  <c r="F421" i="4"/>
  <c r="B421" i="4"/>
  <c r="J420" i="4"/>
  <c r="I420" i="4"/>
  <c r="H420" i="4"/>
  <c r="G420" i="4"/>
  <c r="F420" i="4"/>
  <c r="B420" i="4"/>
  <c r="J419" i="4"/>
  <c r="I419" i="4"/>
  <c r="H419" i="4"/>
  <c r="G419" i="4"/>
  <c r="F419" i="4"/>
  <c r="B419" i="4"/>
  <c r="J418" i="4"/>
  <c r="I418" i="4"/>
  <c r="H418" i="4"/>
  <c r="G418" i="4"/>
  <c r="F418" i="4"/>
  <c r="B418" i="4"/>
  <c r="J417" i="4"/>
  <c r="I417" i="4"/>
  <c r="H417" i="4"/>
  <c r="G417" i="4"/>
  <c r="F417" i="4"/>
  <c r="B417" i="4"/>
  <c r="J416" i="4"/>
  <c r="I416" i="4"/>
  <c r="H416" i="4"/>
  <c r="G416" i="4"/>
  <c r="F416" i="4"/>
  <c r="B416" i="4"/>
  <c r="J415" i="4"/>
  <c r="I415" i="4"/>
  <c r="H415" i="4"/>
  <c r="G415" i="4"/>
  <c r="F415" i="4"/>
  <c r="B415" i="4"/>
  <c r="J414" i="4"/>
  <c r="I414" i="4"/>
  <c r="H414" i="4"/>
  <c r="G414" i="4"/>
  <c r="F414" i="4"/>
  <c r="B414" i="4"/>
  <c r="J413" i="4"/>
  <c r="I413" i="4"/>
  <c r="H413" i="4"/>
  <c r="G413" i="4"/>
  <c r="F413" i="4"/>
  <c r="B413" i="4"/>
  <c r="J412" i="4"/>
  <c r="I412" i="4"/>
  <c r="H412" i="4"/>
  <c r="G412" i="4"/>
  <c r="F412" i="4"/>
  <c r="B412" i="4"/>
  <c r="J411" i="4"/>
  <c r="I411" i="4"/>
  <c r="H411" i="4"/>
  <c r="G411" i="4"/>
  <c r="F411" i="4"/>
  <c r="B411" i="4"/>
  <c r="J410" i="4"/>
  <c r="I410" i="4"/>
  <c r="H410" i="4"/>
  <c r="G410" i="4"/>
  <c r="F410" i="4"/>
  <c r="B410" i="4"/>
  <c r="J409" i="4"/>
  <c r="I409" i="4"/>
  <c r="H409" i="4"/>
  <c r="G409" i="4"/>
  <c r="F409" i="4"/>
  <c r="B409" i="4"/>
  <c r="J408" i="4"/>
  <c r="I408" i="4"/>
  <c r="H408" i="4"/>
  <c r="G408" i="4"/>
  <c r="F408" i="4"/>
  <c r="B408" i="4"/>
  <c r="J407" i="4"/>
  <c r="I407" i="4"/>
  <c r="H407" i="4"/>
  <c r="G407" i="4"/>
  <c r="F407" i="4"/>
  <c r="B407" i="4"/>
  <c r="J406" i="4"/>
  <c r="I406" i="4"/>
  <c r="H406" i="4"/>
  <c r="G406" i="4"/>
  <c r="F406" i="4"/>
  <c r="B406" i="4"/>
  <c r="J405" i="4"/>
  <c r="I405" i="4"/>
  <c r="H405" i="4"/>
  <c r="G405" i="4"/>
  <c r="F405" i="4"/>
  <c r="B405" i="4"/>
  <c r="J404" i="4"/>
  <c r="I404" i="4"/>
  <c r="H404" i="4"/>
  <c r="G404" i="4"/>
  <c r="F404" i="4"/>
  <c r="B404" i="4"/>
  <c r="J403" i="4"/>
  <c r="I403" i="4"/>
  <c r="H403" i="4"/>
  <c r="G403" i="4"/>
  <c r="F403" i="4"/>
  <c r="B403" i="4"/>
  <c r="J402" i="4"/>
  <c r="I402" i="4"/>
  <c r="H402" i="4"/>
  <c r="G402" i="4"/>
  <c r="F402" i="4"/>
  <c r="B402" i="4"/>
  <c r="J401" i="4"/>
  <c r="I401" i="4"/>
  <c r="H401" i="4"/>
  <c r="G401" i="4"/>
  <c r="F401" i="4"/>
  <c r="B401" i="4"/>
  <c r="J400" i="4"/>
  <c r="I400" i="4"/>
  <c r="H400" i="4"/>
  <c r="G400" i="4"/>
  <c r="F400" i="4"/>
  <c r="B400" i="4"/>
  <c r="J399" i="4"/>
  <c r="I399" i="4"/>
  <c r="H399" i="4"/>
  <c r="G399" i="4"/>
  <c r="F399" i="4"/>
  <c r="B399" i="4"/>
  <c r="J398" i="4"/>
  <c r="I398" i="4"/>
  <c r="H398" i="4"/>
  <c r="G398" i="4"/>
  <c r="F398" i="4"/>
  <c r="B398" i="4"/>
  <c r="J397" i="4"/>
  <c r="I397" i="4"/>
  <c r="H397" i="4"/>
  <c r="G397" i="4"/>
  <c r="F397" i="4"/>
  <c r="B397" i="4"/>
  <c r="J396" i="4"/>
  <c r="I396" i="4"/>
  <c r="H396" i="4"/>
  <c r="G396" i="4"/>
  <c r="F396" i="4"/>
  <c r="B396" i="4"/>
  <c r="J395" i="4"/>
  <c r="I395" i="4"/>
  <c r="H395" i="4"/>
  <c r="G395" i="4"/>
  <c r="F395" i="4"/>
  <c r="B395" i="4"/>
  <c r="J394" i="4"/>
  <c r="I394" i="4"/>
  <c r="H394" i="4"/>
  <c r="G394" i="4"/>
  <c r="F394" i="4"/>
  <c r="B394" i="4"/>
  <c r="J393" i="4"/>
  <c r="I393" i="4"/>
  <c r="H393" i="4"/>
  <c r="G393" i="4"/>
  <c r="F393" i="4"/>
  <c r="B393" i="4"/>
  <c r="J392" i="4"/>
  <c r="I392" i="4"/>
  <c r="H392" i="4"/>
  <c r="G392" i="4"/>
  <c r="F392" i="4"/>
  <c r="B392" i="4"/>
  <c r="J391" i="4"/>
  <c r="I391" i="4"/>
  <c r="H391" i="4"/>
  <c r="G391" i="4"/>
  <c r="F391" i="4"/>
  <c r="B391" i="4"/>
  <c r="J390" i="4"/>
  <c r="I390" i="4"/>
  <c r="H390" i="4"/>
  <c r="G390" i="4"/>
  <c r="F390" i="4"/>
  <c r="B390" i="4"/>
  <c r="J389" i="4"/>
  <c r="I389" i="4"/>
  <c r="H389" i="4"/>
  <c r="G389" i="4"/>
  <c r="F389" i="4"/>
  <c r="B389" i="4"/>
  <c r="J388" i="4"/>
  <c r="I388" i="4"/>
  <c r="H388" i="4"/>
  <c r="G388" i="4"/>
  <c r="F388" i="4"/>
  <c r="B388" i="4"/>
  <c r="J387" i="4"/>
  <c r="I387" i="4"/>
  <c r="H387" i="4"/>
  <c r="G387" i="4"/>
  <c r="F387" i="4"/>
  <c r="B387" i="4"/>
  <c r="J386" i="4"/>
  <c r="I386" i="4"/>
  <c r="H386" i="4"/>
  <c r="G386" i="4"/>
  <c r="F386" i="4"/>
  <c r="B386" i="4"/>
  <c r="J385" i="4"/>
  <c r="I385" i="4"/>
  <c r="H385" i="4"/>
  <c r="G385" i="4"/>
  <c r="F385" i="4"/>
  <c r="B385" i="4"/>
  <c r="J384" i="4"/>
  <c r="I384" i="4"/>
  <c r="H384" i="4"/>
  <c r="G384" i="4"/>
  <c r="F384" i="4"/>
  <c r="B384" i="4"/>
  <c r="J383" i="4"/>
  <c r="I383" i="4"/>
  <c r="H383" i="4"/>
  <c r="G383" i="4"/>
  <c r="F383" i="4"/>
  <c r="B383" i="4"/>
  <c r="J382" i="4"/>
  <c r="I382" i="4"/>
  <c r="H382" i="4"/>
  <c r="G382" i="4"/>
  <c r="F382" i="4"/>
  <c r="B382" i="4"/>
  <c r="J381" i="4"/>
  <c r="I381" i="4"/>
  <c r="H381" i="4"/>
  <c r="G381" i="4"/>
  <c r="F381" i="4"/>
  <c r="B381" i="4"/>
  <c r="J380" i="4"/>
  <c r="I380" i="4"/>
  <c r="H380" i="4"/>
  <c r="G380" i="4"/>
  <c r="F380" i="4"/>
  <c r="B380" i="4"/>
  <c r="J379" i="4"/>
  <c r="I379" i="4"/>
  <c r="H379" i="4"/>
  <c r="G379" i="4"/>
  <c r="F379" i="4"/>
  <c r="B379" i="4"/>
  <c r="J378" i="4"/>
  <c r="I378" i="4"/>
  <c r="H378" i="4"/>
  <c r="G378" i="4"/>
  <c r="F378" i="4"/>
  <c r="B378" i="4"/>
  <c r="J377" i="4"/>
  <c r="I377" i="4"/>
  <c r="H377" i="4"/>
  <c r="G377" i="4"/>
  <c r="F377" i="4"/>
  <c r="B377" i="4"/>
  <c r="J376" i="4"/>
  <c r="I376" i="4"/>
  <c r="H376" i="4"/>
  <c r="G376" i="4"/>
  <c r="F376" i="4"/>
  <c r="B376" i="4"/>
  <c r="J375" i="4"/>
  <c r="I375" i="4"/>
  <c r="H375" i="4"/>
  <c r="G375" i="4"/>
  <c r="F375" i="4"/>
  <c r="B375" i="4"/>
  <c r="J374" i="4"/>
  <c r="I374" i="4"/>
  <c r="H374" i="4"/>
  <c r="G374" i="4"/>
  <c r="F374" i="4"/>
  <c r="B374" i="4"/>
  <c r="J373" i="4"/>
  <c r="I373" i="4"/>
  <c r="H373" i="4"/>
  <c r="G373" i="4"/>
  <c r="F373" i="4"/>
  <c r="B373" i="4"/>
  <c r="J372" i="4"/>
  <c r="I372" i="4"/>
  <c r="H372" i="4"/>
  <c r="G372" i="4"/>
  <c r="F372" i="4"/>
  <c r="B372" i="4"/>
  <c r="J371" i="4"/>
  <c r="I371" i="4"/>
  <c r="H371" i="4"/>
  <c r="G371" i="4"/>
  <c r="F371" i="4"/>
  <c r="B371" i="4"/>
  <c r="J370" i="4"/>
  <c r="I370" i="4"/>
  <c r="H370" i="4"/>
  <c r="G370" i="4"/>
  <c r="F370" i="4"/>
  <c r="B370" i="4"/>
  <c r="J369" i="4"/>
  <c r="I369" i="4"/>
  <c r="H369" i="4"/>
  <c r="G369" i="4"/>
  <c r="F369" i="4"/>
  <c r="B369" i="4"/>
  <c r="J368" i="4"/>
  <c r="I368" i="4"/>
  <c r="H368" i="4"/>
  <c r="G368" i="4"/>
  <c r="F368" i="4"/>
  <c r="B368" i="4"/>
  <c r="J367" i="4"/>
  <c r="I367" i="4"/>
  <c r="H367" i="4"/>
  <c r="G367" i="4"/>
  <c r="F367" i="4"/>
  <c r="B367" i="4"/>
  <c r="J366" i="4"/>
  <c r="I366" i="4"/>
  <c r="H366" i="4"/>
  <c r="G366" i="4"/>
  <c r="F366" i="4"/>
  <c r="B366" i="4"/>
  <c r="J365" i="4"/>
  <c r="I365" i="4"/>
  <c r="H365" i="4"/>
  <c r="G365" i="4"/>
  <c r="F365" i="4"/>
  <c r="B365" i="4"/>
  <c r="J364" i="4"/>
  <c r="I364" i="4"/>
  <c r="H364" i="4"/>
  <c r="G364" i="4"/>
  <c r="F364" i="4"/>
  <c r="B364" i="4"/>
  <c r="J363" i="4"/>
  <c r="I363" i="4"/>
  <c r="H363" i="4"/>
  <c r="G363" i="4"/>
  <c r="F363" i="4"/>
  <c r="B363" i="4"/>
  <c r="J362" i="4"/>
  <c r="I362" i="4"/>
  <c r="H362" i="4"/>
  <c r="G362" i="4"/>
  <c r="F362" i="4"/>
  <c r="B362" i="4"/>
  <c r="J361" i="4"/>
  <c r="I361" i="4"/>
  <c r="H361" i="4"/>
  <c r="G361" i="4"/>
  <c r="F361" i="4"/>
  <c r="B361" i="4"/>
  <c r="J360" i="4"/>
  <c r="I360" i="4"/>
  <c r="H360" i="4"/>
  <c r="G360" i="4"/>
  <c r="F360" i="4"/>
  <c r="B360" i="4"/>
  <c r="J359" i="4"/>
  <c r="I359" i="4"/>
  <c r="H359" i="4"/>
  <c r="G359" i="4"/>
  <c r="F359" i="4"/>
  <c r="B359" i="4"/>
  <c r="J358" i="4"/>
  <c r="I358" i="4"/>
  <c r="H358" i="4"/>
  <c r="G358" i="4"/>
  <c r="F358" i="4"/>
  <c r="B358" i="4"/>
  <c r="J357" i="4"/>
  <c r="I357" i="4"/>
  <c r="H357" i="4"/>
  <c r="G357" i="4"/>
  <c r="F357" i="4"/>
  <c r="B357" i="4"/>
  <c r="J356" i="4"/>
  <c r="I356" i="4"/>
  <c r="H356" i="4"/>
  <c r="G356" i="4"/>
  <c r="F356" i="4"/>
  <c r="B356" i="4"/>
  <c r="J355" i="4"/>
  <c r="I355" i="4"/>
  <c r="H355" i="4"/>
  <c r="G355" i="4"/>
  <c r="F355" i="4"/>
  <c r="B355" i="4"/>
  <c r="J354" i="4"/>
  <c r="I354" i="4"/>
  <c r="H354" i="4"/>
  <c r="G354" i="4"/>
  <c r="F354" i="4"/>
  <c r="B354" i="4"/>
  <c r="J353" i="4"/>
  <c r="I353" i="4"/>
  <c r="H353" i="4"/>
  <c r="G353" i="4"/>
  <c r="F353" i="4"/>
  <c r="B353" i="4"/>
  <c r="J352" i="4"/>
  <c r="I352" i="4"/>
  <c r="H352" i="4"/>
  <c r="G352" i="4"/>
  <c r="F352" i="4"/>
  <c r="B352" i="4"/>
  <c r="J351" i="4"/>
  <c r="I351" i="4"/>
  <c r="H351" i="4"/>
  <c r="G351" i="4"/>
  <c r="F351" i="4"/>
  <c r="B351" i="4"/>
  <c r="J350" i="4"/>
  <c r="I350" i="4"/>
  <c r="H350" i="4"/>
  <c r="G350" i="4"/>
  <c r="F350" i="4"/>
  <c r="B350" i="4"/>
  <c r="J349" i="4"/>
  <c r="I349" i="4"/>
  <c r="H349" i="4"/>
  <c r="G349" i="4"/>
  <c r="F349" i="4"/>
  <c r="B349" i="4"/>
  <c r="J348" i="4"/>
  <c r="I348" i="4"/>
  <c r="H348" i="4"/>
  <c r="G348" i="4"/>
  <c r="F348" i="4"/>
  <c r="B348" i="4"/>
  <c r="J347" i="4"/>
  <c r="I347" i="4"/>
  <c r="H347" i="4"/>
  <c r="G347" i="4"/>
  <c r="F347" i="4"/>
  <c r="B347" i="4"/>
  <c r="J346" i="4"/>
  <c r="I346" i="4"/>
  <c r="H346" i="4"/>
  <c r="G346" i="4"/>
  <c r="F346" i="4"/>
  <c r="B346" i="4"/>
  <c r="J345" i="4"/>
  <c r="I345" i="4"/>
  <c r="H345" i="4"/>
  <c r="G345" i="4"/>
  <c r="F345" i="4"/>
  <c r="B345" i="4"/>
  <c r="J344" i="4"/>
  <c r="I344" i="4"/>
  <c r="H344" i="4"/>
  <c r="G344" i="4"/>
  <c r="F344" i="4"/>
  <c r="B344" i="4"/>
  <c r="J343" i="4"/>
  <c r="I343" i="4"/>
  <c r="H343" i="4"/>
  <c r="G343" i="4"/>
  <c r="F343" i="4"/>
  <c r="B343" i="4"/>
  <c r="J342" i="4"/>
  <c r="I342" i="4"/>
  <c r="H342" i="4"/>
  <c r="G342" i="4"/>
  <c r="F342" i="4"/>
  <c r="B342" i="4"/>
  <c r="J341" i="4"/>
  <c r="I341" i="4"/>
  <c r="H341" i="4"/>
  <c r="G341" i="4"/>
  <c r="F341" i="4"/>
  <c r="B341" i="4"/>
  <c r="J340" i="4"/>
  <c r="I340" i="4"/>
  <c r="H340" i="4"/>
  <c r="G340" i="4"/>
  <c r="F340" i="4"/>
  <c r="B340" i="4"/>
  <c r="J339" i="4"/>
  <c r="I339" i="4"/>
  <c r="H339" i="4"/>
  <c r="G339" i="4"/>
  <c r="F339" i="4"/>
  <c r="B339" i="4"/>
  <c r="J338" i="4"/>
  <c r="I338" i="4"/>
  <c r="H338" i="4"/>
  <c r="G338" i="4"/>
  <c r="F338" i="4"/>
  <c r="B338" i="4"/>
  <c r="J337" i="4"/>
  <c r="I337" i="4"/>
  <c r="H337" i="4"/>
  <c r="G337" i="4"/>
  <c r="F337" i="4"/>
  <c r="B337" i="4"/>
  <c r="J336" i="4"/>
  <c r="I336" i="4"/>
  <c r="H336" i="4"/>
  <c r="G336" i="4"/>
  <c r="F336" i="4"/>
  <c r="B336" i="4"/>
  <c r="J335" i="4"/>
  <c r="I335" i="4"/>
  <c r="H335" i="4"/>
  <c r="G335" i="4"/>
  <c r="F335" i="4"/>
  <c r="B335" i="4"/>
  <c r="J334" i="4"/>
  <c r="I334" i="4"/>
  <c r="H334" i="4"/>
  <c r="G334" i="4"/>
  <c r="F334" i="4"/>
  <c r="B334" i="4"/>
  <c r="J333" i="4"/>
  <c r="I333" i="4"/>
  <c r="H333" i="4"/>
  <c r="G333" i="4"/>
  <c r="F333" i="4"/>
  <c r="B333" i="4"/>
  <c r="J332" i="4"/>
  <c r="I332" i="4"/>
  <c r="H332" i="4"/>
  <c r="G332" i="4"/>
  <c r="F332" i="4"/>
  <c r="B332" i="4"/>
  <c r="J331" i="4"/>
  <c r="I331" i="4"/>
  <c r="H331" i="4"/>
  <c r="G331" i="4"/>
  <c r="F331" i="4"/>
  <c r="B331" i="4"/>
  <c r="J330" i="4"/>
  <c r="I330" i="4"/>
  <c r="H330" i="4"/>
  <c r="G330" i="4"/>
  <c r="F330" i="4"/>
  <c r="B330" i="4"/>
  <c r="J329" i="4"/>
  <c r="I329" i="4"/>
  <c r="H329" i="4"/>
  <c r="G329" i="4"/>
  <c r="F329" i="4"/>
  <c r="B329" i="4"/>
  <c r="J328" i="4"/>
  <c r="I328" i="4"/>
  <c r="H328" i="4"/>
  <c r="G328" i="4"/>
  <c r="F328" i="4"/>
  <c r="B328" i="4"/>
  <c r="J327" i="4"/>
  <c r="I327" i="4"/>
  <c r="H327" i="4"/>
  <c r="G327" i="4"/>
  <c r="F327" i="4"/>
  <c r="B327" i="4"/>
  <c r="J326" i="4"/>
  <c r="I326" i="4"/>
  <c r="H326" i="4"/>
  <c r="G326" i="4"/>
  <c r="F326" i="4"/>
  <c r="B326" i="4"/>
  <c r="J325" i="4"/>
  <c r="I325" i="4"/>
  <c r="H325" i="4"/>
  <c r="G325" i="4"/>
  <c r="F325" i="4"/>
  <c r="B325" i="4"/>
  <c r="J324" i="4"/>
  <c r="I324" i="4"/>
  <c r="H324" i="4"/>
  <c r="G324" i="4"/>
  <c r="F324" i="4"/>
  <c r="B324" i="4"/>
  <c r="J323" i="4"/>
  <c r="I323" i="4"/>
  <c r="H323" i="4"/>
  <c r="G323" i="4"/>
  <c r="F323" i="4"/>
  <c r="B323" i="4"/>
  <c r="J322" i="4"/>
  <c r="I322" i="4"/>
  <c r="H322" i="4"/>
  <c r="G322" i="4"/>
  <c r="F322" i="4"/>
  <c r="B322" i="4"/>
  <c r="J321" i="4"/>
  <c r="I321" i="4"/>
  <c r="H321" i="4"/>
  <c r="G321" i="4"/>
  <c r="F321" i="4"/>
  <c r="B321" i="4"/>
  <c r="J320" i="4"/>
  <c r="I320" i="4"/>
  <c r="H320" i="4"/>
  <c r="G320" i="4"/>
  <c r="F320" i="4"/>
  <c r="B320" i="4"/>
  <c r="J319" i="4"/>
  <c r="I319" i="4"/>
  <c r="H319" i="4"/>
  <c r="G319" i="4"/>
  <c r="F319" i="4"/>
  <c r="B319" i="4"/>
  <c r="J318" i="4"/>
  <c r="I318" i="4"/>
  <c r="H318" i="4"/>
  <c r="G318" i="4"/>
  <c r="F318" i="4"/>
  <c r="B318" i="4"/>
  <c r="J317" i="4"/>
  <c r="I317" i="4"/>
  <c r="H317" i="4"/>
  <c r="G317" i="4"/>
  <c r="F317" i="4"/>
  <c r="B317" i="4"/>
  <c r="J316" i="4"/>
  <c r="I316" i="4"/>
  <c r="H316" i="4"/>
  <c r="G316" i="4"/>
  <c r="F316" i="4"/>
  <c r="B316" i="4"/>
  <c r="J315" i="4"/>
  <c r="I315" i="4"/>
  <c r="H315" i="4"/>
  <c r="G315" i="4"/>
  <c r="F315" i="4"/>
  <c r="B315" i="4"/>
  <c r="J314" i="4"/>
  <c r="I314" i="4"/>
  <c r="H314" i="4"/>
  <c r="G314" i="4"/>
  <c r="F314" i="4"/>
  <c r="B314" i="4"/>
  <c r="J313" i="4"/>
  <c r="I313" i="4"/>
  <c r="H313" i="4"/>
  <c r="G313" i="4"/>
  <c r="F313" i="4"/>
  <c r="B313" i="4"/>
  <c r="J312" i="4"/>
  <c r="I312" i="4"/>
  <c r="H312" i="4"/>
  <c r="G312" i="4"/>
  <c r="F312" i="4"/>
  <c r="B312" i="4"/>
  <c r="J311" i="4"/>
  <c r="I311" i="4"/>
  <c r="H311" i="4"/>
  <c r="G311" i="4"/>
  <c r="F311" i="4"/>
  <c r="B311" i="4"/>
  <c r="J310" i="4"/>
  <c r="I310" i="4"/>
  <c r="H310" i="4"/>
  <c r="G310" i="4"/>
  <c r="F310" i="4"/>
  <c r="B310" i="4"/>
  <c r="J309" i="4"/>
  <c r="I309" i="4"/>
  <c r="H309" i="4"/>
  <c r="G309" i="4"/>
  <c r="F309" i="4"/>
  <c r="B309" i="4"/>
  <c r="J308" i="4"/>
  <c r="I308" i="4"/>
  <c r="H308" i="4"/>
  <c r="G308" i="4"/>
  <c r="F308" i="4"/>
  <c r="B308" i="4"/>
  <c r="J307" i="4"/>
  <c r="I307" i="4"/>
  <c r="H307" i="4"/>
  <c r="G307" i="4"/>
  <c r="F307" i="4"/>
  <c r="B307" i="4"/>
  <c r="J306" i="4"/>
  <c r="I306" i="4"/>
  <c r="H306" i="4"/>
  <c r="G306" i="4"/>
  <c r="F306" i="4"/>
  <c r="B306" i="4"/>
  <c r="J305" i="4"/>
  <c r="I305" i="4"/>
  <c r="H305" i="4"/>
  <c r="G305" i="4"/>
  <c r="F305" i="4"/>
  <c r="B305" i="4"/>
  <c r="J304" i="4"/>
  <c r="I304" i="4"/>
  <c r="H304" i="4"/>
  <c r="G304" i="4"/>
  <c r="F304" i="4"/>
  <c r="B304" i="4"/>
  <c r="J303" i="4"/>
  <c r="I303" i="4"/>
  <c r="H303" i="4"/>
  <c r="G303" i="4"/>
  <c r="F303" i="4"/>
  <c r="B303" i="4"/>
  <c r="J302" i="4"/>
  <c r="I302" i="4"/>
  <c r="H302" i="4"/>
  <c r="G302" i="4"/>
  <c r="F302" i="4"/>
  <c r="B302" i="4"/>
  <c r="J301" i="4"/>
  <c r="I301" i="4"/>
  <c r="H301" i="4"/>
  <c r="G301" i="4"/>
  <c r="F301" i="4"/>
  <c r="B301" i="4"/>
  <c r="J300" i="4"/>
  <c r="I300" i="4"/>
  <c r="H300" i="4"/>
  <c r="G300" i="4"/>
  <c r="F300" i="4"/>
  <c r="B300" i="4"/>
  <c r="J299" i="4"/>
  <c r="I299" i="4"/>
  <c r="H299" i="4"/>
  <c r="G299" i="4"/>
  <c r="F299" i="4"/>
  <c r="B299" i="4"/>
  <c r="J298" i="4"/>
  <c r="I298" i="4"/>
  <c r="H298" i="4"/>
  <c r="G298" i="4"/>
  <c r="F298" i="4"/>
  <c r="B298" i="4"/>
  <c r="J297" i="4"/>
  <c r="I297" i="4"/>
  <c r="H297" i="4"/>
  <c r="G297" i="4"/>
  <c r="F297" i="4"/>
  <c r="B297" i="4"/>
  <c r="J296" i="4"/>
  <c r="I296" i="4"/>
  <c r="H296" i="4"/>
  <c r="G296" i="4"/>
  <c r="F296" i="4"/>
  <c r="B296" i="4"/>
  <c r="J295" i="4"/>
  <c r="I295" i="4"/>
  <c r="H295" i="4"/>
  <c r="G295" i="4"/>
  <c r="F295" i="4"/>
  <c r="B295" i="4"/>
  <c r="J294" i="4"/>
  <c r="I294" i="4"/>
  <c r="H294" i="4"/>
  <c r="G294" i="4"/>
  <c r="F294" i="4"/>
  <c r="B294" i="4"/>
  <c r="J293" i="4"/>
  <c r="I293" i="4"/>
  <c r="H293" i="4"/>
  <c r="G293" i="4"/>
  <c r="F293" i="4"/>
  <c r="B293" i="4"/>
  <c r="J292" i="4"/>
  <c r="I292" i="4"/>
  <c r="H292" i="4"/>
  <c r="G292" i="4"/>
  <c r="F292" i="4"/>
  <c r="B292" i="4"/>
  <c r="J291" i="4"/>
  <c r="I291" i="4"/>
  <c r="H291" i="4"/>
  <c r="G291" i="4"/>
  <c r="F291" i="4"/>
  <c r="B291" i="4"/>
  <c r="J290" i="4"/>
  <c r="I290" i="4"/>
  <c r="H290" i="4"/>
  <c r="G290" i="4"/>
  <c r="F290" i="4"/>
  <c r="B290" i="4"/>
  <c r="J289" i="4"/>
  <c r="I289" i="4"/>
  <c r="H289" i="4"/>
  <c r="G289" i="4"/>
  <c r="F289" i="4"/>
  <c r="B289" i="4"/>
  <c r="J288" i="4"/>
  <c r="I288" i="4"/>
  <c r="H288" i="4"/>
  <c r="G288" i="4"/>
  <c r="F288" i="4"/>
  <c r="B288" i="4"/>
  <c r="J287" i="4"/>
  <c r="I287" i="4"/>
  <c r="H287" i="4"/>
  <c r="G287" i="4"/>
  <c r="F287" i="4"/>
  <c r="B287" i="4"/>
  <c r="J286" i="4"/>
  <c r="I286" i="4"/>
  <c r="H286" i="4"/>
  <c r="G286" i="4"/>
  <c r="F286" i="4"/>
  <c r="B286" i="4"/>
  <c r="J285" i="4"/>
  <c r="I285" i="4"/>
  <c r="H285" i="4"/>
  <c r="G285" i="4"/>
  <c r="F285" i="4"/>
  <c r="B285" i="4"/>
  <c r="J284" i="4"/>
  <c r="I284" i="4"/>
  <c r="H284" i="4"/>
  <c r="G284" i="4"/>
  <c r="F284" i="4"/>
  <c r="B284" i="4"/>
  <c r="J283" i="4"/>
  <c r="I283" i="4"/>
  <c r="H283" i="4"/>
  <c r="G283" i="4"/>
  <c r="F283" i="4"/>
  <c r="B283" i="4"/>
  <c r="J282" i="4"/>
  <c r="I282" i="4"/>
  <c r="H282" i="4"/>
  <c r="G282" i="4"/>
  <c r="F282" i="4"/>
  <c r="B282" i="4"/>
  <c r="J281" i="4"/>
  <c r="I281" i="4"/>
  <c r="H281" i="4"/>
  <c r="G281" i="4"/>
  <c r="F281" i="4"/>
  <c r="B281" i="4"/>
  <c r="J280" i="4"/>
  <c r="I280" i="4"/>
  <c r="H280" i="4"/>
  <c r="G280" i="4"/>
  <c r="F280" i="4"/>
  <c r="B280" i="4"/>
  <c r="J279" i="4"/>
  <c r="I279" i="4"/>
  <c r="H279" i="4"/>
  <c r="G279" i="4"/>
  <c r="F279" i="4"/>
  <c r="B279" i="4"/>
  <c r="J278" i="4"/>
  <c r="I278" i="4"/>
  <c r="H278" i="4"/>
  <c r="G278" i="4"/>
  <c r="F278" i="4"/>
  <c r="B278" i="4"/>
  <c r="J277" i="4"/>
  <c r="I277" i="4"/>
  <c r="H277" i="4"/>
  <c r="G277" i="4"/>
  <c r="F277" i="4"/>
  <c r="B277" i="4"/>
  <c r="J276" i="4"/>
  <c r="I276" i="4"/>
  <c r="H276" i="4"/>
  <c r="G276" i="4"/>
  <c r="F276" i="4"/>
  <c r="B276" i="4"/>
  <c r="J275" i="4"/>
  <c r="I275" i="4"/>
  <c r="H275" i="4"/>
  <c r="G275" i="4"/>
  <c r="F275" i="4"/>
  <c r="B275" i="4"/>
  <c r="J274" i="4"/>
  <c r="I274" i="4"/>
  <c r="H274" i="4"/>
  <c r="G274" i="4"/>
  <c r="F274" i="4"/>
  <c r="B274" i="4"/>
  <c r="J273" i="4"/>
  <c r="I273" i="4"/>
  <c r="H273" i="4"/>
  <c r="G273" i="4"/>
  <c r="F273" i="4"/>
  <c r="B273" i="4"/>
  <c r="J272" i="4"/>
  <c r="I272" i="4"/>
  <c r="H272" i="4"/>
  <c r="G272" i="4"/>
  <c r="F272" i="4"/>
  <c r="B272" i="4"/>
  <c r="J271" i="4"/>
  <c r="I271" i="4"/>
  <c r="H271" i="4"/>
  <c r="G271" i="4"/>
  <c r="F271" i="4"/>
  <c r="B271" i="4"/>
  <c r="J270" i="4"/>
  <c r="I270" i="4"/>
  <c r="H270" i="4"/>
  <c r="G270" i="4"/>
  <c r="F270" i="4"/>
  <c r="B270" i="4"/>
  <c r="J269" i="4"/>
  <c r="I269" i="4"/>
  <c r="H269" i="4"/>
  <c r="G269" i="4"/>
  <c r="F269" i="4"/>
  <c r="B269" i="4"/>
  <c r="J268" i="4"/>
  <c r="I268" i="4"/>
  <c r="H268" i="4"/>
  <c r="G268" i="4"/>
  <c r="F268" i="4"/>
  <c r="B268" i="4"/>
  <c r="J267" i="4"/>
  <c r="I267" i="4"/>
  <c r="H267" i="4"/>
  <c r="G267" i="4"/>
  <c r="F267" i="4"/>
  <c r="B267" i="4"/>
  <c r="J266" i="4"/>
  <c r="I266" i="4"/>
  <c r="H266" i="4"/>
  <c r="G266" i="4"/>
  <c r="F266" i="4"/>
  <c r="B266" i="4"/>
  <c r="J265" i="4"/>
  <c r="I265" i="4"/>
  <c r="H265" i="4"/>
  <c r="G265" i="4"/>
  <c r="F265" i="4"/>
  <c r="B265" i="4"/>
  <c r="J264" i="4"/>
  <c r="I264" i="4"/>
  <c r="H264" i="4"/>
  <c r="G264" i="4"/>
  <c r="F264" i="4"/>
  <c r="B264" i="4"/>
  <c r="J263" i="4"/>
  <c r="I263" i="4"/>
  <c r="H263" i="4"/>
  <c r="G263" i="4"/>
  <c r="F263" i="4"/>
  <c r="B263" i="4"/>
  <c r="J262" i="4"/>
  <c r="I262" i="4"/>
  <c r="H262" i="4"/>
  <c r="G262" i="4"/>
  <c r="F262" i="4"/>
  <c r="B262" i="4"/>
  <c r="J261" i="4"/>
  <c r="I261" i="4"/>
  <c r="H261" i="4"/>
  <c r="G261" i="4"/>
  <c r="F261" i="4"/>
  <c r="B261" i="4"/>
  <c r="J260" i="4"/>
  <c r="I260" i="4"/>
  <c r="H260" i="4"/>
  <c r="G260" i="4"/>
  <c r="F260" i="4"/>
  <c r="B260" i="4"/>
  <c r="J259" i="4"/>
  <c r="I259" i="4"/>
  <c r="H259" i="4"/>
  <c r="G259" i="4"/>
  <c r="F259" i="4"/>
  <c r="B259" i="4"/>
  <c r="J258" i="4"/>
  <c r="I258" i="4"/>
  <c r="H258" i="4"/>
  <c r="G258" i="4"/>
  <c r="F258" i="4"/>
  <c r="B258" i="4"/>
  <c r="J257" i="4"/>
  <c r="I257" i="4"/>
  <c r="H257" i="4"/>
  <c r="G257" i="4"/>
  <c r="F257" i="4"/>
  <c r="B257" i="4"/>
  <c r="J256" i="4"/>
  <c r="I256" i="4"/>
  <c r="H256" i="4"/>
  <c r="G256" i="4"/>
  <c r="F256" i="4"/>
  <c r="B256" i="4"/>
  <c r="J255" i="4"/>
  <c r="I255" i="4"/>
  <c r="H255" i="4"/>
  <c r="G255" i="4"/>
  <c r="F255" i="4"/>
  <c r="B255" i="4"/>
  <c r="J254" i="4"/>
  <c r="I254" i="4"/>
  <c r="H254" i="4"/>
  <c r="G254" i="4"/>
  <c r="F254" i="4"/>
  <c r="B254" i="4"/>
  <c r="J253" i="4"/>
  <c r="I253" i="4"/>
  <c r="H253" i="4"/>
  <c r="G253" i="4"/>
  <c r="F253" i="4"/>
  <c r="B253" i="4"/>
  <c r="J252" i="4"/>
  <c r="I252" i="4"/>
  <c r="H252" i="4"/>
  <c r="G252" i="4"/>
  <c r="F252" i="4"/>
  <c r="B252" i="4"/>
  <c r="J251" i="4"/>
  <c r="I251" i="4"/>
  <c r="H251" i="4"/>
  <c r="G251" i="4"/>
  <c r="F251" i="4"/>
  <c r="B251" i="4"/>
  <c r="J250" i="4"/>
  <c r="I250" i="4"/>
  <c r="H250" i="4"/>
  <c r="G250" i="4"/>
  <c r="F250" i="4"/>
  <c r="B250" i="4"/>
  <c r="J249" i="4"/>
  <c r="I249" i="4"/>
  <c r="H249" i="4"/>
  <c r="G249" i="4"/>
  <c r="F249" i="4"/>
  <c r="B249" i="4"/>
  <c r="J248" i="4"/>
  <c r="I248" i="4"/>
  <c r="H248" i="4"/>
  <c r="G248" i="4"/>
  <c r="F248" i="4"/>
  <c r="B248" i="4"/>
  <c r="J247" i="4"/>
  <c r="I247" i="4"/>
  <c r="H247" i="4"/>
  <c r="G247" i="4"/>
  <c r="F247" i="4"/>
  <c r="B247" i="4"/>
  <c r="J246" i="4"/>
  <c r="I246" i="4"/>
  <c r="H246" i="4"/>
  <c r="G246" i="4"/>
  <c r="F246" i="4"/>
  <c r="B246" i="4"/>
  <c r="J245" i="4"/>
  <c r="I245" i="4"/>
  <c r="H245" i="4"/>
  <c r="G245" i="4"/>
  <c r="F245" i="4"/>
  <c r="B245" i="4"/>
  <c r="J244" i="4"/>
  <c r="I244" i="4"/>
  <c r="H244" i="4"/>
  <c r="G244" i="4"/>
  <c r="F244" i="4"/>
  <c r="B244" i="4"/>
  <c r="J243" i="4"/>
  <c r="I243" i="4"/>
  <c r="H243" i="4"/>
  <c r="G243" i="4"/>
  <c r="F243" i="4"/>
  <c r="B243" i="4"/>
  <c r="J242" i="4"/>
  <c r="I242" i="4"/>
  <c r="H242" i="4"/>
  <c r="G242" i="4"/>
  <c r="F242" i="4"/>
  <c r="B242" i="4"/>
  <c r="J241" i="4"/>
  <c r="I241" i="4"/>
  <c r="H241" i="4"/>
  <c r="G241" i="4"/>
  <c r="F241" i="4"/>
  <c r="B241" i="4"/>
  <c r="J240" i="4"/>
  <c r="I240" i="4"/>
  <c r="H240" i="4"/>
  <c r="G240" i="4"/>
  <c r="F240" i="4"/>
  <c r="B240" i="4"/>
  <c r="J239" i="4"/>
  <c r="I239" i="4"/>
  <c r="H239" i="4"/>
  <c r="G239" i="4"/>
  <c r="F239" i="4"/>
  <c r="B239" i="4"/>
  <c r="J238" i="4"/>
  <c r="I238" i="4"/>
  <c r="H238" i="4"/>
  <c r="G238" i="4"/>
  <c r="F238" i="4"/>
  <c r="B238" i="4"/>
  <c r="J237" i="4"/>
  <c r="I237" i="4"/>
  <c r="H237" i="4"/>
  <c r="G237" i="4"/>
  <c r="F237" i="4"/>
  <c r="B237" i="4"/>
  <c r="J236" i="4"/>
  <c r="I236" i="4"/>
  <c r="H236" i="4"/>
  <c r="G236" i="4"/>
  <c r="F236" i="4"/>
  <c r="B236" i="4"/>
  <c r="J235" i="4"/>
  <c r="I235" i="4"/>
  <c r="H235" i="4"/>
  <c r="G235" i="4"/>
  <c r="F235" i="4"/>
  <c r="B235" i="4"/>
  <c r="J234" i="4"/>
  <c r="I234" i="4"/>
  <c r="H234" i="4"/>
  <c r="G234" i="4"/>
  <c r="F234" i="4"/>
  <c r="B234" i="4"/>
  <c r="J233" i="4"/>
  <c r="I233" i="4"/>
  <c r="H233" i="4"/>
  <c r="G233" i="4"/>
  <c r="F233" i="4"/>
  <c r="B233" i="4"/>
  <c r="J232" i="4"/>
  <c r="I232" i="4"/>
  <c r="H232" i="4"/>
  <c r="G232" i="4"/>
  <c r="F232" i="4"/>
  <c r="B232" i="4"/>
  <c r="J231" i="4"/>
  <c r="I231" i="4"/>
  <c r="H231" i="4"/>
  <c r="G231" i="4"/>
  <c r="F231" i="4"/>
  <c r="B231" i="4"/>
  <c r="J230" i="4"/>
  <c r="I230" i="4"/>
  <c r="H230" i="4"/>
  <c r="G230" i="4"/>
  <c r="F230" i="4"/>
  <c r="B230" i="4"/>
  <c r="J229" i="4"/>
  <c r="I229" i="4"/>
  <c r="H229" i="4"/>
  <c r="G229" i="4"/>
  <c r="F229" i="4"/>
  <c r="B229" i="4"/>
  <c r="J228" i="4"/>
  <c r="I228" i="4"/>
  <c r="H228" i="4"/>
  <c r="G228" i="4"/>
  <c r="F228" i="4"/>
  <c r="B228" i="4"/>
  <c r="J227" i="4"/>
  <c r="I227" i="4"/>
  <c r="H227" i="4"/>
  <c r="G227" i="4"/>
  <c r="F227" i="4"/>
  <c r="B227" i="4"/>
  <c r="J226" i="4"/>
  <c r="I226" i="4"/>
  <c r="H226" i="4"/>
  <c r="G226" i="4"/>
  <c r="F226" i="4"/>
  <c r="B226" i="4"/>
  <c r="J225" i="4"/>
  <c r="I225" i="4"/>
  <c r="H225" i="4"/>
  <c r="G225" i="4"/>
  <c r="F225" i="4"/>
  <c r="B225" i="4"/>
  <c r="J224" i="4"/>
  <c r="I224" i="4"/>
  <c r="H224" i="4"/>
  <c r="G224" i="4"/>
  <c r="F224" i="4"/>
  <c r="B224" i="4"/>
  <c r="J223" i="4"/>
  <c r="I223" i="4"/>
  <c r="H223" i="4"/>
  <c r="G223" i="4"/>
  <c r="F223" i="4"/>
  <c r="B223" i="4"/>
  <c r="J222" i="4"/>
  <c r="I222" i="4"/>
  <c r="H222" i="4"/>
  <c r="G222" i="4"/>
  <c r="F222" i="4"/>
  <c r="B222" i="4"/>
  <c r="J221" i="4"/>
  <c r="I221" i="4"/>
  <c r="H221" i="4"/>
  <c r="G221" i="4"/>
  <c r="F221" i="4"/>
  <c r="B221" i="4"/>
  <c r="J220" i="4"/>
  <c r="I220" i="4"/>
  <c r="H220" i="4"/>
  <c r="G220" i="4"/>
  <c r="F220" i="4"/>
  <c r="B220" i="4"/>
  <c r="J219" i="4"/>
  <c r="I219" i="4"/>
  <c r="H219" i="4"/>
  <c r="G219" i="4"/>
  <c r="F219" i="4"/>
  <c r="B219" i="4"/>
  <c r="J218" i="4"/>
  <c r="I218" i="4"/>
  <c r="H218" i="4"/>
  <c r="G218" i="4"/>
  <c r="F218" i="4"/>
  <c r="B218" i="4"/>
  <c r="J217" i="4"/>
  <c r="I217" i="4"/>
  <c r="H217" i="4"/>
  <c r="G217" i="4"/>
  <c r="F217" i="4"/>
  <c r="B217" i="4"/>
  <c r="J216" i="4"/>
  <c r="I216" i="4"/>
  <c r="H216" i="4"/>
  <c r="G216" i="4"/>
  <c r="F216" i="4"/>
  <c r="B216" i="4"/>
  <c r="J215" i="4"/>
  <c r="I215" i="4"/>
  <c r="H215" i="4"/>
  <c r="G215" i="4"/>
  <c r="F215" i="4"/>
  <c r="B215" i="4"/>
  <c r="J214" i="4"/>
  <c r="I214" i="4"/>
  <c r="H214" i="4"/>
  <c r="G214" i="4"/>
  <c r="F214" i="4"/>
  <c r="B214" i="4"/>
  <c r="J213" i="4"/>
  <c r="I213" i="4"/>
  <c r="H213" i="4"/>
  <c r="G213" i="4"/>
  <c r="F213" i="4"/>
  <c r="B213" i="4"/>
  <c r="J212" i="4"/>
  <c r="I212" i="4"/>
  <c r="H212" i="4"/>
  <c r="G212" i="4"/>
  <c r="F212" i="4"/>
  <c r="B212" i="4"/>
  <c r="J211" i="4"/>
  <c r="I211" i="4"/>
  <c r="H211" i="4"/>
  <c r="G211" i="4"/>
  <c r="F211" i="4"/>
  <c r="B211" i="4"/>
  <c r="J210" i="4"/>
  <c r="I210" i="4"/>
  <c r="H210" i="4"/>
  <c r="G210" i="4"/>
  <c r="F210" i="4"/>
  <c r="B210" i="4"/>
  <c r="J209" i="4"/>
  <c r="I209" i="4"/>
  <c r="H209" i="4"/>
  <c r="G209" i="4"/>
  <c r="F209" i="4"/>
  <c r="B209" i="4"/>
  <c r="J208" i="4"/>
  <c r="I208" i="4"/>
  <c r="H208" i="4"/>
  <c r="G208" i="4"/>
  <c r="F208" i="4"/>
  <c r="B208" i="4"/>
  <c r="J207" i="4"/>
  <c r="I207" i="4"/>
  <c r="H207" i="4"/>
  <c r="G207" i="4"/>
  <c r="F207" i="4"/>
  <c r="B207" i="4"/>
  <c r="J206" i="4"/>
  <c r="I206" i="4"/>
  <c r="H206" i="4"/>
  <c r="G206" i="4"/>
  <c r="F206" i="4"/>
  <c r="B206" i="4"/>
  <c r="J205" i="4"/>
  <c r="I205" i="4"/>
  <c r="H205" i="4"/>
  <c r="G205" i="4"/>
  <c r="F205" i="4"/>
  <c r="B205" i="4"/>
  <c r="J204" i="4"/>
  <c r="I204" i="4"/>
  <c r="H204" i="4"/>
  <c r="G204" i="4"/>
  <c r="F204" i="4"/>
  <c r="B204" i="4"/>
  <c r="J203" i="4"/>
  <c r="I203" i="4"/>
  <c r="H203" i="4"/>
  <c r="G203" i="4"/>
  <c r="F203" i="4"/>
  <c r="B203" i="4"/>
  <c r="J202" i="4"/>
  <c r="I202" i="4"/>
  <c r="H202" i="4"/>
  <c r="G202" i="4"/>
  <c r="F202" i="4"/>
  <c r="B202" i="4"/>
  <c r="J201" i="4"/>
  <c r="I201" i="4"/>
  <c r="H201" i="4"/>
  <c r="G201" i="4"/>
  <c r="F201" i="4"/>
  <c r="B201" i="4"/>
  <c r="J200" i="4"/>
  <c r="I200" i="4"/>
  <c r="H200" i="4"/>
  <c r="G200" i="4"/>
  <c r="F200" i="4"/>
  <c r="B200" i="4"/>
  <c r="J199" i="4"/>
  <c r="I199" i="4"/>
  <c r="H199" i="4"/>
  <c r="G199" i="4"/>
  <c r="F199" i="4"/>
  <c r="B199" i="4"/>
  <c r="J198" i="4"/>
  <c r="I198" i="4"/>
  <c r="H198" i="4"/>
  <c r="G198" i="4"/>
  <c r="F198" i="4"/>
  <c r="B198" i="4"/>
  <c r="J197" i="4"/>
  <c r="I197" i="4"/>
  <c r="H197" i="4"/>
  <c r="G197" i="4"/>
  <c r="F197" i="4"/>
  <c r="B197" i="4"/>
  <c r="J196" i="4"/>
  <c r="I196" i="4"/>
  <c r="H196" i="4"/>
  <c r="G196" i="4"/>
  <c r="F196" i="4"/>
  <c r="B196" i="4"/>
  <c r="J195" i="4"/>
  <c r="I195" i="4"/>
  <c r="H195" i="4"/>
  <c r="G195" i="4"/>
  <c r="F195" i="4"/>
  <c r="B195" i="4"/>
  <c r="J194" i="4"/>
  <c r="I194" i="4"/>
  <c r="H194" i="4"/>
  <c r="G194" i="4"/>
  <c r="F194" i="4"/>
  <c r="B194" i="4"/>
  <c r="J193" i="4"/>
  <c r="I193" i="4"/>
  <c r="H193" i="4"/>
  <c r="G193" i="4"/>
  <c r="F193" i="4"/>
  <c r="B193" i="4"/>
  <c r="J192" i="4"/>
  <c r="I192" i="4"/>
  <c r="H192" i="4"/>
  <c r="G192" i="4"/>
  <c r="F192" i="4"/>
  <c r="B192" i="4"/>
  <c r="J191" i="4"/>
  <c r="I191" i="4"/>
  <c r="H191" i="4"/>
  <c r="G191" i="4"/>
  <c r="F191" i="4"/>
  <c r="B191" i="4"/>
  <c r="J190" i="4"/>
  <c r="I190" i="4"/>
  <c r="H190" i="4"/>
  <c r="G190" i="4"/>
  <c r="F190" i="4"/>
  <c r="B190" i="4"/>
  <c r="J189" i="4"/>
  <c r="I189" i="4"/>
  <c r="H189" i="4"/>
  <c r="G189" i="4"/>
  <c r="F189" i="4"/>
  <c r="B189" i="4"/>
  <c r="J188" i="4"/>
  <c r="I188" i="4"/>
  <c r="H188" i="4"/>
  <c r="G188" i="4"/>
  <c r="F188" i="4"/>
  <c r="B188" i="4"/>
  <c r="J187" i="4"/>
  <c r="I187" i="4"/>
  <c r="H187" i="4"/>
  <c r="G187" i="4"/>
  <c r="F187" i="4"/>
  <c r="B187" i="4"/>
  <c r="J186" i="4"/>
  <c r="I186" i="4"/>
  <c r="H186" i="4"/>
  <c r="G186" i="4"/>
  <c r="F186" i="4"/>
  <c r="B186" i="4"/>
  <c r="J185" i="4"/>
  <c r="I185" i="4"/>
  <c r="H185" i="4"/>
  <c r="G185" i="4"/>
  <c r="F185" i="4"/>
  <c r="B185" i="4"/>
  <c r="J184" i="4"/>
  <c r="I184" i="4"/>
  <c r="H184" i="4"/>
  <c r="G184" i="4"/>
  <c r="F184" i="4"/>
  <c r="B184" i="4"/>
  <c r="J183" i="4"/>
  <c r="I183" i="4"/>
  <c r="H183" i="4"/>
  <c r="G183" i="4"/>
  <c r="F183" i="4"/>
  <c r="B183" i="4"/>
  <c r="J182" i="4"/>
  <c r="I182" i="4"/>
  <c r="H182" i="4"/>
  <c r="G182" i="4"/>
  <c r="F182" i="4"/>
  <c r="B182" i="4"/>
  <c r="J181" i="4"/>
  <c r="I181" i="4"/>
  <c r="H181" i="4"/>
  <c r="G181" i="4"/>
  <c r="F181" i="4"/>
  <c r="B181" i="4"/>
  <c r="J180" i="4"/>
  <c r="I180" i="4"/>
  <c r="H180" i="4"/>
  <c r="G180" i="4"/>
  <c r="F180" i="4"/>
  <c r="B180" i="4"/>
  <c r="J179" i="4"/>
  <c r="I179" i="4"/>
  <c r="H179" i="4"/>
  <c r="G179" i="4"/>
  <c r="F179" i="4"/>
  <c r="B179" i="4"/>
  <c r="J178" i="4"/>
  <c r="I178" i="4"/>
  <c r="H178" i="4"/>
  <c r="G178" i="4"/>
  <c r="F178" i="4"/>
  <c r="B178" i="4"/>
  <c r="J177" i="4"/>
  <c r="I177" i="4"/>
  <c r="H177" i="4"/>
  <c r="G177" i="4"/>
  <c r="F177" i="4"/>
  <c r="B177" i="4"/>
  <c r="J176" i="4"/>
  <c r="I176" i="4"/>
  <c r="H176" i="4"/>
  <c r="G176" i="4"/>
  <c r="F176" i="4"/>
  <c r="B176" i="4"/>
  <c r="J175" i="4"/>
  <c r="I175" i="4"/>
  <c r="H175" i="4"/>
  <c r="G175" i="4"/>
  <c r="F175" i="4"/>
  <c r="B175" i="4"/>
  <c r="J174" i="4"/>
  <c r="I174" i="4"/>
  <c r="H174" i="4"/>
  <c r="G174" i="4"/>
  <c r="F174" i="4"/>
  <c r="B174" i="4"/>
  <c r="J173" i="4"/>
  <c r="I173" i="4"/>
  <c r="H173" i="4"/>
  <c r="G173" i="4"/>
  <c r="F173" i="4"/>
  <c r="B173" i="4"/>
  <c r="J172" i="4"/>
  <c r="I172" i="4"/>
  <c r="H172" i="4"/>
  <c r="G172" i="4"/>
  <c r="F172" i="4"/>
  <c r="B172" i="4"/>
  <c r="J171" i="4"/>
  <c r="I171" i="4"/>
  <c r="H171" i="4"/>
  <c r="G171" i="4"/>
  <c r="F171" i="4"/>
  <c r="B171" i="4"/>
  <c r="J170" i="4"/>
  <c r="I170" i="4"/>
  <c r="H170" i="4"/>
  <c r="G170" i="4"/>
  <c r="F170" i="4"/>
  <c r="B170" i="4"/>
  <c r="J169" i="4"/>
  <c r="I169" i="4"/>
  <c r="H169" i="4"/>
  <c r="G169" i="4"/>
  <c r="F169" i="4"/>
  <c r="B169" i="4"/>
  <c r="J168" i="4"/>
  <c r="I168" i="4"/>
  <c r="H168" i="4"/>
  <c r="G168" i="4"/>
  <c r="F168" i="4"/>
  <c r="B168" i="4"/>
  <c r="J167" i="4"/>
  <c r="I167" i="4"/>
  <c r="H167" i="4"/>
  <c r="G167" i="4"/>
  <c r="F167" i="4"/>
  <c r="B167" i="4"/>
  <c r="J166" i="4"/>
  <c r="I166" i="4"/>
  <c r="H166" i="4"/>
  <c r="G166" i="4"/>
  <c r="F166" i="4"/>
  <c r="B166" i="4"/>
  <c r="J165" i="4"/>
  <c r="I165" i="4"/>
  <c r="H165" i="4"/>
  <c r="G165" i="4"/>
  <c r="F165" i="4"/>
  <c r="B165" i="4"/>
  <c r="J164" i="4"/>
  <c r="I164" i="4"/>
  <c r="H164" i="4"/>
  <c r="G164" i="4"/>
  <c r="F164" i="4"/>
  <c r="B164" i="4"/>
  <c r="J163" i="4"/>
  <c r="I163" i="4"/>
  <c r="H163" i="4"/>
  <c r="G163" i="4"/>
  <c r="F163" i="4"/>
  <c r="B163" i="4"/>
  <c r="J162" i="4"/>
  <c r="I162" i="4"/>
  <c r="H162" i="4"/>
  <c r="G162" i="4"/>
  <c r="F162" i="4"/>
  <c r="B162" i="4"/>
  <c r="J161" i="4"/>
  <c r="I161" i="4"/>
  <c r="H161" i="4"/>
  <c r="G161" i="4"/>
  <c r="F161" i="4"/>
  <c r="B161" i="4"/>
  <c r="J160" i="4"/>
  <c r="I160" i="4"/>
  <c r="H160" i="4"/>
  <c r="G160" i="4"/>
  <c r="F160" i="4"/>
  <c r="B160" i="4"/>
  <c r="J159" i="4"/>
  <c r="I159" i="4"/>
  <c r="H159" i="4"/>
  <c r="G159" i="4"/>
  <c r="F159" i="4"/>
  <c r="B159" i="4"/>
  <c r="J158" i="4"/>
  <c r="I158" i="4"/>
  <c r="H158" i="4"/>
  <c r="G158" i="4"/>
  <c r="F158" i="4"/>
  <c r="B158" i="4"/>
  <c r="J157" i="4"/>
  <c r="I157" i="4"/>
  <c r="H157" i="4"/>
  <c r="G157" i="4"/>
  <c r="F157" i="4"/>
  <c r="B157" i="4"/>
  <c r="J156" i="4"/>
  <c r="I156" i="4"/>
  <c r="H156" i="4"/>
  <c r="G156" i="4"/>
  <c r="F156" i="4"/>
  <c r="B156" i="4"/>
  <c r="J155" i="4"/>
  <c r="I155" i="4"/>
  <c r="H155" i="4"/>
  <c r="G155" i="4"/>
  <c r="F155" i="4"/>
  <c r="B155" i="4"/>
  <c r="J154" i="4"/>
  <c r="I154" i="4"/>
  <c r="H154" i="4"/>
  <c r="G154" i="4"/>
  <c r="F154" i="4"/>
  <c r="B154" i="4"/>
  <c r="J153" i="4"/>
  <c r="I153" i="4"/>
  <c r="H153" i="4"/>
  <c r="G153" i="4"/>
  <c r="F153" i="4"/>
  <c r="B153" i="4"/>
  <c r="J152" i="4"/>
  <c r="I152" i="4"/>
  <c r="H152" i="4"/>
  <c r="G152" i="4"/>
  <c r="F152" i="4"/>
  <c r="B152" i="4"/>
  <c r="J151" i="4"/>
  <c r="I151" i="4"/>
  <c r="H151" i="4"/>
  <c r="G151" i="4"/>
  <c r="F151" i="4"/>
  <c r="B151" i="4"/>
  <c r="J150" i="4"/>
  <c r="I150" i="4"/>
  <c r="H150" i="4"/>
  <c r="G150" i="4"/>
  <c r="F150" i="4"/>
  <c r="B150" i="4"/>
  <c r="J149" i="4"/>
  <c r="I149" i="4"/>
  <c r="H149" i="4"/>
  <c r="G149" i="4"/>
  <c r="F149" i="4"/>
  <c r="B149" i="4"/>
  <c r="J148" i="4"/>
  <c r="I148" i="4"/>
  <c r="H148" i="4"/>
  <c r="G148" i="4"/>
  <c r="F148" i="4"/>
  <c r="B148" i="4"/>
  <c r="J147" i="4"/>
  <c r="I147" i="4"/>
  <c r="H147" i="4"/>
  <c r="G147" i="4"/>
  <c r="F147" i="4"/>
  <c r="B147" i="4"/>
  <c r="J146" i="4"/>
  <c r="I146" i="4"/>
  <c r="H146" i="4"/>
  <c r="G146" i="4"/>
  <c r="F146" i="4"/>
  <c r="B146" i="4"/>
  <c r="J145" i="4"/>
  <c r="I145" i="4"/>
  <c r="H145" i="4"/>
  <c r="G145" i="4"/>
  <c r="F145" i="4"/>
  <c r="B145" i="4"/>
  <c r="J144" i="4"/>
  <c r="I144" i="4"/>
  <c r="H144" i="4"/>
  <c r="G144" i="4"/>
  <c r="F144" i="4"/>
  <c r="B144" i="4"/>
  <c r="J143" i="4"/>
  <c r="I143" i="4"/>
  <c r="H143" i="4"/>
  <c r="G143" i="4"/>
  <c r="F143" i="4"/>
  <c r="B143" i="4"/>
  <c r="J142" i="4"/>
  <c r="I142" i="4"/>
  <c r="H142" i="4"/>
  <c r="G142" i="4"/>
  <c r="F142" i="4"/>
  <c r="B142" i="4"/>
  <c r="J141" i="4"/>
  <c r="I141" i="4"/>
  <c r="H141" i="4"/>
  <c r="G141" i="4"/>
  <c r="F141" i="4"/>
  <c r="B141" i="4"/>
  <c r="J140" i="4"/>
  <c r="I140" i="4"/>
  <c r="H140" i="4"/>
  <c r="G140" i="4"/>
  <c r="F140" i="4"/>
  <c r="B140" i="4"/>
  <c r="J139" i="4"/>
  <c r="I139" i="4"/>
  <c r="H139" i="4"/>
  <c r="G139" i="4"/>
  <c r="F139" i="4"/>
  <c r="B139" i="4"/>
  <c r="J138" i="4"/>
  <c r="I138" i="4"/>
  <c r="H138" i="4"/>
  <c r="G138" i="4"/>
  <c r="F138" i="4"/>
  <c r="B138" i="4"/>
  <c r="J137" i="4"/>
  <c r="I137" i="4"/>
  <c r="H137" i="4"/>
  <c r="G137" i="4"/>
  <c r="F137" i="4"/>
  <c r="B137" i="4"/>
  <c r="J136" i="4"/>
  <c r="I136" i="4"/>
  <c r="H136" i="4"/>
  <c r="G136" i="4"/>
  <c r="F136" i="4"/>
  <c r="B136" i="4"/>
  <c r="J135" i="4"/>
  <c r="I135" i="4"/>
  <c r="H135" i="4"/>
  <c r="G135" i="4"/>
  <c r="F135" i="4"/>
  <c r="B135" i="4"/>
  <c r="J134" i="4"/>
  <c r="I134" i="4"/>
  <c r="H134" i="4"/>
  <c r="G134" i="4"/>
  <c r="F134" i="4"/>
  <c r="B134" i="4"/>
  <c r="J133" i="4"/>
  <c r="I133" i="4"/>
  <c r="H133" i="4"/>
  <c r="G133" i="4"/>
  <c r="F133" i="4"/>
  <c r="B133" i="4"/>
  <c r="J132" i="4"/>
  <c r="I132" i="4"/>
  <c r="H132" i="4"/>
  <c r="G132" i="4"/>
  <c r="F132" i="4"/>
  <c r="B132" i="4"/>
  <c r="J131" i="4"/>
  <c r="I131" i="4"/>
  <c r="H131" i="4"/>
  <c r="G131" i="4"/>
  <c r="F131" i="4"/>
  <c r="B131" i="4"/>
  <c r="J130" i="4"/>
  <c r="I130" i="4"/>
  <c r="H130" i="4"/>
  <c r="G130" i="4"/>
  <c r="F130" i="4"/>
  <c r="B130" i="4"/>
  <c r="J129" i="4"/>
  <c r="I129" i="4"/>
  <c r="H129" i="4"/>
  <c r="G129" i="4"/>
  <c r="F129" i="4"/>
  <c r="B129" i="4"/>
  <c r="J128" i="4"/>
  <c r="I128" i="4"/>
  <c r="H128" i="4"/>
  <c r="G128" i="4"/>
  <c r="F128" i="4"/>
  <c r="B128" i="4"/>
  <c r="J127" i="4"/>
  <c r="I127" i="4"/>
  <c r="H127" i="4"/>
  <c r="G127" i="4"/>
  <c r="F127" i="4"/>
  <c r="B127" i="4"/>
  <c r="J126" i="4"/>
  <c r="I126" i="4"/>
  <c r="H126" i="4"/>
  <c r="G126" i="4"/>
  <c r="F126" i="4"/>
  <c r="B126" i="4"/>
  <c r="J125" i="4"/>
  <c r="I125" i="4"/>
  <c r="H125" i="4"/>
  <c r="G125" i="4"/>
  <c r="F125" i="4"/>
  <c r="B125" i="4"/>
  <c r="J124" i="4"/>
  <c r="I124" i="4"/>
  <c r="H124" i="4"/>
  <c r="G124" i="4"/>
  <c r="F124" i="4"/>
  <c r="B124" i="4"/>
  <c r="J123" i="4"/>
  <c r="I123" i="4"/>
  <c r="H123" i="4"/>
  <c r="G123" i="4"/>
  <c r="F123" i="4"/>
  <c r="B123" i="4"/>
  <c r="J122" i="4"/>
  <c r="I122" i="4"/>
  <c r="H122" i="4"/>
  <c r="G122" i="4"/>
  <c r="F122" i="4"/>
  <c r="B122" i="4"/>
  <c r="J121" i="4"/>
  <c r="I121" i="4"/>
  <c r="H121" i="4"/>
  <c r="G121" i="4"/>
  <c r="F121" i="4"/>
  <c r="B121" i="4"/>
  <c r="J120" i="4"/>
  <c r="I120" i="4"/>
  <c r="H120" i="4"/>
  <c r="G120" i="4"/>
  <c r="F120" i="4"/>
  <c r="B120" i="4"/>
  <c r="J119" i="4"/>
  <c r="I119" i="4"/>
  <c r="H119" i="4"/>
  <c r="G119" i="4"/>
  <c r="F119" i="4"/>
  <c r="B119" i="4"/>
  <c r="J118" i="4"/>
  <c r="I118" i="4"/>
  <c r="H118" i="4"/>
  <c r="G118" i="4"/>
  <c r="F118" i="4"/>
  <c r="B118" i="4"/>
  <c r="J117" i="4"/>
  <c r="I117" i="4"/>
  <c r="H117" i="4"/>
  <c r="G117" i="4"/>
  <c r="F117" i="4"/>
  <c r="B117" i="4"/>
  <c r="J116" i="4"/>
  <c r="I116" i="4"/>
  <c r="H116" i="4"/>
  <c r="G116" i="4"/>
  <c r="F116" i="4"/>
  <c r="B116" i="4"/>
  <c r="J115" i="4"/>
  <c r="I115" i="4"/>
  <c r="H115" i="4"/>
  <c r="G115" i="4"/>
  <c r="F115" i="4"/>
  <c r="B115" i="4"/>
  <c r="J114" i="4"/>
  <c r="I114" i="4"/>
  <c r="H114" i="4"/>
  <c r="G114" i="4"/>
  <c r="F114" i="4"/>
  <c r="B114" i="4"/>
  <c r="J113" i="4"/>
  <c r="I113" i="4"/>
  <c r="H113" i="4"/>
  <c r="G113" i="4"/>
  <c r="F113" i="4"/>
  <c r="B113" i="4"/>
  <c r="J112" i="4"/>
  <c r="I112" i="4"/>
  <c r="H112" i="4"/>
  <c r="G112" i="4"/>
  <c r="F112" i="4"/>
  <c r="B112" i="4"/>
  <c r="J111" i="4"/>
  <c r="I111" i="4"/>
  <c r="H111" i="4"/>
  <c r="G111" i="4"/>
  <c r="F111" i="4"/>
  <c r="B111" i="4"/>
  <c r="J110" i="4"/>
  <c r="I110" i="4"/>
  <c r="H110" i="4"/>
  <c r="G110" i="4"/>
  <c r="F110" i="4"/>
  <c r="B110" i="4"/>
  <c r="J109" i="4"/>
  <c r="I109" i="4"/>
  <c r="H109" i="4"/>
  <c r="G109" i="4"/>
  <c r="F109" i="4"/>
  <c r="B109" i="4"/>
  <c r="J108" i="4"/>
  <c r="I108" i="4"/>
  <c r="H108" i="4"/>
  <c r="G108" i="4"/>
  <c r="F108" i="4"/>
  <c r="B108" i="4"/>
  <c r="J107" i="4"/>
  <c r="I107" i="4"/>
  <c r="H107" i="4"/>
  <c r="G107" i="4"/>
  <c r="F107" i="4"/>
  <c r="B107" i="4"/>
  <c r="J106" i="4"/>
  <c r="I106" i="4"/>
  <c r="H106" i="4"/>
  <c r="G106" i="4"/>
  <c r="F106" i="4"/>
  <c r="B106" i="4"/>
  <c r="J105" i="4"/>
  <c r="I105" i="4"/>
  <c r="H105" i="4"/>
  <c r="G105" i="4"/>
  <c r="F105" i="4"/>
  <c r="B105" i="4"/>
  <c r="J104" i="4"/>
  <c r="I104" i="4"/>
  <c r="H104" i="4"/>
  <c r="G104" i="4"/>
  <c r="F104" i="4"/>
  <c r="B104" i="4"/>
  <c r="J103" i="4"/>
  <c r="I103" i="4"/>
  <c r="H103" i="4"/>
  <c r="G103" i="4"/>
  <c r="F103" i="4"/>
  <c r="B103" i="4"/>
  <c r="J102" i="4"/>
  <c r="I102" i="4"/>
  <c r="H102" i="4"/>
  <c r="G102" i="4"/>
  <c r="F102" i="4"/>
  <c r="B102" i="4"/>
  <c r="J101" i="4"/>
  <c r="I101" i="4"/>
  <c r="H101" i="4"/>
  <c r="G101" i="4"/>
  <c r="F101" i="4"/>
  <c r="B101" i="4"/>
  <c r="J100" i="4"/>
  <c r="I100" i="4"/>
  <c r="H100" i="4"/>
  <c r="G100" i="4"/>
  <c r="F100" i="4"/>
  <c r="B100" i="4"/>
  <c r="J99" i="4"/>
  <c r="I99" i="4"/>
  <c r="H99" i="4"/>
  <c r="G99" i="4"/>
  <c r="F99" i="4"/>
  <c r="B99" i="4"/>
  <c r="J98" i="4"/>
  <c r="I98" i="4"/>
  <c r="H98" i="4"/>
  <c r="G98" i="4"/>
  <c r="F98" i="4"/>
  <c r="B98" i="4"/>
  <c r="J97" i="4"/>
  <c r="I97" i="4"/>
  <c r="H97" i="4"/>
  <c r="G97" i="4"/>
  <c r="F97" i="4"/>
  <c r="B97" i="4"/>
  <c r="J96" i="4"/>
  <c r="I96" i="4"/>
  <c r="H96" i="4"/>
  <c r="G96" i="4"/>
  <c r="F96" i="4"/>
  <c r="B96" i="4"/>
  <c r="J95" i="4"/>
  <c r="I95" i="4"/>
  <c r="H95" i="4"/>
  <c r="G95" i="4"/>
  <c r="F95" i="4"/>
  <c r="B95" i="4"/>
  <c r="J94" i="4"/>
  <c r="I94" i="4"/>
  <c r="H94" i="4"/>
  <c r="G94" i="4"/>
  <c r="F94" i="4"/>
  <c r="B94" i="4"/>
  <c r="J93" i="4"/>
  <c r="I93" i="4"/>
  <c r="H93" i="4"/>
  <c r="G93" i="4"/>
  <c r="F93" i="4"/>
  <c r="B93" i="4"/>
  <c r="J92" i="4"/>
  <c r="I92" i="4"/>
  <c r="H92" i="4"/>
  <c r="G92" i="4"/>
  <c r="F92" i="4"/>
  <c r="B92" i="4"/>
  <c r="J91" i="4"/>
  <c r="I91" i="4"/>
  <c r="H91" i="4"/>
  <c r="G91" i="4"/>
  <c r="F91" i="4"/>
  <c r="B91" i="4"/>
  <c r="J90" i="4"/>
  <c r="I90" i="4"/>
  <c r="H90" i="4"/>
  <c r="G90" i="4"/>
  <c r="F90" i="4"/>
  <c r="B90" i="4"/>
  <c r="J89" i="4"/>
  <c r="I89" i="4"/>
  <c r="H89" i="4"/>
  <c r="G89" i="4"/>
  <c r="F89" i="4"/>
  <c r="B89" i="4"/>
  <c r="J88" i="4"/>
  <c r="I88" i="4"/>
  <c r="H88" i="4"/>
  <c r="G88" i="4"/>
  <c r="F88" i="4"/>
  <c r="B88" i="4"/>
  <c r="J87" i="4"/>
  <c r="I87" i="4"/>
  <c r="H87" i="4"/>
  <c r="G87" i="4"/>
  <c r="F87" i="4"/>
  <c r="B87" i="4"/>
  <c r="J86" i="4"/>
  <c r="I86" i="4"/>
  <c r="H86" i="4"/>
  <c r="G86" i="4"/>
  <c r="F86" i="4"/>
  <c r="B86" i="4"/>
  <c r="J85" i="4"/>
  <c r="I85" i="4"/>
  <c r="H85" i="4"/>
  <c r="G85" i="4"/>
  <c r="F85" i="4"/>
  <c r="B85" i="4"/>
  <c r="J84" i="4"/>
  <c r="I84" i="4"/>
  <c r="H84" i="4"/>
  <c r="G84" i="4"/>
  <c r="F84" i="4"/>
  <c r="B84" i="4"/>
  <c r="J83" i="4"/>
  <c r="I83" i="4"/>
  <c r="H83" i="4"/>
  <c r="G83" i="4"/>
  <c r="F83" i="4"/>
  <c r="B83" i="4"/>
  <c r="J82" i="4"/>
  <c r="I82" i="4"/>
  <c r="H82" i="4"/>
  <c r="G82" i="4"/>
  <c r="F82" i="4"/>
  <c r="B82" i="4"/>
  <c r="J81" i="4"/>
  <c r="I81" i="4"/>
  <c r="H81" i="4"/>
  <c r="G81" i="4"/>
  <c r="F81" i="4"/>
  <c r="B81" i="4"/>
  <c r="J80" i="4"/>
  <c r="I80" i="4"/>
  <c r="H80" i="4"/>
  <c r="G80" i="4"/>
  <c r="F80" i="4"/>
  <c r="B80" i="4"/>
  <c r="J79" i="4"/>
  <c r="I79" i="4"/>
  <c r="H79" i="4"/>
  <c r="G79" i="4"/>
  <c r="F79" i="4"/>
  <c r="B79" i="4"/>
  <c r="J78" i="4"/>
  <c r="I78" i="4"/>
  <c r="H78" i="4"/>
  <c r="G78" i="4"/>
  <c r="F78" i="4"/>
  <c r="B78" i="4"/>
  <c r="J77" i="4"/>
  <c r="I77" i="4"/>
  <c r="H77" i="4"/>
  <c r="G77" i="4"/>
  <c r="F77" i="4"/>
  <c r="B77" i="4"/>
  <c r="J76" i="4"/>
  <c r="I76" i="4"/>
  <c r="H76" i="4"/>
  <c r="G76" i="4"/>
  <c r="F76" i="4"/>
  <c r="B76" i="4"/>
  <c r="J75" i="4"/>
  <c r="I75" i="4"/>
  <c r="H75" i="4"/>
  <c r="G75" i="4"/>
  <c r="F75" i="4"/>
  <c r="B75" i="4"/>
  <c r="J74" i="4"/>
  <c r="I74" i="4"/>
  <c r="H74" i="4"/>
  <c r="G74" i="4"/>
  <c r="F74" i="4"/>
  <c r="B74" i="4"/>
  <c r="J73" i="4"/>
  <c r="I73" i="4"/>
  <c r="H73" i="4"/>
  <c r="G73" i="4"/>
  <c r="F73" i="4"/>
  <c r="B73" i="4"/>
  <c r="J72" i="4"/>
  <c r="I72" i="4"/>
  <c r="H72" i="4"/>
  <c r="G72" i="4"/>
  <c r="F72" i="4"/>
  <c r="B72" i="4"/>
  <c r="J71" i="4"/>
  <c r="I71" i="4"/>
  <c r="H71" i="4"/>
  <c r="G71" i="4"/>
  <c r="F71" i="4"/>
  <c r="B71" i="4"/>
  <c r="J70" i="4"/>
  <c r="I70" i="4"/>
  <c r="H70" i="4"/>
  <c r="G70" i="4"/>
  <c r="F70" i="4"/>
  <c r="B70" i="4"/>
  <c r="J69" i="4"/>
  <c r="I69" i="4"/>
  <c r="H69" i="4"/>
  <c r="G69" i="4"/>
  <c r="F69" i="4"/>
  <c r="B69" i="4"/>
  <c r="J68" i="4"/>
  <c r="I68" i="4"/>
  <c r="H68" i="4"/>
  <c r="G68" i="4"/>
  <c r="F68" i="4"/>
  <c r="B68" i="4"/>
  <c r="J67" i="4"/>
  <c r="I67" i="4"/>
  <c r="H67" i="4"/>
  <c r="G67" i="4"/>
  <c r="F67" i="4"/>
  <c r="B67" i="4"/>
  <c r="J66" i="4"/>
  <c r="I66" i="4"/>
  <c r="H66" i="4"/>
  <c r="G66" i="4"/>
  <c r="F66" i="4"/>
  <c r="B66" i="4"/>
  <c r="J65" i="4"/>
  <c r="I65" i="4"/>
  <c r="H65" i="4"/>
  <c r="G65" i="4"/>
  <c r="F65" i="4"/>
  <c r="B65" i="4"/>
  <c r="J64" i="4"/>
  <c r="I64" i="4"/>
  <c r="H64" i="4"/>
  <c r="G64" i="4"/>
  <c r="F64" i="4"/>
  <c r="B64" i="4"/>
  <c r="J63" i="4"/>
  <c r="I63" i="4"/>
  <c r="H63" i="4"/>
  <c r="G63" i="4"/>
  <c r="F63" i="4"/>
  <c r="B63" i="4"/>
  <c r="J62" i="4"/>
  <c r="I62" i="4"/>
  <c r="H62" i="4"/>
  <c r="G62" i="4"/>
  <c r="F62" i="4"/>
  <c r="B62" i="4"/>
  <c r="J61" i="4"/>
  <c r="I61" i="4"/>
  <c r="H61" i="4"/>
  <c r="G61" i="4"/>
  <c r="F61" i="4"/>
  <c r="B61" i="4"/>
  <c r="J60" i="4"/>
  <c r="I60" i="4"/>
  <c r="H60" i="4"/>
  <c r="G60" i="4"/>
  <c r="F60" i="4"/>
  <c r="B60" i="4"/>
  <c r="J59" i="4"/>
  <c r="I59" i="4"/>
  <c r="H59" i="4"/>
  <c r="G59" i="4"/>
  <c r="F59" i="4"/>
  <c r="B59" i="4"/>
  <c r="J58" i="4"/>
  <c r="I58" i="4"/>
  <c r="H58" i="4"/>
  <c r="G58" i="4"/>
  <c r="F58" i="4"/>
  <c r="B58" i="4"/>
  <c r="J57" i="4"/>
  <c r="I57" i="4"/>
  <c r="B57" i="4"/>
  <c r="J56" i="4"/>
  <c r="B56" i="4"/>
  <c r="J55" i="4"/>
  <c r="B55" i="4"/>
  <c r="J54" i="4"/>
  <c r="B54" i="4"/>
  <c r="J53" i="4"/>
  <c r="B53" i="4"/>
  <c r="J52" i="4"/>
  <c r="B52" i="4"/>
  <c r="J51" i="4"/>
  <c r="I51" i="4"/>
  <c r="B51" i="4"/>
  <c r="J50" i="4"/>
  <c r="B50" i="4"/>
  <c r="J49" i="4"/>
  <c r="B49" i="4"/>
  <c r="J48" i="4"/>
  <c r="B48" i="4"/>
  <c r="J47" i="4"/>
  <c r="B47" i="4"/>
  <c r="J46" i="4"/>
  <c r="B46" i="4"/>
  <c r="J45" i="4"/>
  <c r="B45" i="4"/>
  <c r="J44" i="4"/>
  <c r="B44" i="4"/>
  <c r="J43" i="4"/>
  <c r="B43" i="4"/>
  <c r="J42" i="4"/>
  <c r="B42" i="4"/>
  <c r="J41" i="4"/>
  <c r="B41" i="4"/>
  <c r="J40" i="4"/>
  <c r="B40" i="4"/>
  <c r="J39" i="4"/>
  <c r="I39" i="4"/>
  <c r="B39" i="4"/>
  <c r="J38" i="4"/>
  <c r="B38" i="4"/>
  <c r="J37" i="4"/>
  <c r="B37" i="4"/>
  <c r="J36" i="4"/>
  <c r="B36" i="4"/>
  <c r="J35" i="4"/>
  <c r="B35" i="4"/>
  <c r="J34" i="4"/>
  <c r="B34" i="4"/>
  <c r="J33" i="4"/>
  <c r="I33" i="4"/>
  <c r="B33" i="4"/>
  <c r="J32" i="4"/>
  <c r="B32" i="4"/>
  <c r="J31" i="4"/>
  <c r="B31" i="4"/>
  <c r="J30" i="4"/>
  <c r="B30" i="4"/>
  <c r="J29" i="4"/>
  <c r="B29" i="4"/>
  <c r="J28" i="4"/>
  <c r="B28" i="4"/>
  <c r="J27" i="4"/>
  <c r="I27" i="4"/>
  <c r="B27" i="4"/>
  <c r="J26" i="4"/>
  <c r="B26" i="4"/>
  <c r="J25" i="4"/>
  <c r="B25" i="4"/>
  <c r="J24" i="4"/>
  <c r="H24" i="4"/>
  <c r="B24" i="4"/>
  <c r="J23" i="4"/>
  <c r="B23" i="4"/>
  <c r="J22" i="4"/>
  <c r="B22" i="4"/>
  <c r="J21" i="4"/>
  <c r="I21" i="4"/>
  <c r="B21" i="4"/>
  <c r="J20" i="4"/>
  <c r="B20" i="4"/>
  <c r="J19" i="4"/>
  <c r="B19" i="4"/>
  <c r="J18" i="4"/>
  <c r="B18" i="4"/>
  <c r="J17" i="4"/>
  <c r="B17" i="4"/>
  <c r="J16" i="4"/>
  <c r="B16" i="4"/>
  <c r="J15" i="4"/>
  <c r="I15" i="4"/>
  <c r="B15" i="4"/>
  <c r="J14" i="4"/>
  <c r="B14" i="4"/>
  <c r="J13" i="4"/>
  <c r="B13" i="4"/>
  <c r="J12" i="4"/>
  <c r="B12" i="4"/>
  <c r="J11" i="4"/>
  <c r="B11" i="4"/>
  <c r="J10" i="4"/>
  <c r="B10" i="4"/>
  <c r="J9" i="4"/>
  <c r="B9" i="4"/>
  <c r="J8" i="4"/>
  <c r="I8" i="4"/>
  <c r="B8" i="4"/>
  <c r="J7" i="4"/>
  <c r="B7" i="4"/>
  <c r="J6" i="4"/>
  <c r="B6" i="4"/>
  <c r="A2" i="4"/>
  <c r="V300" i="3"/>
  <c r="U300" i="3"/>
  <c r="S300" i="3"/>
  <c r="Q300" i="3"/>
  <c r="O300" i="3"/>
  <c r="M300" i="3"/>
  <c r="K300" i="3"/>
  <c r="I300" i="3"/>
  <c r="D300" i="3"/>
  <c r="L300" i="3" s="1"/>
  <c r="V299" i="3"/>
  <c r="U299" i="3"/>
  <c r="S299" i="3"/>
  <c r="Q299" i="3"/>
  <c r="O299" i="3"/>
  <c r="M299" i="3"/>
  <c r="K299" i="3"/>
  <c r="I299" i="3"/>
  <c r="D299" i="3"/>
  <c r="L299" i="3" s="1"/>
  <c r="V298" i="3"/>
  <c r="U298" i="3"/>
  <c r="S298" i="3"/>
  <c r="Q298" i="3"/>
  <c r="O298" i="3"/>
  <c r="M298" i="3"/>
  <c r="L298" i="3"/>
  <c r="K298" i="3"/>
  <c r="I298" i="3"/>
  <c r="D298" i="3"/>
  <c r="V297" i="3"/>
  <c r="U297" i="3"/>
  <c r="S297" i="3"/>
  <c r="Q297" i="3"/>
  <c r="O297" i="3"/>
  <c r="M297" i="3"/>
  <c r="L297" i="3"/>
  <c r="K297" i="3"/>
  <c r="I297" i="3"/>
  <c r="D297" i="3"/>
  <c r="V296" i="3"/>
  <c r="U296" i="3"/>
  <c r="S296" i="3"/>
  <c r="Q296" i="3"/>
  <c r="O296" i="3"/>
  <c r="M296" i="3"/>
  <c r="L296" i="3"/>
  <c r="K296" i="3"/>
  <c r="I296" i="3"/>
  <c r="D296" i="3"/>
  <c r="V295" i="3"/>
  <c r="U295" i="3"/>
  <c r="S295" i="3"/>
  <c r="Q295" i="3"/>
  <c r="O295" i="3"/>
  <c r="M295" i="3"/>
  <c r="K295" i="3"/>
  <c r="I295" i="3"/>
  <c r="D295" i="3"/>
  <c r="L295" i="3" s="1"/>
  <c r="V294" i="3"/>
  <c r="U294" i="3"/>
  <c r="S294" i="3"/>
  <c r="Q294" i="3"/>
  <c r="O294" i="3"/>
  <c r="M294" i="3"/>
  <c r="K294" i="3"/>
  <c r="I294" i="3"/>
  <c r="D294" i="3"/>
  <c r="L294" i="3" s="1"/>
  <c r="V293" i="3"/>
  <c r="U293" i="3"/>
  <c r="S293" i="3"/>
  <c r="Q293" i="3"/>
  <c r="O293" i="3"/>
  <c r="M293" i="3"/>
  <c r="K293" i="3"/>
  <c r="I293" i="3"/>
  <c r="D293" i="3"/>
  <c r="L293" i="3" s="1"/>
  <c r="V292" i="3"/>
  <c r="U292" i="3"/>
  <c r="S292" i="3"/>
  <c r="Q292" i="3"/>
  <c r="O292" i="3"/>
  <c r="M292" i="3"/>
  <c r="L292" i="3"/>
  <c r="K292" i="3"/>
  <c r="I292" i="3"/>
  <c r="D292" i="3"/>
  <c r="V291" i="3"/>
  <c r="U291" i="3"/>
  <c r="S291" i="3"/>
  <c r="Q291" i="3"/>
  <c r="O291" i="3"/>
  <c r="M291" i="3"/>
  <c r="L291" i="3"/>
  <c r="K291" i="3"/>
  <c r="I291" i="3"/>
  <c r="D291" i="3"/>
  <c r="V290" i="3"/>
  <c r="U290" i="3"/>
  <c r="S290" i="3"/>
  <c r="Q290" i="3"/>
  <c r="O290" i="3"/>
  <c r="M290" i="3"/>
  <c r="L290" i="3"/>
  <c r="K290" i="3"/>
  <c r="I290" i="3"/>
  <c r="D290" i="3"/>
  <c r="V289" i="3"/>
  <c r="U289" i="3"/>
  <c r="S289" i="3"/>
  <c r="Q289" i="3"/>
  <c r="O289" i="3"/>
  <c r="M289" i="3"/>
  <c r="K289" i="3"/>
  <c r="I289" i="3"/>
  <c r="D289" i="3"/>
  <c r="L289" i="3" s="1"/>
  <c r="V288" i="3"/>
  <c r="U288" i="3"/>
  <c r="S288" i="3"/>
  <c r="Q288" i="3"/>
  <c r="O288" i="3"/>
  <c r="M288" i="3"/>
  <c r="K288" i="3"/>
  <c r="I288" i="3"/>
  <c r="D288" i="3"/>
  <c r="L288" i="3" s="1"/>
  <c r="V287" i="3"/>
  <c r="U287" i="3"/>
  <c r="S287" i="3"/>
  <c r="Q287" i="3"/>
  <c r="O287" i="3"/>
  <c r="M287" i="3"/>
  <c r="K287" i="3"/>
  <c r="I287" i="3"/>
  <c r="D287" i="3"/>
  <c r="L287" i="3" s="1"/>
  <c r="V286" i="3"/>
  <c r="U286" i="3"/>
  <c r="S286" i="3"/>
  <c r="Q286" i="3"/>
  <c r="O286" i="3"/>
  <c r="M286" i="3"/>
  <c r="L286" i="3"/>
  <c r="K286" i="3"/>
  <c r="I286" i="3"/>
  <c r="D286" i="3"/>
  <c r="V285" i="3"/>
  <c r="U285" i="3"/>
  <c r="S285" i="3"/>
  <c r="Q285" i="3"/>
  <c r="O285" i="3"/>
  <c r="M285" i="3"/>
  <c r="L285" i="3"/>
  <c r="K285" i="3"/>
  <c r="I285" i="3"/>
  <c r="D285" i="3"/>
  <c r="V284" i="3"/>
  <c r="U284" i="3"/>
  <c r="S284" i="3"/>
  <c r="Q284" i="3"/>
  <c r="O284" i="3"/>
  <c r="M284" i="3"/>
  <c r="K284" i="3"/>
  <c r="I284" i="3"/>
  <c r="D284" i="3"/>
  <c r="L284" i="3" s="1"/>
  <c r="V283" i="3"/>
  <c r="U283" i="3"/>
  <c r="S283" i="3"/>
  <c r="Q283" i="3"/>
  <c r="O283" i="3"/>
  <c r="M283" i="3"/>
  <c r="K283" i="3"/>
  <c r="I283" i="3"/>
  <c r="D283" i="3"/>
  <c r="L283" i="3" s="1"/>
  <c r="V282" i="3"/>
  <c r="U282" i="3"/>
  <c r="S282" i="3"/>
  <c r="Q282" i="3"/>
  <c r="O282" i="3"/>
  <c r="M282" i="3"/>
  <c r="K282" i="3"/>
  <c r="I282" i="3"/>
  <c r="D282" i="3"/>
  <c r="L282" i="3" s="1"/>
  <c r="V281" i="3"/>
  <c r="U281" i="3"/>
  <c r="S281" i="3"/>
  <c r="Q281" i="3"/>
  <c r="O281" i="3"/>
  <c r="M281" i="3"/>
  <c r="K281" i="3"/>
  <c r="I281" i="3"/>
  <c r="D281" i="3"/>
  <c r="L281" i="3" s="1"/>
  <c r="V280" i="3"/>
  <c r="U280" i="3"/>
  <c r="S280" i="3"/>
  <c r="Q280" i="3"/>
  <c r="O280" i="3"/>
  <c r="M280" i="3"/>
  <c r="L280" i="3"/>
  <c r="K280" i="3"/>
  <c r="I280" i="3"/>
  <c r="D280" i="3"/>
  <c r="V279" i="3"/>
  <c r="U279" i="3"/>
  <c r="S279" i="3"/>
  <c r="Q279" i="3"/>
  <c r="O279" i="3"/>
  <c r="M279" i="3"/>
  <c r="L279" i="3"/>
  <c r="K279" i="3"/>
  <c r="I279" i="3"/>
  <c r="D279" i="3"/>
  <c r="V278" i="3"/>
  <c r="U278" i="3"/>
  <c r="S278" i="3"/>
  <c r="Q278" i="3"/>
  <c r="O278" i="3"/>
  <c r="M278" i="3"/>
  <c r="L278" i="3"/>
  <c r="K278" i="3"/>
  <c r="I278" i="3"/>
  <c r="D278" i="3"/>
  <c r="V277" i="3"/>
  <c r="U277" i="3"/>
  <c r="S277" i="3"/>
  <c r="Q277" i="3"/>
  <c r="O277" i="3"/>
  <c r="M277" i="3"/>
  <c r="K277" i="3"/>
  <c r="I277" i="3"/>
  <c r="D277" i="3"/>
  <c r="L277" i="3" s="1"/>
  <c r="V276" i="3"/>
  <c r="U276" i="3"/>
  <c r="S276" i="3"/>
  <c r="Q276" i="3"/>
  <c r="O276" i="3"/>
  <c r="M276" i="3"/>
  <c r="K276" i="3"/>
  <c r="I276" i="3"/>
  <c r="D276" i="3"/>
  <c r="L276" i="3" s="1"/>
  <c r="V275" i="3"/>
  <c r="U275" i="3"/>
  <c r="S275" i="3"/>
  <c r="Q275" i="3"/>
  <c r="O275" i="3"/>
  <c r="M275" i="3"/>
  <c r="K275" i="3"/>
  <c r="I275" i="3"/>
  <c r="D275" i="3"/>
  <c r="L275" i="3" s="1"/>
  <c r="V274" i="3"/>
  <c r="U274" i="3"/>
  <c r="S274" i="3"/>
  <c r="Q274" i="3"/>
  <c r="O274" i="3"/>
  <c r="M274" i="3"/>
  <c r="L274" i="3"/>
  <c r="K274" i="3"/>
  <c r="I274" i="3"/>
  <c r="D274" i="3"/>
  <c r="V273" i="3"/>
  <c r="U273" i="3"/>
  <c r="S273" i="3"/>
  <c r="Q273" i="3"/>
  <c r="O273" i="3"/>
  <c r="M273" i="3"/>
  <c r="L273" i="3"/>
  <c r="K273" i="3"/>
  <c r="I273" i="3"/>
  <c r="D273" i="3"/>
  <c r="V272" i="3"/>
  <c r="U272" i="3"/>
  <c r="S272" i="3"/>
  <c r="Q272" i="3"/>
  <c r="O272" i="3"/>
  <c r="M272" i="3"/>
  <c r="L272" i="3"/>
  <c r="K272" i="3"/>
  <c r="I272" i="3"/>
  <c r="D272" i="3"/>
  <c r="V271" i="3"/>
  <c r="U271" i="3"/>
  <c r="S271" i="3"/>
  <c r="Q271" i="3"/>
  <c r="O271" i="3"/>
  <c r="M271" i="3"/>
  <c r="K271" i="3"/>
  <c r="I271" i="3"/>
  <c r="D271" i="3"/>
  <c r="L271" i="3" s="1"/>
  <c r="V270" i="3"/>
  <c r="U270" i="3"/>
  <c r="S270" i="3"/>
  <c r="Q270" i="3"/>
  <c r="O270" i="3"/>
  <c r="M270" i="3"/>
  <c r="K270" i="3"/>
  <c r="I270" i="3"/>
  <c r="D270" i="3"/>
  <c r="L270" i="3" s="1"/>
  <c r="V269" i="3"/>
  <c r="U269" i="3"/>
  <c r="S269" i="3"/>
  <c r="Q269" i="3"/>
  <c r="O269" i="3"/>
  <c r="M269" i="3"/>
  <c r="K269" i="3"/>
  <c r="I269" i="3"/>
  <c r="D269" i="3"/>
  <c r="L269" i="3" s="1"/>
  <c r="V268" i="3"/>
  <c r="U268" i="3"/>
  <c r="S268" i="3"/>
  <c r="Q268" i="3"/>
  <c r="O268" i="3"/>
  <c r="M268" i="3"/>
  <c r="L268" i="3"/>
  <c r="K268" i="3"/>
  <c r="I268" i="3"/>
  <c r="D268" i="3"/>
  <c r="V267" i="3"/>
  <c r="U267" i="3"/>
  <c r="S267" i="3"/>
  <c r="Q267" i="3"/>
  <c r="O267" i="3"/>
  <c r="M267" i="3"/>
  <c r="L267" i="3"/>
  <c r="K267" i="3"/>
  <c r="I267" i="3"/>
  <c r="D267" i="3"/>
  <c r="V266" i="3"/>
  <c r="U266" i="3"/>
  <c r="S266" i="3"/>
  <c r="Q266" i="3"/>
  <c r="O266" i="3"/>
  <c r="M266" i="3"/>
  <c r="L266" i="3"/>
  <c r="K266" i="3"/>
  <c r="I266" i="3"/>
  <c r="D266" i="3"/>
  <c r="V265" i="3"/>
  <c r="U265" i="3"/>
  <c r="S265" i="3"/>
  <c r="Q265" i="3"/>
  <c r="O265" i="3"/>
  <c r="M265" i="3"/>
  <c r="K265" i="3"/>
  <c r="I265" i="3"/>
  <c r="D265" i="3"/>
  <c r="L265" i="3" s="1"/>
  <c r="V264" i="3"/>
  <c r="U264" i="3"/>
  <c r="S264" i="3"/>
  <c r="Q264" i="3"/>
  <c r="O264" i="3"/>
  <c r="M264" i="3"/>
  <c r="K264" i="3"/>
  <c r="I264" i="3"/>
  <c r="D264" i="3"/>
  <c r="L264" i="3" s="1"/>
  <c r="V263" i="3"/>
  <c r="U263" i="3"/>
  <c r="S263" i="3"/>
  <c r="Q263" i="3"/>
  <c r="O263" i="3"/>
  <c r="M263" i="3"/>
  <c r="K263" i="3"/>
  <c r="I263" i="3"/>
  <c r="D263" i="3"/>
  <c r="L263" i="3" s="1"/>
  <c r="V262" i="3"/>
  <c r="U262" i="3"/>
  <c r="S262" i="3"/>
  <c r="Q262" i="3"/>
  <c r="O262" i="3"/>
  <c r="M262" i="3"/>
  <c r="L262" i="3"/>
  <c r="K262" i="3"/>
  <c r="I262" i="3"/>
  <c r="D262" i="3"/>
  <c r="V261" i="3"/>
  <c r="U261" i="3"/>
  <c r="S261" i="3"/>
  <c r="Q261" i="3"/>
  <c r="O261" i="3"/>
  <c r="M261" i="3"/>
  <c r="L261" i="3"/>
  <c r="K261" i="3"/>
  <c r="I261" i="3"/>
  <c r="D261" i="3"/>
  <c r="V260" i="3"/>
  <c r="U260" i="3"/>
  <c r="S260" i="3"/>
  <c r="Q260" i="3"/>
  <c r="O260" i="3"/>
  <c r="M260" i="3"/>
  <c r="K260" i="3"/>
  <c r="I260" i="3"/>
  <c r="D260" i="3"/>
  <c r="L260" i="3" s="1"/>
  <c r="V259" i="3"/>
  <c r="U259" i="3"/>
  <c r="S259" i="3"/>
  <c r="Q259" i="3"/>
  <c r="O259" i="3"/>
  <c r="M259" i="3"/>
  <c r="K259" i="3"/>
  <c r="I259" i="3"/>
  <c r="D259" i="3"/>
  <c r="L259" i="3" s="1"/>
  <c r="V258" i="3"/>
  <c r="U258" i="3"/>
  <c r="S258" i="3"/>
  <c r="Q258" i="3"/>
  <c r="O258" i="3"/>
  <c r="M258" i="3"/>
  <c r="K258" i="3"/>
  <c r="I258" i="3"/>
  <c r="D258" i="3"/>
  <c r="L258" i="3" s="1"/>
  <c r="V257" i="3"/>
  <c r="U257" i="3"/>
  <c r="S257" i="3"/>
  <c r="Q257" i="3"/>
  <c r="O257" i="3"/>
  <c r="M257" i="3"/>
  <c r="K257" i="3"/>
  <c r="I257" i="3"/>
  <c r="D257" i="3"/>
  <c r="L257" i="3" s="1"/>
  <c r="V256" i="3"/>
  <c r="U256" i="3"/>
  <c r="S256" i="3"/>
  <c r="Q256" i="3"/>
  <c r="O256" i="3"/>
  <c r="M256" i="3"/>
  <c r="L256" i="3"/>
  <c r="K256" i="3"/>
  <c r="I256" i="3"/>
  <c r="D256" i="3"/>
  <c r="V255" i="3"/>
  <c r="U255" i="3"/>
  <c r="S255" i="3"/>
  <c r="Q255" i="3"/>
  <c r="O255" i="3"/>
  <c r="M255" i="3"/>
  <c r="L255" i="3"/>
  <c r="K255" i="3"/>
  <c r="I255" i="3"/>
  <c r="D255" i="3"/>
  <c r="V254" i="3"/>
  <c r="U254" i="3"/>
  <c r="S254" i="3"/>
  <c r="Q254" i="3"/>
  <c r="O254" i="3"/>
  <c r="M254" i="3"/>
  <c r="L254" i="3"/>
  <c r="K254" i="3"/>
  <c r="I254" i="3"/>
  <c r="D254" i="3"/>
  <c r="V253" i="3"/>
  <c r="U253" i="3"/>
  <c r="S253" i="3"/>
  <c r="Q253" i="3"/>
  <c r="O253" i="3"/>
  <c r="M253" i="3"/>
  <c r="K253" i="3"/>
  <c r="I253" i="3"/>
  <c r="D253" i="3"/>
  <c r="L253" i="3" s="1"/>
  <c r="V252" i="3"/>
  <c r="U252" i="3"/>
  <c r="S252" i="3"/>
  <c r="Q252" i="3"/>
  <c r="O252" i="3"/>
  <c r="M252" i="3"/>
  <c r="K252" i="3"/>
  <c r="I252" i="3"/>
  <c r="D252" i="3"/>
  <c r="L252" i="3" s="1"/>
  <c r="V251" i="3"/>
  <c r="U251" i="3"/>
  <c r="S251" i="3"/>
  <c r="Q251" i="3"/>
  <c r="O251" i="3"/>
  <c r="M251" i="3"/>
  <c r="K251" i="3"/>
  <c r="I251" i="3"/>
  <c r="D251" i="3"/>
  <c r="L251" i="3" s="1"/>
  <c r="V250" i="3"/>
  <c r="U250" i="3"/>
  <c r="S250" i="3"/>
  <c r="Q250" i="3"/>
  <c r="O250" i="3"/>
  <c r="M250" i="3"/>
  <c r="L250" i="3"/>
  <c r="K250" i="3"/>
  <c r="I250" i="3"/>
  <c r="D250" i="3"/>
  <c r="V249" i="3"/>
  <c r="U249" i="3"/>
  <c r="S249" i="3"/>
  <c r="Q249" i="3"/>
  <c r="O249" i="3"/>
  <c r="M249" i="3"/>
  <c r="L249" i="3"/>
  <c r="K249" i="3"/>
  <c r="I249" i="3"/>
  <c r="D249" i="3"/>
  <c r="V248" i="3"/>
  <c r="U248" i="3"/>
  <c r="S248" i="3"/>
  <c r="Q248" i="3"/>
  <c r="O248" i="3"/>
  <c r="M248" i="3"/>
  <c r="L248" i="3"/>
  <c r="K248" i="3"/>
  <c r="I248" i="3"/>
  <c r="D248" i="3"/>
  <c r="V247" i="3"/>
  <c r="U247" i="3"/>
  <c r="S247" i="3"/>
  <c r="Q247" i="3"/>
  <c r="O247" i="3"/>
  <c r="M247" i="3"/>
  <c r="K247" i="3"/>
  <c r="I247" i="3"/>
  <c r="D247" i="3"/>
  <c r="L247" i="3" s="1"/>
  <c r="V246" i="3"/>
  <c r="U246" i="3"/>
  <c r="S246" i="3"/>
  <c r="Q246" i="3"/>
  <c r="O246" i="3"/>
  <c r="M246" i="3"/>
  <c r="K246" i="3"/>
  <c r="I246" i="3"/>
  <c r="D246" i="3"/>
  <c r="L246" i="3" s="1"/>
  <c r="V245" i="3"/>
  <c r="U245" i="3"/>
  <c r="S245" i="3"/>
  <c r="Q245" i="3"/>
  <c r="O245" i="3"/>
  <c r="M245" i="3"/>
  <c r="K245" i="3"/>
  <c r="I245" i="3"/>
  <c r="D245" i="3"/>
  <c r="L245" i="3" s="1"/>
  <c r="V244" i="3"/>
  <c r="U244" i="3"/>
  <c r="S244" i="3"/>
  <c r="Q244" i="3"/>
  <c r="O244" i="3"/>
  <c r="M244" i="3"/>
  <c r="L244" i="3"/>
  <c r="K244" i="3"/>
  <c r="I244" i="3"/>
  <c r="D244" i="3"/>
  <c r="V243" i="3"/>
  <c r="U243" i="3"/>
  <c r="S243" i="3"/>
  <c r="Q243" i="3"/>
  <c r="O243" i="3"/>
  <c r="M243" i="3"/>
  <c r="L243" i="3"/>
  <c r="K243" i="3"/>
  <c r="I243" i="3"/>
  <c r="D243" i="3"/>
  <c r="V242" i="3"/>
  <c r="U242" i="3"/>
  <c r="S242" i="3"/>
  <c r="Q242" i="3"/>
  <c r="O242" i="3"/>
  <c r="M242" i="3"/>
  <c r="L242" i="3"/>
  <c r="K242" i="3"/>
  <c r="I242" i="3"/>
  <c r="D242" i="3"/>
  <c r="V241" i="3"/>
  <c r="U241" i="3"/>
  <c r="S241" i="3"/>
  <c r="Q241" i="3"/>
  <c r="O241" i="3"/>
  <c r="M241" i="3"/>
  <c r="K241" i="3"/>
  <c r="I241" i="3"/>
  <c r="D241" i="3"/>
  <c r="L241" i="3" s="1"/>
  <c r="V240" i="3"/>
  <c r="U240" i="3"/>
  <c r="S240" i="3"/>
  <c r="Q240" i="3"/>
  <c r="O240" i="3"/>
  <c r="M240" i="3"/>
  <c r="K240" i="3"/>
  <c r="I240" i="3"/>
  <c r="D240" i="3"/>
  <c r="L240" i="3" s="1"/>
  <c r="V239" i="3"/>
  <c r="U239" i="3"/>
  <c r="S239" i="3"/>
  <c r="Q239" i="3"/>
  <c r="O239" i="3"/>
  <c r="M239" i="3"/>
  <c r="K239" i="3"/>
  <c r="I239" i="3"/>
  <c r="D239" i="3"/>
  <c r="L239" i="3" s="1"/>
  <c r="V238" i="3"/>
  <c r="U238" i="3"/>
  <c r="S238" i="3"/>
  <c r="Q238" i="3"/>
  <c r="O238" i="3"/>
  <c r="M238" i="3"/>
  <c r="L238" i="3"/>
  <c r="K238" i="3"/>
  <c r="I238" i="3"/>
  <c r="D238" i="3"/>
  <c r="V237" i="3"/>
  <c r="U237" i="3"/>
  <c r="S237" i="3"/>
  <c r="Q237" i="3"/>
  <c r="O237" i="3"/>
  <c r="M237" i="3"/>
  <c r="L237" i="3"/>
  <c r="K237" i="3"/>
  <c r="I237" i="3"/>
  <c r="D237" i="3"/>
  <c r="V236" i="3"/>
  <c r="U236" i="3"/>
  <c r="S236" i="3"/>
  <c r="Q236" i="3"/>
  <c r="O236" i="3"/>
  <c r="M236" i="3"/>
  <c r="K236" i="3"/>
  <c r="I236" i="3"/>
  <c r="D236" i="3"/>
  <c r="L236" i="3" s="1"/>
  <c r="V235" i="3"/>
  <c r="U235" i="3"/>
  <c r="S235" i="3"/>
  <c r="Q235" i="3"/>
  <c r="O235" i="3"/>
  <c r="M235" i="3"/>
  <c r="K235" i="3"/>
  <c r="I235" i="3"/>
  <c r="D235" i="3"/>
  <c r="L235" i="3" s="1"/>
  <c r="V234" i="3"/>
  <c r="U234" i="3"/>
  <c r="S234" i="3"/>
  <c r="Q234" i="3"/>
  <c r="O234" i="3"/>
  <c r="M234" i="3"/>
  <c r="K234" i="3"/>
  <c r="I234" i="3"/>
  <c r="D234" i="3"/>
  <c r="L234" i="3" s="1"/>
  <c r="V233" i="3"/>
  <c r="U233" i="3"/>
  <c r="S233" i="3"/>
  <c r="Q233" i="3"/>
  <c r="O233" i="3"/>
  <c r="M233" i="3"/>
  <c r="K233" i="3"/>
  <c r="I233" i="3"/>
  <c r="D233" i="3"/>
  <c r="L233" i="3" s="1"/>
  <c r="V232" i="3"/>
  <c r="U232" i="3"/>
  <c r="S232" i="3"/>
  <c r="Q232" i="3"/>
  <c r="O232" i="3"/>
  <c r="M232" i="3"/>
  <c r="L232" i="3"/>
  <c r="K232" i="3"/>
  <c r="I232" i="3"/>
  <c r="D232" i="3"/>
  <c r="V231" i="3"/>
  <c r="U231" i="3"/>
  <c r="S231" i="3"/>
  <c r="Q231" i="3"/>
  <c r="O231" i="3"/>
  <c r="M231" i="3"/>
  <c r="L231" i="3"/>
  <c r="K231" i="3"/>
  <c r="I231" i="3"/>
  <c r="D231" i="3"/>
  <c r="V230" i="3"/>
  <c r="U230" i="3"/>
  <c r="S230" i="3"/>
  <c r="Q230" i="3"/>
  <c r="O230" i="3"/>
  <c r="M230" i="3"/>
  <c r="L230" i="3"/>
  <c r="K230" i="3"/>
  <c r="I230" i="3"/>
  <c r="D230" i="3"/>
  <c r="V229" i="3"/>
  <c r="U229" i="3"/>
  <c r="S229" i="3"/>
  <c r="Q229" i="3"/>
  <c r="O229" i="3"/>
  <c r="M229" i="3"/>
  <c r="K229" i="3"/>
  <c r="I229" i="3"/>
  <c r="D229" i="3"/>
  <c r="L229" i="3" s="1"/>
  <c r="V228" i="3"/>
  <c r="U228" i="3"/>
  <c r="S228" i="3"/>
  <c r="Q228" i="3"/>
  <c r="O228" i="3"/>
  <c r="M228" i="3"/>
  <c r="K228" i="3"/>
  <c r="I228" i="3"/>
  <c r="D228" i="3"/>
  <c r="L228" i="3" s="1"/>
  <c r="V227" i="3"/>
  <c r="U227" i="3"/>
  <c r="S227" i="3"/>
  <c r="Q227" i="3"/>
  <c r="O227" i="3"/>
  <c r="M227" i="3"/>
  <c r="K227" i="3"/>
  <c r="I227" i="3"/>
  <c r="D227" i="3"/>
  <c r="L227" i="3" s="1"/>
  <c r="V226" i="3"/>
  <c r="U226" i="3"/>
  <c r="S226" i="3"/>
  <c r="Q226" i="3"/>
  <c r="O226" i="3"/>
  <c r="M226" i="3"/>
  <c r="L226" i="3"/>
  <c r="K226" i="3"/>
  <c r="I226" i="3"/>
  <c r="D226" i="3"/>
  <c r="V225" i="3"/>
  <c r="U225" i="3"/>
  <c r="S225" i="3"/>
  <c r="Q225" i="3"/>
  <c r="O225" i="3"/>
  <c r="M225" i="3"/>
  <c r="L225" i="3"/>
  <c r="K225" i="3"/>
  <c r="I225" i="3"/>
  <c r="D225" i="3"/>
  <c r="V224" i="3"/>
  <c r="U224" i="3"/>
  <c r="S224" i="3"/>
  <c r="Q224" i="3"/>
  <c r="O224" i="3"/>
  <c r="M224" i="3"/>
  <c r="L224" i="3"/>
  <c r="K224" i="3"/>
  <c r="I224" i="3"/>
  <c r="D224" i="3"/>
  <c r="V223" i="3"/>
  <c r="U223" i="3"/>
  <c r="S223" i="3"/>
  <c r="Q223" i="3"/>
  <c r="O223" i="3"/>
  <c r="M223" i="3"/>
  <c r="K223" i="3"/>
  <c r="I223" i="3"/>
  <c r="D223" i="3"/>
  <c r="L223" i="3" s="1"/>
  <c r="V222" i="3"/>
  <c r="U222" i="3"/>
  <c r="S222" i="3"/>
  <c r="Q222" i="3"/>
  <c r="O222" i="3"/>
  <c r="M222" i="3"/>
  <c r="K222" i="3"/>
  <c r="I222" i="3"/>
  <c r="D222" i="3"/>
  <c r="L222" i="3" s="1"/>
  <c r="V221" i="3"/>
  <c r="U221" i="3"/>
  <c r="S221" i="3"/>
  <c r="Q221" i="3"/>
  <c r="O221" i="3"/>
  <c r="M221" i="3"/>
  <c r="K221" i="3"/>
  <c r="I221" i="3"/>
  <c r="D221" i="3"/>
  <c r="L221" i="3" s="1"/>
  <c r="V220" i="3"/>
  <c r="U220" i="3"/>
  <c r="S220" i="3"/>
  <c r="Q220" i="3"/>
  <c r="O220" i="3"/>
  <c r="M220" i="3"/>
  <c r="L220" i="3"/>
  <c r="K220" i="3"/>
  <c r="I220" i="3"/>
  <c r="D220" i="3"/>
  <c r="V219" i="3"/>
  <c r="U219" i="3"/>
  <c r="S219" i="3"/>
  <c r="Q219" i="3"/>
  <c r="O219" i="3"/>
  <c r="M219" i="3"/>
  <c r="L219" i="3"/>
  <c r="K219" i="3"/>
  <c r="I219" i="3"/>
  <c r="D219" i="3"/>
  <c r="V218" i="3"/>
  <c r="U218" i="3"/>
  <c r="S218" i="3"/>
  <c r="Q218" i="3"/>
  <c r="O218" i="3"/>
  <c r="M218" i="3"/>
  <c r="L218" i="3"/>
  <c r="K218" i="3"/>
  <c r="I218" i="3"/>
  <c r="D218" i="3"/>
  <c r="V217" i="3"/>
  <c r="U217" i="3"/>
  <c r="S217" i="3"/>
  <c r="Q217" i="3"/>
  <c r="O217" i="3"/>
  <c r="M217" i="3"/>
  <c r="K217" i="3"/>
  <c r="I217" i="3"/>
  <c r="D217" i="3"/>
  <c r="L217" i="3" s="1"/>
  <c r="V216" i="3"/>
  <c r="U216" i="3"/>
  <c r="S216" i="3"/>
  <c r="Q216" i="3"/>
  <c r="O216" i="3"/>
  <c r="M216" i="3"/>
  <c r="K216" i="3"/>
  <c r="I216" i="3"/>
  <c r="D216" i="3"/>
  <c r="L216" i="3" s="1"/>
  <c r="V215" i="3"/>
  <c r="U215" i="3"/>
  <c r="S215" i="3"/>
  <c r="Q215" i="3"/>
  <c r="O215" i="3"/>
  <c r="M215" i="3"/>
  <c r="K215" i="3"/>
  <c r="I215" i="3"/>
  <c r="D215" i="3"/>
  <c r="L215" i="3" s="1"/>
  <c r="V214" i="3"/>
  <c r="U214" i="3"/>
  <c r="S214" i="3"/>
  <c r="Q214" i="3"/>
  <c r="O214" i="3"/>
  <c r="M214" i="3"/>
  <c r="L214" i="3"/>
  <c r="K214" i="3"/>
  <c r="I214" i="3"/>
  <c r="D214" i="3"/>
  <c r="V213" i="3"/>
  <c r="U213" i="3"/>
  <c r="S213" i="3"/>
  <c r="Q213" i="3"/>
  <c r="O213" i="3"/>
  <c r="M213" i="3"/>
  <c r="L213" i="3"/>
  <c r="K213" i="3"/>
  <c r="I213" i="3"/>
  <c r="D213" i="3"/>
  <c r="V212" i="3"/>
  <c r="U212" i="3"/>
  <c r="S212" i="3"/>
  <c r="Q212" i="3"/>
  <c r="O212" i="3"/>
  <c r="M212" i="3"/>
  <c r="K212" i="3"/>
  <c r="I212" i="3"/>
  <c r="D212" i="3"/>
  <c r="L212" i="3" s="1"/>
  <c r="V211" i="3"/>
  <c r="U211" i="3"/>
  <c r="S211" i="3"/>
  <c r="Q211" i="3"/>
  <c r="O211" i="3"/>
  <c r="M211" i="3"/>
  <c r="K211" i="3"/>
  <c r="I211" i="3"/>
  <c r="D211" i="3"/>
  <c r="L211" i="3" s="1"/>
  <c r="V210" i="3"/>
  <c r="U210" i="3"/>
  <c r="S210" i="3"/>
  <c r="Q210" i="3"/>
  <c r="O210" i="3"/>
  <c r="M210" i="3"/>
  <c r="K210" i="3"/>
  <c r="I210" i="3"/>
  <c r="D210" i="3"/>
  <c r="L210" i="3" s="1"/>
  <c r="V209" i="3"/>
  <c r="U209" i="3"/>
  <c r="S209" i="3"/>
  <c r="Q209" i="3"/>
  <c r="O209" i="3"/>
  <c r="M209" i="3"/>
  <c r="K209" i="3"/>
  <c r="I209" i="3"/>
  <c r="D209" i="3"/>
  <c r="L209" i="3" s="1"/>
  <c r="V208" i="3"/>
  <c r="U208" i="3"/>
  <c r="S208" i="3"/>
  <c r="Q208" i="3"/>
  <c r="O208" i="3"/>
  <c r="M208" i="3"/>
  <c r="L208" i="3"/>
  <c r="K208" i="3"/>
  <c r="I208" i="3"/>
  <c r="D208" i="3"/>
  <c r="V207" i="3"/>
  <c r="U207" i="3"/>
  <c r="S207" i="3"/>
  <c r="Q207" i="3"/>
  <c r="O207" i="3"/>
  <c r="M207" i="3"/>
  <c r="L207" i="3"/>
  <c r="K207" i="3"/>
  <c r="I207" i="3"/>
  <c r="D207" i="3"/>
  <c r="V206" i="3"/>
  <c r="U206" i="3"/>
  <c r="S206" i="3"/>
  <c r="Q206" i="3"/>
  <c r="O206" i="3"/>
  <c r="M206" i="3"/>
  <c r="L206" i="3"/>
  <c r="K206" i="3"/>
  <c r="I206" i="3"/>
  <c r="D206" i="3"/>
  <c r="V205" i="3"/>
  <c r="U205" i="3"/>
  <c r="S205" i="3"/>
  <c r="Q205" i="3"/>
  <c r="O205" i="3"/>
  <c r="M205" i="3"/>
  <c r="K205" i="3"/>
  <c r="I205" i="3"/>
  <c r="D205" i="3"/>
  <c r="L205" i="3" s="1"/>
  <c r="V204" i="3"/>
  <c r="U204" i="3"/>
  <c r="S204" i="3"/>
  <c r="Q204" i="3"/>
  <c r="O204" i="3"/>
  <c r="M204" i="3"/>
  <c r="K204" i="3"/>
  <c r="I204" i="3"/>
  <c r="D204" i="3"/>
  <c r="L204" i="3" s="1"/>
  <c r="V203" i="3"/>
  <c r="U203" i="3"/>
  <c r="S203" i="3"/>
  <c r="Q203" i="3"/>
  <c r="O203" i="3"/>
  <c r="M203" i="3"/>
  <c r="K203" i="3"/>
  <c r="I203" i="3"/>
  <c r="D203" i="3"/>
  <c r="L203" i="3" s="1"/>
  <c r="V202" i="3"/>
  <c r="U202" i="3"/>
  <c r="S202" i="3"/>
  <c r="Q202" i="3"/>
  <c r="O202" i="3"/>
  <c r="M202" i="3"/>
  <c r="L202" i="3"/>
  <c r="K202" i="3"/>
  <c r="I202" i="3"/>
  <c r="D202" i="3"/>
  <c r="V201" i="3"/>
  <c r="U201" i="3"/>
  <c r="S201" i="3"/>
  <c r="Q201" i="3"/>
  <c r="O201" i="3"/>
  <c r="M201" i="3"/>
  <c r="L201" i="3"/>
  <c r="K201" i="3"/>
  <c r="I201" i="3"/>
  <c r="D201" i="3"/>
  <c r="V200" i="3"/>
  <c r="U200" i="3"/>
  <c r="S200" i="3"/>
  <c r="Q200" i="3"/>
  <c r="O200" i="3"/>
  <c r="M200" i="3"/>
  <c r="L200" i="3"/>
  <c r="K200" i="3"/>
  <c r="I200" i="3"/>
  <c r="D200" i="3"/>
  <c r="V199" i="3"/>
  <c r="U199" i="3"/>
  <c r="S199" i="3"/>
  <c r="Q199" i="3"/>
  <c r="O199" i="3"/>
  <c r="M199" i="3"/>
  <c r="K199" i="3"/>
  <c r="I199" i="3"/>
  <c r="D199" i="3"/>
  <c r="L199" i="3" s="1"/>
  <c r="V198" i="3"/>
  <c r="U198" i="3"/>
  <c r="S198" i="3"/>
  <c r="Q198" i="3"/>
  <c r="O198" i="3"/>
  <c r="M198" i="3"/>
  <c r="K198" i="3"/>
  <c r="I198" i="3"/>
  <c r="D198" i="3"/>
  <c r="L198" i="3" s="1"/>
  <c r="V197" i="3"/>
  <c r="U197" i="3"/>
  <c r="S197" i="3"/>
  <c r="Q197" i="3"/>
  <c r="O197" i="3"/>
  <c r="M197" i="3"/>
  <c r="K197" i="3"/>
  <c r="I197" i="3"/>
  <c r="D197" i="3"/>
  <c r="L197" i="3" s="1"/>
  <c r="V196" i="3"/>
  <c r="U196" i="3"/>
  <c r="S196" i="3"/>
  <c r="Q196" i="3"/>
  <c r="O196" i="3"/>
  <c r="M196" i="3"/>
  <c r="L196" i="3"/>
  <c r="K196" i="3"/>
  <c r="I196" i="3"/>
  <c r="D196" i="3"/>
  <c r="V195" i="3"/>
  <c r="U195" i="3"/>
  <c r="S195" i="3"/>
  <c r="Q195" i="3"/>
  <c r="O195" i="3"/>
  <c r="M195" i="3"/>
  <c r="L195" i="3"/>
  <c r="K195" i="3"/>
  <c r="I195" i="3"/>
  <c r="D195" i="3"/>
  <c r="V194" i="3"/>
  <c r="U194" i="3"/>
  <c r="S194" i="3"/>
  <c r="Q194" i="3"/>
  <c r="O194" i="3"/>
  <c r="M194" i="3"/>
  <c r="L194" i="3"/>
  <c r="K194" i="3"/>
  <c r="I194" i="3"/>
  <c r="D194" i="3"/>
  <c r="V193" i="3"/>
  <c r="U193" i="3"/>
  <c r="S193" i="3"/>
  <c r="Q193" i="3"/>
  <c r="O193" i="3"/>
  <c r="M193" i="3"/>
  <c r="K193" i="3"/>
  <c r="I193" i="3"/>
  <c r="D193" i="3"/>
  <c r="L193" i="3" s="1"/>
  <c r="V192" i="3"/>
  <c r="U192" i="3"/>
  <c r="S192" i="3"/>
  <c r="Q192" i="3"/>
  <c r="O192" i="3"/>
  <c r="M192" i="3"/>
  <c r="K192" i="3"/>
  <c r="I192" i="3"/>
  <c r="D192" i="3"/>
  <c r="L192" i="3" s="1"/>
  <c r="V191" i="3"/>
  <c r="U191" i="3"/>
  <c r="S191" i="3"/>
  <c r="Q191" i="3"/>
  <c r="O191" i="3"/>
  <c r="M191" i="3"/>
  <c r="K191" i="3"/>
  <c r="I191" i="3"/>
  <c r="D191" i="3"/>
  <c r="L191" i="3" s="1"/>
  <c r="V190" i="3"/>
  <c r="U190" i="3"/>
  <c r="S190" i="3"/>
  <c r="Q190" i="3"/>
  <c r="O190" i="3"/>
  <c r="M190" i="3"/>
  <c r="L190" i="3"/>
  <c r="K190" i="3"/>
  <c r="I190" i="3"/>
  <c r="D190" i="3"/>
  <c r="V189" i="3"/>
  <c r="U189" i="3"/>
  <c r="S189" i="3"/>
  <c r="Q189" i="3"/>
  <c r="O189" i="3"/>
  <c r="M189" i="3"/>
  <c r="L189" i="3"/>
  <c r="K189" i="3"/>
  <c r="I189" i="3"/>
  <c r="D189" i="3"/>
  <c r="V188" i="3"/>
  <c r="U188" i="3"/>
  <c r="S188" i="3"/>
  <c r="Q188" i="3"/>
  <c r="O188" i="3"/>
  <c r="M188" i="3"/>
  <c r="K188" i="3"/>
  <c r="I188" i="3"/>
  <c r="D188" i="3"/>
  <c r="L188" i="3" s="1"/>
  <c r="V187" i="3"/>
  <c r="U187" i="3"/>
  <c r="S187" i="3"/>
  <c r="Q187" i="3"/>
  <c r="O187" i="3"/>
  <c r="M187" i="3"/>
  <c r="K187" i="3"/>
  <c r="I187" i="3"/>
  <c r="D187" i="3"/>
  <c r="L187" i="3" s="1"/>
  <c r="V186" i="3"/>
  <c r="U186" i="3"/>
  <c r="S186" i="3"/>
  <c r="Q186" i="3"/>
  <c r="O186" i="3"/>
  <c r="M186" i="3"/>
  <c r="K186" i="3"/>
  <c r="I186" i="3"/>
  <c r="D186" i="3"/>
  <c r="L186" i="3" s="1"/>
  <c r="V185" i="3"/>
  <c r="U185" i="3"/>
  <c r="S185" i="3"/>
  <c r="Q185" i="3"/>
  <c r="O185" i="3"/>
  <c r="M185" i="3"/>
  <c r="K185" i="3"/>
  <c r="I185" i="3"/>
  <c r="D185" i="3"/>
  <c r="L185" i="3" s="1"/>
  <c r="V184" i="3"/>
  <c r="U184" i="3"/>
  <c r="S184" i="3"/>
  <c r="Q184" i="3"/>
  <c r="O184" i="3"/>
  <c r="M184" i="3"/>
  <c r="L184" i="3"/>
  <c r="K184" i="3"/>
  <c r="I184" i="3"/>
  <c r="D184" i="3"/>
  <c r="V183" i="3"/>
  <c r="U183" i="3"/>
  <c r="S183" i="3"/>
  <c r="Q183" i="3"/>
  <c r="O183" i="3"/>
  <c r="M183" i="3"/>
  <c r="L183" i="3"/>
  <c r="K183" i="3"/>
  <c r="I183" i="3"/>
  <c r="D183" i="3"/>
  <c r="V182" i="3"/>
  <c r="U182" i="3"/>
  <c r="S182" i="3"/>
  <c r="Q182" i="3"/>
  <c r="O182" i="3"/>
  <c r="M182" i="3"/>
  <c r="L182" i="3"/>
  <c r="K182" i="3"/>
  <c r="I182" i="3"/>
  <c r="D182" i="3"/>
  <c r="V181" i="3"/>
  <c r="U181" i="3"/>
  <c r="S181" i="3"/>
  <c r="Q181" i="3"/>
  <c r="O181" i="3"/>
  <c r="M181" i="3"/>
  <c r="K181" i="3"/>
  <c r="I181" i="3"/>
  <c r="D181" i="3"/>
  <c r="L181" i="3" s="1"/>
  <c r="V180" i="3"/>
  <c r="U180" i="3"/>
  <c r="S180" i="3"/>
  <c r="Q180" i="3"/>
  <c r="O180" i="3"/>
  <c r="M180" i="3"/>
  <c r="K180" i="3"/>
  <c r="I180" i="3"/>
  <c r="D180" i="3"/>
  <c r="L180" i="3" s="1"/>
  <c r="V179" i="3"/>
  <c r="U179" i="3"/>
  <c r="S179" i="3"/>
  <c r="Q179" i="3"/>
  <c r="O179" i="3"/>
  <c r="M179" i="3"/>
  <c r="K179" i="3"/>
  <c r="I179" i="3"/>
  <c r="D179" i="3"/>
  <c r="L179" i="3" s="1"/>
  <c r="V178" i="3"/>
  <c r="U178" i="3"/>
  <c r="S178" i="3"/>
  <c r="Q178" i="3"/>
  <c r="O178" i="3"/>
  <c r="M178" i="3"/>
  <c r="L178" i="3"/>
  <c r="K178" i="3"/>
  <c r="I178" i="3"/>
  <c r="D178" i="3"/>
  <c r="V177" i="3"/>
  <c r="U177" i="3"/>
  <c r="S177" i="3"/>
  <c r="Q177" i="3"/>
  <c r="O177" i="3"/>
  <c r="M177" i="3"/>
  <c r="L177" i="3"/>
  <c r="K177" i="3"/>
  <c r="I177" i="3"/>
  <c r="D177" i="3"/>
  <c r="V176" i="3"/>
  <c r="U176" i="3"/>
  <c r="S176" i="3"/>
  <c r="Q176" i="3"/>
  <c r="O176" i="3"/>
  <c r="M176" i="3"/>
  <c r="L176" i="3"/>
  <c r="K176" i="3"/>
  <c r="I176" i="3"/>
  <c r="D176" i="3"/>
  <c r="V175" i="3"/>
  <c r="U175" i="3"/>
  <c r="S175" i="3"/>
  <c r="Q175" i="3"/>
  <c r="O175" i="3"/>
  <c r="M175" i="3"/>
  <c r="K175" i="3"/>
  <c r="I175" i="3"/>
  <c r="D175" i="3"/>
  <c r="L175" i="3" s="1"/>
  <c r="V174" i="3"/>
  <c r="U174" i="3"/>
  <c r="S174" i="3"/>
  <c r="Q174" i="3"/>
  <c r="O174" i="3"/>
  <c r="M174" i="3"/>
  <c r="K174" i="3"/>
  <c r="I174" i="3"/>
  <c r="D174" i="3"/>
  <c r="L174" i="3" s="1"/>
  <c r="V173" i="3"/>
  <c r="U173" i="3"/>
  <c r="S173" i="3"/>
  <c r="Q173" i="3"/>
  <c r="O173" i="3"/>
  <c r="M173" i="3"/>
  <c r="K173" i="3"/>
  <c r="I173" i="3"/>
  <c r="D173" i="3"/>
  <c r="L173" i="3" s="1"/>
  <c r="V172" i="3"/>
  <c r="U172" i="3"/>
  <c r="S172" i="3"/>
  <c r="Q172" i="3"/>
  <c r="O172" i="3"/>
  <c r="M172" i="3"/>
  <c r="L172" i="3"/>
  <c r="K172" i="3"/>
  <c r="I172" i="3"/>
  <c r="D172" i="3"/>
  <c r="V171" i="3"/>
  <c r="U171" i="3"/>
  <c r="S171" i="3"/>
  <c r="Q171" i="3"/>
  <c r="O171" i="3"/>
  <c r="M171" i="3"/>
  <c r="L171" i="3"/>
  <c r="K171" i="3"/>
  <c r="I171" i="3"/>
  <c r="D171" i="3"/>
  <c r="V170" i="3"/>
  <c r="U170" i="3"/>
  <c r="S170" i="3"/>
  <c r="Q170" i="3"/>
  <c r="O170" i="3"/>
  <c r="M170" i="3"/>
  <c r="L170" i="3"/>
  <c r="K170" i="3"/>
  <c r="I170" i="3"/>
  <c r="D170" i="3"/>
  <c r="V169" i="3"/>
  <c r="U169" i="3"/>
  <c r="S169" i="3"/>
  <c r="Q169" i="3"/>
  <c r="O169" i="3"/>
  <c r="M169" i="3"/>
  <c r="K169" i="3"/>
  <c r="I169" i="3"/>
  <c r="D169" i="3"/>
  <c r="L169" i="3" s="1"/>
  <c r="V168" i="3"/>
  <c r="U168" i="3"/>
  <c r="S168" i="3"/>
  <c r="Q168" i="3"/>
  <c r="O168" i="3"/>
  <c r="M168" i="3"/>
  <c r="K168" i="3"/>
  <c r="I168" i="3"/>
  <c r="D168" i="3"/>
  <c r="L168" i="3" s="1"/>
  <c r="V167" i="3"/>
  <c r="U167" i="3"/>
  <c r="S167" i="3"/>
  <c r="Q167" i="3"/>
  <c r="O167" i="3"/>
  <c r="M167" i="3"/>
  <c r="K167" i="3"/>
  <c r="I167" i="3"/>
  <c r="D167" i="3"/>
  <c r="L167" i="3" s="1"/>
  <c r="V166" i="3"/>
  <c r="U166" i="3"/>
  <c r="S166" i="3"/>
  <c r="Q166" i="3"/>
  <c r="O166" i="3"/>
  <c r="M166" i="3"/>
  <c r="L166" i="3"/>
  <c r="K166" i="3"/>
  <c r="I166" i="3"/>
  <c r="D166" i="3"/>
  <c r="V165" i="3"/>
  <c r="U165" i="3"/>
  <c r="S165" i="3"/>
  <c r="Q165" i="3"/>
  <c r="O165" i="3"/>
  <c r="M165" i="3"/>
  <c r="L165" i="3"/>
  <c r="K165" i="3"/>
  <c r="I165" i="3"/>
  <c r="D165" i="3"/>
  <c r="V164" i="3"/>
  <c r="U164" i="3"/>
  <c r="S164" i="3"/>
  <c r="Q164" i="3"/>
  <c r="O164" i="3"/>
  <c r="M164" i="3"/>
  <c r="K164" i="3"/>
  <c r="I164" i="3"/>
  <c r="D164" i="3"/>
  <c r="L164" i="3" s="1"/>
  <c r="V163" i="3"/>
  <c r="U163" i="3"/>
  <c r="S163" i="3"/>
  <c r="Q163" i="3"/>
  <c r="O163" i="3"/>
  <c r="M163" i="3"/>
  <c r="K163" i="3"/>
  <c r="I163" i="3"/>
  <c r="D163" i="3"/>
  <c r="L163" i="3" s="1"/>
  <c r="V162" i="3"/>
  <c r="U162" i="3"/>
  <c r="S162" i="3"/>
  <c r="Q162" i="3"/>
  <c r="O162" i="3"/>
  <c r="M162" i="3"/>
  <c r="K162" i="3"/>
  <c r="I162" i="3"/>
  <c r="D162" i="3"/>
  <c r="L162" i="3" s="1"/>
  <c r="V161" i="3"/>
  <c r="U161" i="3"/>
  <c r="S161" i="3"/>
  <c r="Q161" i="3"/>
  <c r="O161" i="3"/>
  <c r="M161" i="3"/>
  <c r="K161" i="3"/>
  <c r="I161" i="3"/>
  <c r="D161" i="3"/>
  <c r="L161" i="3" s="1"/>
  <c r="V160" i="3"/>
  <c r="U160" i="3"/>
  <c r="S160" i="3"/>
  <c r="Q160" i="3"/>
  <c r="O160" i="3"/>
  <c r="M160" i="3"/>
  <c r="L160" i="3"/>
  <c r="K160" i="3"/>
  <c r="I160" i="3"/>
  <c r="D160" i="3"/>
  <c r="V159" i="3"/>
  <c r="U159" i="3"/>
  <c r="S159" i="3"/>
  <c r="Q159" i="3"/>
  <c r="O159" i="3"/>
  <c r="M159" i="3"/>
  <c r="L159" i="3"/>
  <c r="K159" i="3"/>
  <c r="I159" i="3"/>
  <c r="D159" i="3"/>
  <c r="V158" i="3"/>
  <c r="U158" i="3"/>
  <c r="S158" i="3"/>
  <c r="Q158" i="3"/>
  <c r="O158" i="3"/>
  <c r="M158" i="3"/>
  <c r="L158" i="3"/>
  <c r="K158" i="3"/>
  <c r="I158" i="3"/>
  <c r="D158" i="3"/>
  <c r="V157" i="3"/>
  <c r="U157" i="3"/>
  <c r="S157" i="3"/>
  <c r="Q157" i="3"/>
  <c r="O157" i="3"/>
  <c r="M157" i="3"/>
  <c r="K157" i="3"/>
  <c r="I157" i="3"/>
  <c r="D157" i="3"/>
  <c r="L157" i="3" s="1"/>
  <c r="V156" i="3"/>
  <c r="U156" i="3"/>
  <c r="S156" i="3"/>
  <c r="Q156" i="3"/>
  <c r="O156" i="3"/>
  <c r="M156" i="3"/>
  <c r="K156" i="3"/>
  <c r="I156" i="3"/>
  <c r="D156" i="3"/>
  <c r="L156" i="3" s="1"/>
  <c r="V155" i="3"/>
  <c r="U155" i="3"/>
  <c r="S155" i="3"/>
  <c r="Q155" i="3"/>
  <c r="O155" i="3"/>
  <c r="M155" i="3"/>
  <c r="K155" i="3"/>
  <c r="I155" i="3"/>
  <c r="D155" i="3"/>
  <c r="L155" i="3" s="1"/>
  <c r="V154" i="3"/>
  <c r="U154" i="3"/>
  <c r="S154" i="3"/>
  <c r="Q154" i="3"/>
  <c r="O154" i="3"/>
  <c r="M154" i="3"/>
  <c r="L154" i="3"/>
  <c r="K154" i="3"/>
  <c r="I154" i="3"/>
  <c r="D154" i="3"/>
  <c r="V153" i="3"/>
  <c r="U153" i="3"/>
  <c r="S153" i="3"/>
  <c r="Q153" i="3"/>
  <c r="O153" i="3"/>
  <c r="M153" i="3"/>
  <c r="L153" i="3"/>
  <c r="K153" i="3"/>
  <c r="I153" i="3"/>
  <c r="D153" i="3"/>
  <c r="V152" i="3"/>
  <c r="U152" i="3"/>
  <c r="S152" i="3"/>
  <c r="Q152" i="3"/>
  <c r="O152" i="3"/>
  <c r="M152" i="3"/>
  <c r="L152" i="3"/>
  <c r="K152" i="3"/>
  <c r="I152" i="3"/>
  <c r="D152" i="3"/>
  <c r="V151" i="3"/>
  <c r="U151" i="3"/>
  <c r="S151" i="3"/>
  <c r="Q151" i="3"/>
  <c r="O151" i="3"/>
  <c r="M151" i="3"/>
  <c r="K151" i="3"/>
  <c r="I151" i="3"/>
  <c r="D151" i="3"/>
  <c r="L151" i="3" s="1"/>
  <c r="V150" i="3"/>
  <c r="U150" i="3"/>
  <c r="S150" i="3"/>
  <c r="Q150" i="3"/>
  <c r="O150" i="3"/>
  <c r="M150" i="3"/>
  <c r="K150" i="3"/>
  <c r="I150" i="3"/>
  <c r="D150" i="3"/>
  <c r="L150" i="3" s="1"/>
  <c r="V149" i="3"/>
  <c r="U149" i="3"/>
  <c r="S149" i="3"/>
  <c r="Q149" i="3"/>
  <c r="O149" i="3"/>
  <c r="M149" i="3"/>
  <c r="K149" i="3"/>
  <c r="I149" i="3"/>
  <c r="D149" i="3"/>
  <c r="L149" i="3" s="1"/>
  <c r="V148" i="3"/>
  <c r="U148" i="3"/>
  <c r="S148" i="3"/>
  <c r="Q148" i="3"/>
  <c r="O148" i="3"/>
  <c r="M148" i="3"/>
  <c r="L148" i="3"/>
  <c r="K148" i="3"/>
  <c r="I148" i="3"/>
  <c r="D148" i="3"/>
  <c r="V147" i="3"/>
  <c r="U147" i="3"/>
  <c r="S147" i="3"/>
  <c r="Q147" i="3"/>
  <c r="O147" i="3"/>
  <c r="M147" i="3"/>
  <c r="L147" i="3"/>
  <c r="K147" i="3"/>
  <c r="I147" i="3"/>
  <c r="D147" i="3"/>
  <c r="V146" i="3"/>
  <c r="U146" i="3"/>
  <c r="S146" i="3"/>
  <c r="Q146" i="3"/>
  <c r="O146" i="3"/>
  <c r="M146" i="3"/>
  <c r="L146" i="3"/>
  <c r="K146" i="3"/>
  <c r="I146" i="3"/>
  <c r="D146" i="3"/>
  <c r="V145" i="3"/>
  <c r="U145" i="3"/>
  <c r="S145" i="3"/>
  <c r="Q145" i="3"/>
  <c r="O145" i="3"/>
  <c r="M145" i="3"/>
  <c r="K145" i="3"/>
  <c r="I145" i="3"/>
  <c r="D145" i="3"/>
  <c r="L145" i="3" s="1"/>
  <c r="V144" i="3"/>
  <c r="U144" i="3"/>
  <c r="S144" i="3"/>
  <c r="Q144" i="3"/>
  <c r="O144" i="3"/>
  <c r="M144" i="3"/>
  <c r="K144" i="3"/>
  <c r="I144" i="3"/>
  <c r="D144" i="3"/>
  <c r="L144" i="3" s="1"/>
  <c r="V143" i="3"/>
  <c r="U143" i="3"/>
  <c r="S143" i="3"/>
  <c r="Q143" i="3"/>
  <c r="O143" i="3"/>
  <c r="M143" i="3"/>
  <c r="K143" i="3"/>
  <c r="I143" i="3"/>
  <c r="D143" i="3"/>
  <c r="L143" i="3" s="1"/>
  <c r="V142" i="3"/>
  <c r="U142" i="3"/>
  <c r="S142" i="3"/>
  <c r="Q142" i="3"/>
  <c r="O142" i="3"/>
  <c r="M142" i="3"/>
  <c r="L142" i="3"/>
  <c r="K142" i="3"/>
  <c r="I142" i="3"/>
  <c r="D142" i="3"/>
  <c r="V141" i="3"/>
  <c r="U141" i="3"/>
  <c r="S141" i="3"/>
  <c r="Q141" i="3"/>
  <c r="O141" i="3"/>
  <c r="M141" i="3"/>
  <c r="L141" i="3"/>
  <c r="K141" i="3"/>
  <c r="I141" i="3"/>
  <c r="D141" i="3"/>
  <c r="V140" i="3"/>
  <c r="U140" i="3"/>
  <c r="S140" i="3"/>
  <c r="Q140" i="3"/>
  <c r="O140" i="3"/>
  <c r="M140" i="3"/>
  <c r="K140" i="3"/>
  <c r="I140" i="3"/>
  <c r="D140" i="3"/>
  <c r="L140" i="3" s="1"/>
  <c r="V139" i="3"/>
  <c r="U139" i="3"/>
  <c r="S139" i="3"/>
  <c r="Q139" i="3"/>
  <c r="O139" i="3"/>
  <c r="M139" i="3"/>
  <c r="K139" i="3"/>
  <c r="I139" i="3"/>
  <c r="D139" i="3"/>
  <c r="L139" i="3" s="1"/>
  <c r="V138" i="3"/>
  <c r="U138" i="3"/>
  <c r="S138" i="3"/>
  <c r="Q138" i="3"/>
  <c r="O138" i="3"/>
  <c r="M138" i="3"/>
  <c r="K138" i="3"/>
  <c r="I138" i="3"/>
  <c r="D138" i="3"/>
  <c r="L138" i="3" s="1"/>
  <c r="V137" i="3"/>
  <c r="U137" i="3"/>
  <c r="S137" i="3"/>
  <c r="Q137" i="3"/>
  <c r="O137" i="3"/>
  <c r="M137" i="3"/>
  <c r="K137" i="3"/>
  <c r="I137" i="3"/>
  <c r="D137" i="3"/>
  <c r="L137" i="3" s="1"/>
  <c r="V136" i="3"/>
  <c r="U136" i="3"/>
  <c r="S136" i="3"/>
  <c r="Q136" i="3"/>
  <c r="O136" i="3"/>
  <c r="M136" i="3"/>
  <c r="L136" i="3"/>
  <c r="K136" i="3"/>
  <c r="I136" i="3"/>
  <c r="D136" i="3"/>
  <c r="V135" i="3"/>
  <c r="U135" i="3"/>
  <c r="S135" i="3"/>
  <c r="Q135" i="3"/>
  <c r="O135" i="3"/>
  <c r="M135" i="3"/>
  <c r="L135" i="3"/>
  <c r="K135" i="3"/>
  <c r="I135" i="3"/>
  <c r="D135" i="3"/>
  <c r="V134" i="3"/>
  <c r="U134" i="3"/>
  <c r="S134" i="3"/>
  <c r="Q134" i="3"/>
  <c r="O134" i="3"/>
  <c r="M134" i="3"/>
  <c r="L134" i="3"/>
  <c r="K134" i="3"/>
  <c r="I134" i="3"/>
  <c r="D134" i="3"/>
  <c r="V133" i="3"/>
  <c r="U133" i="3"/>
  <c r="S133" i="3"/>
  <c r="Q133" i="3"/>
  <c r="O133" i="3"/>
  <c r="M133" i="3"/>
  <c r="K133" i="3"/>
  <c r="I133" i="3"/>
  <c r="D133" i="3"/>
  <c r="L133" i="3" s="1"/>
  <c r="V132" i="3"/>
  <c r="U132" i="3"/>
  <c r="S132" i="3"/>
  <c r="Q132" i="3"/>
  <c r="O132" i="3"/>
  <c r="M132" i="3"/>
  <c r="K132" i="3"/>
  <c r="I132" i="3"/>
  <c r="D132" i="3"/>
  <c r="L132" i="3" s="1"/>
  <c r="V131" i="3"/>
  <c r="U131" i="3"/>
  <c r="S131" i="3"/>
  <c r="Q131" i="3"/>
  <c r="O131" i="3"/>
  <c r="M131" i="3"/>
  <c r="K131" i="3"/>
  <c r="I131" i="3"/>
  <c r="D131" i="3"/>
  <c r="L131" i="3" s="1"/>
  <c r="V130" i="3"/>
  <c r="U130" i="3"/>
  <c r="S130" i="3"/>
  <c r="Q130" i="3"/>
  <c r="O130" i="3"/>
  <c r="M130" i="3"/>
  <c r="L130" i="3"/>
  <c r="K130" i="3"/>
  <c r="I130" i="3"/>
  <c r="D130" i="3"/>
  <c r="V129" i="3"/>
  <c r="U129" i="3"/>
  <c r="S129" i="3"/>
  <c r="Q129" i="3"/>
  <c r="O129" i="3"/>
  <c r="M129" i="3"/>
  <c r="L129" i="3"/>
  <c r="K129" i="3"/>
  <c r="I129" i="3"/>
  <c r="D129" i="3"/>
  <c r="V128" i="3"/>
  <c r="U128" i="3"/>
  <c r="S128" i="3"/>
  <c r="Q128" i="3"/>
  <c r="O128" i="3"/>
  <c r="M128" i="3"/>
  <c r="L128" i="3"/>
  <c r="K128" i="3"/>
  <c r="I128" i="3"/>
  <c r="D128" i="3"/>
  <c r="V127" i="3"/>
  <c r="U127" i="3"/>
  <c r="S127" i="3"/>
  <c r="Q127" i="3"/>
  <c r="O127" i="3"/>
  <c r="M127" i="3"/>
  <c r="K127" i="3"/>
  <c r="I127" i="3"/>
  <c r="D127" i="3"/>
  <c r="L127" i="3" s="1"/>
  <c r="V126" i="3"/>
  <c r="U126" i="3"/>
  <c r="S126" i="3"/>
  <c r="Q126" i="3"/>
  <c r="O126" i="3"/>
  <c r="M126" i="3"/>
  <c r="K126" i="3"/>
  <c r="I126" i="3"/>
  <c r="D126" i="3"/>
  <c r="L126" i="3" s="1"/>
  <c r="V125" i="3"/>
  <c r="U125" i="3"/>
  <c r="S125" i="3"/>
  <c r="Q125" i="3"/>
  <c r="O125" i="3"/>
  <c r="M125" i="3"/>
  <c r="K125" i="3"/>
  <c r="I125" i="3"/>
  <c r="D125" i="3"/>
  <c r="L125" i="3" s="1"/>
  <c r="V124" i="3"/>
  <c r="U124" i="3"/>
  <c r="S124" i="3"/>
  <c r="Q124" i="3"/>
  <c r="O124" i="3"/>
  <c r="M124" i="3"/>
  <c r="L124" i="3"/>
  <c r="K124" i="3"/>
  <c r="I124" i="3"/>
  <c r="D124" i="3"/>
  <c r="V123" i="3"/>
  <c r="U123" i="3"/>
  <c r="S123" i="3"/>
  <c r="Q123" i="3"/>
  <c r="O123" i="3"/>
  <c r="M123" i="3"/>
  <c r="L123" i="3"/>
  <c r="K123" i="3"/>
  <c r="I123" i="3"/>
  <c r="D123" i="3"/>
  <c r="V122" i="3"/>
  <c r="U122" i="3"/>
  <c r="S122" i="3"/>
  <c r="Q122" i="3"/>
  <c r="O122" i="3"/>
  <c r="M122" i="3"/>
  <c r="L122" i="3"/>
  <c r="K122" i="3"/>
  <c r="I122" i="3"/>
  <c r="D122" i="3"/>
  <c r="V121" i="3"/>
  <c r="U121" i="3"/>
  <c r="S121" i="3"/>
  <c r="Q121" i="3"/>
  <c r="O121" i="3"/>
  <c r="M121" i="3"/>
  <c r="K121" i="3"/>
  <c r="I121" i="3"/>
  <c r="D121" i="3"/>
  <c r="L121" i="3" s="1"/>
  <c r="V120" i="3"/>
  <c r="U120" i="3"/>
  <c r="S120" i="3"/>
  <c r="Q120" i="3"/>
  <c r="O120" i="3"/>
  <c r="M120" i="3"/>
  <c r="K120" i="3"/>
  <c r="I120" i="3"/>
  <c r="D120" i="3"/>
  <c r="L120" i="3" s="1"/>
  <c r="V119" i="3"/>
  <c r="U119" i="3"/>
  <c r="S119" i="3"/>
  <c r="Q119" i="3"/>
  <c r="O119" i="3"/>
  <c r="M119" i="3"/>
  <c r="K119" i="3"/>
  <c r="I119" i="3"/>
  <c r="D119" i="3"/>
  <c r="L119" i="3" s="1"/>
  <c r="V118" i="3"/>
  <c r="U118" i="3"/>
  <c r="S118" i="3"/>
  <c r="Q118" i="3"/>
  <c r="O118" i="3"/>
  <c r="M118" i="3"/>
  <c r="L118" i="3"/>
  <c r="K118" i="3"/>
  <c r="I118" i="3"/>
  <c r="D118" i="3"/>
  <c r="V117" i="3"/>
  <c r="U117" i="3"/>
  <c r="S117" i="3"/>
  <c r="Q117" i="3"/>
  <c r="O117" i="3"/>
  <c r="M117" i="3"/>
  <c r="L117" i="3"/>
  <c r="K117" i="3"/>
  <c r="I117" i="3"/>
  <c r="D117" i="3"/>
  <c r="V116" i="3"/>
  <c r="U116" i="3"/>
  <c r="S116" i="3"/>
  <c r="Q116" i="3"/>
  <c r="O116" i="3"/>
  <c r="M116" i="3"/>
  <c r="K116" i="3"/>
  <c r="I116" i="3"/>
  <c r="D116" i="3"/>
  <c r="L116" i="3" s="1"/>
  <c r="V115" i="3"/>
  <c r="U115" i="3"/>
  <c r="S115" i="3"/>
  <c r="Q115" i="3"/>
  <c r="O115" i="3"/>
  <c r="M115" i="3"/>
  <c r="K115" i="3"/>
  <c r="I115" i="3"/>
  <c r="D115" i="3"/>
  <c r="L115" i="3" s="1"/>
  <c r="V114" i="3"/>
  <c r="U114" i="3"/>
  <c r="S114" i="3"/>
  <c r="Q114" i="3"/>
  <c r="O114" i="3"/>
  <c r="M114" i="3"/>
  <c r="K114" i="3"/>
  <c r="I114" i="3"/>
  <c r="D114" i="3"/>
  <c r="L114" i="3" s="1"/>
  <c r="V113" i="3"/>
  <c r="U113" i="3"/>
  <c r="S113" i="3"/>
  <c r="Q113" i="3"/>
  <c r="O113" i="3"/>
  <c r="M113" i="3"/>
  <c r="K113" i="3"/>
  <c r="I113" i="3"/>
  <c r="D113" i="3"/>
  <c r="L113" i="3" s="1"/>
  <c r="V112" i="3"/>
  <c r="U112" i="3"/>
  <c r="S112" i="3"/>
  <c r="Q112" i="3"/>
  <c r="O112" i="3"/>
  <c r="M112" i="3"/>
  <c r="L112" i="3"/>
  <c r="K112" i="3"/>
  <c r="I112" i="3"/>
  <c r="D112" i="3"/>
  <c r="V111" i="3"/>
  <c r="U111" i="3"/>
  <c r="S111" i="3"/>
  <c r="Q111" i="3"/>
  <c r="O111" i="3"/>
  <c r="M111" i="3"/>
  <c r="L111" i="3"/>
  <c r="K111" i="3"/>
  <c r="I111" i="3"/>
  <c r="D111" i="3"/>
  <c r="V110" i="3"/>
  <c r="U110" i="3"/>
  <c r="S110" i="3"/>
  <c r="Q110" i="3"/>
  <c r="O110" i="3"/>
  <c r="M110" i="3"/>
  <c r="K110" i="3"/>
  <c r="I110" i="3"/>
  <c r="D110" i="3"/>
  <c r="L110" i="3" s="1"/>
  <c r="V109" i="3"/>
  <c r="U109" i="3"/>
  <c r="S109" i="3"/>
  <c r="Q109" i="3"/>
  <c r="O109" i="3"/>
  <c r="M109" i="3"/>
  <c r="L109" i="3"/>
  <c r="K109" i="3"/>
  <c r="I109" i="3"/>
  <c r="D109" i="3"/>
  <c r="V108" i="3"/>
  <c r="U108" i="3"/>
  <c r="S108" i="3"/>
  <c r="Q108" i="3"/>
  <c r="O108" i="3"/>
  <c r="M108" i="3"/>
  <c r="K108" i="3"/>
  <c r="I108" i="3"/>
  <c r="D108" i="3"/>
  <c r="L108" i="3" s="1"/>
  <c r="V107" i="3"/>
  <c r="U107" i="3"/>
  <c r="S107" i="3"/>
  <c r="Q107" i="3"/>
  <c r="O107" i="3"/>
  <c r="M107" i="3"/>
  <c r="K107" i="3"/>
  <c r="I107" i="3"/>
  <c r="D107" i="3"/>
  <c r="L107" i="3" s="1"/>
  <c r="V106" i="3"/>
  <c r="U106" i="3"/>
  <c r="S106" i="3"/>
  <c r="Q106" i="3"/>
  <c r="O106" i="3"/>
  <c r="M106" i="3"/>
  <c r="L106" i="3"/>
  <c r="K106" i="3"/>
  <c r="I106" i="3"/>
  <c r="D106" i="3"/>
  <c r="V105" i="3"/>
  <c r="U105" i="3"/>
  <c r="S105" i="3"/>
  <c r="Q105" i="3"/>
  <c r="O105" i="3"/>
  <c r="M105" i="3"/>
  <c r="L105" i="3"/>
  <c r="K105" i="3"/>
  <c r="I105" i="3"/>
  <c r="D105" i="3"/>
  <c r="V104" i="3"/>
  <c r="U104" i="3"/>
  <c r="S104" i="3"/>
  <c r="Q104" i="3"/>
  <c r="O104" i="3"/>
  <c r="M104" i="3"/>
  <c r="L104" i="3"/>
  <c r="K104" i="3"/>
  <c r="I104" i="3"/>
  <c r="D104" i="3"/>
  <c r="V103" i="3"/>
  <c r="U103" i="3"/>
  <c r="S103" i="3"/>
  <c r="Q103" i="3"/>
  <c r="O103" i="3"/>
  <c r="M103" i="3"/>
  <c r="L103" i="3"/>
  <c r="K103" i="3"/>
  <c r="I103" i="3"/>
  <c r="D103" i="3"/>
  <c r="V102" i="3"/>
  <c r="U102" i="3"/>
  <c r="S102" i="3"/>
  <c r="Q102" i="3"/>
  <c r="O102" i="3"/>
  <c r="M102" i="3"/>
  <c r="K102" i="3"/>
  <c r="I102" i="3"/>
  <c r="D102" i="3"/>
  <c r="L102" i="3" s="1"/>
  <c r="V101" i="3"/>
  <c r="U101" i="3"/>
  <c r="S101" i="3"/>
  <c r="Q101" i="3"/>
  <c r="O101" i="3"/>
  <c r="M101" i="3"/>
  <c r="K101" i="3"/>
  <c r="I101" i="3"/>
  <c r="D101" i="3"/>
  <c r="L101" i="3" s="1"/>
  <c r="V100" i="3"/>
  <c r="U100" i="3"/>
  <c r="S100" i="3"/>
  <c r="Q100" i="3"/>
  <c r="O100" i="3"/>
  <c r="M100" i="3"/>
  <c r="L100" i="3"/>
  <c r="K100" i="3"/>
  <c r="I100" i="3"/>
  <c r="D100" i="3"/>
  <c r="V99" i="3"/>
  <c r="U99" i="3"/>
  <c r="S99" i="3"/>
  <c r="Q99" i="3"/>
  <c r="O99" i="3"/>
  <c r="M99" i="3"/>
  <c r="L99" i="3"/>
  <c r="K99" i="3"/>
  <c r="I99" i="3"/>
  <c r="D99" i="3"/>
  <c r="V98" i="3"/>
  <c r="U98" i="3"/>
  <c r="S98" i="3"/>
  <c r="Q98" i="3"/>
  <c r="O98" i="3"/>
  <c r="M98" i="3"/>
  <c r="L98" i="3"/>
  <c r="K98" i="3"/>
  <c r="I98" i="3"/>
  <c r="D98" i="3"/>
  <c r="V97" i="3"/>
  <c r="U97" i="3"/>
  <c r="S97" i="3"/>
  <c r="Q97" i="3"/>
  <c r="O97" i="3"/>
  <c r="M97" i="3"/>
  <c r="L97" i="3"/>
  <c r="K97" i="3"/>
  <c r="I97" i="3"/>
  <c r="D97" i="3"/>
  <c r="V96" i="3"/>
  <c r="U96" i="3"/>
  <c r="S96" i="3"/>
  <c r="Q96" i="3"/>
  <c r="O96" i="3"/>
  <c r="M96" i="3"/>
  <c r="K96" i="3"/>
  <c r="I96" i="3"/>
  <c r="D96" i="3"/>
  <c r="L96" i="3" s="1"/>
  <c r="V95" i="3"/>
  <c r="U95" i="3"/>
  <c r="S95" i="3"/>
  <c r="Q95" i="3"/>
  <c r="O95" i="3"/>
  <c r="M95" i="3"/>
  <c r="K95" i="3"/>
  <c r="I95" i="3"/>
  <c r="D95" i="3"/>
  <c r="L95" i="3" s="1"/>
  <c r="V94" i="3"/>
  <c r="U94" i="3"/>
  <c r="S94" i="3"/>
  <c r="Q94" i="3"/>
  <c r="O94" i="3"/>
  <c r="M94" i="3"/>
  <c r="L94" i="3"/>
  <c r="K94" i="3"/>
  <c r="I94" i="3"/>
  <c r="D94" i="3"/>
  <c r="V93" i="3"/>
  <c r="U93" i="3"/>
  <c r="S93" i="3"/>
  <c r="Q93" i="3"/>
  <c r="O93" i="3"/>
  <c r="M93" i="3"/>
  <c r="L93" i="3"/>
  <c r="K93" i="3"/>
  <c r="I93" i="3"/>
  <c r="D93" i="3"/>
  <c r="V92" i="3"/>
  <c r="U92" i="3"/>
  <c r="S92" i="3"/>
  <c r="Q92" i="3"/>
  <c r="O92" i="3"/>
  <c r="M92" i="3"/>
  <c r="L92" i="3"/>
  <c r="K92" i="3"/>
  <c r="I92" i="3"/>
  <c r="D92" i="3"/>
  <c r="V91" i="3"/>
  <c r="U91" i="3"/>
  <c r="S91" i="3"/>
  <c r="Q91" i="3"/>
  <c r="O91" i="3"/>
  <c r="M91" i="3"/>
  <c r="K91" i="3"/>
  <c r="I91" i="3"/>
  <c r="D91" i="3"/>
  <c r="L91" i="3" s="1"/>
  <c r="V90" i="3"/>
  <c r="U90" i="3"/>
  <c r="S90" i="3"/>
  <c r="Q90" i="3"/>
  <c r="O90" i="3"/>
  <c r="M90" i="3"/>
  <c r="K90" i="3"/>
  <c r="I90" i="3"/>
  <c r="D90" i="3"/>
  <c r="L90" i="3" s="1"/>
  <c r="V89" i="3"/>
  <c r="U89" i="3"/>
  <c r="S89" i="3"/>
  <c r="Q89" i="3"/>
  <c r="O89" i="3"/>
  <c r="M89" i="3"/>
  <c r="K89" i="3"/>
  <c r="I89" i="3"/>
  <c r="D89" i="3"/>
  <c r="L89" i="3" s="1"/>
  <c r="V88" i="3"/>
  <c r="U88" i="3"/>
  <c r="S88" i="3"/>
  <c r="Q88" i="3"/>
  <c r="O88" i="3"/>
  <c r="M88" i="3"/>
  <c r="L88" i="3"/>
  <c r="K88" i="3"/>
  <c r="I88" i="3"/>
  <c r="D88" i="3"/>
  <c r="V87" i="3"/>
  <c r="U87" i="3"/>
  <c r="S87" i="3"/>
  <c r="Q87" i="3"/>
  <c r="O87" i="3"/>
  <c r="M87" i="3"/>
  <c r="L87" i="3"/>
  <c r="K87" i="3"/>
  <c r="I87" i="3"/>
  <c r="D87" i="3"/>
  <c r="V86" i="3"/>
  <c r="U86" i="3"/>
  <c r="S86" i="3"/>
  <c r="Q86" i="3"/>
  <c r="O86" i="3"/>
  <c r="M86" i="3"/>
  <c r="K86" i="3"/>
  <c r="I86" i="3"/>
  <c r="D86" i="3"/>
  <c r="L86" i="3" s="1"/>
  <c r="V85" i="3"/>
  <c r="U85" i="3"/>
  <c r="S85" i="3"/>
  <c r="Q85" i="3"/>
  <c r="O85" i="3"/>
  <c r="M85" i="3"/>
  <c r="K85" i="3"/>
  <c r="I85" i="3"/>
  <c r="D85" i="3"/>
  <c r="L85" i="3" s="1"/>
  <c r="V84" i="3"/>
  <c r="U84" i="3"/>
  <c r="S84" i="3"/>
  <c r="Q84" i="3"/>
  <c r="O84" i="3"/>
  <c r="M84" i="3"/>
  <c r="K84" i="3"/>
  <c r="I84" i="3"/>
  <c r="D84" i="3"/>
  <c r="L84" i="3" s="1"/>
  <c r="V83" i="3"/>
  <c r="U83" i="3"/>
  <c r="S83" i="3"/>
  <c r="Q83" i="3"/>
  <c r="O83" i="3"/>
  <c r="M83" i="3"/>
  <c r="K83" i="3"/>
  <c r="I83" i="3"/>
  <c r="D83" i="3"/>
  <c r="L83" i="3" s="1"/>
  <c r="V82" i="3"/>
  <c r="U82" i="3"/>
  <c r="S82" i="3"/>
  <c r="Q82" i="3"/>
  <c r="O82" i="3"/>
  <c r="M82" i="3"/>
  <c r="L82" i="3"/>
  <c r="K82" i="3"/>
  <c r="I82" i="3"/>
  <c r="D82" i="3"/>
  <c r="V81" i="3"/>
  <c r="U81" i="3"/>
  <c r="S81" i="3"/>
  <c r="Q81" i="3"/>
  <c r="O81" i="3"/>
  <c r="M81" i="3"/>
  <c r="L81" i="3"/>
  <c r="K81" i="3"/>
  <c r="I81" i="3"/>
  <c r="D81" i="3"/>
  <c r="V80" i="3"/>
  <c r="U80" i="3"/>
  <c r="S80" i="3"/>
  <c r="Q80" i="3"/>
  <c r="O80" i="3"/>
  <c r="M80" i="3"/>
  <c r="K80" i="3"/>
  <c r="I80" i="3"/>
  <c r="D80" i="3"/>
  <c r="L80" i="3" s="1"/>
  <c r="V79" i="3"/>
  <c r="U79" i="3"/>
  <c r="S79" i="3"/>
  <c r="Q79" i="3"/>
  <c r="O79" i="3"/>
  <c r="M79" i="3"/>
  <c r="K79" i="3"/>
  <c r="I79" i="3"/>
  <c r="D79" i="3"/>
  <c r="L79" i="3" s="1"/>
  <c r="V78" i="3"/>
  <c r="U78" i="3"/>
  <c r="S78" i="3"/>
  <c r="Q78" i="3"/>
  <c r="O78" i="3"/>
  <c r="M78" i="3"/>
  <c r="K78" i="3"/>
  <c r="I78" i="3"/>
  <c r="D78" i="3"/>
  <c r="L78" i="3" s="1"/>
  <c r="V77" i="3"/>
  <c r="U77" i="3"/>
  <c r="S77" i="3"/>
  <c r="Q77" i="3"/>
  <c r="O77" i="3"/>
  <c r="M77" i="3"/>
  <c r="K77" i="3"/>
  <c r="I77" i="3"/>
  <c r="D77" i="3"/>
  <c r="L77" i="3" s="1"/>
  <c r="V76" i="3"/>
  <c r="U76" i="3"/>
  <c r="S76" i="3"/>
  <c r="Q76" i="3"/>
  <c r="O76" i="3"/>
  <c r="M76" i="3"/>
  <c r="L76" i="3"/>
  <c r="K76" i="3"/>
  <c r="I76" i="3"/>
  <c r="D76" i="3"/>
  <c r="V75" i="3"/>
  <c r="U75" i="3"/>
  <c r="S75" i="3"/>
  <c r="Q75" i="3"/>
  <c r="O75" i="3"/>
  <c r="M75" i="3"/>
  <c r="L75" i="3"/>
  <c r="K75" i="3"/>
  <c r="I75" i="3"/>
  <c r="D75" i="3"/>
  <c r="V74" i="3"/>
  <c r="U74" i="3"/>
  <c r="S74" i="3"/>
  <c r="Q74" i="3"/>
  <c r="O74" i="3"/>
  <c r="M74" i="3"/>
  <c r="K74" i="3"/>
  <c r="I74" i="3"/>
  <c r="D74" i="3"/>
  <c r="L74" i="3" s="1"/>
  <c r="V73" i="3"/>
  <c r="U73" i="3"/>
  <c r="S73" i="3"/>
  <c r="Q73" i="3"/>
  <c r="O73" i="3"/>
  <c r="M73" i="3"/>
  <c r="L73" i="3"/>
  <c r="K73" i="3"/>
  <c r="I73" i="3"/>
  <c r="D73" i="3"/>
  <c r="V72" i="3"/>
  <c r="U72" i="3"/>
  <c r="S72" i="3"/>
  <c r="Q72" i="3"/>
  <c r="O72" i="3"/>
  <c r="M72" i="3"/>
  <c r="K72" i="3"/>
  <c r="I72" i="3"/>
  <c r="D72" i="3"/>
  <c r="L72" i="3" s="1"/>
  <c r="V71" i="3"/>
  <c r="U71" i="3"/>
  <c r="S71" i="3"/>
  <c r="Q71" i="3"/>
  <c r="O71" i="3"/>
  <c r="M71" i="3"/>
  <c r="K71" i="3"/>
  <c r="I71" i="3"/>
  <c r="D71" i="3"/>
  <c r="L71" i="3" s="1"/>
  <c r="V70" i="3"/>
  <c r="U70" i="3"/>
  <c r="S70" i="3"/>
  <c r="Q70" i="3"/>
  <c r="O70" i="3"/>
  <c r="M70" i="3"/>
  <c r="L70" i="3"/>
  <c r="K70" i="3"/>
  <c r="I70" i="3"/>
  <c r="D70" i="3"/>
  <c r="V69" i="3"/>
  <c r="U69" i="3"/>
  <c r="S69" i="3"/>
  <c r="Q69" i="3"/>
  <c r="O69" i="3"/>
  <c r="M69" i="3"/>
  <c r="L69" i="3"/>
  <c r="K69" i="3"/>
  <c r="I69" i="3"/>
  <c r="D69" i="3"/>
  <c r="V68" i="3"/>
  <c r="U68" i="3"/>
  <c r="S68" i="3"/>
  <c r="Q68" i="3"/>
  <c r="O68" i="3"/>
  <c r="M68" i="3"/>
  <c r="L68" i="3"/>
  <c r="K68" i="3"/>
  <c r="I68" i="3"/>
  <c r="D68" i="3"/>
  <c r="V67" i="3"/>
  <c r="U67" i="3"/>
  <c r="S67" i="3"/>
  <c r="Q67" i="3"/>
  <c r="O67" i="3"/>
  <c r="M67" i="3"/>
  <c r="L67" i="3"/>
  <c r="K67" i="3"/>
  <c r="I67" i="3"/>
  <c r="D67" i="3"/>
  <c r="V66" i="3"/>
  <c r="U66" i="3"/>
  <c r="S66" i="3"/>
  <c r="Q66" i="3"/>
  <c r="O66" i="3"/>
  <c r="M66" i="3"/>
  <c r="K66" i="3"/>
  <c r="I66" i="3"/>
  <c r="D66" i="3"/>
  <c r="L66" i="3" s="1"/>
  <c r="V65" i="3"/>
  <c r="U65" i="3"/>
  <c r="S65" i="3"/>
  <c r="Q65" i="3"/>
  <c r="O65" i="3"/>
  <c r="M65" i="3"/>
  <c r="K65" i="3"/>
  <c r="I65" i="3"/>
  <c r="D65" i="3"/>
  <c r="L65" i="3" s="1"/>
  <c r="V64" i="3"/>
  <c r="U64" i="3"/>
  <c r="S64" i="3"/>
  <c r="Q64" i="3"/>
  <c r="O64" i="3"/>
  <c r="M64" i="3"/>
  <c r="L64" i="3"/>
  <c r="K64" i="3"/>
  <c r="I64" i="3"/>
  <c r="D64" i="3"/>
  <c r="V63" i="3"/>
  <c r="U63" i="3"/>
  <c r="S63" i="3"/>
  <c r="Q63" i="3"/>
  <c r="O63" i="3"/>
  <c r="M63" i="3"/>
  <c r="L63" i="3"/>
  <c r="K63" i="3"/>
  <c r="I63" i="3"/>
  <c r="D63" i="3"/>
  <c r="V62" i="3"/>
  <c r="U62" i="3"/>
  <c r="S62" i="3"/>
  <c r="Q62" i="3"/>
  <c r="O62" i="3"/>
  <c r="M62" i="3"/>
  <c r="L62" i="3"/>
  <c r="K62" i="3"/>
  <c r="I62" i="3"/>
  <c r="D62" i="3"/>
  <c r="V61" i="3"/>
  <c r="U61" i="3"/>
  <c r="S61" i="3"/>
  <c r="Q61" i="3"/>
  <c r="O61" i="3"/>
  <c r="M61" i="3"/>
  <c r="L61" i="3"/>
  <c r="K61" i="3"/>
  <c r="I61" i="3"/>
  <c r="D61" i="3"/>
  <c r="V60" i="3"/>
  <c r="U60" i="3"/>
  <c r="S60" i="3"/>
  <c r="Q60" i="3"/>
  <c r="O60" i="3"/>
  <c r="M60" i="3"/>
  <c r="K60" i="3"/>
  <c r="I60" i="3"/>
  <c r="D60" i="3"/>
  <c r="L60" i="3" s="1"/>
  <c r="V59" i="3"/>
  <c r="U59" i="3"/>
  <c r="S59" i="3"/>
  <c r="Q59" i="3"/>
  <c r="O59" i="3"/>
  <c r="M59" i="3"/>
  <c r="K59" i="3"/>
  <c r="I59" i="3"/>
  <c r="D59" i="3"/>
  <c r="L59" i="3" s="1"/>
  <c r="V58" i="3"/>
  <c r="U58" i="3"/>
  <c r="S58" i="3"/>
  <c r="Q58" i="3"/>
  <c r="O58" i="3"/>
  <c r="M58" i="3"/>
  <c r="L58" i="3"/>
  <c r="K58" i="3"/>
  <c r="I58" i="3"/>
  <c r="D58" i="3"/>
  <c r="V57" i="3"/>
  <c r="U57" i="3"/>
  <c r="S57" i="3"/>
  <c r="Q57" i="3"/>
  <c r="O57" i="3"/>
  <c r="M57" i="3"/>
  <c r="L57" i="3"/>
  <c r="K57" i="3"/>
  <c r="I57" i="3"/>
  <c r="D57" i="3"/>
  <c r="V56" i="3"/>
  <c r="U56" i="3"/>
  <c r="S56" i="3"/>
  <c r="Q56" i="3"/>
  <c r="O56" i="3"/>
  <c r="M56" i="3"/>
  <c r="L56" i="3"/>
  <c r="K56" i="3"/>
  <c r="I56" i="3"/>
  <c r="D56" i="3"/>
  <c r="U55" i="3"/>
  <c r="S55" i="3"/>
  <c r="Q55" i="3"/>
  <c r="K55" i="3"/>
  <c r="I55" i="3"/>
  <c r="D55" i="3"/>
  <c r="U54" i="3"/>
  <c r="S54" i="3"/>
  <c r="Q54" i="3"/>
  <c r="I56" i="4" s="1"/>
  <c r="K54" i="3"/>
  <c r="I54" i="3"/>
  <c r="D54" i="3"/>
  <c r="U53" i="3"/>
  <c r="S53" i="3"/>
  <c r="Q53" i="3"/>
  <c r="I55" i="4" s="1"/>
  <c r="K53" i="3"/>
  <c r="I53" i="3"/>
  <c r="D53" i="3"/>
  <c r="U52" i="3"/>
  <c r="S52" i="3"/>
  <c r="Q52" i="3"/>
  <c r="I54" i="4" s="1"/>
  <c r="K52" i="3"/>
  <c r="I52" i="3"/>
  <c r="D52" i="3"/>
  <c r="U51" i="3"/>
  <c r="S51" i="3"/>
  <c r="Q51" i="3"/>
  <c r="I53" i="4" s="1"/>
  <c r="K51" i="3"/>
  <c r="L51" i="3" s="1"/>
  <c r="I51" i="3"/>
  <c r="D51" i="3"/>
  <c r="U50" i="3"/>
  <c r="S50" i="3"/>
  <c r="Q50" i="3"/>
  <c r="I52" i="4" s="1"/>
  <c r="L50" i="3"/>
  <c r="O52" i="3" s="1"/>
  <c r="H54" i="4" s="1"/>
  <c r="K50" i="3"/>
  <c r="I50" i="3"/>
  <c r="D50" i="3"/>
  <c r="U49" i="3"/>
  <c r="S49" i="3"/>
  <c r="Q49" i="3"/>
  <c r="K49" i="3"/>
  <c r="I49" i="3"/>
  <c r="D49" i="3"/>
  <c r="U48" i="3"/>
  <c r="S48" i="3"/>
  <c r="Q48" i="3"/>
  <c r="I50" i="4" s="1"/>
  <c r="K48" i="3"/>
  <c r="I48" i="3"/>
  <c r="D48" i="3"/>
  <c r="U47" i="3"/>
  <c r="S47" i="3"/>
  <c r="Q47" i="3"/>
  <c r="I49" i="4" s="1"/>
  <c r="K47" i="3"/>
  <c r="I47" i="3"/>
  <c r="D47" i="3"/>
  <c r="U46" i="3"/>
  <c r="S46" i="3"/>
  <c r="Q46" i="3"/>
  <c r="I48" i="4" s="1"/>
  <c r="K46" i="3"/>
  <c r="I46" i="3"/>
  <c r="D46" i="3"/>
  <c r="U45" i="3"/>
  <c r="S45" i="3"/>
  <c r="Q45" i="3"/>
  <c r="I47" i="4" s="1"/>
  <c r="K45" i="3"/>
  <c r="L45" i="3" s="1"/>
  <c r="I45" i="3"/>
  <c r="D45" i="3"/>
  <c r="U44" i="3"/>
  <c r="S44" i="3"/>
  <c r="Q44" i="3"/>
  <c r="I46" i="4" s="1"/>
  <c r="L44" i="3"/>
  <c r="M44" i="3" s="1"/>
  <c r="G46" i="4" s="1"/>
  <c r="F46" i="4" s="1"/>
  <c r="K44" i="3"/>
  <c r="I44" i="3"/>
  <c r="D44" i="3"/>
  <c r="U43" i="3"/>
  <c r="S43" i="3"/>
  <c r="Q43" i="3"/>
  <c r="I45" i="4" s="1"/>
  <c r="K43" i="3"/>
  <c r="I43" i="3"/>
  <c r="D43" i="3"/>
  <c r="U42" i="3"/>
  <c r="S42" i="3"/>
  <c r="Q42" i="3"/>
  <c r="I44" i="4" s="1"/>
  <c r="K42" i="3"/>
  <c r="I42" i="3"/>
  <c r="D42" i="3"/>
  <c r="U41" i="3"/>
  <c r="S41" i="3"/>
  <c r="Q41" i="3"/>
  <c r="I43" i="4" s="1"/>
  <c r="K41" i="3"/>
  <c r="I41" i="3"/>
  <c r="D41" i="3"/>
  <c r="U40" i="3"/>
  <c r="S40" i="3"/>
  <c r="Q40" i="3"/>
  <c r="I42" i="4" s="1"/>
  <c r="K40" i="3"/>
  <c r="I40" i="3"/>
  <c r="D40" i="3"/>
  <c r="U39" i="3"/>
  <c r="S39" i="3"/>
  <c r="Q39" i="3"/>
  <c r="I41" i="4" s="1"/>
  <c r="K39" i="3"/>
  <c r="L39" i="3" s="1"/>
  <c r="I39" i="3"/>
  <c r="D39" i="3"/>
  <c r="U38" i="3"/>
  <c r="S38" i="3"/>
  <c r="Q38" i="3"/>
  <c r="I40" i="4" s="1"/>
  <c r="L38" i="3"/>
  <c r="M38" i="3" s="1"/>
  <c r="G40" i="4" s="1"/>
  <c r="F40" i="4" s="1"/>
  <c r="K38" i="3"/>
  <c r="I38" i="3"/>
  <c r="D38" i="3"/>
  <c r="U37" i="3"/>
  <c r="S37" i="3"/>
  <c r="Q37" i="3"/>
  <c r="K37" i="3"/>
  <c r="I37" i="3"/>
  <c r="D37" i="3"/>
  <c r="U36" i="3"/>
  <c r="S36" i="3"/>
  <c r="Q36" i="3"/>
  <c r="I38" i="4" s="1"/>
  <c r="K36" i="3"/>
  <c r="I36" i="3"/>
  <c r="D36" i="3"/>
  <c r="U35" i="3"/>
  <c r="S35" i="3"/>
  <c r="Q35" i="3"/>
  <c r="I37" i="4" s="1"/>
  <c r="K35" i="3"/>
  <c r="I35" i="3"/>
  <c r="D35" i="3"/>
  <c r="U34" i="3"/>
  <c r="S34" i="3"/>
  <c r="Q34" i="3"/>
  <c r="I36" i="4" s="1"/>
  <c r="K34" i="3"/>
  <c r="I34" i="3"/>
  <c r="D34" i="3"/>
  <c r="U33" i="3"/>
  <c r="S33" i="3"/>
  <c r="Q33" i="3"/>
  <c r="I35" i="4" s="1"/>
  <c r="K33" i="3"/>
  <c r="L33" i="3" s="1"/>
  <c r="I33" i="3"/>
  <c r="D33" i="3"/>
  <c r="U32" i="3"/>
  <c r="S32" i="3"/>
  <c r="Q32" i="3"/>
  <c r="I34" i="4" s="1"/>
  <c r="L32" i="3"/>
  <c r="M32" i="3" s="1"/>
  <c r="G34" i="4" s="1"/>
  <c r="F34" i="4" s="1"/>
  <c r="K32" i="3"/>
  <c r="I32" i="3"/>
  <c r="D32" i="3"/>
  <c r="U31" i="3"/>
  <c r="S31" i="3"/>
  <c r="Q31" i="3"/>
  <c r="K31" i="3"/>
  <c r="I31" i="3"/>
  <c r="D31" i="3"/>
  <c r="U30" i="3"/>
  <c r="S30" i="3"/>
  <c r="Q30" i="3"/>
  <c r="I32" i="4" s="1"/>
  <c r="K30" i="3"/>
  <c r="I30" i="3"/>
  <c r="D30" i="3"/>
  <c r="U29" i="3"/>
  <c r="S29" i="3"/>
  <c r="Q29" i="3"/>
  <c r="I31" i="4" s="1"/>
  <c r="K29" i="3"/>
  <c r="I29" i="3"/>
  <c r="D29" i="3"/>
  <c r="V28" i="3"/>
  <c r="U28" i="3"/>
  <c r="S28" i="3"/>
  <c r="Q28" i="3"/>
  <c r="I30" i="4" s="1"/>
  <c r="O28" i="3"/>
  <c r="H30" i="4" s="1"/>
  <c r="M28" i="3"/>
  <c r="G30" i="4" s="1"/>
  <c r="F30" i="4" s="1"/>
  <c r="L28" i="3"/>
  <c r="K28" i="3"/>
  <c r="I28" i="3"/>
  <c r="D28" i="3"/>
  <c r="U27" i="3"/>
  <c r="S27" i="3"/>
  <c r="Q27" i="3"/>
  <c r="I29" i="4" s="1"/>
  <c r="L27" i="3"/>
  <c r="O27" i="3" s="1"/>
  <c r="H29" i="4" s="1"/>
  <c r="K27" i="3"/>
  <c r="I27" i="3"/>
  <c r="D27" i="3"/>
  <c r="U26" i="3"/>
  <c r="S26" i="3"/>
  <c r="Q26" i="3"/>
  <c r="I28" i="4" s="1"/>
  <c r="O26" i="3"/>
  <c r="H28" i="4" s="1"/>
  <c r="M26" i="3"/>
  <c r="G28" i="4" s="1"/>
  <c r="F28" i="4" s="1"/>
  <c r="L26" i="3"/>
  <c r="K26" i="3"/>
  <c r="I26" i="3"/>
  <c r="D26" i="3"/>
  <c r="U25" i="3"/>
  <c r="S25" i="3"/>
  <c r="Q25" i="3"/>
  <c r="K25" i="3"/>
  <c r="I25" i="3"/>
  <c r="D25" i="3"/>
  <c r="L25" i="3" s="1"/>
  <c r="O25" i="3" s="1"/>
  <c r="H27" i="4" s="1"/>
  <c r="U24" i="3"/>
  <c r="S24" i="3"/>
  <c r="Q24" i="3"/>
  <c r="I26" i="4" s="1"/>
  <c r="K24" i="3"/>
  <c r="I24" i="3"/>
  <c r="D24" i="3"/>
  <c r="U23" i="3"/>
  <c r="S23" i="3"/>
  <c r="Q23" i="3"/>
  <c r="I25" i="4" s="1"/>
  <c r="K23" i="3"/>
  <c r="I23" i="3"/>
  <c r="D23" i="3"/>
  <c r="V22" i="3"/>
  <c r="U22" i="3"/>
  <c r="S22" i="3"/>
  <c r="Q22" i="3"/>
  <c r="I24" i="4" s="1"/>
  <c r="O22" i="3"/>
  <c r="M22" i="3"/>
  <c r="G24" i="4" s="1"/>
  <c r="F24" i="4" s="1"/>
  <c r="L22" i="3"/>
  <c r="K22" i="3"/>
  <c r="I22" i="3"/>
  <c r="D22" i="3"/>
  <c r="U21" i="3"/>
  <c r="S21" i="3"/>
  <c r="Q21" i="3"/>
  <c r="I23" i="4" s="1"/>
  <c r="O21" i="3"/>
  <c r="H23" i="4" s="1"/>
  <c r="M21" i="3"/>
  <c r="G23" i="4" s="1"/>
  <c r="F23" i="4" s="1"/>
  <c r="L21" i="3"/>
  <c r="K21" i="3"/>
  <c r="I21" i="3"/>
  <c r="D21" i="3"/>
  <c r="U20" i="3"/>
  <c r="S20" i="3"/>
  <c r="Q20" i="3"/>
  <c r="I22" i="4" s="1"/>
  <c r="L20" i="3"/>
  <c r="O20" i="3" s="1"/>
  <c r="H22" i="4" s="1"/>
  <c r="K20" i="3"/>
  <c r="I20" i="3"/>
  <c r="D20" i="3"/>
  <c r="U19" i="3"/>
  <c r="S19" i="3"/>
  <c r="Q19" i="3"/>
  <c r="K19" i="3"/>
  <c r="I19" i="3"/>
  <c r="D19" i="3"/>
  <c r="L19" i="3" s="1"/>
  <c r="O19" i="3" s="1"/>
  <c r="H21" i="4" s="1"/>
  <c r="U18" i="3"/>
  <c r="S18" i="3"/>
  <c r="Q18" i="3"/>
  <c r="I20" i="4" s="1"/>
  <c r="K18" i="3"/>
  <c r="I18" i="3"/>
  <c r="D18" i="3"/>
  <c r="U17" i="3"/>
  <c r="S17" i="3"/>
  <c r="Q17" i="3"/>
  <c r="I19" i="4" s="1"/>
  <c r="K17" i="3"/>
  <c r="I17" i="3"/>
  <c r="D17" i="3"/>
  <c r="V16" i="3"/>
  <c r="U16" i="3"/>
  <c r="S16" i="3"/>
  <c r="Q16" i="3"/>
  <c r="I18" i="4" s="1"/>
  <c r="O16" i="3"/>
  <c r="H18" i="4" s="1"/>
  <c r="M16" i="3"/>
  <c r="G18" i="4" s="1"/>
  <c r="F18" i="4" s="1"/>
  <c r="L16" i="3"/>
  <c r="K16" i="3"/>
  <c r="I16" i="3"/>
  <c r="D16" i="3"/>
  <c r="U15" i="3"/>
  <c r="S15" i="3"/>
  <c r="Q15" i="3"/>
  <c r="O15" i="3"/>
  <c r="H17" i="4" s="1"/>
  <c r="L15" i="3"/>
  <c r="M15" i="3" s="1"/>
  <c r="K15" i="3"/>
  <c r="I15" i="3"/>
  <c r="D15" i="3"/>
  <c r="U14" i="3"/>
  <c r="S14" i="3"/>
  <c r="Q14" i="3"/>
  <c r="I16" i="4" s="1"/>
  <c r="L14" i="3"/>
  <c r="M14" i="3" s="1"/>
  <c r="G16" i="4" s="1"/>
  <c r="F16" i="4" s="1"/>
  <c r="K14" i="3"/>
  <c r="I14" i="3"/>
  <c r="D14" i="3"/>
  <c r="U13" i="3"/>
  <c r="S13" i="3"/>
  <c r="Q13" i="3"/>
  <c r="K13" i="3"/>
  <c r="I13" i="3"/>
  <c r="D13" i="3"/>
  <c r="U12" i="3"/>
  <c r="S12" i="3"/>
  <c r="Q12" i="3"/>
  <c r="K12" i="3"/>
  <c r="I12" i="3"/>
  <c r="D12" i="3"/>
  <c r="U11" i="3"/>
  <c r="S11" i="3"/>
  <c r="Q11" i="3"/>
  <c r="I13" i="4" s="1"/>
  <c r="K11" i="3"/>
  <c r="I11" i="3"/>
  <c r="D11" i="3"/>
  <c r="U10" i="3"/>
  <c r="S10" i="3"/>
  <c r="Q10" i="3"/>
  <c r="I12" i="4" s="1"/>
  <c r="K10" i="3"/>
  <c r="I10" i="3"/>
  <c r="D10" i="3"/>
  <c r="L10" i="3" s="1"/>
  <c r="O10" i="3" s="1"/>
  <c r="H12" i="4" s="1"/>
  <c r="U9" i="3"/>
  <c r="S9" i="3"/>
  <c r="Q9" i="3"/>
  <c r="I11" i="4" s="1"/>
  <c r="O9" i="3"/>
  <c r="H11" i="4" s="1"/>
  <c r="L9" i="3"/>
  <c r="M9" i="3" s="1"/>
  <c r="G11" i="4" s="1"/>
  <c r="F11" i="4" s="1"/>
  <c r="K9" i="3"/>
  <c r="I9" i="3"/>
  <c r="D9" i="3"/>
  <c r="U8" i="3"/>
  <c r="S8" i="3"/>
  <c r="Q8" i="3"/>
  <c r="I10" i="4" s="1"/>
  <c r="L8" i="3"/>
  <c r="M8" i="3" s="1"/>
  <c r="G10" i="4" s="1"/>
  <c r="F10" i="4" s="1"/>
  <c r="K8" i="3"/>
  <c r="I8" i="3"/>
  <c r="D8" i="3"/>
  <c r="U7" i="3"/>
  <c r="S7" i="3"/>
  <c r="Q7" i="3"/>
  <c r="I9" i="4" s="1"/>
  <c r="K7" i="3"/>
  <c r="I7" i="3"/>
  <c r="D7" i="3"/>
  <c r="U6" i="3"/>
  <c r="S6" i="3"/>
  <c r="Q6" i="3"/>
  <c r="K6" i="3"/>
  <c r="I6" i="3"/>
  <c r="D6" i="3"/>
  <c r="U5" i="3"/>
  <c r="S5" i="3"/>
  <c r="Q5" i="3"/>
  <c r="I7" i="4" s="1"/>
  <c r="K5" i="3"/>
  <c r="I5" i="3"/>
  <c r="D5" i="3"/>
  <c r="U4" i="3"/>
  <c r="S4" i="3"/>
  <c r="Q4" i="3"/>
  <c r="I6" i="4" s="1"/>
  <c r="K4" i="3"/>
  <c r="I4" i="3"/>
  <c r="D4" i="3"/>
  <c r="U3" i="3"/>
  <c r="T3" i="3"/>
  <c r="E3" i="3"/>
  <c r="D3" i="3"/>
  <c r="C3" i="3"/>
  <c r="G1000" i="2"/>
  <c r="D1000" i="2"/>
  <c r="G999" i="2"/>
  <c r="D999" i="2"/>
  <c r="G998" i="2"/>
  <c r="D998" i="2"/>
  <c r="G997" i="2"/>
  <c r="D997" i="2"/>
  <c r="G996" i="2"/>
  <c r="D996" i="2"/>
  <c r="G995" i="2"/>
  <c r="D995" i="2"/>
  <c r="G994" i="2"/>
  <c r="D994" i="2"/>
  <c r="G993" i="2"/>
  <c r="D993" i="2"/>
  <c r="G992" i="2"/>
  <c r="D992" i="2"/>
  <c r="G991" i="2"/>
  <c r="D991" i="2"/>
  <c r="G990" i="2"/>
  <c r="D990" i="2"/>
  <c r="G989" i="2"/>
  <c r="D989" i="2"/>
  <c r="G988" i="2"/>
  <c r="D988" i="2"/>
  <c r="G987" i="2"/>
  <c r="D987" i="2"/>
  <c r="G986" i="2"/>
  <c r="D986" i="2"/>
  <c r="G985" i="2"/>
  <c r="D985" i="2"/>
  <c r="G984" i="2"/>
  <c r="D984" i="2"/>
  <c r="G983" i="2"/>
  <c r="D983" i="2"/>
  <c r="G982" i="2"/>
  <c r="D982" i="2"/>
  <c r="G981" i="2"/>
  <c r="D981" i="2"/>
  <c r="G980" i="2"/>
  <c r="D980" i="2"/>
  <c r="G979" i="2"/>
  <c r="D979" i="2"/>
  <c r="G978" i="2"/>
  <c r="D978" i="2"/>
  <c r="G977" i="2"/>
  <c r="D977" i="2"/>
  <c r="G976" i="2"/>
  <c r="D976" i="2"/>
  <c r="G975" i="2"/>
  <c r="D975" i="2"/>
  <c r="G974" i="2"/>
  <c r="D974" i="2"/>
  <c r="G973" i="2"/>
  <c r="D973" i="2"/>
  <c r="G972" i="2"/>
  <c r="D972" i="2"/>
  <c r="G971" i="2"/>
  <c r="D971" i="2"/>
  <c r="G970" i="2"/>
  <c r="D970" i="2"/>
  <c r="G969" i="2"/>
  <c r="D969" i="2"/>
  <c r="G968" i="2"/>
  <c r="D968" i="2"/>
  <c r="G967" i="2"/>
  <c r="D967" i="2"/>
  <c r="G966" i="2"/>
  <c r="D966" i="2"/>
  <c r="G965" i="2"/>
  <c r="D965" i="2"/>
  <c r="G964" i="2"/>
  <c r="D964" i="2"/>
  <c r="G963" i="2"/>
  <c r="D963" i="2"/>
  <c r="G962" i="2"/>
  <c r="D962" i="2"/>
  <c r="G961" i="2"/>
  <c r="D961" i="2"/>
  <c r="G960" i="2"/>
  <c r="D960" i="2"/>
  <c r="G959" i="2"/>
  <c r="D959" i="2"/>
  <c r="G958" i="2"/>
  <c r="D958" i="2"/>
  <c r="G957" i="2"/>
  <c r="D957" i="2"/>
  <c r="G956" i="2"/>
  <c r="D956" i="2"/>
  <c r="G955" i="2"/>
  <c r="D955" i="2"/>
  <c r="G954" i="2"/>
  <c r="D954" i="2"/>
  <c r="G953" i="2"/>
  <c r="D953" i="2"/>
  <c r="G952" i="2"/>
  <c r="D952" i="2"/>
  <c r="G951" i="2"/>
  <c r="D951" i="2"/>
  <c r="G950" i="2"/>
  <c r="D950" i="2"/>
  <c r="G949" i="2"/>
  <c r="D949" i="2"/>
  <c r="G948" i="2"/>
  <c r="D948" i="2"/>
  <c r="G947" i="2"/>
  <c r="D947" i="2"/>
  <c r="G946" i="2"/>
  <c r="D946" i="2"/>
  <c r="G945" i="2"/>
  <c r="D945" i="2"/>
  <c r="G944" i="2"/>
  <c r="D944" i="2"/>
  <c r="G943" i="2"/>
  <c r="D943" i="2"/>
  <c r="G942" i="2"/>
  <c r="D942" i="2"/>
  <c r="G941" i="2"/>
  <c r="D941" i="2"/>
  <c r="G940" i="2"/>
  <c r="D940" i="2"/>
  <c r="G939" i="2"/>
  <c r="D939" i="2"/>
  <c r="G938" i="2"/>
  <c r="D938" i="2"/>
  <c r="G937" i="2"/>
  <c r="D937" i="2"/>
  <c r="G936" i="2"/>
  <c r="D936" i="2"/>
  <c r="G935" i="2"/>
  <c r="D935" i="2"/>
  <c r="G934" i="2"/>
  <c r="D934" i="2"/>
  <c r="G933" i="2"/>
  <c r="D933" i="2"/>
  <c r="G932" i="2"/>
  <c r="D932" i="2"/>
  <c r="G931" i="2"/>
  <c r="D931" i="2"/>
  <c r="G930" i="2"/>
  <c r="D930" i="2"/>
  <c r="G929" i="2"/>
  <c r="D929" i="2"/>
  <c r="G928" i="2"/>
  <c r="D928" i="2"/>
  <c r="G927" i="2"/>
  <c r="D927" i="2"/>
  <c r="G926" i="2"/>
  <c r="D926" i="2"/>
  <c r="G925" i="2"/>
  <c r="D925" i="2"/>
  <c r="G924" i="2"/>
  <c r="D924" i="2"/>
  <c r="G923" i="2"/>
  <c r="D923" i="2"/>
  <c r="G922" i="2"/>
  <c r="D922" i="2"/>
  <c r="G921" i="2"/>
  <c r="D921" i="2"/>
  <c r="G920" i="2"/>
  <c r="D920" i="2"/>
  <c r="G919" i="2"/>
  <c r="D919" i="2"/>
  <c r="G918" i="2"/>
  <c r="D918" i="2"/>
  <c r="G917" i="2"/>
  <c r="D917" i="2"/>
  <c r="G916" i="2"/>
  <c r="D916" i="2"/>
  <c r="G915" i="2"/>
  <c r="D915" i="2"/>
  <c r="G914" i="2"/>
  <c r="D914" i="2"/>
  <c r="G913" i="2"/>
  <c r="D913" i="2"/>
  <c r="G912" i="2"/>
  <c r="D912" i="2"/>
  <c r="G911" i="2"/>
  <c r="D911" i="2"/>
  <c r="G910" i="2"/>
  <c r="D910" i="2"/>
  <c r="G909" i="2"/>
  <c r="D909" i="2"/>
  <c r="G908" i="2"/>
  <c r="D908" i="2"/>
  <c r="G907" i="2"/>
  <c r="D907" i="2"/>
  <c r="G906" i="2"/>
  <c r="D906" i="2"/>
  <c r="G905" i="2"/>
  <c r="D905" i="2"/>
  <c r="G904" i="2"/>
  <c r="D904" i="2"/>
  <c r="G903" i="2"/>
  <c r="D903" i="2"/>
  <c r="G902" i="2"/>
  <c r="D902" i="2"/>
  <c r="G901" i="2"/>
  <c r="D901" i="2"/>
  <c r="G900" i="2"/>
  <c r="D900" i="2"/>
  <c r="G899" i="2"/>
  <c r="D899" i="2"/>
  <c r="G898" i="2"/>
  <c r="D898" i="2"/>
  <c r="G897" i="2"/>
  <c r="D897" i="2"/>
  <c r="G896" i="2"/>
  <c r="D896" i="2"/>
  <c r="G895" i="2"/>
  <c r="D895" i="2"/>
  <c r="G894" i="2"/>
  <c r="D894" i="2"/>
  <c r="G893" i="2"/>
  <c r="D893" i="2"/>
  <c r="G892" i="2"/>
  <c r="D892" i="2"/>
  <c r="G891" i="2"/>
  <c r="D891" i="2"/>
  <c r="G890" i="2"/>
  <c r="D890" i="2"/>
  <c r="G889" i="2"/>
  <c r="D889" i="2"/>
  <c r="G888" i="2"/>
  <c r="D888" i="2"/>
  <c r="G887" i="2"/>
  <c r="D887" i="2"/>
  <c r="G886" i="2"/>
  <c r="D886" i="2"/>
  <c r="G885" i="2"/>
  <c r="D885" i="2"/>
  <c r="G884" i="2"/>
  <c r="D884" i="2"/>
  <c r="G883" i="2"/>
  <c r="D883" i="2"/>
  <c r="G882" i="2"/>
  <c r="D882" i="2"/>
  <c r="G881" i="2"/>
  <c r="D881" i="2"/>
  <c r="G880" i="2"/>
  <c r="D880" i="2"/>
  <c r="G879" i="2"/>
  <c r="D879" i="2"/>
  <c r="G878" i="2"/>
  <c r="D878" i="2"/>
  <c r="G877" i="2"/>
  <c r="D877" i="2"/>
  <c r="G876" i="2"/>
  <c r="D876" i="2"/>
  <c r="G875" i="2"/>
  <c r="D875" i="2"/>
  <c r="G874" i="2"/>
  <c r="D874" i="2"/>
  <c r="G873" i="2"/>
  <c r="D873" i="2"/>
  <c r="G872" i="2"/>
  <c r="D872" i="2"/>
  <c r="G871" i="2"/>
  <c r="D871" i="2"/>
  <c r="G870" i="2"/>
  <c r="D870" i="2"/>
  <c r="G869" i="2"/>
  <c r="D869" i="2"/>
  <c r="G868" i="2"/>
  <c r="D868" i="2"/>
  <c r="G867" i="2"/>
  <c r="D867" i="2"/>
  <c r="G866" i="2"/>
  <c r="D866" i="2"/>
  <c r="G865" i="2"/>
  <c r="D865" i="2"/>
  <c r="G864" i="2"/>
  <c r="D864" i="2"/>
  <c r="G863" i="2"/>
  <c r="D863" i="2"/>
  <c r="G862" i="2"/>
  <c r="D862" i="2"/>
  <c r="G861" i="2"/>
  <c r="D861" i="2"/>
  <c r="G860" i="2"/>
  <c r="D860" i="2"/>
  <c r="G859" i="2"/>
  <c r="D859" i="2"/>
  <c r="G858" i="2"/>
  <c r="D858" i="2"/>
  <c r="G857" i="2"/>
  <c r="D857" i="2"/>
  <c r="G856" i="2"/>
  <c r="D856" i="2"/>
  <c r="G855" i="2"/>
  <c r="D855" i="2"/>
  <c r="G854" i="2"/>
  <c r="D854" i="2"/>
  <c r="G853" i="2"/>
  <c r="D853" i="2"/>
  <c r="G852" i="2"/>
  <c r="D852" i="2"/>
  <c r="G851" i="2"/>
  <c r="D851" i="2"/>
  <c r="G850" i="2"/>
  <c r="D850" i="2"/>
  <c r="G849" i="2"/>
  <c r="D849" i="2"/>
  <c r="G848" i="2"/>
  <c r="D848" i="2"/>
  <c r="G847" i="2"/>
  <c r="D847" i="2"/>
  <c r="G846" i="2"/>
  <c r="D846" i="2"/>
  <c r="G845" i="2"/>
  <c r="D845" i="2"/>
  <c r="G844" i="2"/>
  <c r="D844" i="2"/>
  <c r="G843" i="2"/>
  <c r="D843" i="2"/>
  <c r="G842" i="2"/>
  <c r="D842" i="2"/>
  <c r="G841" i="2"/>
  <c r="D841" i="2"/>
  <c r="G840" i="2"/>
  <c r="D840" i="2"/>
  <c r="G839" i="2"/>
  <c r="D839" i="2"/>
  <c r="G838" i="2"/>
  <c r="D838" i="2"/>
  <c r="G837" i="2"/>
  <c r="D837" i="2"/>
  <c r="G836" i="2"/>
  <c r="D836" i="2"/>
  <c r="G835" i="2"/>
  <c r="D835" i="2"/>
  <c r="G834" i="2"/>
  <c r="D834" i="2"/>
  <c r="G833" i="2"/>
  <c r="D833" i="2"/>
  <c r="G832" i="2"/>
  <c r="D832" i="2"/>
  <c r="G831" i="2"/>
  <c r="D831" i="2"/>
  <c r="G830" i="2"/>
  <c r="D830" i="2"/>
  <c r="G829" i="2"/>
  <c r="D829" i="2"/>
  <c r="G828" i="2"/>
  <c r="D828" i="2"/>
  <c r="G827" i="2"/>
  <c r="D827" i="2"/>
  <c r="G826" i="2"/>
  <c r="D826" i="2"/>
  <c r="G825" i="2"/>
  <c r="D825" i="2"/>
  <c r="G824" i="2"/>
  <c r="D824" i="2"/>
  <c r="G823" i="2"/>
  <c r="D823" i="2"/>
  <c r="G822" i="2"/>
  <c r="D822" i="2"/>
  <c r="G821" i="2"/>
  <c r="D821" i="2"/>
  <c r="G820" i="2"/>
  <c r="D820" i="2"/>
  <c r="G819" i="2"/>
  <c r="D819" i="2"/>
  <c r="G818" i="2"/>
  <c r="D818" i="2"/>
  <c r="G817" i="2"/>
  <c r="D817" i="2"/>
  <c r="G816" i="2"/>
  <c r="D816" i="2"/>
  <c r="G815" i="2"/>
  <c r="D815" i="2"/>
  <c r="G814" i="2"/>
  <c r="D814" i="2"/>
  <c r="G813" i="2"/>
  <c r="D813" i="2"/>
  <c r="G812" i="2"/>
  <c r="D812" i="2"/>
  <c r="G811" i="2"/>
  <c r="D811" i="2"/>
  <c r="G810" i="2"/>
  <c r="D810" i="2"/>
  <c r="G809" i="2"/>
  <c r="D809" i="2"/>
  <c r="G808" i="2"/>
  <c r="D808" i="2"/>
  <c r="G807" i="2"/>
  <c r="D807" i="2"/>
  <c r="G806" i="2"/>
  <c r="D806" i="2"/>
  <c r="G805" i="2"/>
  <c r="D805" i="2"/>
  <c r="G804" i="2"/>
  <c r="D804" i="2"/>
  <c r="G803" i="2"/>
  <c r="D803" i="2"/>
  <c r="G802" i="2"/>
  <c r="D802" i="2"/>
  <c r="G801" i="2"/>
  <c r="D801" i="2"/>
  <c r="G800" i="2"/>
  <c r="D800" i="2"/>
  <c r="G799" i="2"/>
  <c r="D799" i="2"/>
  <c r="G798" i="2"/>
  <c r="D798" i="2"/>
  <c r="G797" i="2"/>
  <c r="D797" i="2"/>
  <c r="G796" i="2"/>
  <c r="D796" i="2"/>
  <c r="G795" i="2"/>
  <c r="D795" i="2"/>
  <c r="G794" i="2"/>
  <c r="D794" i="2"/>
  <c r="G793" i="2"/>
  <c r="D793" i="2"/>
  <c r="G792" i="2"/>
  <c r="D792" i="2"/>
  <c r="G791" i="2"/>
  <c r="D791" i="2"/>
  <c r="G790" i="2"/>
  <c r="D790" i="2"/>
  <c r="G789" i="2"/>
  <c r="D789" i="2"/>
  <c r="G788" i="2"/>
  <c r="D788" i="2"/>
  <c r="G787" i="2"/>
  <c r="D787" i="2"/>
  <c r="G786" i="2"/>
  <c r="D786" i="2"/>
  <c r="G785" i="2"/>
  <c r="D785" i="2"/>
  <c r="G784" i="2"/>
  <c r="D784" i="2"/>
  <c r="G783" i="2"/>
  <c r="D783" i="2"/>
  <c r="G782" i="2"/>
  <c r="D782" i="2"/>
  <c r="G781" i="2"/>
  <c r="D781" i="2"/>
  <c r="G780" i="2"/>
  <c r="D780" i="2"/>
  <c r="G779" i="2"/>
  <c r="D779" i="2"/>
  <c r="G778" i="2"/>
  <c r="D778" i="2"/>
  <c r="G777" i="2"/>
  <c r="D777" i="2"/>
  <c r="G776" i="2"/>
  <c r="D776" i="2"/>
  <c r="G775" i="2"/>
  <c r="D775" i="2"/>
  <c r="G774" i="2"/>
  <c r="D774" i="2"/>
  <c r="G773" i="2"/>
  <c r="D773" i="2"/>
  <c r="G772" i="2"/>
  <c r="D772" i="2"/>
  <c r="G771" i="2"/>
  <c r="D771" i="2"/>
  <c r="G770" i="2"/>
  <c r="D770" i="2"/>
  <c r="G769" i="2"/>
  <c r="D769" i="2"/>
  <c r="G768" i="2"/>
  <c r="D768" i="2"/>
  <c r="G767" i="2"/>
  <c r="D767" i="2"/>
  <c r="G766" i="2"/>
  <c r="D766" i="2"/>
  <c r="G765" i="2"/>
  <c r="D765" i="2"/>
  <c r="G764" i="2"/>
  <c r="D764" i="2"/>
  <c r="G763" i="2"/>
  <c r="D763" i="2"/>
  <c r="G762" i="2"/>
  <c r="D762" i="2"/>
  <c r="G761" i="2"/>
  <c r="D761" i="2"/>
  <c r="G760" i="2"/>
  <c r="D760" i="2"/>
  <c r="G759" i="2"/>
  <c r="D759" i="2"/>
  <c r="G758" i="2"/>
  <c r="D758" i="2"/>
  <c r="G757" i="2"/>
  <c r="D757" i="2"/>
  <c r="G756" i="2"/>
  <c r="D756" i="2"/>
  <c r="G755" i="2"/>
  <c r="D755" i="2"/>
  <c r="G754" i="2"/>
  <c r="D754" i="2"/>
  <c r="G753" i="2"/>
  <c r="D753" i="2"/>
  <c r="G752" i="2"/>
  <c r="D752" i="2"/>
  <c r="G751" i="2"/>
  <c r="D751" i="2"/>
  <c r="G750" i="2"/>
  <c r="D750" i="2"/>
  <c r="G749" i="2"/>
  <c r="D749" i="2"/>
  <c r="G748" i="2"/>
  <c r="D748" i="2"/>
  <c r="G747" i="2"/>
  <c r="D747" i="2"/>
  <c r="G746" i="2"/>
  <c r="D746" i="2"/>
  <c r="G745" i="2"/>
  <c r="D745" i="2"/>
  <c r="G744" i="2"/>
  <c r="D744" i="2"/>
  <c r="G743" i="2"/>
  <c r="D743" i="2"/>
  <c r="G742" i="2"/>
  <c r="D742" i="2"/>
  <c r="G741" i="2"/>
  <c r="D741" i="2"/>
  <c r="G740" i="2"/>
  <c r="D740" i="2"/>
  <c r="G739" i="2"/>
  <c r="D739" i="2"/>
  <c r="G738" i="2"/>
  <c r="D738" i="2"/>
  <c r="G737" i="2"/>
  <c r="D737" i="2"/>
  <c r="G736" i="2"/>
  <c r="D736" i="2"/>
  <c r="G735" i="2"/>
  <c r="D735" i="2"/>
  <c r="G734" i="2"/>
  <c r="D734" i="2"/>
  <c r="G733" i="2"/>
  <c r="D733" i="2"/>
  <c r="G732" i="2"/>
  <c r="D732" i="2"/>
  <c r="G731" i="2"/>
  <c r="D731" i="2"/>
  <c r="G730" i="2"/>
  <c r="D730" i="2"/>
  <c r="G729" i="2"/>
  <c r="D729" i="2"/>
  <c r="G728" i="2"/>
  <c r="D728" i="2"/>
  <c r="G727" i="2"/>
  <c r="D727" i="2"/>
  <c r="G726" i="2"/>
  <c r="D726" i="2"/>
  <c r="G725" i="2"/>
  <c r="D725" i="2"/>
  <c r="G724" i="2"/>
  <c r="D724" i="2"/>
  <c r="G723" i="2"/>
  <c r="D723" i="2"/>
  <c r="G722" i="2"/>
  <c r="D722" i="2"/>
  <c r="G721" i="2"/>
  <c r="D721" i="2"/>
  <c r="G720" i="2"/>
  <c r="D720" i="2"/>
  <c r="G719" i="2"/>
  <c r="D719" i="2"/>
  <c r="G718" i="2"/>
  <c r="D718" i="2"/>
  <c r="G717" i="2"/>
  <c r="D717" i="2"/>
  <c r="G716" i="2"/>
  <c r="D716" i="2"/>
  <c r="G715" i="2"/>
  <c r="D715" i="2"/>
  <c r="G714" i="2"/>
  <c r="D714" i="2"/>
  <c r="G713" i="2"/>
  <c r="D713" i="2"/>
  <c r="G712" i="2"/>
  <c r="D712" i="2"/>
  <c r="G711" i="2"/>
  <c r="D711" i="2"/>
  <c r="G710" i="2"/>
  <c r="D710" i="2"/>
  <c r="G709" i="2"/>
  <c r="D709" i="2"/>
  <c r="G708" i="2"/>
  <c r="D708" i="2"/>
  <c r="G707" i="2"/>
  <c r="D707" i="2"/>
  <c r="G706" i="2"/>
  <c r="D706" i="2"/>
  <c r="G705" i="2"/>
  <c r="D705" i="2"/>
  <c r="G704" i="2"/>
  <c r="D704" i="2"/>
  <c r="G703" i="2"/>
  <c r="D703" i="2"/>
  <c r="G702" i="2"/>
  <c r="D702" i="2"/>
  <c r="G701" i="2"/>
  <c r="D701" i="2"/>
  <c r="G700" i="2"/>
  <c r="D700" i="2"/>
  <c r="G699" i="2"/>
  <c r="D699" i="2"/>
  <c r="G698" i="2"/>
  <c r="D698" i="2"/>
  <c r="G697" i="2"/>
  <c r="D697" i="2"/>
  <c r="G696" i="2"/>
  <c r="D696" i="2"/>
  <c r="G695" i="2"/>
  <c r="D695" i="2"/>
  <c r="G694" i="2"/>
  <c r="D694" i="2"/>
  <c r="G693" i="2"/>
  <c r="D693" i="2"/>
  <c r="G692" i="2"/>
  <c r="D692" i="2"/>
  <c r="G691" i="2"/>
  <c r="D691" i="2"/>
  <c r="G690" i="2"/>
  <c r="D690" i="2"/>
  <c r="G689" i="2"/>
  <c r="D689" i="2"/>
  <c r="G688" i="2"/>
  <c r="D688" i="2"/>
  <c r="G687" i="2"/>
  <c r="D687" i="2"/>
  <c r="G686" i="2"/>
  <c r="D686" i="2"/>
  <c r="G685" i="2"/>
  <c r="D685" i="2"/>
  <c r="G684" i="2"/>
  <c r="D684" i="2"/>
  <c r="G683" i="2"/>
  <c r="D683" i="2"/>
  <c r="G682" i="2"/>
  <c r="D682" i="2"/>
  <c r="G681" i="2"/>
  <c r="D681" i="2"/>
  <c r="G680" i="2"/>
  <c r="D680" i="2"/>
  <c r="G679" i="2"/>
  <c r="D679" i="2"/>
  <c r="G678" i="2"/>
  <c r="D678" i="2"/>
  <c r="G677" i="2"/>
  <c r="D677" i="2"/>
  <c r="G676" i="2"/>
  <c r="D676" i="2"/>
  <c r="G675" i="2"/>
  <c r="D675" i="2"/>
  <c r="G674" i="2"/>
  <c r="D674" i="2"/>
  <c r="G673" i="2"/>
  <c r="D673" i="2"/>
  <c r="G672" i="2"/>
  <c r="D672" i="2"/>
  <c r="G671" i="2"/>
  <c r="D671" i="2"/>
  <c r="G670" i="2"/>
  <c r="D670" i="2"/>
  <c r="G669" i="2"/>
  <c r="D669" i="2"/>
  <c r="G668" i="2"/>
  <c r="D668" i="2"/>
  <c r="G667" i="2"/>
  <c r="D667" i="2"/>
  <c r="G666" i="2"/>
  <c r="D666" i="2"/>
  <c r="G665" i="2"/>
  <c r="D665" i="2"/>
  <c r="G664" i="2"/>
  <c r="D664" i="2"/>
  <c r="G663" i="2"/>
  <c r="D663" i="2"/>
  <c r="G662" i="2"/>
  <c r="D662" i="2"/>
  <c r="G661" i="2"/>
  <c r="D661" i="2"/>
  <c r="G660" i="2"/>
  <c r="D660" i="2"/>
  <c r="G659" i="2"/>
  <c r="D659" i="2"/>
  <c r="G658" i="2"/>
  <c r="D658" i="2"/>
  <c r="G657" i="2"/>
  <c r="D657" i="2"/>
  <c r="G656" i="2"/>
  <c r="D656" i="2"/>
  <c r="G655" i="2"/>
  <c r="D655" i="2"/>
  <c r="G654" i="2"/>
  <c r="D654" i="2"/>
  <c r="G653" i="2"/>
  <c r="D653" i="2"/>
  <c r="G652" i="2"/>
  <c r="D652" i="2"/>
  <c r="G651" i="2"/>
  <c r="D651" i="2"/>
  <c r="G650" i="2"/>
  <c r="D650" i="2"/>
  <c r="G649" i="2"/>
  <c r="D649" i="2"/>
  <c r="G648" i="2"/>
  <c r="D648" i="2"/>
  <c r="G647" i="2"/>
  <c r="D647" i="2"/>
  <c r="G646" i="2"/>
  <c r="D646" i="2"/>
  <c r="G645" i="2"/>
  <c r="D645" i="2"/>
  <c r="G644" i="2"/>
  <c r="D644" i="2"/>
  <c r="G643" i="2"/>
  <c r="D643" i="2"/>
  <c r="G642" i="2"/>
  <c r="D642" i="2"/>
  <c r="G641" i="2"/>
  <c r="D641" i="2"/>
  <c r="G640" i="2"/>
  <c r="D640" i="2"/>
  <c r="G639" i="2"/>
  <c r="D639" i="2"/>
  <c r="G638" i="2"/>
  <c r="D638" i="2"/>
  <c r="G637" i="2"/>
  <c r="D637" i="2"/>
  <c r="G636" i="2"/>
  <c r="D636" i="2"/>
  <c r="G635" i="2"/>
  <c r="D635" i="2"/>
  <c r="G634" i="2"/>
  <c r="D634" i="2"/>
  <c r="G633" i="2"/>
  <c r="D633" i="2"/>
  <c r="G632" i="2"/>
  <c r="D632" i="2"/>
  <c r="G631" i="2"/>
  <c r="D631" i="2"/>
  <c r="G630" i="2"/>
  <c r="D630" i="2"/>
  <c r="G629" i="2"/>
  <c r="D629" i="2"/>
  <c r="G628" i="2"/>
  <c r="D628" i="2"/>
  <c r="G627" i="2"/>
  <c r="D627" i="2"/>
  <c r="G626" i="2"/>
  <c r="D626" i="2"/>
  <c r="G625" i="2"/>
  <c r="D625" i="2"/>
  <c r="G624" i="2"/>
  <c r="D624" i="2"/>
  <c r="G623" i="2"/>
  <c r="D623" i="2"/>
  <c r="G622" i="2"/>
  <c r="D622" i="2"/>
  <c r="G621" i="2"/>
  <c r="D621" i="2"/>
  <c r="G620" i="2"/>
  <c r="D620" i="2"/>
  <c r="G619" i="2"/>
  <c r="D619" i="2"/>
  <c r="G618" i="2"/>
  <c r="D618" i="2"/>
  <c r="G617" i="2"/>
  <c r="D617" i="2"/>
  <c r="G616" i="2"/>
  <c r="D616" i="2"/>
  <c r="G615" i="2"/>
  <c r="D615" i="2"/>
  <c r="G614" i="2"/>
  <c r="D614" i="2"/>
  <c r="G613" i="2"/>
  <c r="D613" i="2"/>
  <c r="G612" i="2"/>
  <c r="D612" i="2"/>
  <c r="G611" i="2"/>
  <c r="D611" i="2"/>
  <c r="G610" i="2"/>
  <c r="D610" i="2"/>
  <c r="G609" i="2"/>
  <c r="D609" i="2"/>
  <c r="G608" i="2"/>
  <c r="D608" i="2"/>
  <c r="G607" i="2"/>
  <c r="D607" i="2"/>
  <c r="G606" i="2"/>
  <c r="D606" i="2"/>
  <c r="G605" i="2"/>
  <c r="D605" i="2"/>
  <c r="G604" i="2"/>
  <c r="D604" i="2"/>
  <c r="G603" i="2"/>
  <c r="D603" i="2"/>
  <c r="G602" i="2"/>
  <c r="D602" i="2"/>
  <c r="G601" i="2"/>
  <c r="D601" i="2"/>
  <c r="G600" i="2"/>
  <c r="D600" i="2"/>
  <c r="G599" i="2"/>
  <c r="D599" i="2"/>
  <c r="G598" i="2"/>
  <c r="D598" i="2"/>
  <c r="G597" i="2"/>
  <c r="D597" i="2"/>
  <c r="G596" i="2"/>
  <c r="D596" i="2"/>
  <c r="G595" i="2"/>
  <c r="D595" i="2"/>
  <c r="G594" i="2"/>
  <c r="D594" i="2"/>
  <c r="G593" i="2"/>
  <c r="D593" i="2"/>
  <c r="G592" i="2"/>
  <c r="D592" i="2"/>
  <c r="G591" i="2"/>
  <c r="D591" i="2"/>
  <c r="G590" i="2"/>
  <c r="D590" i="2"/>
  <c r="G589" i="2"/>
  <c r="D589" i="2"/>
  <c r="G588" i="2"/>
  <c r="D588" i="2"/>
  <c r="G587" i="2"/>
  <c r="D587" i="2"/>
  <c r="G586" i="2"/>
  <c r="D586" i="2"/>
  <c r="G585" i="2"/>
  <c r="D585" i="2"/>
  <c r="G584" i="2"/>
  <c r="D584" i="2"/>
  <c r="G583" i="2"/>
  <c r="D583" i="2"/>
  <c r="G582" i="2"/>
  <c r="D582" i="2"/>
  <c r="G581" i="2"/>
  <c r="D581" i="2"/>
  <c r="G580" i="2"/>
  <c r="D580" i="2"/>
  <c r="G579" i="2"/>
  <c r="D579" i="2"/>
  <c r="G578" i="2"/>
  <c r="D578" i="2"/>
  <c r="G577" i="2"/>
  <c r="D577" i="2"/>
  <c r="G576" i="2"/>
  <c r="D576" i="2"/>
  <c r="G575" i="2"/>
  <c r="D575" i="2"/>
  <c r="G574" i="2"/>
  <c r="D574" i="2"/>
  <c r="G573" i="2"/>
  <c r="D573" i="2"/>
  <c r="G572" i="2"/>
  <c r="D572" i="2"/>
  <c r="G571" i="2"/>
  <c r="D571" i="2"/>
  <c r="G570" i="2"/>
  <c r="D570" i="2"/>
  <c r="G569" i="2"/>
  <c r="D569" i="2"/>
  <c r="G568" i="2"/>
  <c r="D568" i="2"/>
  <c r="G567" i="2"/>
  <c r="D567" i="2"/>
  <c r="G566" i="2"/>
  <c r="D566" i="2"/>
  <c r="G565" i="2"/>
  <c r="D565" i="2"/>
  <c r="G564" i="2"/>
  <c r="D564" i="2"/>
  <c r="G563" i="2"/>
  <c r="D563" i="2"/>
  <c r="G562" i="2"/>
  <c r="D562" i="2"/>
  <c r="G561" i="2"/>
  <c r="D561" i="2"/>
  <c r="G560" i="2"/>
  <c r="D560" i="2"/>
  <c r="G559" i="2"/>
  <c r="D559" i="2"/>
  <c r="G558" i="2"/>
  <c r="D558" i="2"/>
  <c r="G557" i="2"/>
  <c r="D557" i="2"/>
  <c r="G556" i="2"/>
  <c r="D556" i="2"/>
  <c r="G555" i="2"/>
  <c r="D555" i="2"/>
  <c r="G554" i="2"/>
  <c r="D554" i="2"/>
  <c r="G553" i="2"/>
  <c r="D553" i="2"/>
  <c r="G552" i="2"/>
  <c r="D552" i="2"/>
  <c r="G551" i="2"/>
  <c r="D551" i="2"/>
  <c r="G550" i="2"/>
  <c r="D550" i="2"/>
  <c r="G549" i="2"/>
  <c r="D549" i="2"/>
  <c r="G548" i="2"/>
  <c r="D548" i="2"/>
  <c r="G547" i="2"/>
  <c r="D547" i="2"/>
  <c r="G546" i="2"/>
  <c r="D546" i="2"/>
  <c r="G545" i="2"/>
  <c r="D545" i="2"/>
  <c r="G544" i="2"/>
  <c r="D544" i="2"/>
  <c r="G543" i="2"/>
  <c r="D543" i="2"/>
  <c r="G542" i="2"/>
  <c r="D542" i="2"/>
  <c r="G541" i="2"/>
  <c r="D541" i="2"/>
  <c r="G540" i="2"/>
  <c r="D540" i="2"/>
  <c r="G539" i="2"/>
  <c r="D539" i="2"/>
  <c r="G538" i="2"/>
  <c r="D538" i="2"/>
  <c r="G537" i="2"/>
  <c r="D537" i="2"/>
  <c r="G536" i="2"/>
  <c r="D536" i="2"/>
  <c r="G535" i="2"/>
  <c r="D535" i="2"/>
  <c r="G534" i="2"/>
  <c r="D534" i="2"/>
  <c r="G533" i="2"/>
  <c r="D533" i="2"/>
  <c r="G532" i="2"/>
  <c r="D532" i="2"/>
  <c r="G531" i="2"/>
  <c r="D531" i="2"/>
  <c r="G530" i="2"/>
  <c r="D530" i="2"/>
  <c r="G529" i="2"/>
  <c r="D529" i="2"/>
  <c r="G528" i="2"/>
  <c r="D528" i="2"/>
  <c r="G527" i="2"/>
  <c r="D527" i="2"/>
  <c r="G526" i="2"/>
  <c r="D526" i="2"/>
  <c r="G525" i="2"/>
  <c r="D525" i="2"/>
  <c r="G524" i="2"/>
  <c r="D524" i="2"/>
  <c r="G523" i="2"/>
  <c r="D523" i="2"/>
  <c r="G522" i="2"/>
  <c r="D522" i="2"/>
  <c r="G521" i="2"/>
  <c r="D521" i="2"/>
  <c r="G520" i="2"/>
  <c r="D520" i="2"/>
  <c r="G519" i="2"/>
  <c r="D519" i="2"/>
  <c r="G518" i="2"/>
  <c r="D518" i="2"/>
  <c r="G517" i="2"/>
  <c r="D517" i="2"/>
  <c r="G516" i="2"/>
  <c r="D516" i="2"/>
  <c r="G515" i="2"/>
  <c r="D515" i="2"/>
  <c r="G514" i="2"/>
  <c r="D514" i="2"/>
  <c r="G513" i="2"/>
  <c r="D513" i="2"/>
  <c r="G512" i="2"/>
  <c r="D512" i="2"/>
  <c r="G511" i="2"/>
  <c r="D511" i="2"/>
  <c r="G510" i="2"/>
  <c r="D510" i="2"/>
  <c r="G509" i="2"/>
  <c r="D509" i="2"/>
  <c r="G508" i="2"/>
  <c r="D508" i="2"/>
  <c r="G507" i="2"/>
  <c r="D507" i="2"/>
  <c r="G506" i="2"/>
  <c r="D506" i="2"/>
  <c r="G505" i="2"/>
  <c r="D505" i="2"/>
  <c r="G504" i="2"/>
  <c r="D504" i="2"/>
  <c r="G503" i="2"/>
  <c r="D503" i="2"/>
  <c r="G502" i="2"/>
  <c r="D502" i="2"/>
  <c r="G501" i="2"/>
  <c r="D501" i="2"/>
  <c r="G500" i="2"/>
  <c r="D500" i="2"/>
  <c r="G499" i="2"/>
  <c r="D499" i="2"/>
  <c r="G498" i="2"/>
  <c r="D498" i="2"/>
  <c r="G497" i="2"/>
  <c r="D497" i="2"/>
  <c r="G496" i="2"/>
  <c r="D496" i="2"/>
  <c r="G495" i="2"/>
  <c r="D495" i="2"/>
  <c r="G494" i="2"/>
  <c r="D494" i="2"/>
  <c r="G493" i="2"/>
  <c r="D493" i="2"/>
  <c r="G492" i="2"/>
  <c r="D492" i="2"/>
  <c r="G491" i="2"/>
  <c r="D491" i="2"/>
  <c r="G490" i="2"/>
  <c r="D490" i="2"/>
  <c r="G489" i="2"/>
  <c r="D489" i="2"/>
  <c r="G488" i="2"/>
  <c r="D488" i="2"/>
  <c r="G487" i="2"/>
  <c r="D487" i="2"/>
  <c r="G486" i="2"/>
  <c r="D486" i="2"/>
  <c r="G485" i="2"/>
  <c r="D485" i="2"/>
  <c r="G484" i="2"/>
  <c r="D484" i="2"/>
  <c r="G483" i="2"/>
  <c r="D483" i="2"/>
  <c r="G482" i="2"/>
  <c r="D482" i="2"/>
  <c r="G481" i="2"/>
  <c r="D481" i="2"/>
  <c r="G480" i="2"/>
  <c r="D480" i="2"/>
  <c r="G479" i="2"/>
  <c r="D479" i="2"/>
  <c r="G478" i="2"/>
  <c r="D478" i="2"/>
  <c r="G477" i="2"/>
  <c r="D477" i="2"/>
  <c r="G476" i="2"/>
  <c r="D476" i="2"/>
  <c r="G475" i="2"/>
  <c r="D475" i="2"/>
  <c r="G474" i="2"/>
  <c r="D474" i="2"/>
  <c r="G473" i="2"/>
  <c r="D473" i="2"/>
  <c r="G472" i="2"/>
  <c r="D472" i="2"/>
  <c r="G471" i="2"/>
  <c r="D471" i="2"/>
  <c r="G470" i="2"/>
  <c r="D470" i="2"/>
  <c r="G469" i="2"/>
  <c r="D469" i="2"/>
  <c r="G468" i="2"/>
  <c r="D468" i="2"/>
  <c r="G467" i="2"/>
  <c r="D467" i="2"/>
  <c r="G466" i="2"/>
  <c r="D466" i="2"/>
  <c r="G465" i="2"/>
  <c r="D465" i="2"/>
  <c r="G464" i="2"/>
  <c r="D464" i="2"/>
  <c r="G463" i="2"/>
  <c r="D463" i="2"/>
  <c r="G462" i="2"/>
  <c r="D462" i="2"/>
  <c r="G461" i="2"/>
  <c r="D461" i="2"/>
  <c r="G460" i="2"/>
  <c r="D460" i="2"/>
  <c r="G459" i="2"/>
  <c r="D459" i="2"/>
  <c r="G458" i="2"/>
  <c r="D458" i="2"/>
  <c r="G457" i="2"/>
  <c r="D457" i="2"/>
  <c r="G456" i="2"/>
  <c r="D456" i="2"/>
  <c r="G455" i="2"/>
  <c r="D455" i="2"/>
  <c r="G454" i="2"/>
  <c r="D454" i="2"/>
  <c r="G453" i="2"/>
  <c r="D453" i="2"/>
  <c r="G452" i="2"/>
  <c r="D452" i="2"/>
  <c r="G451" i="2"/>
  <c r="D451" i="2"/>
  <c r="G450" i="2"/>
  <c r="D450" i="2"/>
  <c r="G449" i="2"/>
  <c r="D449" i="2"/>
  <c r="G448" i="2"/>
  <c r="D448" i="2"/>
  <c r="G447" i="2"/>
  <c r="D447" i="2"/>
  <c r="G446" i="2"/>
  <c r="D446" i="2"/>
  <c r="G445" i="2"/>
  <c r="D445" i="2"/>
  <c r="G444" i="2"/>
  <c r="D444" i="2"/>
  <c r="G443" i="2"/>
  <c r="D443" i="2"/>
  <c r="G442" i="2"/>
  <c r="D442" i="2"/>
  <c r="G441" i="2"/>
  <c r="D441" i="2"/>
  <c r="G440" i="2"/>
  <c r="D440" i="2"/>
  <c r="G439" i="2"/>
  <c r="D439" i="2"/>
  <c r="G438" i="2"/>
  <c r="D438" i="2"/>
  <c r="G437" i="2"/>
  <c r="D437" i="2"/>
  <c r="G436" i="2"/>
  <c r="D436" i="2"/>
  <c r="G435" i="2"/>
  <c r="D435" i="2"/>
  <c r="G434" i="2"/>
  <c r="D434" i="2"/>
  <c r="G433" i="2"/>
  <c r="D433" i="2"/>
  <c r="G432" i="2"/>
  <c r="D432" i="2"/>
  <c r="G431" i="2"/>
  <c r="D431" i="2"/>
  <c r="G430" i="2"/>
  <c r="D430" i="2"/>
  <c r="A2" i="6" s="1"/>
  <c r="G429" i="2"/>
  <c r="D429" i="2"/>
  <c r="A81" i="6" s="1"/>
  <c r="G428" i="2"/>
  <c r="D428" i="2"/>
  <c r="A80" i="6" s="1"/>
  <c r="G427" i="2"/>
  <c r="D427" i="2"/>
  <c r="W3" i="6" s="1"/>
  <c r="G426" i="2"/>
  <c r="D426" i="2"/>
  <c r="V3" i="6" s="1"/>
  <c r="G425" i="2"/>
  <c r="D425" i="2"/>
  <c r="G424" i="2"/>
  <c r="D424" i="2"/>
  <c r="O3" i="6" s="1"/>
  <c r="G423" i="2"/>
  <c r="D423" i="2"/>
  <c r="G422" i="2"/>
  <c r="D422" i="2"/>
  <c r="L3" i="6" s="1"/>
  <c r="G421" i="2"/>
  <c r="D421" i="2"/>
  <c r="H3" i="6" s="1"/>
  <c r="G420" i="2"/>
  <c r="D420" i="2"/>
  <c r="G3" i="6" s="1"/>
  <c r="G419" i="2"/>
  <c r="D419" i="2"/>
  <c r="F3" i="6" s="1"/>
  <c r="G418" i="2"/>
  <c r="D418" i="2"/>
  <c r="D3" i="6" s="1"/>
  <c r="G417" i="2"/>
  <c r="D417" i="2"/>
  <c r="C3" i="6" s="1"/>
  <c r="G416" i="2"/>
  <c r="D416" i="2"/>
  <c r="G415" i="2"/>
  <c r="D415" i="2"/>
  <c r="A2" i="3" s="1"/>
  <c r="G414" i="2"/>
  <c r="D414" i="2"/>
  <c r="A2" i="5" s="1"/>
  <c r="G413" i="2"/>
  <c r="D413" i="2"/>
  <c r="G412" i="2"/>
  <c r="D412" i="2"/>
  <c r="A3" i="4" s="1"/>
  <c r="G411" i="2"/>
  <c r="D411" i="2"/>
  <c r="G410" i="2"/>
  <c r="D410" i="2"/>
  <c r="B13" i="14" s="1"/>
  <c r="G409" i="2"/>
  <c r="D409" i="2"/>
  <c r="B12" i="14" s="1"/>
  <c r="G408" i="2"/>
  <c r="D408" i="2"/>
  <c r="B11" i="14" s="1"/>
  <c r="G407" i="2"/>
  <c r="D407" i="2"/>
  <c r="B10" i="14" s="1"/>
  <c r="G406" i="2"/>
  <c r="D406" i="2"/>
  <c r="B9" i="14" s="1"/>
  <c r="G405" i="2"/>
  <c r="D405" i="2"/>
  <c r="B8" i="14" s="1"/>
  <c r="G404" i="2"/>
  <c r="D404" i="2"/>
  <c r="B7" i="14" s="1"/>
  <c r="G403" i="2"/>
  <c r="D403" i="2"/>
  <c r="B6" i="14" s="1"/>
  <c r="G402" i="2"/>
  <c r="D402" i="2"/>
  <c r="B5" i="14" s="1"/>
  <c r="G401" i="2"/>
  <c r="D401" i="2"/>
  <c r="B4" i="14" s="1"/>
  <c r="G400" i="2"/>
  <c r="D400" i="2"/>
  <c r="D3" i="14" s="1"/>
  <c r="G399" i="2"/>
  <c r="D399" i="2"/>
  <c r="G398" i="2"/>
  <c r="D398" i="2"/>
  <c r="B3" i="14" s="1"/>
  <c r="G397" i="2"/>
  <c r="D397" i="2"/>
  <c r="A3" i="14" s="1"/>
  <c r="G396" i="2"/>
  <c r="D396" i="2"/>
  <c r="A1" i="14" s="1"/>
  <c r="G395" i="2"/>
  <c r="D395" i="2"/>
  <c r="F47" i="16" s="1"/>
  <c r="G394" i="2"/>
  <c r="D394" i="2"/>
  <c r="G393" i="2"/>
  <c r="D393" i="2"/>
  <c r="B47" i="16" s="1"/>
  <c r="G392" i="2"/>
  <c r="D392" i="2"/>
  <c r="B46" i="16" s="1"/>
  <c r="G391" i="2"/>
  <c r="D391" i="2"/>
  <c r="B45" i="16" s="1"/>
  <c r="G390" i="2"/>
  <c r="D390" i="2"/>
  <c r="B44" i="16" s="1"/>
  <c r="G389" i="2"/>
  <c r="D389" i="2"/>
  <c r="B43" i="16" s="1"/>
  <c r="G388" i="2"/>
  <c r="D388" i="2"/>
  <c r="F42" i="16" s="1"/>
  <c r="G387" i="2"/>
  <c r="D387" i="2"/>
  <c r="C42" i="16" s="1"/>
  <c r="G386" i="2"/>
  <c r="D386" i="2"/>
  <c r="B42" i="16" s="1"/>
  <c r="G385" i="2"/>
  <c r="D385" i="2"/>
  <c r="B38" i="16" s="1"/>
  <c r="G384" i="2"/>
  <c r="D384" i="2"/>
  <c r="B37" i="16" s="1"/>
  <c r="G383" i="2"/>
  <c r="D383" i="2"/>
  <c r="B36" i="16" s="1"/>
  <c r="G382" i="2"/>
  <c r="D382" i="2"/>
  <c r="B35" i="16" s="1"/>
  <c r="G381" i="2"/>
  <c r="D381" i="2"/>
  <c r="B34" i="16" s="1"/>
  <c r="G380" i="2"/>
  <c r="D380" i="2"/>
  <c r="B33" i="16" s="1"/>
  <c r="G379" i="2"/>
  <c r="D379" i="2"/>
  <c r="B32" i="16" s="1"/>
  <c r="G378" i="2"/>
  <c r="D378" i="2"/>
  <c r="B31" i="16" s="1"/>
  <c r="G377" i="2"/>
  <c r="D377" i="2"/>
  <c r="B30" i="16" s="1"/>
  <c r="G376" i="2"/>
  <c r="D376" i="2"/>
  <c r="B29" i="16" s="1"/>
  <c r="G375" i="2"/>
  <c r="D375" i="2"/>
  <c r="B25" i="16" s="1"/>
  <c r="G374" i="2"/>
  <c r="D374" i="2"/>
  <c r="B24" i="16" s="1"/>
  <c r="G373" i="2"/>
  <c r="D373" i="2"/>
  <c r="B23" i="16" s="1"/>
  <c r="G372" i="2"/>
  <c r="D372" i="2"/>
  <c r="B22" i="16" s="1"/>
  <c r="G371" i="2"/>
  <c r="D371" i="2"/>
  <c r="B21" i="16" s="1"/>
  <c r="G370" i="2"/>
  <c r="D370" i="2"/>
  <c r="B18" i="16" s="1"/>
  <c r="G369" i="2"/>
  <c r="D369" i="2"/>
  <c r="B17" i="16" s="1"/>
  <c r="G368" i="2"/>
  <c r="D368" i="2"/>
  <c r="B16" i="16" s="1"/>
  <c r="G367" i="2"/>
  <c r="D367" i="2"/>
  <c r="B15" i="16" s="1"/>
  <c r="G366" i="2"/>
  <c r="D366" i="2"/>
  <c r="B14" i="16" s="1"/>
  <c r="G365" i="2"/>
  <c r="D365" i="2"/>
  <c r="B13" i="16" s="1"/>
  <c r="G364" i="2"/>
  <c r="D364" i="2"/>
  <c r="B12" i="16" s="1"/>
  <c r="G363" i="2"/>
  <c r="D363" i="2"/>
  <c r="B11" i="16" s="1"/>
  <c r="G362" i="2"/>
  <c r="D362" i="2"/>
  <c r="B10" i="16" s="1"/>
  <c r="G361" i="2"/>
  <c r="D361" i="2"/>
  <c r="B9" i="16" s="1"/>
  <c r="G360" i="2"/>
  <c r="D360" i="2"/>
  <c r="B8" i="16" s="1"/>
  <c r="G359" i="2"/>
  <c r="D359" i="2"/>
  <c r="B7" i="16" s="1"/>
  <c r="G358" i="2"/>
  <c r="D358" i="2"/>
  <c r="B6" i="16" s="1"/>
  <c r="G357" i="2"/>
  <c r="D357" i="2"/>
  <c r="B5" i="16" s="1"/>
  <c r="G356" i="2"/>
  <c r="D356" i="2"/>
  <c r="B40" i="16" s="1"/>
  <c r="G355" i="2"/>
  <c r="D355" i="2"/>
  <c r="B27" i="16" s="1"/>
  <c r="G354" i="2"/>
  <c r="D354" i="2"/>
  <c r="B20" i="16" s="1"/>
  <c r="G353" i="2"/>
  <c r="D353" i="2"/>
  <c r="B4" i="16" s="1"/>
  <c r="G352" i="2"/>
  <c r="D352" i="2"/>
  <c r="B41" i="16" s="1"/>
  <c r="G351" i="2"/>
  <c r="D351" i="2"/>
  <c r="B28" i="16" s="1"/>
  <c r="G350" i="2"/>
  <c r="D350" i="2"/>
  <c r="B2" i="16" s="1"/>
  <c r="G349" i="2"/>
  <c r="D349" i="2"/>
  <c r="A1" i="16" s="1"/>
  <c r="G348" i="2"/>
  <c r="D348" i="2"/>
  <c r="B58" i="13" s="1"/>
  <c r="G347" i="2"/>
  <c r="D347" i="2"/>
  <c r="B54" i="13" s="1"/>
  <c r="G346" i="2"/>
  <c r="D346" i="2"/>
  <c r="B50" i="13" s="1"/>
  <c r="G345" i="2"/>
  <c r="D345" i="2"/>
  <c r="B47" i="13" s="1"/>
  <c r="G344" i="2"/>
  <c r="D344" i="2"/>
  <c r="B46" i="13" s="1"/>
  <c r="G343" i="2"/>
  <c r="D343" i="2"/>
  <c r="B45" i="13" s="1"/>
  <c r="G342" i="2"/>
  <c r="D342" i="2"/>
  <c r="B44" i="13" s="1"/>
  <c r="G341" i="2"/>
  <c r="D341" i="2"/>
  <c r="B38" i="13" s="1"/>
  <c r="G340" i="2"/>
  <c r="D340" i="2"/>
  <c r="B34" i="13" s="1"/>
  <c r="G339" i="2"/>
  <c r="D339" i="2"/>
  <c r="G338" i="2"/>
  <c r="D338" i="2"/>
  <c r="G337" i="2"/>
  <c r="D337" i="2"/>
  <c r="G336" i="2"/>
  <c r="D336" i="2"/>
  <c r="F19" i="13" s="1"/>
  <c r="G335" i="2"/>
  <c r="D335" i="2"/>
  <c r="F18" i="13" s="1"/>
  <c r="G334" i="2"/>
  <c r="D334" i="2"/>
  <c r="F16" i="13" s="1"/>
  <c r="G333" i="2"/>
  <c r="D333" i="2"/>
  <c r="B16" i="13" s="1"/>
  <c r="G332" i="2"/>
  <c r="D332" i="2"/>
  <c r="G331" i="2"/>
  <c r="D331" i="2"/>
  <c r="G330" i="2"/>
  <c r="D330" i="2"/>
  <c r="G329" i="2"/>
  <c r="D329" i="2"/>
  <c r="G328" i="2"/>
  <c r="D328" i="2"/>
  <c r="G327" i="2"/>
  <c r="D327" i="2"/>
  <c r="G326" i="2"/>
  <c r="D326" i="2"/>
  <c r="G325" i="2"/>
  <c r="D325" i="2"/>
  <c r="B44" i="12" s="1"/>
  <c r="G324" i="2"/>
  <c r="D324" i="2"/>
  <c r="B22" i="12" s="1"/>
  <c r="G323" i="2"/>
  <c r="D323" i="2"/>
  <c r="G322" i="2"/>
  <c r="D322" i="2"/>
  <c r="G321" i="2"/>
  <c r="D321" i="2"/>
  <c r="G320" i="2"/>
  <c r="D320" i="2"/>
  <c r="G319" i="2"/>
  <c r="D319" i="2"/>
  <c r="G318" i="2"/>
  <c r="D318" i="2"/>
  <c r="G317" i="2"/>
  <c r="D317" i="2"/>
  <c r="G316" i="2"/>
  <c r="D316" i="2"/>
  <c r="G315" i="2"/>
  <c r="D315" i="2"/>
  <c r="G314" i="2"/>
  <c r="D314" i="2"/>
  <c r="G313" i="2"/>
  <c r="D313" i="2"/>
  <c r="G312" i="2"/>
  <c r="D312" i="2"/>
  <c r="A1" i="12" s="1"/>
  <c r="G311" i="2"/>
  <c r="D311" i="2"/>
  <c r="B32" i="11" s="1"/>
  <c r="G310" i="2"/>
  <c r="D310" i="2"/>
  <c r="B31" i="11" s="1"/>
  <c r="G309" i="2"/>
  <c r="D309" i="2"/>
  <c r="B96" i="11" s="1"/>
  <c r="G308" i="2"/>
  <c r="D308" i="2"/>
  <c r="B97" i="11" s="1"/>
  <c r="G307" i="2"/>
  <c r="D307" i="2"/>
  <c r="G306" i="2"/>
  <c r="D306" i="2"/>
  <c r="B70" i="11" s="1"/>
  <c r="G305" i="2"/>
  <c r="D305" i="2"/>
  <c r="G304" i="2"/>
  <c r="D304" i="2"/>
  <c r="G303" i="2"/>
  <c r="D303" i="2"/>
  <c r="B61" i="11" s="1"/>
  <c r="G302" i="2"/>
  <c r="D302" i="2"/>
  <c r="B102" i="11" s="1"/>
  <c r="G301" i="2"/>
  <c r="D301" i="2"/>
  <c r="B104" i="11" s="1"/>
  <c r="G300" i="2"/>
  <c r="D300" i="2"/>
  <c r="B122" i="11" s="1"/>
  <c r="G299" i="2"/>
  <c r="D299" i="2"/>
  <c r="B120" i="11" s="1"/>
  <c r="G298" i="2"/>
  <c r="D298" i="2"/>
  <c r="B119" i="11" s="1"/>
  <c r="G297" i="2"/>
  <c r="D297" i="2"/>
  <c r="B113" i="11" s="1"/>
  <c r="G296" i="2"/>
  <c r="D296" i="2"/>
  <c r="B111" i="11" s="1"/>
  <c r="G295" i="2"/>
  <c r="D295" i="2"/>
  <c r="G294" i="2"/>
  <c r="D294" i="2"/>
  <c r="B68" i="11" s="1"/>
  <c r="G293" i="2"/>
  <c r="D293" i="2"/>
  <c r="G292" i="2"/>
  <c r="D292" i="2"/>
  <c r="G291" i="2"/>
  <c r="D291" i="2"/>
  <c r="G290" i="2"/>
  <c r="D290" i="2"/>
  <c r="G289" i="2"/>
  <c r="D289" i="2"/>
  <c r="G288" i="2"/>
  <c r="D288" i="2"/>
  <c r="B60" i="11" s="1"/>
  <c r="G287" i="2"/>
  <c r="D287" i="2"/>
  <c r="B52" i="11" s="1"/>
  <c r="G286" i="2"/>
  <c r="D286" i="2"/>
  <c r="B51" i="11" s="1"/>
  <c r="G285" i="2"/>
  <c r="D285" i="2"/>
  <c r="B50" i="11" s="1"/>
  <c r="G284" i="2"/>
  <c r="D284" i="2"/>
  <c r="B49" i="11" s="1"/>
  <c r="G283" i="2"/>
  <c r="D283" i="2"/>
  <c r="B48" i="11" s="1"/>
  <c r="G282" i="2"/>
  <c r="D282" i="2"/>
  <c r="B47" i="11" s="1"/>
  <c r="G281" i="2"/>
  <c r="D281" i="2"/>
  <c r="B45" i="11" s="1"/>
  <c r="G280" i="2"/>
  <c r="D280" i="2"/>
  <c r="B44" i="11" s="1"/>
  <c r="G279" i="2"/>
  <c r="D279" i="2"/>
  <c r="B43" i="11" s="1"/>
  <c r="G278" i="2"/>
  <c r="D278" i="2"/>
  <c r="B42" i="11" s="1"/>
  <c r="G277" i="2"/>
  <c r="D277" i="2"/>
  <c r="B41" i="11" s="1"/>
  <c r="G276" i="2"/>
  <c r="D276" i="2"/>
  <c r="B40" i="11" s="1"/>
  <c r="G275" i="2"/>
  <c r="D275" i="2"/>
  <c r="B39" i="11" s="1"/>
  <c r="G274" i="2"/>
  <c r="D274" i="2"/>
  <c r="B36" i="11" s="1"/>
  <c r="G273" i="2"/>
  <c r="D273" i="2"/>
  <c r="B35" i="11" s="1"/>
  <c r="G272" i="2"/>
  <c r="D272" i="2"/>
  <c r="B34" i="11" s="1"/>
  <c r="G271" i="2"/>
  <c r="D271" i="2"/>
  <c r="B33" i="11" s="1"/>
  <c r="G270" i="2"/>
  <c r="D270" i="2"/>
  <c r="G269" i="2"/>
  <c r="D269" i="2"/>
  <c r="B30" i="11" s="1"/>
  <c r="G268" i="2"/>
  <c r="D268" i="2"/>
  <c r="B29" i="11" s="1"/>
  <c r="G267" i="2"/>
  <c r="D267" i="2"/>
  <c r="B28" i="11" s="1"/>
  <c r="G266" i="2"/>
  <c r="D266" i="2"/>
  <c r="B27" i="11" s="1"/>
  <c r="G265" i="2"/>
  <c r="D265" i="2"/>
  <c r="B24" i="11" s="1"/>
  <c r="G264" i="2"/>
  <c r="D264" i="2"/>
  <c r="B23" i="11" s="1"/>
  <c r="G263" i="2"/>
  <c r="D263" i="2"/>
  <c r="B22" i="11" s="1"/>
  <c r="G262" i="2"/>
  <c r="D262" i="2"/>
  <c r="B21" i="11" s="1"/>
  <c r="G261" i="2"/>
  <c r="D261" i="2"/>
  <c r="B20" i="11" s="1"/>
  <c r="G260" i="2"/>
  <c r="D260" i="2"/>
  <c r="B19" i="11" s="1"/>
  <c r="G259" i="2"/>
  <c r="D259" i="2"/>
  <c r="B18" i="11" s="1"/>
  <c r="G258" i="2"/>
  <c r="D258" i="2"/>
  <c r="B17" i="11" s="1"/>
  <c r="G257" i="2"/>
  <c r="D257" i="2"/>
  <c r="B16" i="11" s="1"/>
  <c r="G256" i="2"/>
  <c r="D256" i="2"/>
  <c r="B15" i="11" s="1"/>
  <c r="G255" i="2"/>
  <c r="D255" i="2"/>
  <c r="B14" i="11" s="1"/>
  <c r="G254" i="2"/>
  <c r="D254" i="2"/>
  <c r="B13" i="11" s="1"/>
  <c r="G253" i="2"/>
  <c r="D253" i="2"/>
  <c r="B12" i="11" s="1"/>
  <c r="G252" i="2"/>
  <c r="D252" i="2"/>
  <c r="B11" i="11" s="1"/>
  <c r="G251" i="2"/>
  <c r="D251" i="2"/>
  <c r="B10" i="11" s="1"/>
  <c r="G250" i="2"/>
  <c r="D250" i="2"/>
  <c r="B9" i="11" s="1"/>
  <c r="G249" i="2"/>
  <c r="D249" i="2"/>
  <c r="B8" i="11" s="1"/>
  <c r="G248" i="2"/>
  <c r="D248" i="2"/>
  <c r="B7" i="11" s="1"/>
  <c r="G247" i="2"/>
  <c r="D247" i="2"/>
  <c r="B6" i="11" s="1"/>
  <c r="G246" i="2"/>
  <c r="D246" i="2"/>
  <c r="B38" i="11" s="1"/>
  <c r="G245" i="2"/>
  <c r="D245" i="2"/>
  <c r="B26" i="11" s="1"/>
  <c r="G244" i="2"/>
  <c r="D244" i="2"/>
  <c r="B5" i="11" s="1"/>
  <c r="G243" i="2"/>
  <c r="D243" i="2"/>
  <c r="A1" i="11" s="1"/>
  <c r="G242" i="2"/>
  <c r="D242" i="2"/>
  <c r="G241" i="2"/>
  <c r="D241" i="2"/>
  <c r="G240" i="2"/>
  <c r="D240" i="2"/>
  <c r="G239" i="2"/>
  <c r="D239" i="2"/>
  <c r="G238" i="2"/>
  <c r="D238" i="2"/>
  <c r="G237" i="2"/>
  <c r="D237" i="2"/>
  <c r="G236" i="2"/>
  <c r="D236" i="2"/>
  <c r="G235" i="2"/>
  <c r="D235" i="2"/>
  <c r="G234" i="2"/>
  <c r="D234" i="2"/>
  <c r="G233" i="2"/>
  <c r="D233" i="2"/>
  <c r="A1" i="10" s="1"/>
  <c r="G232" i="2"/>
  <c r="D232" i="2"/>
  <c r="B19" i="9" s="1"/>
  <c r="G231" i="2"/>
  <c r="D231" i="2"/>
  <c r="B18" i="9" s="1"/>
  <c r="G230" i="2"/>
  <c r="D230" i="2"/>
  <c r="G229" i="2"/>
  <c r="D229" i="2"/>
  <c r="B76" i="6" s="1"/>
  <c r="G228" i="2"/>
  <c r="D228" i="2"/>
  <c r="G227" i="2"/>
  <c r="D227" i="2"/>
  <c r="G226" i="2"/>
  <c r="D226" i="2"/>
  <c r="B13" i="9" s="1"/>
  <c r="G225" i="2"/>
  <c r="D225" i="2"/>
  <c r="G224" i="2"/>
  <c r="D224" i="2"/>
  <c r="G223" i="2"/>
  <c r="D223" i="2"/>
  <c r="G222" i="2"/>
  <c r="D222" i="2"/>
  <c r="G221" i="2"/>
  <c r="D221" i="2"/>
  <c r="B7" i="9" s="1"/>
  <c r="G220" i="2"/>
  <c r="D220" i="2"/>
  <c r="B5" i="9" s="1"/>
  <c r="G219" i="2"/>
  <c r="D219" i="2"/>
  <c r="A1" i="9" s="1"/>
  <c r="G218" i="2"/>
  <c r="D218" i="2"/>
  <c r="G217" i="2"/>
  <c r="D217" i="2"/>
  <c r="G216" i="2"/>
  <c r="D216" i="2"/>
  <c r="B44" i="8" s="1"/>
  <c r="G215" i="2"/>
  <c r="D215" i="2"/>
  <c r="G214" i="2"/>
  <c r="D214" i="2"/>
  <c r="B40" i="8" s="1"/>
  <c r="G213" i="2"/>
  <c r="D213" i="2"/>
  <c r="G212" i="2"/>
  <c r="D212" i="2"/>
  <c r="G211" i="2"/>
  <c r="D211" i="2"/>
  <c r="G210" i="2"/>
  <c r="D210" i="2"/>
  <c r="G209" i="2"/>
  <c r="D209" i="2"/>
  <c r="B65" i="6" s="1"/>
  <c r="G208" i="2"/>
  <c r="D208" i="2"/>
  <c r="G207" i="2"/>
  <c r="D207" i="2"/>
  <c r="G206" i="2"/>
  <c r="D206" i="2"/>
  <c r="G205" i="2"/>
  <c r="D205" i="2"/>
  <c r="G204" i="2"/>
  <c r="D204" i="2"/>
  <c r="B26" i="8" s="1"/>
  <c r="G203" i="2"/>
  <c r="D203" i="2"/>
  <c r="G202" i="2"/>
  <c r="D202" i="2"/>
  <c r="G201" i="2"/>
  <c r="D201" i="2"/>
  <c r="G200" i="2"/>
  <c r="D200" i="2"/>
  <c r="G199" i="2"/>
  <c r="D199" i="2"/>
  <c r="G198" i="2"/>
  <c r="D198" i="2"/>
  <c r="B17" i="8" s="1"/>
  <c r="G197" i="2"/>
  <c r="D197" i="2"/>
  <c r="G196" i="2"/>
  <c r="D196" i="2"/>
  <c r="B15" i="8" s="1"/>
  <c r="G195" i="2"/>
  <c r="D195" i="2"/>
  <c r="B53" i="6" s="1"/>
  <c r="G194" i="2"/>
  <c r="D194" i="2"/>
  <c r="B52" i="6" s="1"/>
  <c r="G193" i="2"/>
  <c r="D193" i="2"/>
  <c r="B51" i="6" s="1"/>
  <c r="G192" i="2"/>
  <c r="D192" i="2"/>
  <c r="B50" i="6" s="1"/>
  <c r="G191" i="2"/>
  <c r="D191" i="2"/>
  <c r="B49" i="6" s="1"/>
  <c r="G190" i="2"/>
  <c r="D190" i="2"/>
  <c r="B48" i="6" s="1"/>
  <c r="G189" i="2"/>
  <c r="D189" i="2"/>
  <c r="B47" i="6" s="1"/>
  <c r="G188" i="2"/>
  <c r="D188" i="2"/>
  <c r="B46" i="6" s="1"/>
  <c r="G187" i="2"/>
  <c r="D187" i="2"/>
  <c r="B45" i="6" s="1"/>
  <c r="G186" i="2"/>
  <c r="D186" i="2"/>
  <c r="B44" i="6" s="1"/>
  <c r="G185" i="2"/>
  <c r="D185" i="2"/>
  <c r="B43" i="6" s="1"/>
  <c r="G184" i="2"/>
  <c r="D184" i="2"/>
  <c r="B42" i="6" s="1"/>
  <c r="G183" i="2"/>
  <c r="D183" i="2"/>
  <c r="G182" i="2"/>
  <c r="D182" i="2"/>
  <c r="G181" i="2"/>
  <c r="D181" i="2"/>
  <c r="G180" i="2"/>
  <c r="D180" i="2"/>
  <c r="B42" i="8" s="1"/>
  <c r="G179" i="2"/>
  <c r="D179" i="2"/>
  <c r="G178" i="2"/>
  <c r="D178" i="2"/>
  <c r="G177" i="2"/>
  <c r="D177" i="2"/>
  <c r="G176" i="2"/>
  <c r="D176" i="2"/>
  <c r="B5" i="8" s="1"/>
  <c r="G175" i="2"/>
  <c r="D175" i="2"/>
  <c r="A1" i="8" s="1"/>
  <c r="G174" i="2"/>
  <c r="D174" i="2"/>
  <c r="B60" i="7" s="1"/>
  <c r="G173" i="2"/>
  <c r="D173" i="2"/>
  <c r="B58" i="7" s="1"/>
  <c r="G172" i="2"/>
  <c r="D172" i="2"/>
  <c r="B57" i="7" s="1"/>
  <c r="G171" i="2"/>
  <c r="D171" i="2"/>
  <c r="G170" i="2"/>
  <c r="D170" i="2"/>
  <c r="G169" i="2"/>
  <c r="D169" i="2"/>
  <c r="G168" i="2"/>
  <c r="D168" i="2"/>
  <c r="G167" i="2"/>
  <c r="D167" i="2"/>
  <c r="G166" i="2"/>
  <c r="D166" i="2"/>
  <c r="G165" i="2"/>
  <c r="D165" i="2"/>
  <c r="B50" i="7" s="1"/>
  <c r="G164" i="2"/>
  <c r="D164" i="2"/>
  <c r="G163" i="2"/>
  <c r="D163" i="2"/>
  <c r="B48" i="7" s="1"/>
  <c r="G162" i="2"/>
  <c r="D162" i="2"/>
  <c r="B46" i="7" s="1"/>
  <c r="G161" i="2"/>
  <c r="D161" i="2"/>
  <c r="B45" i="7" s="1"/>
  <c r="G160" i="2"/>
  <c r="D160" i="2"/>
  <c r="G159" i="2"/>
  <c r="D159" i="2"/>
  <c r="G158" i="2"/>
  <c r="D158" i="2"/>
  <c r="G157" i="2"/>
  <c r="D157" i="2"/>
  <c r="G156" i="2"/>
  <c r="D156" i="2"/>
  <c r="G155" i="2"/>
  <c r="D155" i="2"/>
  <c r="B39" i="7" s="1"/>
  <c r="G154" i="2"/>
  <c r="D154" i="2"/>
  <c r="B37" i="7" s="1"/>
  <c r="G153" i="2"/>
  <c r="D153" i="2"/>
  <c r="G152" i="2"/>
  <c r="D152" i="2"/>
  <c r="B24" i="6" s="1"/>
  <c r="G151" i="2"/>
  <c r="D151" i="2"/>
  <c r="G150" i="2"/>
  <c r="D150" i="2"/>
  <c r="G149" i="2"/>
  <c r="D149" i="2"/>
  <c r="B32" i="7" s="1"/>
  <c r="G148" i="2"/>
  <c r="D148" i="2"/>
  <c r="B31" i="7" s="1"/>
  <c r="G147" i="2"/>
  <c r="D147" i="2"/>
  <c r="B29" i="7" s="1"/>
  <c r="G146" i="2"/>
  <c r="D146" i="2"/>
  <c r="B28" i="7" s="1"/>
  <c r="G145" i="2"/>
  <c r="D145" i="2"/>
  <c r="G144" i="2"/>
  <c r="D144" i="2"/>
  <c r="G143" i="2"/>
  <c r="D143" i="2"/>
  <c r="G142" i="2"/>
  <c r="D142" i="2"/>
  <c r="G141" i="2"/>
  <c r="D141" i="2"/>
  <c r="G140" i="2"/>
  <c r="D140" i="2"/>
  <c r="G139" i="2"/>
  <c r="D139" i="2"/>
  <c r="G138" i="2"/>
  <c r="D138" i="2"/>
  <c r="B14" i="6" s="1"/>
  <c r="G137" i="2"/>
  <c r="D137" i="2"/>
  <c r="B19" i="7" s="1"/>
  <c r="G136" i="2"/>
  <c r="D136" i="2"/>
  <c r="B17" i="7" s="1"/>
  <c r="G135" i="2"/>
  <c r="D135" i="2"/>
  <c r="G134" i="2"/>
  <c r="D134" i="2"/>
  <c r="B15" i="7" s="1"/>
  <c r="G133" i="2"/>
  <c r="D133" i="2"/>
  <c r="G132" i="2"/>
  <c r="D132" i="2"/>
  <c r="G131" i="2"/>
  <c r="D131" i="2"/>
  <c r="G130" i="2"/>
  <c r="D130" i="2"/>
  <c r="G129" i="2"/>
  <c r="D129" i="2"/>
  <c r="G128" i="2"/>
  <c r="D128" i="2"/>
  <c r="B6" i="6" s="1"/>
  <c r="G127" i="2"/>
  <c r="D127" i="2"/>
  <c r="B8" i="7" s="1"/>
  <c r="G126" i="2"/>
  <c r="D126" i="2"/>
  <c r="G125" i="2"/>
  <c r="D125" i="2"/>
  <c r="B6" i="7" s="1"/>
  <c r="G124" i="2"/>
  <c r="D124" i="2"/>
  <c r="B5" i="7" s="1"/>
  <c r="G123" i="2"/>
  <c r="D123" i="2"/>
  <c r="A1" i="7" s="1"/>
  <c r="G122" i="2"/>
  <c r="D122" i="2"/>
  <c r="G121" i="2"/>
  <c r="D121" i="2"/>
  <c r="G120" i="2"/>
  <c r="D120" i="2"/>
  <c r="S3" i="6" s="1"/>
  <c r="G119" i="2"/>
  <c r="D119" i="2"/>
  <c r="R3" i="6" s="1"/>
  <c r="G118" i="2"/>
  <c r="D118" i="2"/>
  <c r="G117" i="2"/>
  <c r="D117" i="2"/>
  <c r="D81" i="6" s="1"/>
  <c r="G116" i="2"/>
  <c r="D116" i="2"/>
  <c r="G115" i="2"/>
  <c r="D115" i="2"/>
  <c r="J3" i="6" s="1"/>
  <c r="G114" i="2"/>
  <c r="D114" i="2"/>
  <c r="I3" i="6" s="1"/>
  <c r="G113" i="2"/>
  <c r="D113" i="2"/>
  <c r="E3" i="6" s="1"/>
  <c r="G112" i="2"/>
  <c r="D112" i="2"/>
  <c r="G111" i="2"/>
  <c r="D111" i="2"/>
  <c r="A3" i="6" s="1"/>
  <c r="G110" i="2"/>
  <c r="D110" i="2"/>
  <c r="G109" i="2"/>
  <c r="D109" i="2"/>
  <c r="G108" i="2"/>
  <c r="D108" i="2"/>
  <c r="G107" i="2"/>
  <c r="D107" i="2"/>
  <c r="G106" i="2"/>
  <c r="D106" i="2"/>
  <c r="V3" i="3" s="1"/>
  <c r="G105" i="2"/>
  <c r="D105" i="2"/>
  <c r="G104" i="2"/>
  <c r="D104" i="2"/>
  <c r="R3" i="3" s="1"/>
  <c r="G103" i="2"/>
  <c r="D103" i="2"/>
  <c r="K3" i="5" s="1"/>
  <c r="G102" i="2"/>
  <c r="D102" i="2"/>
  <c r="O3" i="3" s="1"/>
  <c r="G101" i="2"/>
  <c r="D101" i="2"/>
  <c r="N3" i="3" s="1"/>
  <c r="G100" i="2"/>
  <c r="D100" i="2"/>
  <c r="G99" i="2"/>
  <c r="D99" i="2"/>
  <c r="L3" i="3" s="1"/>
  <c r="G98" i="2"/>
  <c r="D98" i="2"/>
  <c r="J3" i="3" s="1"/>
  <c r="G97" i="2"/>
  <c r="D97" i="2"/>
  <c r="H3" i="3" s="1"/>
  <c r="G96" i="2"/>
  <c r="D96" i="2"/>
  <c r="J3" i="5" s="1"/>
  <c r="G95" i="2"/>
  <c r="D95" i="2"/>
  <c r="F3" i="3" s="1"/>
  <c r="G94" i="2"/>
  <c r="D94" i="2"/>
  <c r="G93" i="2"/>
  <c r="D93" i="2"/>
  <c r="G92" i="2"/>
  <c r="D92" i="2"/>
  <c r="B3" i="3" s="1"/>
  <c r="G91" i="2"/>
  <c r="D91" i="2"/>
  <c r="A3" i="3" s="1"/>
  <c r="G90" i="2"/>
  <c r="D90" i="2"/>
  <c r="G89" i="2"/>
  <c r="D89" i="2"/>
  <c r="L3" i="5" s="1"/>
  <c r="G88" i="2"/>
  <c r="D88" i="2"/>
  <c r="G3" i="5" s="1"/>
  <c r="G87" i="2"/>
  <c r="D87" i="2"/>
  <c r="F3" i="5" s="1"/>
  <c r="G86" i="2"/>
  <c r="D86" i="2"/>
  <c r="E3" i="5" s="1"/>
  <c r="G85" i="2"/>
  <c r="D85" i="2"/>
  <c r="D3" i="5" s="1"/>
  <c r="G84" i="2"/>
  <c r="D84" i="2"/>
  <c r="B3" i="5" s="1"/>
  <c r="G83" i="2"/>
  <c r="D83" i="2"/>
  <c r="A3" i="5" s="1"/>
  <c r="G82" i="2"/>
  <c r="D82" i="2"/>
  <c r="G81" i="2"/>
  <c r="D81" i="2"/>
  <c r="B507" i="4" s="1"/>
  <c r="G80" i="2"/>
  <c r="D80" i="2"/>
  <c r="G79" i="2"/>
  <c r="D79" i="2"/>
  <c r="F5" i="4" s="1"/>
  <c r="G78" i="2"/>
  <c r="D78" i="2"/>
  <c r="E5" i="4" s="1"/>
  <c r="G77" i="2"/>
  <c r="D77" i="2"/>
  <c r="D5" i="4" s="1"/>
  <c r="G76" i="2"/>
  <c r="D76" i="2"/>
  <c r="C5" i="4" s="1"/>
  <c r="G75" i="2"/>
  <c r="D75" i="2"/>
  <c r="B5" i="4" s="1"/>
  <c r="G74" i="2"/>
  <c r="D74" i="2"/>
  <c r="A5" i="4" s="1"/>
  <c r="G73" i="2"/>
  <c r="D73" i="2"/>
  <c r="B27" i="1" s="1"/>
  <c r="G72" i="2"/>
  <c r="D72" i="2"/>
  <c r="B20" i="1" s="1"/>
  <c r="G71" i="2"/>
  <c r="D71" i="2"/>
  <c r="G70" i="2"/>
  <c r="D70" i="2"/>
  <c r="G69" i="2"/>
  <c r="D69" i="2"/>
  <c r="G68" i="2"/>
  <c r="D68" i="2"/>
  <c r="G67" i="2"/>
  <c r="D67" i="2"/>
  <c r="G66" i="2"/>
  <c r="D66" i="2"/>
  <c r="G65" i="2"/>
  <c r="D65" i="2"/>
  <c r="C33" i="1" s="1"/>
  <c r="C44" i="16" s="1"/>
  <c r="G64" i="2"/>
  <c r="D64" i="2"/>
  <c r="G63" i="2"/>
  <c r="D63" i="2"/>
  <c r="G62" i="2"/>
  <c r="D62" i="2"/>
  <c r="B33" i="1" s="1"/>
  <c r="G61" i="2"/>
  <c r="D61" i="2"/>
  <c r="B32" i="1" s="1"/>
  <c r="G60" i="2"/>
  <c r="D60" i="2"/>
  <c r="B31" i="1" s="1"/>
  <c r="G59" i="2"/>
  <c r="D59" i="2"/>
  <c r="B19" i="1" s="1"/>
  <c r="G58" i="2"/>
  <c r="D58" i="2"/>
  <c r="G57" i="2"/>
  <c r="D57" i="2"/>
  <c r="G56" i="2"/>
  <c r="D56" i="2"/>
  <c r="G55" i="2"/>
  <c r="D55" i="2"/>
  <c r="G54" i="2"/>
  <c r="D54" i="2"/>
  <c r="B36" i="13" s="1"/>
  <c r="G53" i="2"/>
  <c r="D53" i="2"/>
  <c r="B35" i="13" s="1"/>
  <c r="G52" i="2"/>
  <c r="D52" i="2"/>
  <c r="G51" i="2"/>
  <c r="D51" i="2"/>
  <c r="G50" i="2"/>
  <c r="D50" i="2"/>
  <c r="G49" i="2"/>
  <c r="D49" i="2"/>
  <c r="G48" i="2"/>
  <c r="D48" i="2"/>
  <c r="G47" i="2"/>
  <c r="D47" i="2"/>
  <c r="C12" i="1" s="1"/>
  <c r="G46" i="2"/>
  <c r="D46" i="2"/>
  <c r="G45" i="2"/>
  <c r="D45" i="2"/>
  <c r="G44" i="2"/>
  <c r="D44" i="2"/>
  <c r="B10" i="1" s="1"/>
  <c r="G43" i="2"/>
  <c r="D43" i="2"/>
  <c r="B9" i="1" s="1"/>
  <c r="G42" i="2"/>
  <c r="D42" i="2"/>
  <c r="B8" i="1" s="1"/>
  <c r="G41" i="2"/>
  <c r="D41" i="2"/>
  <c r="B7" i="1" s="1"/>
  <c r="G40" i="2"/>
  <c r="D40" i="2"/>
  <c r="G39" i="2"/>
  <c r="D39" i="2"/>
  <c r="G38" i="2"/>
  <c r="D38" i="2"/>
  <c r="G37" i="2"/>
  <c r="D37" i="2"/>
  <c r="F3" i="2" s="1"/>
  <c r="G36" i="2"/>
  <c r="D36" i="2"/>
  <c r="E3" i="2" s="1"/>
  <c r="G35" i="2"/>
  <c r="D35" i="2"/>
  <c r="D3" i="2" s="1"/>
  <c r="G34" i="2"/>
  <c r="D34" i="2"/>
  <c r="G26" i="12" s="1"/>
  <c r="G33" i="2"/>
  <c r="D33" i="2"/>
  <c r="G32" i="2"/>
  <c r="D32" i="2"/>
  <c r="G31" i="2"/>
  <c r="D31" i="2"/>
  <c r="B29" i="1" s="1"/>
  <c r="G30" i="2"/>
  <c r="D30" i="2"/>
  <c r="G29" i="2"/>
  <c r="D29" i="2"/>
  <c r="G28" i="2"/>
  <c r="D28" i="2"/>
  <c r="G27" i="2"/>
  <c r="D27" i="2"/>
  <c r="G26" i="2"/>
  <c r="D26" i="2"/>
  <c r="G25" i="2"/>
  <c r="D25" i="2"/>
  <c r="G24" i="2"/>
  <c r="D24" i="2"/>
  <c r="G23" i="2"/>
  <c r="D23" i="2"/>
  <c r="G22" i="2"/>
  <c r="D22" i="2"/>
  <c r="A1" i="15" s="1"/>
  <c r="G21" i="2"/>
  <c r="D21" i="2"/>
  <c r="G20" i="2"/>
  <c r="D20" i="2"/>
  <c r="A1" i="13" s="1"/>
  <c r="G19" i="2"/>
  <c r="D19" i="2"/>
  <c r="A1" i="6" s="1"/>
  <c r="G18" i="2"/>
  <c r="D18" i="2"/>
  <c r="A1" i="5" s="1"/>
  <c r="G17" i="2"/>
  <c r="D17" i="2"/>
  <c r="A1" i="4" s="1"/>
  <c r="G16" i="2"/>
  <c r="D16" i="2"/>
  <c r="A1" i="3" s="1"/>
  <c r="G15" i="2"/>
  <c r="D15" i="2"/>
  <c r="G14" i="2"/>
  <c r="D14" i="2"/>
  <c r="G13" i="2"/>
  <c r="D13" i="2"/>
  <c r="G12" i="2"/>
  <c r="D12" i="2"/>
  <c r="A2" i="1" s="1"/>
  <c r="G11" i="2"/>
  <c r="D11" i="2"/>
  <c r="G10" i="2"/>
  <c r="D10" i="2"/>
  <c r="G9" i="2"/>
  <c r="D9" i="2"/>
  <c r="G8" i="2"/>
  <c r="D8" i="2"/>
  <c r="G7" i="2"/>
  <c r="D7" i="2"/>
  <c r="G6" i="2"/>
  <c r="D6" i="2"/>
  <c r="G5" i="2"/>
  <c r="D5" i="2"/>
  <c r="G4" i="2"/>
  <c r="D4" i="2"/>
  <c r="G3" i="2"/>
  <c r="C3" i="2"/>
  <c r="B3" i="2"/>
  <c r="A3" i="2"/>
  <c r="A1" i="2"/>
  <c r="B35" i="1"/>
  <c r="B34" i="1"/>
  <c r="B25" i="1"/>
  <c r="B23" i="1"/>
  <c r="B22" i="1"/>
  <c r="B21" i="1"/>
  <c r="D19" i="1"/>
  <c r="D18" i="1"/>
  <c r="B18" i="1"/>
  <c r="D17" i="1"/>
  <c r="D16" i="1"/>
  <c r="D15" i="1"/>
  <c r="B15" i="1"/>
  <c r="B14" i="1"/>
  <c r="B12" i="1"/>
  <c r="B11" i="1"/>
  <c r="C9" i="1"/>
  <c r="C8" i="1"/>
  <c r="B6" i="1"/>
  <c r="B5" i="1"/>
  <c r="D4" i="1"/>
  <c r="B4" i="1"/>
  <c r="A1" i="1"/>
  <c r="O51" i="3" l="1"/>
  <c r="H53" i="4" s="1"/>
  <c r="M51" i="3"/>
  <c r="G53" i="4" s="1"/>
  <c r="F53" i="4" s="1"/>
  <c r="I4" i="5"/>
  <c r="L4" i="5" s="1"/>
  <c r="G17" i="4"/>
  <c r="F17" i="4" s="1"/>
  <c r="O39" i="3"/>
  <c r="H41" i="4" s="1"/>
  <c r="M39" i="3"/>
  <c r="G41" i="4" s="1"/>
  <c r="F41" i="4" s="1"/>
  <c r="B3" i="10"/>
  <c r="B3" i="7"/>
  <c r="B3" i="13"/>
  <c r="B3" i="12"/>
  <c r="B3" i="11"/>
  <c r="B3" i="8"/>
  <c r="B3" i="9"/>
  <c r="O45" i="3"/>
  <c r="H47" i="4" s="1"/>
  <c r="M45" i="3"/>
  <c r="G47" i="4" s="1"/>
  <c r="F47" i="4" s="1"/>
  <c r="O33" i="3"/>
  <c r="H35" i="4" s="1"/>
  <c r="M33" i="3"/>
  <c r="G35" i="4" s="1"/>
  <c r="F35" i="4" s="1"/>
  <c r="B14" i="9"/>
  <c r="B74" i="6"/>
  <c r="B88" i="11"/>
  <c r="B67" i="11"/>
  <c r="B78" i="11"/>
  <c r="B121" i="11"/>
  <c r="B98" i="11"/>
  <c r="B31" i="12"/>
  <c r="B10" i="12"/>
  <c r="B52" i="12"/>
  <c r="H3" i="5"/>
  <c r="K3" i="3"/>
  <c r="S3" i="3"/>
  <c r="L5" i="3"/>
  <c r="O5" i="3" s="1"/>
  <c r="H7" i="4" s="1"/>
  <c r="V26" i="3"/>
  <c r="M27" i="3"/>
  <c r="G29" i="4" s="1"/>
  <c r="F29" i="4" s="1"/>
  <c r="V32" i="3"/>
  <c r="V38" i="3"/>
  <c r="V44" i="3"/>
  <c r="H5" i="4"/>
  <c r="I5" i="4"/>
  <c r="B5" i="6"/>
  <c r="B25" i="7"/>
  <c r="B19" i="6"/>
  <c r="B24" i="10"/>
  <c r="B12" i="10"/>
  <c r="B62" i="11"/>
  <c r="B7" i="7"/>
  <c r="B4" i="6"/>
  <c r="B13" i="7"/>
  <c r="B93" i="11"/>
  <c r="B10" i="6"/>
  <c r="B26" i="7"/>
  <c r="B20" i="6"/>
  <c r="B33" i="7"/>
  <c r="D18" i="10"/>
  <c r="D6" i="10"/>
  <c r="B22" i="6"/>
  <c r="B109" i="11"/>
  <c r="B40" i="7"/>
  <c r="B53" i="7"/>
  <c r="B36" i="6"/>
  <c r="B31" i="13"/>
  <c r="B66" i="6"/>
  <c r="B34" i="8"/>
  <c r="B8" i="9"/>
  <c r="B70" i="6"/>
  <c r="B15" i="9"/>
  <c r="B75" i="6"/>
  <c r="B19" i="10"/>
  <c r="B7" i="10"/>
  <c r="B13" i="10"/>
  <c r="B25" i="10"/>
  <c r="B99" i="11"/>
  <c r="B90" i="11"/>
  <c r="B106" i="11"/>
  <c r="B123" i="11"/>
  <c r="B114" i="11"/>
  <c r="B80" i="11"/>
  <c r="B32" i="12"/>
  <c r="B11" i="12"/>
  <c r="B53" i="12"/>
  <c r="B64" i="12"/>
  <c r="B43" i="12"/>
  <c r="O8" i="3"/>
  <c r="H10" i="4" s="1"/>
  <c r="V13" i="3"/>
  <c r="M13" i="3"/>
  <c r="G15" i="4" s="1"/>
  <c r="F15" i="4" s="1"/>
  <c r="O14" i="3"/>
  <c r="H16" i="4" s="1"/>
  <c r="M20" i="3"/>
  <c r="G22" i="4" s="1"/>
  <c r="F22" i="4" s="1"/>
  <c r="M23" i="3"/>
  <c r="J5" i="4"/>
  <c r="B31" i="6"/>
  <c r="B16" i="9"/>
  <c r="L13" i="3"/>
  <c r="O13" i="3" s="1"/>
  <c r="H15" i="4" s="1"/>
  <c r="O32" i="3"/>
  <c r="H34" i="4" s="1"/>
  <c r="O38" i="3"/>
  <c r="H40" i="4" s="1"/>
  <c r="O44" i="3"/>
  <c r="H46" i="4" s="1"/>
  <c r="O50" i="3"/>
  <c r="H52" i="4" s="1"/>
  <c r="B26" i="6"/>
  <c r="B20" i="7"/>
  <c r="C47" i="16"/>
  <c r="C46" i="16"/>
  <c r="C45" i="16"/>
  <c r="B22" i="13"/>
  <c r="B25" i="8"/>
  <c r="B60" i="6"/>
  <c r="B30" i="13"/>
  <c r="B33" i="8"/>
  <c r="B21" i="12"/>
  <c r="B42" i="12"/>
  <c r="B63" i="12"/>
  <c r="B15" i="6"/>
  <c r="B21" i="7"/>
  <c r="B21" i="6"/>
  <c r="B27" i="7"/>
  <c r="E6" i="10"/>
  <c r="E18" i="10"/>
  <c r="B23" i="6"/>
  <c r="B34" i="7"/>
  <c r="B117" i="11"/>
  <c r="B27" i="6"/>
  <c r="B41" i="7"/>
  <c r="G3" i="3"/>
  <c r="L7" i="3"/>
  <c r="O7" i="3" s="1"/>
  <c r="H9" i="4" s="1"/>
  <c r="C81" i="6"/>
  <c r="K3" i="6"/>
  <c r="U3" i="6"/>
  <c r="G81" i="6"/>
  <c r="B9" i="7"/>
  <c r="B83" i="11"/>
  <c r="B22" i="7"/>
  <c r="B16" i="6"/>
  <c r="F18" i="10"/>
  <c r="F6" i="10"/>
  <c r="B35" i="7"/>
  <c r="B42" i="7"/>
  <c r="B28" i="6"/>
  <c r="B49" i="7"/>
  <c r="B32" i="6"/>
  <c r="B55" i="7"/>
  <c r="B38" i="6"/>
  <c r="B6" i="8"/>
  <c r="B40" i="6"/>
  <c r="B19" i="13"/>
  <c r="B57" i="6"/>
  <c r="B22" i="8"/>
  <c r="B27" i="13"/>
  <c r="B30" i="8"/>
  <c r="B62" i="6"/>
  <c r="B38" i="8"/>
  <c r="B39" i="13"/>
  <c r="B67" i="6"/>
  <c r="B10" i="9"/>
  <c r="B72" i="6"/>
  <c r="B17" i="9"/>
  <c r="B77" i="6"/>
  <c r="B9" i="10"/>
  <c r="B21" i="10"/>
  <c r="B27" i="10"/>
  <c r="B15" i="10"/>
  <c r="B85" i="11"/>
  <c r="B64" i="11"/>
  <c r="B95" i="11"/>
  <c r="B75" i="11"/>
  <c r="B49" i="12"/>
  <c r="B28" i="12"/>
  <c r="B7" i="12"/>
  <c r="G54" i="12"/>
  <c r="D33" i="12"/>
  <c r="D12" i="12"/>
  <c r="D54" i="12"/>
  <c r="G33" i="12"/>
  <c r="G12" i="12"/>
  <c r="F30" i="13"/>
  <c r="F26" i="13"/>
  <c r="F31" i="13"/>
  <c r="I3" i="3"/>
  <c r="L6" i="3"/>
  <c r="O6" i="3" s="1"/>
  <c r="H8" i="4" s="1"/>
  <c r="V9" i="3"/>
  <c r="M10" i="3"/>
  <c r="V15" i="3"/>
  <c r="C3" i="5"/>
  <c r="B33" i="6"/>
  <c r="L12" i="3"/>
  <c r="O12" i="3" s="1"/>
  <c r="H14" i="4" s="1"/>
  <c r="V21" i="3"/>
  <c r="W51" i="6"/>
  <c r="V51" i="6"/>
  <c r="W49" i="6"/>
  <c r="N3" i="6"/>
  <c r="B12" i="6"/>
  <c r="B52" i="7"/>
  <c r="B35" i="6"/>
  <c r="B16" i="1"/>
  <c r="T3" i="6"/>
  <c r="F81" i="6"/>
  <c r="B14" i="7"/>
  <c r="B11" i="6"/>
  <c r="B18" i="13"/>
  <c r="B21" i="8"/>
  <c r="B56" i="6"/>
  <c r="B26" i="13"/>
  <c r="B29" i="8"/>
  <c r="B61" i="6"/>
  <c r="B43" i="13"/>
  <c r="B35" i="8"/>
  <c r="B9" i="9"/>
  <c r="B71" i="6"/>
  <c r="B20" i="10"/>
  <c r="B8" i="10"/>
  <c r="B14" i="10"/>
  <c r="B29" i="10"/>
  <c r="B26" i="10"/>
  <c r="V25" i="3"/>
  <c r="M25" i="3"/>
  <c r="G27" i="4" s="1"/>
  <c r="F27" i="4" s="1"/>
  <c r="E18" i="8"/>
  <c r="D18" i="8"/>
  <c r="B18" i="8"/>
  <c r="B49" i="13"/>
  <c r="C54" i="12"/>
  <c r="C47" i="12"/>
  <c r="C26" i="12"/>
  <c r="C5" i="12"/>
  <c r="C33" i="12"/>
  <c r="C12" i="12"/>
  <c r="B73" i="11"/>
  <c r="B10" i="7"/>
  <c r="B7" i="6"/>
  <c r="B16" i="7"/>
  <c r="B13" i="6"/>
  <c r="B23" i="7"/>
  <c r="B17" i="6"/>
  <c r="B36" i="7"/>
  <c r="G6" i="10"/>
  <c r="B25" i="6"/>
  <c r="B43" i="7"/>
  <c r="B29" i="6"/>
  <c r="B56" i="7"/>
  <c r="B39" i="6"/>
  <c r="B17" i="13"/>
  <c r="B20" i="8"/>
  <c r="B7" i="8"/>
  <c r="B41" i="6"/>
  <c r="B20" i="13"/>
  <c r="B58" i="6"/>
  <c r="B23" i="8"/>
  <c r="B31" i="8"/>
  <c r="B28" i="13"/>
  <c r="B63" i="6"/>
  <c r="B40" i="13"/>
  <c r="B39" i="8"/>
  <c r="B68" i="6"/>
  <c r="B11" i="9"/>
  <c r="B73" i="6"/>
  <c r="B10" i="10"/>
  <c r="B22" i="10"/>
  <c r="B76" i="11"/>
  <c r="B86" i="11"/>
  <c r="B65" i="11"/>
  <c r="B50" i="12"/>
  <c r="B29" i="12"/>
  <c r="B8" i="12"/>
  <c r="E33" i="12"/>
  <c r="H54" i="12"/>
  <c r="H33" i="12"/>
  <c r="E12" i="12"/>
  <c r="E54" i="12"/>
  <c r="H12" i="12"/>
  <c r="F27" i="13"/>
  <c r="F29" i="13"/>
  <c r="F28" i="13"/>
  <c r="B1" i="14"/>
  <c r="C3" i="14"/>
  <c r="P3" i="3"/>
  <c r="M18" i="3"/>
  <c r="L18" i="3"/>
  <c r="O18" i="3" s="1"/>
  <c r="H20" i="4" s="1"/>
  <c r="V27" i="3"/>
  <c r="L31" i="3"/>
  <c r="O31" i="3" s="1"/>
  <c r="H33" i="4" s="1"/>
  <c r="L34" i="3"/>
  <c r="L37" i="3"/>
  <c r="O37" i="3" s="1"/>
  <c r="H39" i="4" s="1"/>
  <c r="L40" i="3"/>
  <c r="L43" i="3"/>
  <c r="O43" i="3" s="1"/>
  <c r="H45" i="4" s="1"/>
  <c r="L46" i="3"/>
  <c r="L49" i="3"/>
  <c r="O49" i="3" s="1"/>
  <c r="H51" i="4" s="1"/>
  <c r="L52" i="3"/>
  <c r="M52" i="3" s="1"/>
  <c r="L55" i="3"/>
  <c r="O55" i="3" s="1"/>
  <c r="H57" i="4" s="1"/>
  <c r="B54" i="6"/>
  <c r="B16" i="8"/>
  <c r="B55" i="6"/>
  <c r="B43" i="8"/>
  <c r="B69" i="6"/>
  <c r="K4" i="5"/>
  <c r="I17" i="4"/>
  <c r="B34" i="12"/>
  <c r="B13" i="12"/>
  <c r="B55" i="12"/>
  <c r="B17" i="1"/>
  <c r="Q3" i="3"/>
  <c r="V8" i="3"/>
  <c r="V14" i="3"/>
  <c r="L24" i="3"/>
  <c r="O24" i="3" s="1"/>
  <c r="H26" i="4" s="1"/>
  <c r="V33" i="3"/>
  <c r="V39" i="3"/>
  <c r="V45" i="3"/>
  <c r="V51" i="3"/>
  <c r="G18" i="10"/>
  <c r="H18" i="10"/>
  <c r="B32" i="13"/>
  <c r="B23" i="13"/>
  <c r="H6" i="10"/>
  <c r="B12" i="7"/>
  <c r="B9" i="6"/>
  <c r="B41" i="13"/>
  <c r="B37" i="8"/>
  <c r="M17" i="3"/>
  <c r="D14" i="13"/>
  <c r="C11" i="14" s="1"/>
  <c r="D10" i="13"/>
  <c r="D6" i="13"/>
  <c r="B14" i="13"/>
  <c r="B10" i="13"/>
  <c r="B6" i="13"/>
  <c r="D13" i="13"/>
  <c r="D9" i="13"/>
  <c r="B13" i="13"/>
  <c r="B9" i="13"/>
  <c r="E12" i="13"/>
  <c r="E8" i="13"/>
  <c r="D12" i="13"/>
  <c r="D8" i="13"/>
  <c r="B12" i="13"/>
  <c r="B8" i="13"/>
  <c r="E11" i="13"/>
  <c r="E7" i="13"/>
  <c r="E14" i="13"/>
  <c r="E10" i="13"/>
  <c r="E6" i="13"/>
  <c r="B7" i="13"/>
  <c r="H13" i="8"/>
  <c r="B5" i="13"/>
  <c r="D11" i="13"/>
  <c r="B11" i="13"/>
  <c r="H14" i="8"/>
  <c r="H10" i="8"/>
  <c r="E13" i="13"/>
  <c r="E9" i="13"/>
  <c r="D7" i="13"/>
  <c r="H9" i="8"/>
  <c r="H12" i="8"/>
  <c r="H11" i="8"/>
  <c r="M19" i="3"/>
  <c r="G21" i="4" s="1"/>
  <c r="F21" i="4" s="1"/>
  <c r="M29" i="3"/>
  <c r="M53" i="3"/>
  <c r="B112" i="11"/>
  <c r="B54" i="7"/>
  <c r="B37" i="6"/>
  <c r="B110" i="11"/>
  <c r="B103" i="11"/>
  <c r="B74" i="11"/>
  <c r="B118" i="11"/>
  <c r="B84" i="11"/>
  <c r="B94" i="11"/>
  <c r="B63" i="11"/>
  <c r="B89" i="11"/>
  <c r="B69" i="11"/>
  <c r="B79" i="11"/>
  <c r="B115" i="11"/>
  <c r="B107" i="11"/>
  <c r="B124" i="11"/>
  <c r="B81" i="11"/>
  <c r="B126" i="11"/>
  <c r="B100" i="11"/>
  <c r="B91" i="11"/>
  <c r="B71" i="11"/>
  <c r="B26" i="12"/>
  <c r="B5" i="12"/>
  <c r="B47" i="12"/>
  <c r="B54" i="12"/>
  <c r="B33" i="12"/>
  <c r="B12" i="12"/>
  <c r="B23" i="12"/>
  <c r="B65" i="12"/>
  <c r="F22" i="13"/>
  <c r="F21" i="13"/>
  <c r="F20" i="13"/>
  <c r="M50" i="3"/>
  <c r="G52" i="4" s="1"/>
  <c r="F52" i="4" s="1"/>
  <c r="E4" i="13"/>
  <c r="G34" i="12"/>
  <c r="G13" i="12"/>
  <c r="G55" i="12"/>
  <c r="E4" i="9"/>
  <c r="E4" i="11"/>
  <c r="E4" i="8"/>
  <c r="E4" i="7"/>
  <c r="B5" i="10"/>
  <c r="C32" i="1"/>
  <c r="C43" i="16" s="1"/>
  <c r="E120" i="11"/>
  <c r="D120" i="11"/>
  <c r="C4" i="11"/>
  <c r="C4" i="13"/>
  <c r="C4" i="9"/>
  <c r="C4" i="8"/>
  <c r="C4" i="7"/>
  <c r="G47" i="12"/>
  <c r="M33" i="12"/>
  <c r="M12" i="12"/>
  <c r="F49" i="13"/>
  <c r="M54" i="12"/>
  <c r="G5" i="12"/>
  <c r="I3" i="5"/>
  <c r="G5" i="4"/>
  <c r="M3" i="3"/>
  <c r="B81" i="6"/>
  <c r="B3" i="6"/>
  <c r="E81" i="6"/>
  <c r="Q3" i="6"/>
  <c r="B11" i="7"/>
  <c r="B8" i="6"/>
  <c r="B24" i="7"/>
  <c r="B18" i="6"/>
  <c r="B44" i="7"/>
  <c r="B30" i="6"/>
  <c r="B51" i="7"/>
  <c r="B34" i="6"/>
  <c r="B25" i="13"/>
  <c r="B28" i="8"/>
  <c r="B21" i="13"/>
  <c r="B59" i="6"/>
  <c r="B24" i="8"/>
  <c r="B29" i="13"/>
  <c r="B32" i="8"/>
  <c r="B64" i="6"/>
  <c r="B23" i="10"/>
  <c r="B11" i="10"/>
  <c r="B66" i="11"/>
  <c r="B77" i="11"/>
  <c r="B87" i="11"/>
  <c r="B30" i="12"/>
  <c r="B9" i="12"/>
  <c r="B51" i="12"/>
  <c r="F54" i="12"/>
  <c r="I33" i="12"/>
  <c r="I12" i="12"/>
  <c r="F33" i="12"/>
  <c r="F12" i="12"/>
  <c r="I54" i="12"/>
  <c r="F43" i="16"/>
  <c r="F46" i="16"/>
  <c r="F45" i="16"/>
  <c r="F44" i="16"/>
  <c r="V20" i="3"/>
  <c r="L30" i="3"/>
  <c r="O30" i="3" s="1"/>
  <c r="H32" i="4" s="1"/>
  <c r="M36" i="3"/>
  <c r="L36" i="3"/>
  <c r="O36" i="3" s="1"/>
  <c r="H38" i="4" s="1"/>
  <c r="L42" i="3"/>
  <c r="O42" i="3" s="1"/>
  <c r="H44" i="4" s="1"/>
  <c r="L48" i="3"/>
  <c r="O48" i="3" s="1"/>
  <c r="H50" i="4" s="1"/>
  <c r="L54" i="3"/>
  <c r="O54" i="3" s="1"/>
  <c r="H56" i="4" s="1"/>
  <c r="H8" i="8"/>
  <c r="V50" i="6"/>
  <c r="V49" i="6"/>
  <c r="W48" i="6"/>
  <c r="V48" i="6"/>
  <c r="W47" i="6"/>
  <c r="V47" i="6"/>
  <c r="W53" i="6"/>
  <c r="V53" i="6"/>
  <c r="W50" i="6"/>
  <c r="C12" i="14"/>
  <c r="V52" i="6"/>
  <c r="L11" i="3"/>
  <c r="O11" i="3" s="1"/>
  <c r="H13" i="4" s="1"/>
  <c r="L17" i="3"/>
  <c r="O17" i="3" s="1"/>
  <c r="H19" i="4" s="1"/>
  <c r="L23" i="3"/>
  <c r="O23" i="3" s="1"/>
  <c r="H25" i="4" s="1"/>
  <c r="L29" i="3"/>
  <c r="O29" i="3" s="1"/>
  <c r="H31" i="4" s="1"/>
  <c r="L35" i="3"/>
  <c r="O35" i="3" s="1"/>
  <c r="H37" i="4" s="1"/>
  <c r="L41" i="3"/>
  <c r="O41" i="3" s="1"/>
  <c r="H43" i="4" s="1"/>
  <c r="L47" i="3"/>
  <c r="O47" i="3" s="1"/>
  <c r="H49" i="4" s="1"/>
  <c r="L53" i="3"/>
  <c r="O53" i="3" s="1"/>
  <c r="H55" i="4" s="1"/>
  <c r="W52" i="6"/>
  <c r="K5" i="5"/>
  <c r="D115" i="6" s="1"/>
  <c r="I14" i="4"/>
  <c r="D117" i="6" s="1"/>
  <c r="L4" i="3"/>
  <c r="L24" i="12"/>
  <c r="C10" i="14" s="1"/>
  <c r="B24" i="12"/>
  <c r="E35" i="11" l="1"/>
  <c r="C98" i="6"/>
  <c r="V19" i="3"/>
  <c r="B13" i="8"/>
  <c r="E87" i="6"/>
  <c r="D88" i="6"/>
  <c r="E101" i="6"/>
  <c r="C92" i="6"/>
  <c r="D109" i="6"/>
  <c r="D95" i="6"/>
  <c r="E82" i="6"/>
  <c r="C100" i="6"/>
  <c r="M47" i="3"/>
  <c r="G19" i="4"/>
  <c r="F19" i="4" s="1"/>
  <c r="V17" i="3"/>
  <c r="O46" i="3"/>
  <c r="H48" i="4" s="1"/>
  <c r="M46" i="3"/>
  <c r="E88" i="6"/>
  <c r="B11" i="8"/>
  <c r="O40" i="3"/>
  <c r="H42" i="4" s="1"/>
  <c r="M40" i="3"/>
  <c r="C107" i="6"/>
  <c r="E109" i="6"/>
  <c r="E110" i="11" s="1"/>
  <c r="D108" i="6"/>
  <c r="G108" i="6" s="1"/>
  <c r="E33" i="11" s="1"/>
  <c r="E95" i="6"/>
  <c r="E103" i="11" s="1"/>
  <c r="C116" i="6"/>
  <c r="E102" i="6"/>
  <c r="C89" i="6"/>
  <c r="C102" i="6"/>
  <c r="M37" i="3"/>
  <c r="C85" i="6"/>
  <c r="G25" i="4"/>
  <c r="F25" i="4" s="1"/>
  <c r="V23" i="3"/>
  <c r="M42" i="3"/>
  <c r="B12" i="8"/>
  <c r="M12" i="3"/>
  <c r="E107" i="6"/>
  <c r="E94" i="11" s="1"/>
  <c r="D114" i="6"/>
  <c r="E111" i="6"/>
  <c r="C105" i="6"/>
  <c r="C90" i="6"/>
  <c r="D107" i="6"/>
  <c r="D91" i="6"/>
  <c r="C104" i="6"/>
  <c r="G12" i="4"/>
  <c r="F12" i="4" s="1"/>
  <c r="V10" i="3"/>
  <c r="M11" i="3"/>
  <c r="V50" i="3"/>
  <c r="M35" i="3"/>
  <c r="E113" i="6"/>
  <c r="D99" i="6"/>
  <c r="G99" i="6" s="1"/>
  <c r="E20" i="11" s="1"/>
  <c r="G38" i="4"/>
  <c r="F38" i="4" s="1"/>
  <c r="V36" i="3"/>
  <c r="D94" i="6"/>
  <c r="E118" i="6"/>
  <c r="D92" i="6"/>
  <c r="E93" i="6"/>
  <c r="D111" i="6"/>
  <c r="E114" i="6"/>
  <c r="D98" i="6"/>
  <c r="M55" i="3"/>
  <c r="M31" i="3"/>
  <c r="D101" i="6"/>
  <c r="G101" i="6" s="1"/>
  <c r="E12" i="11" s="1"/>
  <c r="M48" i="3"/>
  <c r="E98" i="6"/>
  <c r="D90" i="6"/>
  <c r="C101" i="6"/>
  <c r="C83" i="6"/>
  <c r="E89" i="6"/>
  <c r="C97" i="6"/>
  <c r="F97" i="6" s="1"/>
  <c r="D18" i="11" s="1"/>
  <c r="E117" i="6"/>
  <c r="G117" i="6" s="1"/>
  <c r="C108" i="6"/>
  <c r="M30" i="3"/>
  <c r="D118" i="6"/>
  <c r="G118" i="6" s="1"/>
  <c r="D84" i="6"/>
  <c r="E85" i="6"/>
  <c r="C86" i="6"/>
  <c r="E92" i="6"/>
  <c r="E99" i="6"/>
  <c r="D82" i="6"/>
  <c r="C103" i="6"/>
  <c r="D110" i="6"/>
  <c r="M6" i="3"/>
  <c r="E94" i="6"/>
  <c r="O4" i="3"/>
  <c r="H6" i="4" s="1"/>
  <c r="M4" i="3"/>
  <c r="D89" i="6"/>
  <c r="B9" i="8"/>
  <c r="E90" i="6"/>
  <c r="D85" i="6"/>
  <c r="E83" i="6"/>
  <c r="C112" i="6"/>
  <c r="F112" i="6" s="1"/>
  <c r="C106" i="6"/>
  <c r="D116" i="6"/>
  <c r="E91" i="6"/>
  <c r="E97" i="6"/>
  <c r="E104" i="6"/>
  <c r="E63" i="11" s="1"/>
  <c r="C95" i="6"/>
  <c r="C99" i="6"/>
  <c r="D104" i="6"/>
  <c r="E84" i="6"/>
  <c r="E105" i="6"/>
  <c r="E74" i="11" s="1"/>
  <c r="E112" i="6"/>
  <c r="C82" i="6"/>
  <c r="M7" i="3"/>
  <c r="O34" i="3"/>
  <c r="H36" i="4" s="1"/>
  <c r="M34" i="3"/>
  <c r="M24" i="3"/>
  <c r="B8" i="8"/>
  <c r="B10" i="8"/>
  <c r="G20" i="4"/>
  <c r="F20" i="4" s="1"/>
  <c r="V18" i="3"/>
  <c r="D106" i="6"/>
  <c r="D103" i="6"/>
  <c r="D97" i="6"/>
  <c r="E108" i="6"/>
  <c r="D102" i="6"/>
  <c r="G102" i="6" s="1"/>
  <c r="C109" i="6"/>
  <c r="C91" i="6"/>
  <c r="C110" i="6"/>
  <c r="C111" i="6"/>
  <c r="M49" i="3"/>
  <c r="E106" i="6"/>
  <c r="E84" i="11" s="1"/>
  <c r="C88" i="6"/>
  <c r="D100" i="6"/>
  <c r="G100" i="6" s="1"/>
  <c r="E21" i="11" s="1"/>
  <c r="C115" i="6"/>
  <c r="D112" i="6"/>
  <c r="G112" i="6" s="1"/>
  <c r="C114" i="6"/>
  <c r="D93" i="6"/>
  <c r="G93" i="6" s="1"/>
  <c r="E15" i="11" s="1"/>
  <c r="C118" i="6"/>
  <c r="D113" i="6"/>
  <c r="G113" i="6" s="1"/>
  <c r="E44" i="11" s="1"/>
  <c r="G55" i="4"/>
  <c r="F55" i="4" s="1"/>
  <c r="V53" i="3"/>
  <c r="B14" i="8"/>
  <c r="M54" i="3"/>
  <c r="M41" i="3"/>
  <c r="E116" i="6"/>
  <c r="G54" i="4"/>
  <c r="F54" i="4" s="1"/>
  <c r="V52" i="3"/>
  <c r="C113" i="6"/>
  <c r="C93" i="6"/>
  <c r="F93" i="6" s="1"/>
  <c r="D15" i="11" s="1"/>
  <c r="E110" i="6"/>
  <c r="E118" i="11" s="1"/>
  <c r="D83" i="6"/>
  <c r="G83" i="6" s="1"/>
  <c r="C87" i="6"/>
  <c r="C84" i="6"/>
  <c r="E100" i="6"/>
  <c r="C94" i="6"/>
  <c r="F94" i="6" s="1"/>
  <c r="D16" i="11" s="1"/>
  <c r="E115" i="6"/>
  <c r="G115" i="6" s="1"/>
  <c r="V29" i="3"/>
  <c r="G31" i="4"/>
  <c r="F31" i="4" s="1"/>
  <c r="E96" i="6"/>
  <c r="D87" i="6"/>
  <c r="E103" i="6"/>
  <c r="C117" i="6"/>
  <c r="F117" i="6" s="1"/>
  <c r="E86" i="6"/>
  <c r="D96" i="6"/>
  <c r="G96" i="6" s="1"/>
  <c r="E17" i="11" s="1"/>
  <c r="D86" i="6"/>
  <c r="D105" i="6"/>
  <c r="C96" i="6"/>
  <c r="F96" i="6" s="1"/>
  <c r="D17" i="11" s="1"/>
  <c r="M43" i="3"/>
  <c r="M5" i="3"/>
  <c r="E77" i="11" l="1"/>
  <c r="G84" i="6"/>
  <c r="D78" i="11"/>
  <c r="F87" i="6"/>
  <c r="F114" i="6"/>
  <c r="D42" i="11"/>
  <c r="G26" i="4"/>
  <c r="F26" i="4" s="1"/>
  <c r="V24" i="3"/>
  <c r="G6" i="4"/>
  <c r="V4" i="3"/>
  <c r="G33" i="4"/>
  <c r="F33" i="4" s="1"/>
  <c r="V31" i="3"/>
  <c r="E42" i="11"/>
  <c r="G114" i="6"/>
  <c r="F89" i="6"/>
  <c r="D8" i="11"/>
  <c r="G88" i="6"/>
  <c r="E88" i="11"/>
  <c r="F102" i="6"/>
  <c r="G97" i="6"/>
  <c r="E18" i="11" s="1"/>
  <c r="V34" i="3"/>
  <c r="G36" i="4"/>
  <c r="F36" i="4" s="1"/>
  <c r="G32" i="4"/>
  <c r="F32" i="4" s="1"/>
  <c r="V30" i="3"/>
  <c r="G57" i="4"/>
  <c r="F57" i="4" s="1"/>
  <c r="V55" i="3"/>
  <c r="G37" i="4"/>
  <c r="F37" i="4" s="1"/>
  <c r="V35" i="3"/>
  <c r="G48" i="4"/>
  <c r="F48" i="4" s="1"/>
  <c r="V46" i="3"/>
  <c r="E8" i="11"/>
  <c r="G89" i="6"/>
  <c r="D35" i="11"/>
  <c r="F115" i="6"/>
  <c r="G103" i="6"/>
  <c r="G116" i="6"/>
  <c r="F108" i="6"/>
  <c r="D33" i="11" s="1"/>
  <c r="G98" i="6"/>
  <c r="E19" i="11" s="1"/>
  <c r="I5" i="5"/>
  <c r="G14" i="4"/>
  <c r="F14" i="4" s="1"/>
  <c r="V12" i="3"/>
  <c r="F116" i="6"/>
  <c r="E13" i="11"/>
  <c r="E104" i="11"/>
  <c r="G86" i="6"/>
  <c r="G13" i="4"/>
  <c r="F13" i="4" s="1"/>
  <c r="V11" i="3"/>
  <c r="E78" i="11"/>
  <c r="G87" i="6"/>
  <c r="F103" i="6"/>
  <c r="V47" i="3"/>
  <c r="G49" i="4"/>
  <c r="F49" i="4" s="1"/>
  <c r="D90" i="11"/>
  <c r="F106" i="6"/>
  <c r="G8" i="4"/>
  <c r="F8" i="4" s="1"/>
  <c r="V6" i="3"/>
  <c r="D88" i="11"/>
  <c r="F88" i="6"/>
  <c r="D7" i="11"/>
  <c r="D66" i="11"/>
  <c r="F82" i="6"/>
  <c r="E123" i="11"/>
  <c r="D118" i="11"/>
  <c r="G110" i="6"/>
  <c r="E34" i="11"/>
  <c r="G111" i="6"/>
  <c r="G51" i="4"/>
  <c r="F51" i="4" s="1"/>
  <c r="V49" i="3"/>
  <c r="G85" i="6"/>
  <c r="E67" i="11"/>
  <c r="E7" i="11"/>
  <c r="E66" i="11"/>
  <c r="G82" i="6"/>
  <c r="F83" i="6"/>
  <c r="E11" i="11"/>
  <c r="G92" i="6"/>
  <c r="D70" i="11"/>
  <c r="F104" i="6"/>
  <c r="G44" i="4"/>
  <c r="F44" i="4" s="1"/>
  <c r="V42" i="3"/>
  <c r="D99" i="11"/>
  <c r="F107" i="6"/>
  <c r="F100" i="6"/>
  <c r="D21" i="11" s="1"/>
  <c r="F98" i="6"/>
  <c r="D19" i="11" s="1"/>
  <c r="D77" i="11"/>
  <c r="F84" i="6"/>
  <c r="E90" i="11"/>
  <c r="E91" i="11" s="1"/>
  <c r="G106" i="6"/>
  <c r="D84" i="11"/>
  <c r="G9" i="4"/>
  <c r="F9" i="4" s="1"/>
  <c r="V7" i="3"/>
  <c r="G7" i="4"/>
  <c r="F7" i="4" s="1"/>
  <c r="V5" i="3"/>
  <c r="D34" i="11"/>
  <c r="F111" i="6"/>
  <c r="F101" i="6"/>
  <c r="D12" i="11" s="1"/>
  <c r="E30" i="11"/>
  <c r="E10" i="11"/>
  <c r="G91" i="6"/>
  <c r="G42" i="4"/>
  <c r="F42" i="4" s="1"/>
  <c r="V40" i="3"/>
  <c r="F113" i="6"/>
  <c r="D44" i="11" s="1"/>
  <c r="G45" i="4"/>
  <c r="F45" i="4" s="1"/>
  <c r="V43" i="3"/>
  <c r="G43" i="4"/>
  <c r="F43" i="4" s="1"/>
  <c r="V41" i="3"/>
  <c r="F110" i="6"/>
  <c r="D123" i="11"/>
  <c r="G104" i="6"/>
  <c r="D63" i="11"/>
  <c r="E70" i="11"/>
  <c r="E9" i="11"/>
  <c r="G90" i="6"/>
  <c r="G94" i="6"/>
  <c r="E16" i="11" s="1"/>
  <c r="E99" i="11"/>
  <c r="D94" i="11"/>
  <c r="G107" i="6"/>
  <c r="D103" i="11"/>
  <c r="G95" i="6"/>
  <c r="E106" i="11"/>
  <c r="G56" i="4"/>
  <c r="F56" i="4" s="1"/>
  <c r="V54" i="3"/>
  <c r="D30" i="11"/>
  <c r="D10" i="11"/>
  <c r="F91" i="6"/>
  <c r="F99" i="6"/>
  <c r="D20" i="11" s="1"/>
  <c r="D104" i="11"/>
  <c r="F86" i="6"/>
  <c r="D13" i="11"/>
  <c r="D9" i="11"/>
  <c r="F90" i="6"/>
  <c r="D67" i="11"/>
  <c r="F85" i="6"/>
  <c r="D110" i="11"/>
  <c r="E114" i="11"/>
  <c r="G109" i="6"/>
  <c r="D74" i="11"/>
  <c r="E80" i="11"/>
  <c r="G105" i="6"/>
  <c r="F118" i="6"/>
  <c r="D114" i="11"/>
  <c r="F109" i="6"/>
  <c r="D106" i="11"/>
  <c r="F95" i="6"/>
  <c r="G50" i="4"/>
  <c r="F50" i="4" s="1"/>
  <c r="V48" i="3"/>
  <c r="D80" i="11"/>
  <c r="D81" i="11" s="1"/>
  <c r="F105" i="6"/>
  <c r="G39" i="4"/>
  <c r="F39" i="4" s="1"/>
  <c r="V37" i="3"/>
  <c r="D11" i="11"/>
  <c r="F92" i="6"/>
  <c r="D105" i="11" l="1"/>
  <c r="D14" i="11" s="1"/>
  <c r="D95" i="11"/>
  <c r="D31" i="11" s="1"/>
  <c r="D96" i="11"/>
  <c r="D32" i="11" s="1"/>
  <c r="E96" i="11"/>
  <c r="E32" i="11" s="1"/>
  <c r="E95" i="11"/>
  <c r="E31" i="11" s="1"/>
  <c r="E36" i="11" s="1"/>
  <c r="O75" i="6"/>
  <c r="I72" i="6"/>
  <c r="K72" i="6" s="1"/>
  <c r="O69" i="6"/>
  <c r="Q69" i="6" s="1"/>
  <c r="I66" i="6"/>
  <c r="O63" i="6"/>
  <c r="I60" i="6"/>
  <c r="O57" i="6"/>
  <c r="I54" i="6"/>
  <c r="I75" i="6"/>
  <c r="K75" i="6" s="1"/>
  <c r="L72" i="6"/>
  <c r="N72" i="6" s="1"/>
  <c r="O68" i="6"/>
  <c r="Q68" i="6" s="1"/>
  <c r="I61" i="6"/>
  <c r="L57" i="6"/>
  <c r="O54" i="6"/>
  <c r="Q54" i="6" s="1"/>
  <c r="L51" i="6"/>
  <c r="L48" i="6"/>
  <c r="L43" i="6"/>
  <c r="I74" i="6"/>
  <c r="L71" i="6"/>
  <c r="L70" i="6"/>
  <c r="I71" i="6"/>
  <c r="K71" i="6" s="1"/>
  <c r="L68" i="6"/>
  <c r="N68" i="6" s="1"/>
  <c r="O65" i="6"/>
  <c r="Q65" i="6" s="1"/>
  <c r="I57" i="6"/>
  <c r="L54" i="6"/>
  <c r="O53" i="6"/>
  <c r="I51" i="6"/>
  <c r="K51" i="6" s="1"/>
  <c r="I48" i="6"/>
  <c r="O46" i="6"/>
  <c r="I43" i="6"/>
  <c r="O40" i="6"/>
  <c r="I37" i="6"/>
  <c r="O34" i="6"/>
  <c r="Q34" i="6" s="1"/>
  <c r="I73" i="6"/>
  <c r="K73" i="6" s="1"/>
  <c r="O61" i="6"/>
  <c r="L47" i="6"/>
  <c r="L46" i="6"/>
  <c r="L45" i="6"/>
  <c r="N45" i="6" s="1"/>
  <c r="L44" i="6"/>
  <c r="N44" i="6" s="1"/>
  <c r="L36" i="6"/>
  <c r="L35" i="6"/>
  <c r="O32" i="6"/>
  <c r="L27" i="6"/>
  <c r="L21" i="6"/>
  <c r="L15" i="6"/>
  <c r="L74" i="6"/>
  <c r="N74" i="6" s="1"/>
  <c r="L69" i="6"/>
  <c r="N69" i="6" s="1"/>
  <c r="I67" i="6"/>
  <c r="O70" i="6"/>
  <c r="Q70" i="6" s="1"/>
  <c r="I68" i="6"/>
  <c r="K68" i="6" s="1"/>
  <c r="L60" i="6"/>
  <c r="N60" i="6" s="1"/>
  <c r="I59" i="6"/>
  <c r="I44" i="6"/>
  <c r="O76" i="6"/>
  <c r="L75" i="6"/>
  <c r="I69" i="6"/>
  <c r="L61" i="6"/>
  <c r="O52" i="6"/>
  <c r="Q52" i="6" s="1"/>
  <c r="I47" i="6"/>
  <c r="I46" i="6"/>
  <c r="I45" i="6"/>
  <c r="O71" i="6"/>
  <c r="I70" i="6"/>
  <c r="K70" i="6" s="1"/>
  <c r="O64" i="6"/>
  <c r="L62" i="6"/>
  <c r="I34" i="6"/>
  <c r="L31" i="6"/>
  <c r="L25" i="6"/>
  <c r="L19" i="6"/>
  <c r="I76" i="6"/>
  <c r="K76" i="6" s="1"/>
  <c r="I64" i="6"/>
  <c r="O55" i="6"/>
  <c r="O48" i="6"/>
  <c r="Q48" i="6" s="1"/>
  <c r="O45" i="6"/>
  <c r="Q45" i="6" s="1"/>
  <c r="L37" i="6"/>
  <c r="N37" i="6" s="1"/>
  <c r="I36" i="6"/>
  <c r="O29" i="6"/>
  <c r="O28" i="6"/>
  <c r="O27" i="6"/>
  <c r="O26" i="6"/>
  <c r="Q26" i="6" s="1"/>
  <c r="L20" i="6"/>
  <c r="N20" i="6" s="1"/>
  <c r="O11" i="6"/>
  <c r="Q11" i="6" s="1"/>
  <c r="I8" i="6"/>
  <c r="O5" i="6"/>
  <c r="O67" i="6"/>
  <c r="Q67" i="6" s="1"/>
  <c r="L52" i="6"/>
  <c r="N52" i="6" s="1"/>
  <c r="O42" i="6"/>
  <c r="Q42" i="6" s="1"/>
  <c r="I41" i="6"/>
  <c r="O31" i="6"/>
  <c r="O30" i="6"/>
  <c r="L24" i="6"/>
  <c r="L23" i="6"/>
  <c r="L22" i="6"/>
  <c r="N22" i="6" s="1"/>
  <c r="I16" i="6"/>
  <c r="K16" i="6" s="1"/>
  <c r="I15" i="6"/>
  <c r="K15" i="6" s="1"/>
  <c r="I14" i="6"/>
  <c r="L12" i="6"/>
  <c r="L6" i="6"/>
  <c r="N6" i="6" s="1"/>
  <c r="O77" i="6"/>
  <c r="Q77" i="6" s="1"/>
  <c r="O73" i="6"/>
  <c r="I62" i="6"/>
  <c r="O60" i="6"/>
  <c r="L55" i="6"/>
  <c r="O49" i="6"/>
  <c r="O39" i="6"/>
  <c r="L38" i="6"/>
  <c r="N38" i="6" s="1"/>
  <c r="L26" i="6"/>
  <c r="I20" i="6"/>
  <c r="I19" i="6"/>
  <c r="I18" i="6"/>
  <c r="K18" i="6" s="1"/>
  <c r="I17" i="6"/>
  <c r="K17" i="6" s="1"/>
  <c r="I13" i="6"/>
  <c r="O10" i="6"/>
  <c r="I7" i="6"/>
  <c r="O4" i="6"/>
  <c r="L67" i="6"/>
  <c r="L65" i="6"/>
  <c r="L42" i="6"/>
  <c r="N42" i="6" s="1"/>
  <c r="L30" i="6"/>
  <c r="N30" i="6" s="1"/>
  <c r="L29" i="6"/>
  <c r="L28" i="6"/>
  <c r="N28" i="6" s="1"/>
  <c r="I22" i="6"/>
  <c r="K22" i="6" s="1"/>
  <c r="I21" i="6"/>
  <c r="K21" i="6" s="1"/>
  <c r="L11" i="6"/>
  <c r="L5" i="6"/>
  <c r="F6" i="4"/>
  <c r="C6" i="14" s="1"/>
  <c r="L63" i="6"/>
  <c r="O58" i="6"/>
  <c r="I55" i="6"/>
  <c r="L53" i="6"/>
  <c r="N53" i="6" s="1"/>
  <c r="I52" i="6"/>
  <c r="K52" i="6" s="1"/>
  <c r="O43" i="6"/>
  <c r="I42" i="6"/>
  <c r="I38" i="6"/>
  <c r="K38" i="6" s="1"/>
  <c r="O33" i="6"/>
  <c r="Q33" i="6" s="1"/>
  <c r="I26" i="6"/>
  <c r="I25" i="6"/>
  <c r="I24" i="6"/>
  <c r="I23" i="6"/>
  <c r="I12" i="6"/>
  <c r="O9" i="6"/>
  <c r="Q9" i="6" s="1"/>
  <c r="I6" i="6"/>
  <c r="K6" i="6" s="1"/>
  <c r="L59" i="6"/>
  <c r="N59" i="6" s="1"/>
  <c r="I56" i="6"/>
  <c r="I53" i="6"/>
  <c r="K53" i="6" s="1"/>
  <c r="O50" i="6"/>
  <c r="Q50" i="6" s="1"/>
  <c r="L41" i="6"/>
  <c r="N41" i="6" s="1"/>
  <c r="I29" i="6"/>
  <c r="O20" i="6"/>
  <c r="L10" i="6"/>
  <c r="N10" i="6" s="1"/>
  <c r="I9" i="6"/>
  <c r="O7" i="6"/>
  <c r="L64" i="6"/>
  <c r="N64" i="6" s="1"/>
  <c r="O36" i="6"/>
  <c r="I27" i="6"/>
  <c r="K27" i="6" s="1"/>
  <c r="O18" i="6"/>
  <c r="L4" i="6"/>
  <c r="O74" i="6"/>
  <c r="Q74" i="6" s="1"/>
  <c r="L58" i="6"/>
  <c r="N58" i="6" s="1"/>
  <c r="L50" i="6"/>
  <c r="O38" i="6"/>
  <c r="L34" i="6"/>
  <c r="L32" i="6"/>
  <c r="O25" i="6"/>
  <c r="O16" i="6"/>
  <c r="Q16" i="6" s="1"/>
  <c r="L13" i="6"/>
  <c r="L77" i="6"/>
  <c r="I58" i="6"/>
  <c r="O23" i="6"/>
  <c r="L18" i="6"/>
  <c r="N18" i="6" s="1"/>
  <c r="I10" i="6"/>
  <c r="K10" i="6" s="1"/>
  <c r="O8" i="6"/>
  <c r="L7" i="6"/>
  <c r="O66" i="6"/>
  <c r="Q66" i="6" s="1"/>
  <c r="L40" i="6"/>
  <c r="I32" i="6"/>
  <c r="K32" i="6" s="1"/>
  <c r="O14" i="6"/>
  <c r="I4" i="6"/>
  <c r="I77" i="6"/>
  <c r="K77" i="6" s="1"/>
  <c r="L73" i="6"/>
  <c r="I50" i="6"/>
  <c r="K50" i="6" s="1"/>
  <c r="I30" i="6"/>
  <c r="K30" i="6" s="1"/>
  <c r="O21" i="6"/>
  <c r="Q21" i="6" s="1"/>
  <c r="L16" i="6"/>
  <c r="L66" i="6"/>
  <c r="I63" i="6"/>
  <c r="O47" i="6"/>
  <c r="I40" i="6"/>
  <c r="I28" i="6"/>
  <c r="O19" i="6"/>
  <c r="L14" i="6"/>
  <c r="N14" i="6" s="1"/>
  <c r="I11" i="6"/>
  <c r="L8" i="6"/>
  <c r="N8" i="6" s="1"/>
  <c r="L76" i="6"/>
  <c r="N76" i="6" s="1"/>
  <c r="O72" i="6"/>
  <c r="Q72" i="6" s="1"/>
  <c r="L49" i="6"/>
  <c r="O44" i="6"/>
  <c r="O37" i="6"/>
  <c r="Q37" i="6" s="1"/>
  <c r="O35" i="6"/>
  <c r="O17" i="6"/>
  <c r="Q17" i="6" s="1"/>
  <c r="I5" i="6"/>
  <c r="K5" i="6" s="1"/>
  <c r="I35" i="6"/>
  <c r="K35" i="6" s="1"/>
  <c r="O13" i="6"/>
  <c r="O6" i="6"/>
  <c r="I31" i="6"/>
  <c r="K31" i="6" s="1"/>
  <c r="L39" i="6"/>
  <c r="N39" i="6" s="1"/>
  <c r="L33" i="6"/>
  <c r="N33" i="6" s="1"/>
  <c r="O12" i="6"/>
  <c r="O15" i="6"/>
  <c r="O59" i="6"/>
  <c r="O62" i="6"/>
  <c r="I39" i="6"/>
  <c r="K39" i="6" s="1"/>
  <c r="I33" i="6"/>
  <c r="O22" i="6"/>
  <c r="Q22" i="6" s="1"/>
  <c r="D7" i="10" s="1"/>
  <c r="L17" i="6"/>
  <c r="N17" i="6" s="1"/>
  <c r="O51" i="6"/>
  <c r="O56" i="6"/>
  <c r="I65" i="6"/>
  <c r="K65" i="6" s="1"/>
  <c r="I49" i="6"/>
  <c r="K49" i="6" s="1"/>
  <c r="O24" i="6"/>
  <c r="L9" i="6"/>
  <c r="L56" i="6"/>
  <c r="N56" i="6" s="1"/>
  <c r="O41" i="6"/>
  <c r="D91" i="11"/>
  <c r="D122" i="11"/>
  <c r="D41" i="11" s="1"/>
  <c r="E81" i="11"/>
  <c r="L5" i="5"/>
  <c r="C5" i="14" s="1"/>
  <c r="M56" i="6"/>
  <c r="M41" i="6"/>
  <c r="J40" i="6"/>
  <c r="J68" i="6"/>
  <c r="P54" i="6"/>
  <c r="P65" i="6"/>
  <c r="M12" i="6"/>
  <c r="J19" i="6"/>
  <c r="M45" i="6"/>
  <c r="J55" i="6"/>
  <c r="M77" i="6"/>
  <c r="P61" i="6"/>
  <c r="P16" i="6"/>
  <c r="J32" i="6"/>
  <c r="J63" i="6"/>
  <c r="J5" i="6"/>
  <c r="P68" i="6"/>
  <c r="P20" i="6"/>
  <c r="P50" i="6"/>
  <c r="M35" i="6"/>
  <c r="J39" i="6"/>
  <c r="P76" i="6"/>
  <c r="P53" i="6"/>
  <c r="M57" i="6"/>
  <c r="M6" i="6"/>
  <c r="J18" i="6"/>
  <c r="M42" i="6"/>
  <c r="J52" i="6"/>
  <c r="J75" i="6"/>
  <c r="M43" i="6"/>
  <c r="M13" i="6"/>
  <c r="P14" i="6"/>
  <c r="P28" i="6"/>
  <c r="M76" i="6"/>
  <c r="P47" i="6"/>
  <c r="P75" i="6"/>
  <c r="J38" i="6"/>
  <c r="M75" i="6"/>
  <c r="P77" i="6"/>
  <c r="M52" i="6"/>
  <c r="P73" i="6"/>
  <c r="J17" i="6"/>
  <c r="P32" i="6"/>
  <c r="J48" i="6"/>
  <c r="M73" i="6"/>
  <c r="P36" i="6"/>
  <c r="J61" i="6"/>
  <c r="J4" i="6"/>
  <c r="M14" i="6"/>
  <c r="P26" i="6"/>
  <c r="M37" i="6"/>
  <c r="J66" i="6"/>
  <c r="P49" i="6"/>
  <c r="P74" i="6"/>
  <c r="P72" i="6"/>
  <c r="M67" i="6"/>
  <c r="J22" i="6"/>
  <c r="P29" i="6"/>
  <c r="P39" i="6"/>
  <c r="J24" i="6"/>
  <c r="P48" i="6"/>
  <c r="J30" i="6"/>
  <c r="J31" i="6"/>
  <c r="M70" i="6"/>
  <c r="J44" i="6"/>
  <c r="M74" i="6"/>
  <c r="M34" i="6"/>
  <c r="J69" i="6"/>
  <c r="M63" i="6"/>
  <c r="J51" i="6"/>
  <c r="J62" i="6"/>
  <c r="J13" i="6"/>
  <c r="M30" i="6"/>
  <c r="P43" i="6"/>
  <c r="J65" i="6"/>
  <c r="P34" i="6"/>
  <c r="M18" i="6"/>
  <c r="J77" i="6"/>
  <c r="J11" i="6"/>
  <c r="P12" i="6"/>
  <c r="J72" i="6"/>
  <c r="P24" i="6"/>
  <c r="J70" i="6"/>
  <c r="J33" i="6"/>
  <c r="P4" i="6"/>
  <c r="J25" i="6"/>
  <c r="J34" i="6"/>
  <c r="J76" i="6"/>
  <c r="J54" i="6"/>
  <c r="J59" i="6"/>
  <c r="J41" i="6"/>
  <c r="M62" i="6"/>
  <c r="J14" i="6"/>
  <c r="P58" i="6"/>
  <c r="M4" i="6"/>
  <c r="P35" i="6"/>
  <c r="M64" i="6"/>
  <c r="P41" i="6"/>
  <c r="M69" i="6"/>
  <c r="P31" i="6"/>
  <c r="P63" i="6"/>
  <c r="P55" i="6"/>
  <c r="P42" i="6"/>
  <c r="P60" i="6"/>
  <c r="P10" i="6"/>
  <c r="M29" i="6"/>
  <c r="P33" i="6"/>
  <c r="P56" i="6"/>
  <c r="P27" i="6"/>
  <c r="J10" i="6"/>
  <c r="J50" i="6"/>
  <c r="M8" i="6"/>
  <c r="J29" i="6"/>
  <c r="M46" i="6"/>
  <c r="M19" i="6"/>
  <c r="M44" i="6"/>
  <c r="J74" i="6"/>
  <c r="M59" i="6"/>
  <c r="J47" i="6"/>
  <c r="M23" i="6"/>
  <c r="J71" i="6"/>
  <c r="J21" i="6"/>
  <c r="M39" i="6"/>
  <c r="P66" i="6"/>
  <c r="P57" i="6"/>
  <c r="J35" i="6"/>
  <c r="M15" i="6"/>
  <c r="M58" i="6"/>
  <c r="J73" i="6"/>
  <c r="J67" i="6"/>
  <c r="J28" i="6"/>
  <c r="M61" i="6"/>
  <c r="P51" i="6"/>
  <c r="P30" i="6"/>
  <c r="M55" i="6"/>
  <c r="J7" i="6"/>
  <c r="M28" i="6"/>
  <c r="M31" i="6"/>
  <c r="M49" i="6"/>
  <c r="P18" i="6"/>
  <c r="P8" i="6"/>
  <c r="J36" i="6"/>
  <c r="P5" i="6"/>
  <c r="J9" i="6"/>
  <c r="J53" i="6"/>
  <c r="M9" i="6"/>
  <c r="M53" i="6"/>
  <c r="P62" i="6"/>
  <c r="P25" i="6"/>
  <c r="P52" i="6"/>
  <c r="M24" i="6"/>
  <c r="M27" i="6"/>
  <c r="P46" i="6"/>
  <c r="M7" i="6"/>
  <c r="P7" i="6"/>
  <c r="M47" i="6"/>
  <c r="P70" i="6"/>
  <c r="P17" i="6"/>
  <c r="M48" i="6"/>
  <c r="J6" i="6"/>
  <c r="M36" i="6"/>
  <c r="M17" i="6"/>
  <c r="M71" i="6"/>
  <c r="P64" i="6"/>
  <c r="J58" i="6"/>
  <c r="P19" i="6"/>
  <c r="J46" i="6"/>
  <c r="J26" i="6"/>
  <c r="M22" i="6"/>
  <c r="M38" i="6"/>
  <c r="P69" i="6"/>
  <c r="M11" i="6"/>
  <c r="J23" i="6"/>
  <c r="M32" i="6"/>
  <c r="J43" i="6"/>
  <c r="J64" i="6"/>
  <c r="P21" i="6"/>
  <c r="M54" i="6"/>
  <c r="J8" i="6"/>
  <c r="M51" i="6"/>
  <c r="M20" i="6"/>
  <c r="P67" i="6"/>
  <c r="J56" i="6"/>
  <c r="J49" i="6"/>
  <c r="J16" i="6"/>
  <c r="J45" i="6"/>
  <c r="P23" i="6"/>
  <c r="M21" i="6"/>
  <c r="J37" i="6"/>
  <c r="M65" i="6"/>
  <c r="M5" i="6"/>
  <c r="J12" i="6"/>
  <c r="J27" i="6"/>
  <c r="P40" i="6"/>
  <c r="P45" i="6"/>
  <c r="M16" i="6"/>
  <c r="P44" i="6"/>
  <c r="M72" i="6"/>
  <c r="P15" i="6"/>
  <c r="J60" i="6"/>
  <c r="M50" i="6"/>
  <c r="J42" i="6"/>
  <c r="P13" i="6"/>
  <c r="J20" i="6"/>
  <c r="J15" i="6"/>
  <c r="J57" i="6"/>
  <c r="P9" i="6"/>
  <c r="P38" i="6"/>
  <c r="P11" i="6"/>
  <c r="P22" i="6"/>
  <c r="M25" i="6"/>
  <c r="M66" i="6"/>
  <c r="M68" i="6"/>
  <c r="M33" i="6"/>
  <c r="P71" i="6"/>
  <c r="M26" i="6"/>
  <c r="M60" i="6"/>
  <c r="M10" i="6"/>
  <c r="M40" i="6"/>
  <c r="P37" i="6"/>
  <c r="P6" i="6"/>
  <c r="P59" i="6"/>
  <c r="E122" i="11"/>
  <c r="E41" i="11" s="1"/>
  <c r="E105" i="11"/>
  <c r="E14" i="11" s="1"/>
  <c r="E107" i="11"/>
  <c r="E100" i="11"/>
  <c r="D36" i="11"/>
  <c r="T49" i="6" l="1"/>
  <c r="R49" i="6"/>
  <c r="D10" i="8" s="1"/>
  <c r="D68" i="11"/>
  <c r="D71" i="11" s="1"/>
  <c r="R70" i="6"/>
  <c r="R30" i="6"/>
  <c r="D44" i="7" s="1"/>
  <c r="T30" i="6"/>
  <c r="S6" i="6"/>
  <c r="E9" i="7" s="1"/>
  <c r="Q56" i="6"/>
  <c r="T31" i="6"/>
  <c r="R31" i="6"/>
  <c r="D45" i="7" s="1"/>
  <c r="S8" i="6"/>
  <c r="E11" i="7" s="1"/>
  <c r="R50" i="6"/>
  <c r="D11" i="8" s="1"/>
  <c r="Q23" i="6"/>
  <c r="E7" i="10" s="1"/>
  <c r="N4" i="6"/>
  <c r="R53" i="6"/>
  <c r="D14" i="8" s="1"/>
  <c r="T53" i="6"/>
  <c r="K42" i="6"/>
  <c r="S28" i="6"/>
  <c r="E42" i="7" s="1"/>
  <c r="K19" i="6"/>
  <c r="N12" i="6"/>
  <c r="K45" i="6"/>
  <c r="N46" i="6"/>
  <c r="N54" i="6"/>
  <c r="N57" i="6"/>
  <c r="Q75" i="6"/>
  <c r="E124" i="11"/>
  <c r="Q51" i="6"/>
  <c r="Q6" i="6"/>
  <c r="U6" i="6" s="1"/>
  <c r="K11" i="6"/>
  <c r="N73" i="6"/>
  <c r="T73" i="6" s="1"/>
  <c r="K58" i="6"/>
  <c r="Q18" i="6"/>
  <c r="U18" i="6" s="1"/>
  <c r="K56" i="6"/>
  <c r="Q43" i="6"/>
  <c r="N29" i="6"/>
  <c r="K20" i="6"/>
  <c r="K14" i="6"/>
  <c r="Q5" i="6"/>
  <c r="Q55" i="6"/>
  <c r="K46" i="6"/>
  <c r="K67" i="6"/>
  <c r="N47" i="6"/>
  <c r="K57" i="6"/>
  <c r="K61" i="6"/>
  <c r="D100" i="11"/>
  <c r="S58" i="6"/>
  <c r="N51" i="6"/>
  <c r="S18" i="6"/>
  <c r="E24" i="7" s="1"/>
  <c r="R22" i="6"/>
  <c r="T22" i="6"/>
  <c r="D23" i="10" s="1"/>
  <c r="Q71" i="6"/>
  <c r="U17" i="6"/>
  <c r="S17" i="6"/>
  <c r="E23" i="7" s="1"/>
  <c r="T27" i="6"/>
  <c r="R27" i="6"/>
  <c r="D41" i="7" s="1"/>
  <c r="T15" i="6"/>
  <c r="R15" i="6"/>
  <c r="D21" i="7" s="1"/>
  <c r="Q61" i="6"/>
  <c r="R35" i="6"/>
  <c r="D52" i="7" s="1"/>
  <c r="N13" i="6"/>
  <c r="U42" i="6"/>
  <c r="S42" i="6"/>
  <c r="R73" i="6"/>
  <c r="D11" i="9" s="1"/>
  <c r="Q14" i="6"/>
  <c r="U14" i="6" s="1"/>
  <c r="K55" i="6"/>
  <c r="S20" i="6"/>
  <c r="R32" i="6"/>
  <c r="Q7" i="6"/>
  <c r="K12" i="6"/>
  <c r="Q58" i="6"/>
  <c r="U58" i="6" s="1"/>
  <c r="N67" i="6"/>
  <c r="Q49" i="6"/>
  <c r="N23" i="6"/>
  <c r="K69" i="6"/>
  <c r="N21" i="6"/>
  <c r="K37" i="6"/>
  <c r="N70" i="6"/>
  <c r="K54" i="6"/>
  <c r="T10" i="6"/>
  <c r="R10" i="6"/>
  <c r="D13" i="7" s="1"/>
  <c r="T51" i="6"/>
  <c r="R51" i="6"/>
  <c r="D12" i="8" s="1"/>
  <c r="S39" i="6"/>
  <c r="E56" i="7" s="1"/>
  <c r="U39" i="6"/>
  <c r="R38" i="6"/>
  <c r="D55" i="7" s="1"/>
  <c r="T38" i="6"/>
  <c r="T68" i="6"/>
  <c r="R68" i="6"/>
  <c r="Q13" i="6"/>
  <c r="S59" i="6"/>
  <c r="K8" i="6"/>
  <c r="Q19" i="6"/>
  <c r="T6" i="6"/>
  <c r="R6" i="6"/>
  <c r="D9" i="7" s="1"/>
  <c r="R16" i="6"/>
  <c r="D22" i="7" s="1"/>
  <c r="S74" i="6"/>
  <c r="E14" i="9" s="1"/>
  <c r="U74" i="6"/>
  <c r="K28" i="6"/>
  <c r="S64" i="6"/>
  <c r="Q39" i="6"/>
  <c r="N61" i="6"/>
  <c r="T75" i="6"/>
  <c r="R75" i="6"/>
  <c r="D15" i="9" s="1"/>
  <c r="T39" i="6"/>
  <c r="R39" i="6"/>
  <c r="D56" i="7" s="1"/>
  <c r="K40" i="6"/>
  <c r="Q41" i="6"/>
  <c r="Q62" i="6"/>
  <c r="Q35" i="6"/>
  <c r="Q47" i="6"/>
  <c r="N40" i="6"/>
  <c r="N32" i="6"/>
  <c r="T32" i="6" s="1"/>
  <c r="K9" i="6"/>
  <c r="K23" i="6"/>
  <c r="N63" i="6"/>
  <c r="Q4" i="6"/>
  <c r="N55" i="6"/>
  <c r="Q27" i="6"/>
  <c r="N31" i="6"/>
  <c r="N75" i="6"/>
  <c r="N27" i="6"/>
  <c r="Q40" i="6"/>
  <c r="Q25" i="6" s="1"/>
  <c r="G7" i="10" s="1"/>
  <c r="N71" i="6"/>
  <c r="Q57" i="6"/>
  <c r="U41" i="6"/>
  <c r="S41" i="6"/>
  <c r="E7" i="8" s="1"/>
  <c r="U37" i="6"/>
  <c r="S37" i="6"/>
  <c r="E54" i="7" s="1"/>
  <c r="U52" i="6"/>
  <c r="S52" i="6"/>
  <c r="E13" i="8" s="1"/>
  <c r="Q53" i="6"/>
  <c r="R77" i="6"/>
  <c r="D17" i="9" s="1"/>
  <c r="S30" i="6"/>
  <c r="E44" i="7" s="1"/>
  <c r="K47" i="6"/>
  <c r="K7" i="6"/>
  <c r="Q60" i="6"/>
  <c r="U60" i="6" s="1"/>
  <c r="Q30" i="6"/>
  <c r="U30" i="6" s="1"/>
  <c r="Q28" i="6"/>
  <c r="U28" i="6" s="1"/>
  <c r="K34" i="6"/>
  <c r="Q76" i="6"/>
  <c r="U76" i="6" s="1"/>
  <c r="Q32" i="6"/>
  <c r="K43" i="6"/>
  <c r="K74" i="6"/>
  <c r="K60" i="6"/>
  <c r="T17" i="6"/>
  <c r="R17" i="6"/>
  <c r="D23" i="7" s="1"/>
  <c r="S60" i="6"/>
  <c r="R65" i="6"/>
  <c r="T65" i="6"/>
  <c r="D112" i="11"/>
  <c r="T72" i="6"/>
  <c r="R72" i="6"/>
  <c r="D10" i="9" s="1"/>
  <c r="S14" i="6"/>
  <c r="R52" i="6"/>
  <c r="D13" i="8" s="1"/>
  <c r="T52" i="6"/>
  <c r="K64" i="6"/>
  <c r="D124" i="11"/>
  <c r="K4" i="6"/>
  <c r="U53" i="6"/>
  <c r="S53" i="6"/>
  <c r="E14" i="8" s="1"/>
  <c r="U68" i="6"/>
  <c r="S68" i="6"/>
  <c r="K33" i="6"/>
  <c r="N65" i="6"/>
  <c r="N19" i="6"/>
  <c r="R71" i="6"/>
  <c r="T71" i="6"/>
  <c r="S56" i="6"/>
  <c r="U56" i="6"/>
  <c r="Q59" i="6"/>
  <c r="U59" i="6" s="1"/>
  <c r="K63" i="6"/>
  <c r="N34" i="6"/>
  <c r="S10" i="6"/>
  <c r="E13" i="7" s="1"/>
  <c r="K24" i="6"/>
  <c r="N9" i="6"/>
  <c r="Q15" i="6"/>
  <c r="Q44" i="6"/>
  <c r="U44" i="6" s="1"/>
  <c r="N66" i="6"/>
  <c r="N7" i="6"/>
  <c r="Q38" i="6"/>
  <c r="U38" i="6" s="1"/>
  <c r="Q20" i="6"/>
  <c r="E49" i="11" s="1"/>
  <c r="K25" i="6"/>
  <c r="N5" i="6"/>
  <c r="Q10" i="6"/>
  <c r="U10" i="6" s="1"/>
  <c r="K62" i="6"/>
  <c r="Q31" i="6"/>
  <c r="Q29" i="6"/>
  <c r="N62" i="6"/>
  <c r="K44" i="6"/>
  <c r="N35" i="6"/>
  <c r="Q46" i="6"/>
  <c r="N43" i="6"/>
  <c r="Q63" i="6"/>
  <c r="D107" i="11"/>
  <c r="S33" i="6"/>
  <c r="E50" i="7" s="1"/>
  <c r="U33" i="6"/>
  <c r="T21" i="6"/>
  <c r="R21" i="6"/>
  <c r="D27" i="7" s="1"/>
  <c r="S44" i="6"/>
  <c r="S76" i="6"/>
  <c r="E16" i="9" s="1"/>
  <c r="R18" i="6"/>
  <c r="D24" i="7" s="1"/>
  <c r="T18" i="6"/>
  <c r="U45" i="6"/>
  <c r="S45" i="6"/>
  <c r="N77" i="6"/>
  <c r="N26" i="6"/>
  <c r="U69" i="6"/>
  <c r="S69" i="6"/>
  <c r="E43" i="8" s="1"/>
  <c r="Q36" i="6"/>
  <c r="S38" i="6"/>
  <c r="E55" i="7" s="1"/>
  <c r="T76" i="6"/>
  <c r="R76" i="6"/>
  <c r="D16" i="9" s="1"/>
  <c r="U72" i="6"/>
  <c r="S72" i="6"/>
  <c r="E10" i="9" s="1"/>
  <c r="T5" i="6"/>
  <c r="R5" i="6"/>
  <c r="D8" i="7" s="1"/>
  <c r="U22" i="6"/>
  <c r="D11" i="10" s="1"/>
  <c r="S22" i="6"/>
  <c r="N15" i="6"/>
  <c r="Q12" i="6"/>
  <c r="N49" i="6"/>
  <c r="N16" i="6"/>
  <c r="Q8" i="6"/>
  <c r="U8" i="6" s="1"/>
  <c r="N50" i="6"/>
  <c r="K29" i="6"/>
  <c r="K26" i="6"/>
  <c r="N11" i="6"/>
  <c r="K13" i="6"/>
  <c r="Q73" i="6"/>
  <c r="Q24" i="6" s="1"/>
  <c r="F7" i="10" s="1"/>
  <c r="K41" i="6"/>
  <c r="K36" i="6"/>
  <c r="Q64" i="6"/>
  <c r="U64" i="6" s="1"/>
  <c r="K59" i="6"/>
  <c r="N36" i="6"/>
  <c r="K48" i="6"/>
  <c r="N48" i="6"/>
  <c r="K66" i="6"/>
  <c r="H7" i="10" l="1"/>
  <c r="E23" i="11"/>
  <c r="S67" i="6"/>
  <c r="U67" i="6"/>
  <c r="U47" i="6"/>
  <c r="S47" i="6"/>
  <c r="E8" i="8" s="1"/>
  <c r="U35" i="6"/>
  <c r="S35" i="6"/>
  <c r="E52" i="7" s="1"/>
  <c r="U66" i="6"/>
  <c r="S66" i="6"/>
  <c r="S71" i="6"/>
  <c r="U71" i="6"/>
  <c r="U13" i="6"/>
  <c r="S13" i="6"/>
  <c r="E16" i="7" s="1"/>
  <c r="T26" i="6"/>
  <c r="R26" i="6"/>
  <c r="S77" i="6"/>
  <c r="E17" i="9" s="1"/>
  <c r="U77" i="6"/>
  <c r="T19" i="6"/>
  <c r="R19" i="6"/>
  <c r="D25" i="7" s="1"/>
  <c r="T7" i="6"/>
  <c r="R7" i="6"/>
  <c r="D10" i="7" s="1"/>
  <c r="T23" i="6"/>
  <c r="E23" i="10" s="1"/>
  <c r="H23" i="10" s="1"/>
  <c r="R23" i="6"/>
  <c r="D37" i="7" s="1"/>
  <c r="D23" i="11"/>
  <c r="T67" i="6"/>
  <c r="R67" i="6"/>
  <c r="U36" i="6"/>
  <c r="S36" i="6"/>
  <c r="E53" i="7" s="1"/>
  <c r="U16" i="6"/>
  <c r="S16" i="6"/>
  <c r="E22" i="7" s="1"/>
  <c r="U7" i="6"/>
  <c r="S7" i="6"/>
  <c r="E10" i="7" s="1"/>
  <c r="E18" i="13"/>
  <c r="E21" i="8"/>
  <c r="E23" i="13"/>
  <c r="R64" i="6"/>
  <c r="T64" i="6"/>
  <c r="T47" i="6"/>
  <c r="R47" i="6"/>
  <c r="D8" i="8" s="1"/>
  <c r="R46" i="6"/>
  <c r="T46" i="6"/>
  <c r="T42" i="6"/>
  <c r="R42" i="6"/>
  <c r="T59" i="6"/>
  <c r="R59" i="6"/>
  <c r="U49" i="6"/>
  <c r="S49" i="6"/>
  <c r="E10" i="8" s="1"/>
  <c r="T44" i="6"/>
  <c r="R44" i="6"/>
  <c r="G21" i="10"/>
  <c r="D9" i="9"/>
  <c r="U27" i="6"/>
  <c r="S27" i="6"/>
  <c r="E41" i="7" s="1"/>
  <c r="E29" i="13"/>
  <c r="E32" i="8"/>
  <c r="E68" i="11"/>
  <c r="E71" i="11" s="1"/>
  <c r="U70" i="6"/>
  <c r="S70" i="6"/>
  <c r="T35" i="6"/>
  <c r="T14" i="6"/>
  <c r="R14" i="6"/>
  <c r="S4" i="6"/>
  <c r="U4" i="6"/>
  <c r="T66" i="6"/>
  <c r="R66" i="6"/>
  <c r="T29" i="6"/>
  <c r="R29" i="6"/>
  <c r="D43" i="7" s="1"/>
  <c r="R4" i="6"/>
  <c r="T4" i="6"/>
  <c r="T48" i="6"/>
  <c r="R48" i="6"/>
  <c r="D9" i="8" s="1"/>
  <c r="U43" i="6"/>
  <c r="S43" i="6"/>
  <c r="R9" i="6"/>
  <c r="D12" i="7" s="1"/>
  <c r="T9" i="6"/>
  <c r="S61" i="6"/>
  <c r="U61" i="6"/>
  <c r="T8" i="6"/>
  <c r="R8" i="6"/>
  <c r="D11" i="7" s="1"/>
  <c r="T12" i="6"/>
  <c r="R12" i="6"/>
  <c r="D15" i="7" s="1"/>
  <c r="S32" i="6"/>
  <c r="U32" i="6"/>
  <c r="E21" i="13"/>
  <c r="E24" i="8"/>
  <c r="D27" i="10"/>
  <c r="D33" i="7"/>
  <c r="T60" i="6"/>
  <c r="R60" i="6"/>
  <c r="U40" i="6"/>
  <c r="S40" i="6"/>
  <c r="T54" i="6"/>
  <c r="R54" i="6"/>
  <c r="D15" i="8" s="1"/>
  <c r="T36" i="6"/>
  <c r="R36" i="6"/>
  <c r="D53" i="7" s="1"/>
  <c r="U62" i="6"/>
  <c r="S62" i="6"/>
  <c r="U19" i="6"/>
  <c r="S19" i="6"/>
  <c r="E25" i="7" s="1"/>
  <c r="E28" i="7"/>
  <c r="E20" i="7"/>
  <c r="T74" i="6"/>
  <c r="R74" i="6"/>
  <c r="D14" i="9" s="1"/>
  <c r="T41" i="6"/>
  <c r="R41" i="6"/>
  <c r="D7" i="8" s="1"/>
  <c r="U15" i="6"/>
  <c r="S15" i="6"/>
  <c r="E21" i="7" s="1"/>
  <c r="S9" i="6"/>
  <c r="E12" i="7" s="1"/>
  <c r="U9" i="6"/>
  <c r="E112" i="11"/>
  <c r="U65" i="6"/>
  <c r="S65" i="6"/>
  <c r="T43" i="6"/>
  <c r="R43" i="6"/>
  <c r="T77" i="6"/>
  <c r="U75" i="6"/>
  <c r="S75" i="6"/>
  <c r="E15" i="9" s="1"/>
  <c r="R28" i="6"/>
  <c r="D42" i="7" s="1"/>
  <c r="T28" i="6"/>
  <c r="D40" i="13"/>
  <c r="D39" i="8"/>
  <c r="T37" i="6"/>
  <c r="R37" i="6"/>
  <c r="D54" i="7" s="1"/>
  <c r="D49" i="7"/>
  <c r="D57" i="7"/>
  <c r="U51" i="6"/>
  <c r="S51" i="6"/>
  <c r="E12" i="8" s="1"/>
  <c r="T20" i="6"/>
  <c r="R20" i="6"/>
  <c r="U57" i="6"/>
  <c r="S57" i="6"/>
  <c r="D8" i="9"/>
  <c r="U5" i="6"/>
  <c r="S5" i="6"/>
  <c r="E8" i="7" s="1"/>
  <c r="U34" i="6"/>
  <c r="S34" i="6"/>
  <c r="E51" i="7" s="1"/>
  <c r="T57" i="6"/>
  <c r="R57" i="6"/>
  <c r="T58" i="6"/>
  <c r="R58" i="6"/>
  <c r="U48" i="6"/>
  <c r="S48" i="6"/>
  <c r="E9" i="8" s="1"/>
  <c r="T11" i="6"/>
  <c r="R11" i="6"/>
  <c r="D14" i="7" s="1"/>
  <c r="D19" i="10"/>
  <c r="D15" i="10"/>
  <c r="E33" i="7"/>
  <c r="R24" i="6"/>
  <c r="T33" i="6"/>
  <c r="R33" i="6"/>
  <c r="D50" i="7" s="1"/>
  <c r="U31" i="6"/>
  <c r="S31" i="6"/>
  <c r="E45" i="7" s="1"/>
  <c r="U21" i="6"/>
  <c r="S21" i="6"/>
  <c r="E27" i="7" s="1"/>
  <c r="E26" i="7"/>
  <c r="D49" i="11"/>
  <c r="E51" i="11"/>
  <c r="E20" i="13"/>
  <c r="E23" i="8"/>
  <c r="U29" i="6"/>
  <c r="S29" i="6"/>
  <c r="E43" i="7" s="1"/>
  <c r="U54" i="6"/>
  <c r="S54" i="6"/>
  <c r="E15" i="8" s="1"/>
  <c r="T70" i="6"/>
  <c r="R25" i="6"/>
  <c r="S50" i="6"/>
  <c r="E11" i="8" s="1"/>
  <c r="U50" i="6"/>
  <c r="E22" i="13"/>
  <c r="E25" i="8"/>
  <c r="S63" i="6"/>
  <c r="U63" i="6"/>
  <c r="S73" i="6"/>
  <c r="E11" i="9" s="1"/>
  <c r="U73" i="6"/>
  <c r="T13" i="6"/>
  <c r="R13" i="6"/>
  <c r="D16" i="7" s="1"/>
  <c r="R62" i="6"/>
  <c r="T62" i="6"/>
  <c r="E40" i="13"/>
  <c r="E39" i="8"/>
  <c r="R69" i="6"/>
  <c r="D43" i="8" s="1"/>
  <c r="T69" i="6"/>
  <c r="U20" i="6"/>
  <c r="U46" i="6"/>
  <c r="S46" i="6"/>
  <c r="T50" i="6"/>
  <c r="T63" i="6"/>
  <c r="R63" i="6"/>
  <c r="D33" i="8"/>
  <c r="D30" i="13"/>
  <c r="S11" i="6"/>
  <c r="E14" i="7" s="1"/>
  <c r="U11" i="6"/>
  <c r="U26" i="6"/>
  <c r="S26" i="6"/>
  <c r="D113" i="11"/>
  <c r="D40" i="11" s="1"/>
  <c r="D115" i="11"/>
  <c r="T34" i="6"/>
  <c r="R34" i="6"/>
  <c r="D51" i="7" s="1"/>
  <c r="N24" i="6"/>
  <c r="R40" i="6"/>
  <c r="T40" i="6"/>
  <c r="T16" i="6"/>
  <c r="N25" i="6"/>
  <c r="R55" i="6"/>
  <c r="D16" i="8" s="1"/>
  <c r="T55" i="6"/>
  <c r="T56" i="6"/>
  <c r="R56" i="6"/>
  <c r="T45" i="6"/>
  <c r="R45" i="6"/>
  <c r="S55" i="6"/>
  <c r="E16" i="8" s="1"/>
  <c r="U55" i="6"/>
  <c r="S23" i="6"/>
  <c r="U23" i="6"/>
  <c r="E11" i="10" s="1"/>
  <c r="H11" i="10" s="1"/>
  <c r="R61" i="6"/>
  <c r="T61" i="6"/>
  <c r="U12" i="6"/>
  <c r="S12" i="6"/>
  <c r="E15" i="7" s="1"/>
  <c r="E17" i="8" l="1"/>
  <c r="E6" i="8"/>
  <c r="G8" i="10"/>
  <c r="D21" i="13"/>
  <c r="D24" i="8"/>
  <c r="U25" i="6"/>
  <c r="S25" i="6"/>
  <c r="E31" i="13"/>
  <c r="E34" i="8"/>
  <c r="D14" i="10"/>
  <c r="E32" i="13"/>
  <c r="E26" i="13"/>
  <c r="E29" i="8"/>
  <c r="D31" i="13"/>
  <c r="D34" i="8"/>
  <c r="U24" i="6"/>
  <c r="S24" i="6"/>
  <c r="E43" i="11"/>
  <c r="T25" i="6"/>
  <c r="G27" i="10"/>
  <c r="D36" i="7"/>
  <c r="F21" i="10"/>
  <c r="E27" i="13"/>
  <c r="E30" i="8"/>
  <c r="D43" i="11"/>
  <c r="C13" i="14"/>
  <c r="D17" i="7"/>
  <c r="D7" i="7"/>
  <c r="E113" i="11"/>
  <c r="E40" i="11" s="1"/>
  <c r="E115" i="11"/>
  <c r="D126" i="11" s="1"/>
  <c r="C9" i="14" s="1"/>
  <c r="D25" i="8"/>
  <c r="D22" i="13"/>
  <c r="E30" i="13"/>
  <c r="E33" i="8"/>
  <c r="D26" i="10"/>
  <c r="E7" i="7"/>
  <c r="E17" i="7"/>
  <c r="E29" i="7" s="1"/>
  <c r="E19" i="13"/>
  <c r="E22" i="8"/>
  <c r="D28" i="7"/>
  <c r="D20" i="7"/>
  <c r="D46" i="7"/>
  <c r="D58" i="7" s="1"/>
  <c r="D40" i="7"/>
  <c r="F27" i="10"/>
  <c r="D35" i="7"/>
  <c r="E15" i="10"/>
  <c r="E14" i="10" s="1"/>
  <c r="E19" i="10"/>
  <c r="E34" i="7"/>
  <c r="D6" i="8"/>
  <c r="G20" i="10"/>
  <c r="D17" i="8"/>
  <c r="B46" i="8"/>
  <c r="D27" i="13"/>
  <c r="D30" i="8"/>
  <c r="D18" i="9"/>
  <c r="D18" i="13"/>
  <c r="D21" i="8"/>
  <c r="D23" i="13"/>
  <c r="D45" i="11"/>
  <c r="D23" i="8"/>
  <c r="D20" i="13"/>
  <c r="D41" i="13"/>
  <c r="D39" i="13"/>
  <c r="D38" i="8"/>
  <c r="E41" i="13"/>
  <c r="E39" i="13"/>
  <c r="E38" i="8"/>
  <c r="E28" i="13"/>
  <c r="E31" i="8"/>
  <c r="D31" i="8"/>
  <c r="D28" i="13"/>
  <c r="E46" i="7"/>
  <c r="E40" i="7"/>
  <c r="D51" i="11"/>
  <c r="D26" i="7"/>
  <c r="E57" i="7"/>
  <c r="E49" i="7"/>
  <c r="E27" i="10"/>
  <c r="E26" i="10" s="1"/>
  <c r="D34" i="7"/>
  <c r="E9" i="9"/>
  <c r="G9" i="10"/>
  <c r="D32" i="13"/>
  <c r="D26" i="13"/>
  <c r="D29" i="8"/>
  <c r="T24" i="6"/>
  <c r="D19" i="13"/>
  <c r="D22" i="8"/>
  <c r="F9" i="10"/>
  <c r="E8" i="9"/>
  <c r="E18" i="9"/>
  <c r="D32" i="8"/>
  <c r="D29" i="13"/>
  <c r="H20" i="10" l="1"/>
  <c r="G22" i="10"/>
  <c r="D29" i="7"/>
  <c r="D60" i="7" s="1"/>
  <c r="H8" i="10"/>
  <c r="G10" i="10"/>
  <c r="D6" i="11"/>
  <c r="D22" i="11" s="1"/>
  <c r="D24" i="11" s="1"/>
  <c r="D47" i="11" s="1"/>
  <c r="D50" i="11" s="1"/>
  <c r="D52" i="11" s="1"/>
  <c r="D14" i="12"/>
  <c r="D21" i="12" s="1"/>
  <c r="D26" i="8"/>
  <c r="D35" i="8" s="1"/>
  <c r="I18" i="8"/>
  <c r="E60" i="7"/>
  <c r="F10" i="10"/>
  <c r="H10" i="10" s="1"/>
  <c r="H9" i="10"/>
  <c r="E45" i="11"/>
  <c r="E35" i="7"/>
  <c r="F19" i="10"/>
  <c r="F15" i="10"/>
  <c r="E37" i="7"/>
  <c r="E58" i="7" s="1"/>
  <c r="H27" i="10"/>
  <c r="G14" i="12"/>
  <c r="G21" i="12" s="1"/>
  <c r="E26" i="8"/>
  <c r="E35" i="8" s="1"/>
  <c r="J18" i="8"/>
  <c r="E6" i="11"/>
  <c r="E22" i="11" s="1"/>
  <c r="E24" i="11" s="1"/>
  <c r="E47" i="11" s="1"/>
  <c r="E50" i="11" s="1"/>
  <c r="E52" i="11" s="1"/>
  <c r="F26" i="10"/>
  <c r="H26" i="10" s="1"/>
  <c r="G19" i="10"/>
  <c r="G15" i="10"/>
  <c r="E36" i="7"/>
  <c r="G26" i="10"/>
  <c r="F22" i="10"/>
  <c r="H22" i="10" s="1"/>
  <c r="H21" i="10"/>
  <c r="F14" i="10" l="1"/>
  <c r="H15" i="10"/>
  <c r="G14" i="10"/>
  <c r="H19" i="10"/>
  <c r="C4" i="14"/>
  <c r="D43" i="13"/>
  <c r="D40" i="8"/>
  <c r="D44" i="8" s="1"/>
  <c r="D5" i="9" s="1"/>
  <c r="D19" i="9" s="1"/>
  <c r="E40" i="8"/>
  <c r="E44" i="8" s="1"/>
  <c r="E5" i="9" s="1"/>
  <c r="E19" i="9" s="1"/>
  <c r="E43" i="13"/>
  <c r="C8" i="14"/>
  <c r="H14" i="10" l="1"/>
  <c r="H29" i="10"/>
  <c r="C7" i="14" s="1"/>
  <c r="C1" i="14" s="1"/>
  <c r="C25" i="1" s="1"/>
  <c r="E44" i="13"/>
  <c r="E45" i="13" s="1"/>
  <c r="E46" i="13"/>
  <c r="D44" i="13"/>
  <c r="D45" i="13" s="1"/>
  <c r="D46" i="13"/>
</calcChain>
</file>

<file path=xl/sharedStrings.xml><?xml version="1.0" encoding="utf-8"?>
<sst xmlns="http://schemas.openxmlformats.org/spreadsheetml/2006/main" count="3499" uniqueCount="1619">
  <si>
    <t>English</t>
  </si>
  <si>
    <t>Minta Zrt.</t>
  </si>
  <si>
    <t>HUF</t>
  </si>
  <si>
    <t>By nature</t>
  </si>
  <si>
    <t>No</t>
  </si>
  <si>
    <t>UI.APP.TITLE</t>
  </si>
  <si>
    <t>XLNT IFRS Financial Statements</t>
  </si>
  <si>
    <t>XLNT IFRS pénzügyi kimutatások</t>
  </si>
  <si>
    <t>UI</t>
  </si>
  <si>
    <t>UI.OK</t>
  </si>
  <si>
    <t>All checks passed</t>
  </si>
  <si>
    <t>Minden ellenőrzés rendben</t>
  </si>
  <si>
    <t>UI.ERRORS</t>
  </si>
  <si>
    <t>Errors</t>
  </si>
  <si>
    <t>Hibák</t>
  </si>
  <si>
    <t>UI.CY</t>
  </si>
  <si>
    <t>Current year</t>
  </si>
  <si>
    <t>Tárgyév</t>
  </si>
  <si>
    <t>UI.PY</t>
  </si>
  <si>
    <t>Prior year</t>
  </si>
  <si>
    <t>Előző év</t>
  </si>
  <si>
    <t>UI.OP</t>
  </si>
  <si>
    <t>Opening</t>
  </si>
  <si>
    <t>Nyitó</t>
  </si>
  <si>
    <t>UI.NOTE</t>
  </si>
  <si>
    <t>Note</t>
  </si>
  <si>
    <t>Megj.</t>
  </si>
  <si>
    <t>UI.TOTAL</t>
  </si>
  <si>
    <t>Total</t>
  </si>
  <si>
    <t>Összesen</t>
  </si>
  <si>
    <t>UI.INPUT.HINT</t>
  </si>
  <si>
    <t>Yellow cells are inputs; everything else is calculated.</t>
  </si>
  <si>
    <t>A sárga cellák kitöltendők; minden más számított.</t>
  </si>
  <si>
    <t>UI.CODE</t>
  </si>
  <si>
    <t>code</t>
  </si>
  <si>
    <t>kód</t>
  </si>
  <si>
    <t>UI.SHEET.SETTINGS</t>
  </si>
  <si>
    <t>Settings</t>
  </si>
  <si>
    <t>Beállítások</t>
  </si>
  <si>
    <t>UI.SHEET.DICT</t>
  </si>
  <si>
    <t>Dictionary (EN / HU)</t>
  </si>
  <si>
    <t>Szótár (EN / HU)</t>
  </si>
  <si>
    <t>UI.SHEET.COA</t>
  </si>
  <si>
    <t>Chart of accounts and mapping</t>
  </si>
  <si>
    <t>Számlatükör és hozzárendelés</t>
  </si>
  <si>
    <t>UI.SHEET.TB</t>
  </si>
  <si>
    <t>Trial balance</t>
  </si>
  <si>
    <t>Főkönyvi kivonat</t>
  </si>
  <si>
    <t>UI.SHEET.ADJ</t>
  </si>
  <si>
    <t>Adjustments journal</t>
  </si>
  <si>
    <t>Korrekciós napló</t>
  </si>
  <si>
    <t>UI.SHEET.ENGINE</t>
  </si>
  <si>
    <t>Calculation engine</t>
  </si>
  <si>
    <t>Számítási motor</t>
  </si>
  <si>
    <t>UI.SHEET.NOTES</t>
  </si>
  <si>
    <t>Notes to the financial statements</t>
  </si>
  <si>
    <t>Kiegészítő megjegyzések</t>
  </si>
  <si>
    <t>UI.SHEET.CHECKS</t>
  </si>
  <si>
    <t>Checks</t>
  </si>
  <si>
    <t>Ellenőrzések</t>
  </si>
  <si>
    <t>UI.SHEET.LISTS</t>
  </si>
  <si>
    <t>Lists (validation sources)</t>
  </si>
  <si>
    <t>Listák (legördülők forrása)</t>
  </si>
  <si>
    <t>UI.PLACEHOLDER</t>
  </si>
  <si>
    <t>This sheet will be built in a later step.</t>
  </si>
  <si>
    <t>Ez a lap egy későbbi lépésben készül el.</t>
  </si>
  <si>
    <t>BTN.REFRESH</t>
  </si>
  <si>
    <t>Refresh workbook</t>
  </si>
  <si>
    <t>Munkafüzet frissítése</t>
  </si>
  <si>
    <t>BTN.LOGO</t>
  </si>
  <si>
    <t>Place logo</t>
  </si>
  <si>
    <t>Logó elhelyezése</t>
  </si>
  <si>
    <t>BTN.LOGODEL</t>
  </si>
  <si>
    <t>Remove logo</t>
  </si>
  <si>
    <t>Logó eltávolítása</t>
  </si>
  <si>
    <t>BTN.PROTECT</t>
  </si>
  <si>
    <t>Protect all sheets</t>
  </si>
  <si>
    <t>Lapok levédése</t>
  </si>
  <si>
    <t>BTN.UNPROTECT</t>
  </si>
  <si>
    <t>Unprotect all sheets</t>
  </si>
  <si>
    <t>Védelem feloldása</t>
  </si>
  <si>
    <t>BTN.PDF</t>
  </si>
  <si>
    <t>Create PDFs (SFP + P&amp;L)</t>
  </si>
  <si>
    <t>PDF készítése (mérleg + eredmény)</t>
  </si>
  <si>
    <t>BTN.PDFPICK</t>
  </si>
  <si>
    <t>Select existing PDFs</t>
  </si>
  <si>
    <t>Meglévő PDF-ek kiválasztása</t>
  </si>
  <si>
    <t>UI.MACRO.HINT</t>
  </si>
  <si>
    <t>Save as .xlsm and import the four .bas modules, then press "Refresh workbook" after changing the language or the presentation method.</t>
  </si>
  <si>
    <t>Mentse .xlsm formátumban, importálja a négy .bas modult, majd nyelv- vagy eljárásváltás után nyomja meg a „Munkafüzet frissítése” gombot.</t>
  </si>
  <si>
    <t>UI.DICT.KEY</t>
  </si>
  <si>
    <t>Key</t>
  </si>
  <si>
    <t>Kulcs</t>
  </si>
  <si>
    <t>UI.DICT.EN</t>
  </si>
  <si>
    <t>Angol</t>
  </si>
  <si>
    <t>UI.DICT.HU</t>
  </si>
  <si>
    <t>Hungarian</t>
  </si>
  <si>
    <t>Magyar</t>
  </si>
  <si>
    <t>UI.DICT.ACTIVE</t>
  </si>
  <si>
    <t>Active</t>
  </si>
  <si>
    <t>Aktív</t>
  </si>
  <si>
    <t>UI.DICT.AREA</t>
  </si>
  <si>
    <t>Area</t>
  </si>
  <si>
    <t>Terület</t>
  </si>
  <si>
    <t>UI.DICT.REF</t>
  </si>
  <si>
    <t>Reference</t>
  </si>
  <si>
    <t>Hivatkozás</t>
  </si>
  <si>
    <t>UI.DICT.DUP</t>
  </si>
  <si>
    <t>Duplicate?</t>
  </si>
  <si>
    <t>Duplikált?</t>
  </si>
  <si>
    <t>SET.LANG</t>
  </si>
  <si>
    <t>Language</t>
  </si>
  <si>
    <t>Nyelv</t>
  </si>
  <si>
    <t>SET</t>
  </si>
  <si>
    <t>SET.ENTITY</t>
  </si>
  <si>
    <t>Reporting entity</t>
  </si>
  <si>
    <t>Beszámolót készítő gazdálkodó</t>
  </si>
  <si>
    <t>SET.REPDATE</t>
  </si>
  <si>
    <t>Reporting date</t>
  </si>
  <si>
    <t>Fordulónap</t>
  </si>
  <si>
    <t>SET.PYDATE</t>
  </si>
  <si>
    <t>Comparative period end</t>
  </si>
  <si>
    <t>Összehasonlító időszak vége</t>
  </si>
  <si>
    <t>SET.OPDATE</t>
  </si>
  <si>
    <t>Opening balance date</t>
  </si>
  <si>
    <t>Nyitó egyenleg dátuma</t>
  </si>
  <si>
    <t>SET.CURRENCY</t>
  </si>
  <si>
    <t>Presentation currency (ISO code)</t>
  </si>
  <si>
    <t>Prezentálás pénzneme (ISO kód)</t>
  </si>
  <si>
    <t>SET.UNIT</t>
  </si>
  <si>
    <t>Rounding unit</t>
  </si>
  <si>
    <t>Kerekítési egység</t>
  </si>
  <si>
    <t>SET.UNIT.LABEL</t>
  </si>
  <si>
    <t>Unit label (used on statements)</t>
  </si>
  <si>
    <t>Mértékegység felirata (a kimutatásokon)</t>
  </si>
  <si>
    <t>SET.UNIT.PREFIX</t>
  </si>
  <si>
    <t>in</t>
  </si>
  <si>
    <t>SET.UNIT.1</t>
  </si>
  <si>
    <t>SET.UNIT.K</t>
  </si>
  <si>
    <t>thousands of</t>
  </si>
  <si>
    <t>ezer</t>
  </si>
  <si>
    <t>SET.UNIT.M</t>
  </si>
  <si>
    <t>millions of</t>
  </si>
  <si>
    <t>millió</t>
  </si>
  <si>
    <t>SET.UNIT.SUFFIX</t>
  </si>
  <si>
    <t>-ban</t>
  </si>
  <si>
    <t>SET.EXPMETHOD</t>
  </si>
  <si>
    <t>Operating expenses presented</t>
  </si>
  <si>
    <t>Eredménykimutatás eljárása</t>
  </si>
  <si>
    <t>SET.MBA.INV</t>
  </si>
  <si>
    <t>Main business activity: investing in assets?</t>
  </si>
  <si>
    <t>Fő üzleti tevékenység: eszközökbe történő befektetés?</t>
  </si>
  <si>
    <t>SET.MBA.FIN</t>
  </si>
  <si>
    <t>Main business activity: providing financing to customers?</t>
  </si>
  <si>
    <t>Fő üzleti tevékenység: finanszírozás nyújtása ügyfeleknek?</t>
  </si>
  <si>
    <t>SET.TAXRATE</t>
  </si>
  <si>
    <t>Income tax rate</t>
  </si>
  <si>
    <t>Nyereségadó-kulcs</t>
  </si>
  <si>
    <t>SET.MATERIALITY</t>
  </si>
  <si>
    <t>Threshold for material 'Other' line warning</t>
  </si>
  <si>
    <t>Jelentős „Egyéb” sorok figyelmeztetési küszöbe</t>
  </si>
  <si>
    <t>SET.EBITDA</t>
  </si>
  <si>
    <t>Show the EBITDA-like IFRS-specified subtotal?</t>
  </si>
  <si>
    <t>Mutassa az EBITDA-szerű, IFRS által meghatározott részösszeget?</t>
  </si>
  <si>
    <t>SET.STATUS</t>
  </si>
  <si>
    <t>Workbook status</t>
  </si>
  <si>
    <t>Munkafüzet állapota</t>
  </si>
  <si>
    <t>SET.LEASEINT</t>
  </si>
  <si>
    <t>Is lease interest accrued to the lease liability?</t>
  </si>
  <si>
    <t>A lízingkamatot a lízingkötelezettségre könyvelik?</t>
  </si>
  <si>
    <t>SET.SEC.PDF</t>
  </si>
  <si>
    <t>PDF files for the OBR submission</t>
  </si>
  <si>
    <t>PDF fájlok az OBR-beadványhoz</t>
  </si>
  <si>
    <t>SET.PDF.SFP</t>
  </si>
  <si>
    <t>Statement of financial position (PDF)</t>
  </si>
  <si>
    <t>Mérleg (PDF)</t>
  </si>
  <si>
    <t>SET.PDF.PL</t>
  </si>
  <si>
    <t>Statement of profit or loss (PDF)</t>
  </si>
  <si>
    <t>Eredménykimutatás (PDF)</t>
  </si>
  <si>
    <t>SET.PDF.SIZE</t>
  </si>
  <si>
    <t>Total size of the selected PDFs</t>
  </si>
  <si>
    <t>A kiválasztott PDF-ek együttes mérete</t>
  </si>
  <si>
    <t>SET.NOTE.PDF</t>
  </si>
  <si>
    <t>Under Hungarian rules an IFRS filer uploads the balance sheet and the income statement to the OBR as PDF attachments (see the portal FAQ, point 5.9). Create them with the button, or select existing files. The paths below are read by the OBR module.</t>
  </si>
  <si>
    <t>Az IFRS szerinti beszámolót benyújtó a mérleget és az eredménykimutatást PDF-ként tölti fel az OBR-be (lásd a portál GYIK 5.9. pontját). Készítse el a gombbal, vagy válasszon meglévő fájlokat. Az alábbi útvonalakat olvassa az OBR-modul.</t>
  </si>
  <si>
    <t>PDF.NONE</t>
  </si>
  <si>
    <t>not selected</t>
  </si>
  <si>
    <t>nincs kiválasztva</t>
  </si>
  <si>
    <t>BTN.OBR</t>
  </si>
  <si>
    <t>Create .obr file</t>
  </si>
  <si>
    <t>.obr fájl készítése</t>
  </si>
  <si>
    <t>BTN.NOTESPDF</t>
  </si>
  <si>
    <t>Notes to PDF</t>
  </si>
  <si>
    <t>Kiegészítő melléklet PDF-be</t>
  </si>
  <si>
    <t>PDF.MISSING</t>
  </si>
  <si>
    <t>the file does not exist</t>
  </si>
  <si>
    <t>a fájl nem található</t>
  </si>
  <si>
    <t>SET.SEC.GENERAL</t>
  </si>
  <si>
    <t>General</t>
  </si>
  <si>
    <t>Általános</t>
  </si>
  <si>
    <t>SET.SEC.IFRS18</t>
  </si>
  <si>
    <t>IFRS 18 presentation choices</t>
  </si>
  <si>
    <t>IFRS 18 bemutatási választások</t>
  </si>
  <si>
    <t>SET.SEC.OTHER</t>
  </si>
  <si>
    <t>Other parameters</t>
  </si>
  <si>
    <t>Egyéb paraméterek</t>
  </si>
  <si>
    <t>SET.NOTE.MBA</t>
  </si>
  <si>
    <t>Only entities whose main business activity is investing in assets or providing financing to customers answer Yes; this moves the related income and expenses into the operating category.</t>
  </si>
  <si>
    <t>Csak azok a gazdálkodók válaszolnak Igen-nel, amelyek fő üzleti tevékenysége eszközökbe történő befektetés vagy ügyfelek finanszírozása; ekkor a kapcsolódó bevételek és ráfordítások a működési kategóriába kerülnek.</t>
  </si>
  <si>
    <t>SET.NOTE.UIO</t>
  </si>
  <si>
    <t>Sheet protection is not applied by the template; use the XLNTBI protection macros. UserInterfaceOnly is not kept after closing the file.</t>
  </si>
  <si>
    <t>A sablon nem véd le lapokat; használja az XLNTBI védelmi makrókat. A UserInterfaceOnly a fájl bezárása után nem őrződik meg.</t>
  </si>
  <si>
    <t>TB.ACCT</t>
  </si>
  <si>
    <t>Account</t>
  </si>
  <si>
    <t>Számla</t>
  </si>
  <si>
    <t>TB</t>
  </si>
  <si>
    <t>TB.NAME</t>
  </si>
  <si>
    <t>Account name</t>
  </si>
  <si>
    <t>Számla neve</t>
  </si>
  <si>
    <t>TB.CY</t>
  </si>
  <si>
    <t>Closing balance - current year</t>
  </si>
  <si>
    <t>Záró egyenleg - tárgyév</t>
  </si>
  <si>
    <t>TB.PY</t>
  </si>
  <si>
    <t>Closing balance - prior year</t>
  </si>
  <si>
    <t>Záró egyenleg - előző év</t>
  </si>
  <si>
    <t>TB.OP</t>
  </si>
  <si>
    <t>Closing balance - opening</t>
  </si>
  <si>
    <t>Záró egyenleg - nyitó</t>
  </si>
  <si>
    <t>TB.CHK</t>
  </si>
  <si>
    <t>Check</t>
  </si>
  <si>
    <t>Ellenőrzés</t>
  </si>
  <si>
    <t>TB.UNMAPPED</t>
  </si>
  <si>
    <t>Unmapped account</t>
  </si>
  <si>
    <t>Nem hozzárendelt számla</t>
  </si>
  <si>
    <t>TB.DRCR</t>
  </si>
  <si>
    <t>Debit - credit difference (must be zero)</t>
  </si>
  <si>
    <t>Tartozik - Követel különbözet (nullának kell lennie)</t>
  </si>
  <si>
    <t>TB.SIGN</t>
  </si>
  <si>
    <t>Balances in ledger sign: debit positive, credit negative</t>
  </si>
  <si>
    <t>Egyenlegek főkönyvi előjellel: Tartozik pozitív, Követel negatív</t>
  </si>
  <si>
    <t>ADJ.ID</t>
  </si>
  <si>
    <t>Entry ID</t>
  </si>
  <si>
    <t>Tétel azonosító</t>
  </si>
  <si>
    <t>ADJ</t>
  </si>
  <si>
    <t>ADJ.PER</t>
  </si>
  <si>
    <t>Period</t>
  </si>
  <si>
    <t>Időszak</t>
  </si>
  <si>
    <t>ADJ.ACCT</t>
  </si>
  <si>
    <t>ADJ.DR</t>
  </si>
  <si>
    <t>Debit</t>
  </si>
  <si>
    <t>Tartozik</t>
  </si>
  <si>
    <t>ADJ.CR</t>
  </si>
  <si>
    <t>Credit</t>
  </si>
  <si>
    <t>Követel</t>
  </si>
  <si>
    <t>ADJ.DESC</t>
  </si>
  <si>
    <t>Description</t>
  </si>
  <si>
    <t>Megnevezés</t>
  </si>
  <si>
    <t>ADJ.CHK</t>
  </si>
  <si>
    <t>ADJ.UNBAL</t>
  </si>
  <si>
    <t>Unbalanced entry</t>
  </si>
  <si>
    <t>Nem egyező tétel</t>
  </si>
  <si>
    <t>COA.ACCT</t>
  </si>
  <si>
    <t>COA</t>
  </si>
  <si>
    <t>COA.NAME</t>
  </si>
  <si>
    <t>COA.STMT</t>
  </si>
  <si>
    <t>Statement</t>
  </si>
  <si>
    <t>Kimutatás</t>
  </si>
  <si>
    <t>COA.LINE</t>
  </si>
  <si>
    <t>Line key</t>
  </si>
  <si>
    <t>Sorkód</t>
  </si>
  <si>
    <t>COA.LINE.F</t>
  </si>
  <si>
    <t>Line key - by function</t>
  </si>
  <si>
    <t>Sorkód - forgalmi költség eljárás</t>
  </si>
  <si>
    <t>COA.LINE.N</t>
  </si>
  <si>
    <t>Line key - by nature</t>
  </si>
  <si>
    <t>Sorkód - összköltség eljárás</t>
  </si>
  <si>
    <t>COA.CAT</t>
  </si>
  <si>
    <t>IFRS 18 category</t>
  </si>
  <si>
    <t>IFRS 18 kategória</t>
  </si>
  <si>
    <t>COA.MBA</t>
  </si>
  <si>
    <t>Main business activity sensitivity</t>
  </si>
  <si>
    <t>Fő üzleti tevékenység érzékenység</t>
  </si>
  <si>
    <t>COA.CAT.EFF</t>
  </si>
  <si>
    <t>Effective category</t>
  </si>
  <si>
    <t>Tényleges kategória</t>
  </si>
  <si>
    <t>COA.LINE.EFF</t>
  </si>
  <si>
    <t>Effective line key</t>
  </si>
  <si>
    <t>Tényleges sorkód</t>
  </si>
  <si>
    <t>COA.FXPARENT</t>
  </si>
  <si>
    <t>FX parent account</t>
  </si>
  <si>
    <t>Árfolyam-különbözet alapszámlája</t>
  </si>
  <si>
    <t>COA.CAT.FX</t>
  </si>
  <si>
    <t>Final category</t>
  </si>
  <si>
    <t>Végső kategória</t>
  </si>
  <si>
    <t>COA.CF</t>
  </si>
  <si>
    <t>Cash flow tag</t>
  </si>
  <si>
    <t>Cash flow jelölés</t>
  </si>
  <si>
    <t>COA.SCE</t>
  </si>
  <si>
    <t>Equity component</t>
  </si>
  <si>
    <t>Saját tőke elem</t>
  </si>
  <si>
    <t>COA.OTHER</t>
  </si>
  <si>
    <t>'Other' line?</t>
  </si>
  <si>
    <t>„Egyéb” sor?</t>
  </si>
  <si>
    <t>COA.CHK</t>
  </si>
  <si>
    <t>COA.ERR.NOKEY</t>
  </si>
  <si>
    <t>Line key not in catalogue</t>
  </si>
  <si>
    <t>Ismeretlen sorkód</t>
  </si>
  <si>
    <t>COA.ERR.NOCAT</t>
  </si>
  <si>
    <t>Category missing</t>
  </si>
  <si>
    <t>Hiányzó kategória</t>
  </si>
  <si>
    <t>COA.ERR.NOFN</t>
  </si>
  <si>
    <t>Function/nature line key missing</t>
  </si>
  <si>
    <t>Hiányzó forgalmi/összköltség sorkód</t>
  </si>
  <si>
    <t>COA.ERR.STMT</t>
  </si>
  <si>
    <t>Statement and line key do not match</t>
  </si>
  <si>
    <t>A kimutatás és a sorkód nem egyezik</t>
  </si>
  <si>
    <t>ENG.KEY</t>
  </si>
  <si>
    <t>ENG</t>
  </si>
  <si>
    <t>ENG.LABEL</t>
  </si>
  <si>
    <t>Label</t>
  </si>
  <si>
    <t>ENG.SIGN</t>
  </si>
  <si>
    <t>Presentation sign</t>
  </si>
  <si>
    <t>Bemutatási előjel</t>
  </si>
  <si>
    <t>ENG.TBCY</t>
  </si>
  <si>
    <t>TB current year</t>
  </si>
  <si>
    <t>Főkönyv tárgyév</t>
  </si>
  <si>
    <t>ENG.ADJCY</t>
  </si>
  <si>
    <t>Adjustments current year</t>
  </si>
  <si>
    <t>Korrekciók tárgyév</t>
  </si>
  <si>
    <t>ENG.CY</t>
  </si>
  <si>
    <t>Current year (ledger sign)</t>
  </si>
  <si>
    <t>Tárgyév (főkönyvi előjel)</t>
  </si>
  <si>
    <t>ENG.PY</t>
  </si>
  <si>
    <t>Prior year (ledger sign)</t>
  </si>
  <si>
    <t>Előző év (főkönyvi előjel)</t>
  </si>
  <si>
    <t>ENG.OP</t>
  </si>
  <si>
    <t>Opening (ledger sign)</t>
  </si>
  <si>
    <t>Nyitó (főkönyvi előjel)</t>
  </si>
  <si>
    <t>ENG.CYP</t>
  </si>
  <si>
    <t>Current year (presented)</t>
  </si>
  <si>
    <t>Tárgyév (bemutatott)</t>
  </si>
  <si>
    <t>ENG.PYP</t>
  </si>
  <si>
    <t>Prior year (presented)</t>
  </si>
  <si>
    <t>Előző év (bemutatott)</t>
  </si>
  <si>
    <t>ENG.MOVCY</t>
  </si>
  <si>
    <t>Movement current year</t>
  </si>
  <si>
    <t>Mozgás tárgyév</t>
  </si>
  <si>
    <t>ENG.MOVPY</t>
  </si>
  <si>
    <t>Movement prior year</t>
  </si>
  <si>
    <t>Mozgás előző év</t>
  </si>
  <si>
    <t>SFP.TITLE</t>
  </si>
  <si>
    <t>Statement of financial position</t>
  </si>
  <si>
    <t>Pénzügyi helyzetre vonatkozó kimutatás</t>
  </si>
  <si>
    <t>SFP</t>
  </si>
  <si>
    <t>IFRS 18.103 / IAS 1.54</t>
  </si>
  <si>
    <t>SFP.ASSETS</t>
  </si>
  <si>
    <t>ASSETS</t>
  </si>
  <si>
    <t>ESZKÖZÖK</t>
  </si>
  <si>
    <t>SFP.NCA</t>
  </si>
  <si>
    <t>Non-current assets</t>
  </si>
  <si>
    <t>Befektetett eszközök</t>
  </si>
  <si>
    <t>SFP.NCA.PPE</t>
  </si>
  <si>
    <t>Property, plant and equipment</t>
  </si>
  <si>
    <t>Ingatlanok, gépek és berendezések</t>
  </si>
  <si>
    <t>SFP.NCA.ROU</t>
  </si>
  <si>
    <t>Right-of-use assets</t>
  </si>
  <si>
    <t>Használatijog-eszközök</t>
  </si>
  <si>
    <t>SFP.NCA.INVPROP</t>
  </si>
  <si>
    <t>Investment property</t>
  </si>
  <si>
    <t>Befektetési célú ingatlan</t>
  </si>
  <si>
    <t>SFP.NCA.INTANG</t>
  </si>
  <si>
    <t>Intangible assets</t>
  </si>
  <si>
    <t>Immateriális javak</t>
  </si>
  <si>
    <t>SFP.NCA.GOODWILL</t>
  </si>
  <si>
    <t>Goodwill</t>
  </si>
  <si>
    <t>SFP.NCA.ASSOC</t>
  </si>
  <si>
    <t>Investments accounted for using the equity method</t>
  </si>
  <si>
    <t>Tőkemódszerrel elszámolt befektetések</t>
  </si>
  <si>
    <t>SFP.NCA.FINASSET</t>
  </si>
  <si>
    <t>Non-current financial assets</t>
  </si>
  <si>
    <t>Befektetett pénzügyi eszközök</t>
  </si>
  <si>
    <t>SFP.NCA.DTA</t>
  </si>
  <si>
    <t>Deferred tax assets</t>
  </si>
  <si>
    <t>Halasztott adókövetelések</t>
  </si>
  <si>
    <t>SFP.NCA.RECEIV</t>
  </si>
  <si>
    <t>Non-current receivables</t>
  </si>
  <si>
    <t>Hosszú lejáratú követelések</t>
  </si>
  <si>
    <t>SFP.NCA.OTHER</t>
  </si>
  <si>
    <t>Other non-current assets</t>
  </si>
  <si>
    <t>Egyéb befektetett eszközök</t>
  </si>
  <si>
    <t>SFP.NCA.TOTAL</t>
  </si>
  <si>
    <t>Total non-current assets</t>
  </si>
  <si>
    <t>Befektetett eszközök összesen</t>
  </si>
  <si>
    <t>SFP.CA</t>
  </si>
  <si>
    <t>Current assets</t>
  </si>
  <si>
    <t>Forgóeszközök</t>
  </si>
  <si>
    <t>SFP.CA.INVENT</t>
  </si>
  <si>
    <t>Inventories</t>
  </si>
  <si>
    <t>Készletek</t>
  </si>
  <si>
    <t>SFP.CA.TRADEREC</t>
  </si>
  <si>
    <t>Trade receivables</t>
  </si>
  <si>
    <t>Vevőkövetelések</t>
  </si>
  <si>
    <t>SFP.CA.CONTRACT</t>
  </si>
  <si>
    <t>Contract assets</t>
  </si>
  <si>
    <t>Szerződéses eszközök</t>
  </si>
  <si>
    <t>SFP.CA.OTHERREC</t>
  </si>
  <si>
    <t>Other receivables and prepayments</t>
  </si>
  <si>
    <t>Egyéb követelések és aktív időbeli elhatárolások</t>
  </si>
  <si>
    <t>SFP.CA.CURTAX</t>
  </si>
  <si>
    <t>Current tax assets</t>
  </si>
  <si>
    <t>Tényleges adókövetelések</t>
  </si>
  <si>
    <t>SFP.CA.FINASSET</t>
  </si>
  <si>
    <t>Current financial assets</t>
  </si>
  <si>
    <t>Rövid lejáratú pénzügyi eszközök</t>
  </si>
  <si>
    <t>SFP.CA.CASH</t>
  </si>
  <si>
    <t>Cash and cash equivalents</t>
  </si>
  <si>
    <t>Pénzeszközök és pénzeszköz-egyenértékesek</t>
  </si>
  <si>
    <t>SFP.CA.HFS</t>
  </si>
  <si>
    <t>Assets held for sale</t>
  </si>
  <si>
    <t>Értékesítésre tartott eszközök</t>
  </si>
  <si>
    <t>SFP.CA.TOTAL</t>
  </si>
  <si>
    <t>Total current assets</t>
  </si>
  <si>
    <t>Forgóeszközök összesen</t>
  </si>
  <si>
    <t>SFP.ASSETS.TOTAL</t>
  </si>
  <si>
    <t>TOTAL ASSETS</t>
  </si>
  <si>
    <t>ESZKÖZÖK ÖSSZESEN</t>
  </si>
  <si>
    <t>SFP.EQL</t>
  </si>
  <si>
    <t>EQUITY AND LIABILITIES</t>
  </si>
  <si>
    <t>SAJÁT TŐKE ÉS KÖTELEZETTSÉGEK</t>
  </si>
  <si>
    <t>SFP.EQ</t>
  </si>
  <si>
    <t>Equity</t>
  </si>
  <si>
    <t>Saját tőke</t>
  </si>
  <si>
    <t>SFP.EQ.SC</t>
  </si>
  <si>
    <t>Share capital</t>
  </si>
  <si>
    <t>Jegyzett tőke</t>
  </si>
  <si>
    <t>SFP.EQ.SP</t>
  </si>
  <si>
    <t>Share premium</t>
  </si>
  <si>
    <t>Ázsió</t>
  </si>
  <si>
    <t>SFP.EQ.OR</t>
  </si>
  <si>
    <t>Other reserves</t>
  </si>
  <si>
    <t>Egyéb tartalékok</t>
  </si>
  <si>
    <t>SFP.EQ.RE</t>
  </si>
  <si>
    <t>Retained earnings</t>
  </si>
  <si>
    <t>Eredménytartalék</t>
  </si>
  <si>
    <t>SFP.EQ.TOTAL</t>
  </si>
  <si>
    <t>Total equity</t>
  </si>
  <si>
    <t>Saját tőke összesen</t>
  </si>
  <si>
    <t>SFP.NCL</t>
  </si>
  <si>
    <t>Non-current liabilities</t>
  </si>
  <si>
    <t>Hosszú lejáratú kötelezettségek</t>
  </si>
  <si>
    <t>SFP.NCL.BORROW</t>
  </si>
  <si>
    <t>Non-current borrowings</t>
  </si>
  <si>
    <t>Hosszú lejáratú hitelek és kölcsönök</t>
  </si>
  <si>
    <t>SFP.NCL.LEASE</t>
  </si>
  <si>
    <t>Non-current lease liabilities</t>
  </si>
  <si>
    <t>Hosszú lejáratú lízingkötelezettségek</t>
  </si>
  <si>
    <t>SFP.NCL.PROV</t>
  </si>
  <si>
    <t>Non-current provisions</t>
  </si>
  <si>
    <t>Hosszú lejáratú céltartalékok</t>
  </si>
  <si>
    <t>SFP.NCL.EMPBEN</t>
  </si>
  <si>
    <t>Employee benefit liabilities</t>
  </si>
  <si>
    <t>Munkavállalói juttatásokból eredő kötelezettségek</t>
  </si>
  <si>
    <t>SFP.NCL.DTL</t>
  </si>
  <si>
    <t>Deferred tax liabilities</t>
  </si>
  <si>
    <t>Halasztott adókötelezettségek</t>
  </si>
  <si>
    <t>SFP.NCL.OTHER</t>
  </si>
  <si>
    <t>Other non-current liabilities</t>
  </si>
  <si>
    <t>Egyéb hosszú lejáratú kötelezettségek</t>
  </si>
  <si>
    <t>SFP.NCL.TOTAL</t>
  </si>
  <si>
    <t>Total non-current liabilities</t>
  </si>
  <si>
    <t>Hosszú lejáratú kötelezettségek összesen</t>
  </si>
  <si>
    <t>SFP.CL</t>
  </si>
  <si>
    <t>Current liabilities</t>
  </si>
  <si>
    <t>Rövid lejáratú kötelezettségek</t>
  </si>
  <si>
    <t>SFP.CL.TRADEPAY</t>
  </si>
  <si>
    <t>Trade payables</t>
  </si>
  <si>
    <t>Szállítói kötelezettségek</t>
  </si>
  <si>
    <t>SFP.CL.CONTRACT</t>
  </si>
  <si>
    <t>Contract liabilities</t>
  </si>
  <si>
    <t>Szerződéses kötelezettségek</t>
  </si>
  <si>
    <t>SFP.CL.BORROW</t>
  </si>
  <si>
    <t>Current borrowings</t>
  </si>
  <si>
    <t>Rövid lejáratú hitelek és kölcsönök</t>
  </si>
  <si>
    <t>SFP.CL.LEASE</t>
  </si>
  <si>
    <t>Current lease liabilities</t>
  </si>
  <si>
    <t>Rövid lejáratú lízingkötelezettségek</t>
  </si>
  <si>
    <t>SFP.CL.PROV</t>
  </si>
  <si>
    <t>Current provisions</t>
  </si>
  <si>
    <t>Rövid lejáratú céltartalékok</t>
  </si>
  <si>
    <t>SFP.CL.CURTAX</t>
  </si>
  <si>
    <t>Current tax liabilities</t>
  </si>
  <si>
    <t>Tényleges adókötelezettségek</t>
  </si>
  <si>
    <t>SFP.CL.OTHER</t>
  </si>
  <si>
    <t>Other current liabilities and accruals</t>
  </si>
  <si>
    <t>Egyéb rövid lejáratú kötelezettségek és passzív időbeli elhatárolások</t>
  </si>
  <si>
    <t>SFP.CL.HFS</t>
  </si>
  <si>
    <t>Liabilities associated with assets held for sale</t>
  </si>
  <si>
    <t>Értékesítésre tartott eszközökhöz kapcsolódó kötelezettségek</t>
  </si>
  <si>
    <t>SFP.CL.TOTAL</t>
  </si>
  <si>
    <t>Total current liabilities</t>
  </si>
  <si>
    <t>Rövid lejáratú kötelezettségek összesen</t>
  </si>
  <si>
    <t>SFP.EQL.TOTAL</t>
  </si>
  <si>
    <t>TOTAL EQUITY AND LIABILITIES</t>
  </si>
  <si>
    <t>SAJÁT TŐKE ÉS KÖTELEZETTSÉGEK ÖSSZESEN</t>
  </si>
  <si>
    <t>SFP.DIFF</t>
  </si>
  <si>
    <t>Balance difference (must be zero)</t>
  </si>
  <si>
    <t>Egyezőségi különbözet (nullának kell lennie)</t>
  </si>
  <si>
    <t>PL.TITLE</t>
  </si>
  <si>
    <t>Statement of profit or loss</t>
  </si>
  <si>
    <t>Eredménykimutatás</t>
  </si>
  <si>
    <t>PL</t>
  </si>
  <si>
    <t>IFRS 18.47-78</t>
  </si>
  <si>
    <t>PL.CAT.OP</t>
  </si>
  <si>
    <t>Operating</t>
  </si>
  <si>
    <t>Működési</t>
  </si>
  <si>
    <t>PL.CAT.INV</t>
  </si>
  <si>
    <t>Investing</t>
  </si>
  <si>
    <t>Befektetési</t>
  </si>
  <si>
    <t>PL.CAT.FIN</t>
  </si>
  <si>
    <t>Financing</t>
  </si>
  <si>
    <t>Finanszírozási</t>
  </si>
  <si>
    <t>PL.CAT.TAX</t>
  </si>
  <si>
    <t>Income taxes</t>
  </si>
  <si>
    <t>Nyereségadók</t>
  </si>
  <si>
    <t>PL.CAT.DISC</t>
  </si>
  <si>
    <t>Discontinued operations</t>
  </si>
  <si>
    <t>Megszűnt tevékenységek</t>
  </si>
  <si>
    <t>PL.SEC.OPEXP</t>
  </si>
  <si>
    <t>Operating expenses</t>
  </si>
  <si>
    <t>Működési ráfordítások</t>
  </si>
  <si>
    <t>PL.OP.REVENUE</t>
  </si>
  <si>
    <t>Revenue</t>
  </si>
  <si>
    <t>Árbevétel</t>
  </si>
  <si>
    <t>PL.OP.OTHERINC</t>
  </si>
  <si>
    <t>Other operating income</t>
  </si>
  <si>
    <t>Egyéb működési bevételek</t>
  </si>
  <si>
    <t>PL.OP.F.COS</t>
  </si>
  <si>
    <t>Cost of sales</t>
  </si>
  <si>
    <t>Értékesítés közvetlen költsége</t>
  </si>
  <si>
    <t>PL.OP.F.DIST</t>
  </si>
  <si>
    <t>Distribution costs</t>
  </si>
  <si>
    <t>Értékesítési költségek</t>
  </si>
  <si>
    <t>PL.OP.F.ADMIN</t>
  </si>
  <si>
    <t>Administrative expenses</t>
  </si>
  <si>
    <t>Igazgatási költségek</t>
  </si>
  <si>
    <t>PL.OP.F.RD</t>
  </si>
  <si>
    <t>Research and development expenses</t>
  </si>
  <si>
    <t>Kutatási és fejlesztési költségek</t>
  </si>
  <si>
    <t>PL.OP.F.OTHER</t>
  </si>
  <si>
    <t>Other functional expenses</t>
  </si>
  <si>
    <t>Egyéb funkcionális költségek</t>
  </si>
  <si>
    <t>PL.OP.N.MATERIALS</t>
  </si>
  <si>
    <t>Raw materials, consumables and changes in inventories</t>
  </si>
  <si>
    <t>Anyagjellegű ráfordítások és készletváltozás</t>
  </si>
  <si>
    <t>PL.OP.N.EMPLOYEE</t>
  </si>
  <si>
    <t>Employee benefit expenses</t>
  </si>
  <si>
    <t>Munkavállalói juttatások ráfordításai</t>
  </si>
  <si>
    <t>PL.OP.N.DEP</t>
  </si>
  <si>
    <t>Depreciation</t>
  </si>
  <si>
    <t>Értékcsökkenés</t>
  </si>
  <si>
    <t>PL.OP.N.AMORT</t>
  </si>
  <si>
    <t>Amortisation</t>
  </si>
  <si>
    <t>Amortizáció</t>
  </si>
  <si>
    <t>PL.OP.N.IMPAIR</t>
  </si>
  <si>
    <t>Impairment losses and reversals</t>
  </si>
  <si>
    <t>Értékvesztés és visszaírás</t>
  </si>
  <si>
    <t>PL.OP.N.INVWRITE</t>
  </si>
  <si>
    <t>Write-downs of inventories and reversals</t>
  </si>
  <si>
    <t>Készletek leírása és visszaírása</t>
  </si>
  <si>
    <t>PL.OP.N.OTHER</t>
  </si>
  <si>
    <t>Other expenses by nature</t>
  </si>
  <si>
    <t>Egyéb költségnem szerinti ráfordítások</t>
  </si>
  <si>
    <t>PL.OP.FX</t>
  </si>
  <si>
    <t>Foreign exchange differences - operating</t>
  </si>
  <si>
    <t>Árfolyam-különbözetek - működési</t>
  </si>
  <si>
    <t>PL.OP.OTHEREXP</t>
  </si>
  <si>
    <t>Other operating expenses</t>
  </si>
  <si>
    <t>Egyéb működési ráfordítások</t>
  </si>
  <si>
    <t>PL.SUB.OP</t>
  </si>
  <si>
    <t>Operating profit or loss</t>
  </si>
  <si>
    <t>Működési eredmény</t>
  </si>
  <si>
    <t>PL.INV.ASSOC</t>
  </si>
  <si>
    <t>Share of profit or loss of associates and joint ventures</t>
  </si>
  <si>
    <t>Társult és közös vállalkozások eredményéből való részesedés</t>
  </si>
  <si>
    <t>PL.INV.INTCASH</t>
  </si>
  <si>
    <t>Interest income on cash and cash equivalents</t>
  </si>
  <si>
    <t>Pénzeszközök kamatbevétele</t>
  </si>
  <si>
    <t>PL.INV.INVPROP</t>
  </si>
  <si>
    <t>Income from investment property</t>
  </si>
  <si>
    <t>Befektetési célú ingatlan bevételei</t>
  </si>
  <si>
    <t>PL.INV.FINASSET</t>
  </si>
  <si>
    <t>Income from other financial assets</t>
  </si>
  <si>
    <t>Egyéb pénzügyi eszközök bevételei</t>
  </si>
  <si>
    <t>PL.INV.OTHER</t>
  </si>
  <si>
    <t>Other investing income and expenses</t>
  </si>
  <si>
    <t>Egyéb befektetési bevételek és ráfordítások</t>
  </si>
  <si>
    <t>PL.SUB.PBFIT</t>
  </si>
  <si>
    <t>Profit or loss before financing and income taxes</t>
  </si>
  <si>
    <t>Finanszírozás és nyereségadók előtti eredmény</t>
  </si>
  <si>
    <t>PL.FIN.INTBORROW</t>
  </si>
  <si>
    <t>Interest expense on borrowings</t>
  </si>
  <si>
    <t>Hitelek és kölcsönök kamatráfordítása</t>
  </si>
  <si>
    <t>PL.FIN.INTLEASE</t>
  </si>
  <si>
    <t>Interest on lease liabilities</t>
  </si>
  <si>
    <t>Lízingkötelezettségek kamata</t>
  </si>
  <si>
    <t>PL.FIN.UNWIND</t>
  </si>
  <si>
    <t>Unwinding of discount on provisions</t>
  </si>
  <si>
    <t>Céltartalékok diszkontjának feloldása</t>
  </si>
  <si>
    <t>PL.FIN.EMPBEN</t>
  </si>
  <si>
    <t>Net interest on employee benefit liabilities</t>
  </si>
  <si>
    <t>Munkavállalói juttatási kötelezettségek nettó kamata</t>
  </si>
  <si>
    <t>PL.FIN.FX</t>
  </si>
  <si>
    <t>Foreign exchange differences - financing</t>
  </si>
  <si>
    <t>Árfolyam-különbözetek - finanszírozási</t>
  </si>
  <si>
    <t>PL.FIN.OTHER</t>
  </si>
  <si>
    <t>Other financing income and expenses</t>
  </si>
  <si>
    <t>Egyéb finanszírozási bevételek és ráfordítások</t>
  </si>
  <si>
    <t>PL.SUB.PBT</t>
  </si>
  <si>
    <t>Profit or loss before income taxes</t>
  </si>
  <si>
    <t>Adózás előtti eredmény</t>
  </si>
  <si>
    <t>PL.TAX.CURRENT</t>
  </si>
  <si>
    <t>Current tax expense</t>
  </si>
  <si>
    <t>Tényleges nyereségadó</t>
  </si>
  <si>
    <t>PL.TAX.DEFERRED</t>
  </si>
  <si>
    <t>Deferred tax expense</t>
  </si>
  <si>
    <t>Halasztott adó</t>
  </si>
  <si>
    <t>PL.SUB.CONT</t>
  </si>
  <si>
    <t>Profit or loss from continuing operations</t>
  </si>
  <si>
    <t>Folytatódó tevékenységek eredménye</t>
  </si>
  <si>
    <t>PL.DISC.RESULT</t>
  </si>
  <si>
    <t>Profit or loss from discontinued operations</t>
  </si>
  <si>
    <t>Megszűnt tevékenységek eredménye</t>
  </si>
  <si>
    <t>PL.SUB.PL</t>
  </si>
  <si>
    <t>Profit or loss for the year</t>
  </si>
  <si>
    <t>Tárgyévi eredmény</t>
  </si>
  <si>
    <t>PL.SUB.EBITDA</t>
  </si>
  <si>
    <t>Operating profit before depreciation, amortisation and specified impairments</t>
  </si>
  <si>
    <t>Értékcsökkenés, amortizáció és meghatározott értékvesztések előtti működési eredmény</t>
  </si>
  <si>
    <t>PL.WARN.OTHER</t>
  </si>
  <si>
    <t>Material 'Other' line - disaggregate or explain (IFRS 18)</t>
  </si>
  <si>
    <t>Jelentős „Egyéb” sor - bontsa meg vagy magyarázza (IFRS 18)</t>
  </si>
  <si>
    <t>OCI.TITLE</t>
  </si>
  <si>
    <t>Statement presenting comprehensive income</t>
  </si>
  <si>
    <t>Átfogó jövedelemre vonatkozó kimutatás</t>
  </si>
  <si>
    <t>OCI</t>
  </si>
  <si>
    <t>IFRS 18.86-90</t>
  </si>
  <si>
    <t>OCI.PL</t>
  </si>
  <si>
    <t>OCI.NR</t>
  </si>
  <si>
    <t>Items that will not be reclassified subsequently to profit or loss</t>
  </si>
  <si>
    <t>Az eredménybe később át nem sorolandó tételek</t>
  </si>
  <si>
    <t>OCI.NR.REVAL</t>
  </si>
  <si>
    <t>Revaluation of property, plant and equipment</t>
  </si>
  <si>
    <t>Ingatlanok, gépek és berendezések átértékelése</t>
  </si>
  <si>
    <t>OCI.NR.DBP</t>
  </si>
  <si>
    <t>Remeasurement of defined benefit plans</t>
  </si>
  <si>
    <t>Meghatározott juttatási programok újraértékelése</t>
  </si>
  <si>
    <t>OCI.NR.FVOCI.EQ</t>
  </si>
  <si>
    <t>Equity instruments at fair value through OCI</t>
  </si>
  <si>
    <t>Egyéb átfogó jövedelemmel szemben valós értéken értékelt tőkeinstrumentumok</t>
  </si>
  <si>
    <t>OCI.TAX.NR</t>
  </si>
  <si>
    <t>Income tax on items that will not be reclassified</t>
  </si>
  <si>
    <t>Át nem sorolandó tételek nyereségadója</t>
  </si>
  <si>
    <t>OCI.R</t>
  </si>
  <si>
    <t>Items that may be reclassified subsequently to profit or loss</t>
  </si>
  <si>
    <t>Az eredménybe később átsorolható tételek</t>
  </si>
  <si>
    <t>OCI.R.FVOCI.DEBT</t>
  </si>
  <si>
    <t>Debt instruments at fair value through OCI</t>
  </si>
  <si>
    <t>Egyéb átfogó jövedelemmel szemben valós értéken értékelt adósságinstrumentumok</t>
  </si>
  <si>
    <t>OCI.R.HEDGE</t>
  </si>
  <si>
    <t>Cash flow hedges</t>
  </si>
  <si>
    <t>Cash flow fedezeti ügyletek</t>
  </si>
  <si>
    <t>OCI.R.FX</t>
  </si>
  <si>
    <t>Exchange differences on translating foreign operations</t>
  </si>
  <si>
    <t>Külföldi érdekeltségek átszámításából eredő árfolyam-különbözetek</t>
  </si>
  <si>
    <t>OCI.TAX.R</t>
  </si>
  <si>
    <t>Income tax on items that may be reclassified</t>
  </si>
  <si>
    <t>Átsorolható tételek nyereségadója</t>
  </si>
  <si>
    <t>OCI.TOTAL</t>
  </si>
  <si>
    <t>Other comprehensive income for the year, net of tax</t>
  </si>
  <si>
    <t>Tárgyévi egyéb átfogó jövedelem, adózás után</t>
  </si>
  <si>
    <t>OCI.TCI</t>
  </si>
  <si>
    <t>Total comprehensive income for the year</t>
  </si>
  <si>
    <t>Tárgyévi teljes átfogó jövedelem</t>
  </si>
  <si>
    <t>SCE.TITLE</t>
  </si>
  <si>
    <t>Statement of changes in equity</t>
  </si>
  <si>
    <t>Saját tőke változásainak kimutatása</t>
  </si>
  <si>
    <t>SCE</t>
  </si>
  <si>
    <t>IFRS 18.107-110</t>
  </si>
  <si>
    <t>SCE.ROW.OPEN</t>
  </si>
  <si>
    <t>Balance at beginning of year</t>
  </si>
  <si>
    <t>Nyitó egyenleg</t>
  </si>
  <si>
    <t>SCE.ROW.PL</t>
  </si>
  <si>
    <t>SCE.ROW.OCI</t>
  </si>
  <si>
    <t>Other comprehensive income</t>
  </si>
  <si>
    <t>Egyéb átfogó jövedelem</t>
  </si>
  <si>
    <t>SCE.ROW.TCI</t>
  </si>
  <si>
    <t>Total comprehensive income</t>
  </si>
  <si>
    <t>Teljes átfogó jövedelem</t>
  </si>
  <si>
    <t>SCE.ROW.ISSUE</t>
  </si>
  <si>
    <t>Issue of shares</t>
  </si>
  <si>
    <t>Részvénykibocsátás</t>
  </si>
  <si>
    <t>SCE.ROW.DIV</t>
  </si>
  <si>
    <t>Dividends declared</t>
  </si>
  <si>
    <t>Jóváhagyott osztalék</t>
  </si>
  <si>
    <t>SCE.ROW.TRANSFER</t>
  </si>
  <si>
    <t>Transfers between reserves</t>
  </si>
  <si>
    <t>Átvezetések a tartalékok között</t>
  </si>
  <si>
    <t>SCE.ROW.OTHER</t>
  </si>
  <si>
    <t>Other movements (unexplained)</t>
  </si>
  <si>
    <t>Egyéb (nem magyarázott) mozgások</t>
  </si>
  <si>
    <t>SCE.ROW.CLOSE</t>
  </si>
  <si>
    <t>Balance at end of year</t>
  </si>
  <si>
    <t>Záró egyenleg</t>
  </si>
  <si>
    <t>CF.TITLE</t>
  </si>
  <si>
    <t>Statement of cash flows</t>
  </si>
  <si>
    <t>Cash flow-k kimutatása</t>
  </si>
  <si>
    <t>CF</t>
  </si>
  <si>
    <t>IAS 7 (as amended by IFRS 18)</t>
  </si>
  <si>
    <t>CF.SEC.OP</t>
  </si>
  <si>
    <t>Cash flows from operating activities</t>
  </si>
  <si>
    <t>Működési tevékenységből származó cash flow-k</t>
  </si>
  <si>
    <t>CF.SEC.INV</t>
  </si>
  <si>
    <t>Cash flows from investing activities</t>
  </si>
  <si>
    <t>Befektetési tevékenységből származó cash flow-k</t>
  </si>
  <si>
    <t>CF.SEC.FIN</t>
  </si>
  <si>
    <t>Cash flows from financing activities</t>
  </si>
  <si>
    <t>Finanszírozási tevékenységből származó cash flow-k</t>
  </si>
  <si>
    <t>CF.OP.START</t>
  </si>
  <si>
    <t>CF.OP.DEP</t>
  </si>
  <si>
    <t>Depreciation, amortisation and impairment</t>
  </si>
  <si>
    <t>Értékcsökkenés, amortizáció és értékvesztés</t>
  </si>
  <si>
    <t>CF.OP.INVWRITE</t>
  </si>
  <si>
    <t>Write-downs of inventories</t>
  </si>
  <si>
    <t>Készletek leírása</t>
  </si>
  <si>
    <t>CF.OP.SBP</t>
  </si>
  <si>
    <t>Share-based payment expense</t>
  </si>
  <si>
    <t>Részvényalapú kifizetés ráfordítása</t>
  </si>
  <si>
    <t>CF.OP.DISPGAIN</t>
  </si>
  <si>
    <t>(Gain)/loss on disposal of non-current assets</t>
  </si>
  <si>
    <t>Befektetett eszközök értékesítésének (nyeresége)/vesztesége</t>
  </si>
  <si>
    <t>CF.OP.FXUNREAL</t>
  </si>
  <si>
    <t>Unrealised foreign exchange differences</t>
  </si>
  <si>
    <t>Nem realizált árfolyam-különbözetek</t>
  </si>
  <si>
    <t>CF.OP.PROV</t>
  </si>
  <si>
    <t>Movement in provisions and employee benefit liabilities</t>
  </si>
  <si>
    <t>Céltartalékok és munkavállalói juttatási kötelezettségek változása</t>
  </si>
  <si>
    <t>CF.OP.ECL</t>
  </si>
  <si>
    <t>Impairment losses on receivables</t>
  </si>
  <si>
    <t>Követelések értékvesztése</t>
  </si>
  <si>
    <t>CF.OP.WRITEOFF</t>
  </si>
  <si>
    <t>Receivables written off against the loss allowance</t>
  </si>
  <si>
    <t>Értékvesztés terhére leírt követelések</t>
  </si>
  <si>
    <t>CF.OP.WC.INVENT</t>
  </si>
  <si>
    <t>Change in inventories</t>
  </si>
  <si>
    <t>Készletek változása</t>
  </si>
  <si>
    <t>CF.OP.WC.TRADEREC</t>
  </si>
  <si>
    <t>Change in trade receivables (gross)</t>
  </si>
  <si>
    <t>Vevőkövetelések változása (bruttó)</t>
  </si>
  <si>
    <t>CF.OP.WC.CONTRACT</t>
  </si>
  <si>
    <t>Change in contract assets</t>
  </si>
  <si>
    <t>Szerződéses eszközök változása</t>
  </si>
  <si>
    <t>CF.OP.WC.OTHERREC</t>
  </si>
  <si>
    <t>Change in other receivables</t>
  </si>
  <si>
    <t>Egyéb követelések változása</t>
  </si>
  <si>
    <t>CF.OP.WC.TRADEPAY</t>
  </si>
  <si>
    <t>Change in trade payables</t>
  </si>
  <si>
    <t>Szállítói kötelezettségek változása</t>
  </si>
  <si>
    <t>CF.OP.WC.CONTRLIAB</t>
  </si>
  <si>
    <t>Change in contract liabilities</t>
  </si>
  <si>
    <t>Szerződéses kötelezettségek változása</t>
  </si>
  <si>
    <t>CF.OP.WC.OTHERPAY</t>
  </si>
  <si>
    <t>Change in other payables</t>
  </si>
  <si>
    <t>Egyéb kötelezettségek változása</t>
  </si>
  <si>
    <t>CF.OP.CGO</t>
  </si>
  <si>
    <t>Cash generated from operations</t>
  </si>
  <si>
    <t>Működésből származó pénzeszköz</t>
  </si>
  <si>
    <t>CF.OP.TAXPAID</t>
  </si>
  <si>
    <t>Income taxes paid</t>
  </si>
  <si>
    <t>Fizetett nyereségadó</t>
  </si>
  <si>
    <t>CF.OP.NET</t>
  </si>
  <si>
    <t>Net cash from operating activities</t>
  </si>
  <si>
    <t>Működési tevékenységből származó nettó cash flow</t>
  </si>
  <si>
    <t>CF.INV.PPE</t>
  </si>
  <si>
    <t>Purchase of property, plant and equipment</t>
  </si>
  <si>
    <t>Ingatlanok, gépek és berendezések beszerzése</t>
  </si>
  <si>
    <t>CF.INV.INTANG</t>
  </si>
  <si>
    <t>Purchase of intangible assets</t>
  </si>
  <si>
    <t>Immateriális javak beszerzése</t>
  </si>
  <si>
    <t>CF.INV.INVPROP</t>
  </si>
  <si>
    <t>Purchase of investment property</t>
  </si>
  <si>
    <t>Befektetési célú ingatlan beszerzése</t>
  </si>
  <si>
    <t>CF.INV.DISPOSAL</t>
  </si>
  <si>
    <t>Proceeds from disposal of non-current assets</t>
  </si>
  <si>
    <t>Befektetett eszközök értékesítésének bevétele</t>
  </si>
  <si>
    <t>CF.INV.FINASSET</t>
  </si>
  <si>
    <t>Purchase/sale of financial assets</t>
  </si>
  <si>
    <t>Pénzügyi eszközök vásárlása/értékesítése</t>
  </si>
  <si>
    <t>CF.INV.ASSOC</t>
  </si>
  <si>
    <t>Investments in associates and joint ventures</t>
  </si>
  <si>
    <t>Befektetések társult és közös vállalkozásokba</t>
  </si>
  <si>
    <t>CF.INV.INTREC</t>
  </si>
  <si>
    <t>Interest received</t>
  </si>
  <si>
    <t>Kapott kamat</t>
  </si>
  <si>
    <t>CF.INV.DIVREC</t>
  </si>
  <si>
    <t>Dividends received</t>
  </si>
  <si>
    <t>Kapott osztalék</t>
  </si>
  <si>
    <t>CF.INV.NET</t>
  </si>
  <si>
    <t>Net cash from investing activities</t>
  </si>
  <si>
    <t>Befektetési tevékenységből származó nettó cash flow</t>
  </si>
  <si>
    <t>CF.FIN.PROCEEDS</t>
  </si>
  <si>
    <t>Proceeds from borrowings</t>
  </si>
  <si>
    <t>Felvett hitelek és kölcsönök</t>
  </si>
  <si>
    <t>CF.FIN.REPAY</t>
  </si>
  <si>
    <t>Repayment of borrowings</t>
  </si>
  <si>
    <t>Hitelek és kölcsönök törlesztése</t>
  </si>
  <si>
    <t>CF.FIN.LEASE</t>
  </si>
  <si>
    <t>Payment of lease liabilities (principal)</t>
  </si>
  <si>
    <t>Lízingkötelezettségek tőketörlesztése</t>
  </si>
  <si>
    <t>CF.FIN.INTPAID</t>
  </si>
  <si>
    <t>Interest paid</t>
  </si>
  <si>
    <t>Fizetett kamat</t>
  </si>
  <si>
    <t>CF.FIN.SHARES</t>
  </si>
  <si>
    <t>Proceeds from issue of shares</t>
  </si>
  <si>
    <t>Részvénykibocsátás bevétele</t>
  </si>
  <si>
    <t>CF.FIN.DIVPAID</t>
  </si>
  <si>
    <t>Dividends paid</t>
  </si>
  <si>
    <t>Fizetett osztalék</t>
  </si>
  <si>
    <t>CF.FIN.NET</t>
  </si>
  <si>
    <t>Net cash from financing activities</t>
  </si>
  <si>
    <t>Finanszírozási tevékenységből származó nettó cash flow</t>
  </si>
  <si>
    <t>CF.NETCHANGE</t>
  </si>
  <si>
    <t>Net increase/(decrease) in cash and cash equivalents</t>
  </si>
  <si>
    <t>Pénzeszközök nettó változása</t>
  </si>
  <si>
    <t>CF.FXCASH</t>
  </si>
  <si>
    <t>Effect of exchange rate changes on cash</t>
  </si>
  <si>
    <t>Árfolyamváltozás hatása a pénzeszközökre</t>
  </si>
  <si>
    <t>CF.OPENING</t>
  </si>
  <si>
    <t>Cash and cash equivalents at beginning of year</t>
  </si>
  <si>
    <t>Pénzeszközök az év elején</t>
  </si>
  <si>
    <t>CF.CLOSING</t>
  </si>
  <si>
    <t>Cash and cash equivalents at end of year</t>
  </si>
  <si>
    <t>Pénzeszközök az év végén</t>
  </si>
  <si>
    <t>CF.PERSFP</t>
  </si>
  <si>
    <t>Cash and cash equivalents per statement of financial position</t>
  </si>
  <si>
    <t>Pénzeszközök a pénzügyi helyzetre vonatkozó kimutatás szerint</t>
  </si>
  <si>
    <t>CF.DIFF</t>
  </si>
  <si>
    <t>Difference (must be zero)</t>
  </si>
  <si>
    <t>Különbözet (nullának kell lennie)</t>
  </si>
  <si>
    <t>CF.ROLL.TITLE</t>
  </si>
  <si>
    <t>Roll-forward of balances (non-cash split)</t>
  </si>
  <si>
    <t>Egyenlegek levezetése (nem pénzmozgásos tételek)</t>
  </si>
  <si>
    <t>CF.ROLL.OPEN</t>
  </si>
  <si>
    <t>Opening carrying amount</t>
  </si>
  <si>
    <t>Nyitó könyv szerinti érték</t>
  </si>
  <si>
    <t>CF.ROLL.ADD</t>
  </si>
  <si>
    <t>Additions (cash)</t>
  </si>
  <si>
    <t>Beszerzések (pénzmozgással)</t>
  </si>
  <si>
    <t>CF.ROLL.ADDNC</t>
  </si>
  <si>
    <t>Additions (non-cash)</t>
  </si>
  <si>
    <t>Növekedés (pénzmozgás nélkül)</t>
  </si>
  <si>
    <t>CF.ROLL.DEP</t>
  </si>
  <si>
    <t>Depreciation / amortisation</t>
  </si>
  <si>
    <t>Értékcsökkenés / amortizáció</t>
  </si>
  <si>
    <t>CF.ROLL.IMP</t>
  </si>
  <si>
    <t>Impairment</t>
  </si>
  <si>
    <t>Értékvesztés</t>
  </si>
  <si>
    <t>CF.ROLL.REVAL</t>
  </si>
  <si>
    <t>Revaluation (OCI)</t>
  </si>
  <si>
    <t>Átértékelés (OCI)</t>
  </si>
  <si>
    <t>CF.ROLL.DISP</t>
  </si>
  <si>
    <t>Disposals at carrying amount</t>
  </si>
  <si>
    <t>Kivezetés könyv szerinti értéken</t>
  </si>
  <si>
    <t>CF.ROLL.DRAW</t>
  </si>
  <si>
    <t>Drawdowns</t>
  </si>
  <si>
    <t>Lehívások</t>
  </si>
  <si>
    <t>CF.ROLL.REPAY</t>
  </si>
  <si>
    <t>Repayments (derived)</t>
  </si>
  <si>
    <t>Törlesztések (levezetett)</t>
  </si>
  <si>
    <t>CF.ROLL.NEWLEASE</t>
  </si>
  <si>
    <t>New leases</t>
  </si>
  <si>
    <t>Új lízingek</t>
  </si>
  <si>
    <t>CF.ROLL.INT</t>
  </si>
  <si>
    <t>Interest accrued</t>
  </si>
  <si>
    <t>Felhalmozott kamat</t>
  </si>
  <si>
    <t>CF.ROLL.PAYMENT</t>
  </si>
  <si>
    <t>Payments (derived)</t>
  </si>
  <si>
    <t>Kifizetések (levezetett)</t>
  </si>
  <si>
    <t>CF.ROLL.CHARGE</t>
  </si>
  <si>
    <t>Charge for the year</t>
  </si>
  <si>
    <t>Tárgyévi képzés</t>
  </si>
  <si>
    <t>CF.ROLL.ECL.TITLE</t>
  </si>
  <si>
    <t>Loss allowance on trade receivables</t>
  </si>
  <si>
    <t>Vevőkövetelések értékvesztése</t>
  </si>
  <si>
    <t>CF.NOTE.ECL</t>
  </si>
  <si>
    <t>Split into gross change and allowance movement only if the loss allowance account carries the 'Loss allowance on receivables (balance)' tag and the expense account the 'Impairment of receivables' tag; otherwise the net change already covers it.</t>
  </si>
  <si>
    <t>A bruttó/értékvesztés bontás csak akkor jelenik meg, ha az értékvesztés egyenlegszámláján a „Követelések értékvesztésének egyenlege”, a ráfordításszámlán pedig a „Követelések értékvesztése” jelölés áll; egyébként a nettó változás önmagában helyes.</t>
  </si>
  <si>
    <t>CF.ROLL.UTIL</t>
  </si>
  <si>
    <t>Utilisation (derived)</t>
  </si>
  <si>
    <t>Felhasználás (levezetett)</t>
  </si>
  <si>
    <t>CF.ROLL.FXOTHER</t>
  </si>
  <si>
    <t>FX and other</t>
  </si>
  <si>
    <t>Árfolyam és egyéb</t>
  </si>
  <si>
    <t>CF.ROLL.CLOSE</t>
  </si>
  <si>
    <t>Closing per statement of financial position</t>
  </si>
  <si>
    <t>Záró a pénzügyi helyzetre vonatkozó kimutatás szerint</t>
  </si>
  <si>
    <t>CF.ROLL.UNEXPL</t>
  </si>
  <si>
    <t>Unexplained movement</t>
  </si>
  <si>
    <t>Nem magyarázott mozgás</t>
  </si>
  <si>
    <t>CF.ROLL.FV</t>
  </si>
  <si>
    <t>Fair value change (non-cash)</t>
  </si>
  <si>
    <t>Valós érték változása (pénzmozgás nélkül)</t>
  </si>
  <si>
    <t>CF.ROLL.SALE</t>
  </si>
  <si>
    <t>Sales at carrying amount</t>
  </si>
  <si>
    <t>Eladás könyv szerinti értéken</t>
  </si>
  <si>
    <t>CF.INV.FINASSET.BUY</t>
  </si>
  <si>
    <t>Purchase of financial assets</t>
  </si>
  <si>
    <t>Pénzügyi eszközök vásárlása</t>
  </si>
  <si>
    <t>CF.INV.FINASSET.SELL</t>
  </si>
  <si>
    <t>Proceeds from sale of financial assets</t>
  </si>
  <si>
    <t>Pénzügyi eszközök értékesítésének bevétele</t>
  </si>
  <si>
    <t>MPM.TITLE</t>
  </si>
  <si>
    <t>Management-defined performance measures</t>
  </si>
  <si>
    <t>Vezetés által meghatározott teljesítménymutatók</t>
  </si>
  <si>
    <t>MPM</t>
  </si>
  <si>
    <t>IFRS 18.117-125</t>
  </si>
  <si>
    <t>MPM.NAME</t>
  </si>
  <si>
    <t>Name of the measure</t>
  </si>
  <si>
    <t>A mutató neve</t>
  </si>
  <si>
    <t>MPM.GATE1</t>
  </si>
  <si>
    <t>Used in public communications outside the financial statements?</t>
  </si>
  <si>
    <t>Használják a pénzügyi kimutatásokon kívüli nyilvános kommunikációban?</t>
  </si>
  <si>
    <t>MPM.GATE2</t>
  </si>
  <si>
    <t>Communicates management's view of an aspect of financial performance?</t>
  </si>
  <si>
    <t>A vezetés véleményét közvetíti a pénzügyi teljesítmény egy vonatkozásáról?</t>
  </si>
  <si>
    <t>MPM.GATE3</t>
  </si>
  <si>
    <t>Not a subtotal specified by IFRS?</t>
  </si>
  <si>
    <t>Nem az IFRS-ek által meghatározott részösszeg?</t>
  </si>
  <si>
    <t>MPM.WHY</t>
  </si>
  <si>
    <t>Why the measure provides useful information</t>
  </si>
  <si>
    <t>Miért nyújt hasznos információt a mutató</t>
  </si>
  <si>
    <t>MPM.START</t>
  </si>
  <si>
    <t>Most directly comparable IFRS-specified subtotal</t>
  </si>
  <si>
    <t>A legközvetlenebbül összehasonlítható, IFRS által meghatározott részösszeg</t>
  </si>
  <si>
    <t>MPM.ITEM</t>
  </si>
  <si>
    <t>Reconciling item</t>
  </si>
  <si>
    <t>Egyeztető tétel</t>
  </si>
  <si>
    <t>MPM.AMOUNT</t>
  </si>
  <si>
    <t>Amount</t>
  </si>
  <si>
    <t>Összeg</t>
  </si>
  <si>
    <t>MPM.TAXEFF</t>
  </si>
  <si>
    <t>Income tax effect</t>
  </si>
  <si>
    <t>Nyereségadó-hatás</t>
  </si>
  <si>
    <t>MPM.NCIEFF</t>
  </si>
  <si>
    <t>Effect on non-controlling interests</t>
  </si>
  <si>
    <t>Nem ellenőrző részesedésekre gyakorolt hatás</t>
  </si>
  <si>
    <t>MPM.RESULT</t>
  </si>
  <si>
    <t>Management-defined performance measure</t>
  </si>
  <si>
    <t>Vezetés által meghatározott teljesítménymutató</t>
  </si>
  <si>
    <t>MPM.CHANGE</t>
  </si>
  <si>
    <t>Change in calculation compared with prior period?</t>
  </si>
  <si>
    <t>Változott a számítás az előző időszakhoz képest?</t>
  </si>
  <si>
    <t>MPM.CHANGE.WHY</t>
  </si>
  <si>
    <t>Explanation of the change</t>
  </si>
  <si>
    <t>A változás magyarázata</t>
  </si>
  <si>
    <t>MPM.DISCLAIM</t>
  </si>
  <si>
    <t>This measure reflects management's view of an aspect of the entity's financial performance and is not necessarily comparable with measures with similar names presented by other entities.</t>
  </si>
  <si>
    <t>Ez a mutató a vezetés véleményét tükrözi a gazdálkodó pénzügyi teljesítményének egy vonatkozásáról, és nem feltétlenül hasonlítható össze más gazdálkodók hasonló elnevezésű mutatóival.</t>
  </si>
  <si>
    <t>MPM.NOTMPM</t>
  </si>
  <si>
    <t>Not an MPM (condition not met)</t>
  </si>
  <si>
    <t>Nem MPM (feltétel nem teljesül)</t>
  </si>
  <si>
    <t>NOTE.A.TITLE</t>
  </si>
  <si>
    <t>Operating expenses by nature</t>
  </si>
  <si>
    <t>Működési ráfordítások költségnemenként</t>
  </si>
  <si>
    <t>NOTE</t>
  </si>
  <si>
    <t>NOTE.A.SUB5</t>
  </si>
  <si>
    <t>Total of the specified nature items</t>
  </si>
  <si>
    <t>Meghatározott költségnemek összesen</t>
  </si>
  <si>
    <t>NOTE.A.OTHER</t>
  </si>
  <si>
    <t>Other operating expenses by nature</t>
  </si>
  <si>
    <t>Egyéb működési ráfordítások költségnemenként</t>
  </si>
  <si>
    <t>NOTE.A.TOTAL</t>
  </si>
  <si>
    <t>Total operating expenses</t>
  </si>
  <si>
    <t>Működési ráfordítások összesen</t>
  </si>
  <si>
    <t>NOTE.A.AGREE</t>
  </si>
  <si>
    <t>Agreement with function-based presentation (must be zero)</t>
  </si>
  <si>
    <t>Egyeztetés a forgalmi költség eljárással (nullának kell lennie)</t>
  </si>
  <si>
    <t>NOTE.B.TITLE</t>
  </si>
  <si>
    <t>Composition of the investing and financing categories</t>
  </si>
  <si>
    <t>A befektetési és finanszírozási kategória összetétele</t>
  </si>
  <si>
    <t>NOTE.B.BASIS</t>
  </si>
  <si>
    <t>Basis of classification</t>
  </si>
  <si>
    <t>A besorolás alapja</t>
  </si>
  <si>
    <t>NOTE.B.BASIS.ASSOC</t>
  </si>
  <si>
    <t>Investment in associate / joint venture</t>
  </si>
  <si>
    <t>Befektetés társult / közös vállalkozásba</t>
  </si>
  <si>
    <t>NOTE.B.BASIS.CASH</t>
  </si>
  <si>
    <t>NOTE.B.BASIS.INDEP</t>
  </si>
  <si>
    <t>Asset generating returns individually and largely independently</t>
  </si>
  <si>
    <t>Egyedileg és nagyrészt függetlenül hozamot termelő eszköz</t>
  </si>
  <si>
    <t>NOTE.B.BASIS.RAISE</t>
  </si>
  <si>
    <t>Liability from transactions involving only the raising of finance</t>
  </si>
  <si>
    <t>Kizárólag finanszírozás bevonásából eredő kötelezettség</t>
  </si>
  <si>
    <t>NOTE.B.BASIS.OTHERLIAB</t>
  </si>
  <si>
    <t>Interest on other liabilities</t>
  </si>
  <si>
    <t>Egyéb kötelezettségek kamata</t>
  </si>
  <si>
    <t>NOTE.B.MBA</t>
  </si>
  <si>
    <t>Main business activity assessment</t>
  </si>
  <si>
    <t>A fő üzleti tevékenység megítélése</t>
  </si>
  <si>
    <t>NOTE.C.TITLE</t>
  </si>
  <si>
    <t>NOTE.C.EXPECTED</t>
  </si>
  <si>
    <t>Tax at the statutory rate</t>
  </si>
  <si>
    <t>Törvényes adókulccsal számított adó</t>
  </si>
  <si>
    <t>NOTE.C.RECON</t>
  </si>
  <si>
    <t>Reconciling items</t>
  </si>
  <si>
    <t>Egyeztető tételek</t>
  </si>
  <si>
    <t>NOTE.C.ETR</t>
  </si>
  <si>
    <t>Effective tax rate</t>
  </si>
  <si>
    <t>Effektív adókulcs</t>
  </si>
  <si>
    <t>NOTE.C.SCOPE</t>
  </si>
  <si>
    <t>A full IAS 12 rate reconciliation is outside the scope of this template.</t>
  </si>
  <si>
    <t>A teljes IAS 12 szerinti adókulcs-egyeztetés nem része a sablonnak.</t>
  </si>
  <si>
    <t>NOTE.POLICY.BASIS</t>
  </si>
  <si>
    <t>Basis of preparation</t>
  </si>
  <si>
    <t>A beszámoló készítésének alapja</t>
  </si>
  <si>
    <t>NOTE.POLICY.MBA</t>
  </si>
  <si>
    <t>Judgement: main business activities</t>
  </si>
  <si>
    <t>Megítélés: fő üzleti tevékenységek</t>
  </si>
  <si>
    <t>NOTE.POLICY.MPM</t>
  </si>
  <si>
    <t>OBR.TITLE</t>
  </si>
  <si>
    <t>OBR submission – cover sheet data</t>
  </si>
  <si>
    <t>OBR-beadvány – fedőlap adatai</t>
  </si>
  <si>
    <t>OBR</t>
  </si>
  <si>
    <t>OBR dokumentacio v1.14</t>
  </si>
  <si>
    <t>OBR.NOTE.PARTIAL</t>
  </si>
  <si>
    <t>The OBR accepts a partially filled file: fields left empty here can be completed on the OBR website after upload. The grey cells are fixed by the IFRS combination and must not be changed.</t>
  </si>
  <si>
    <t>Az OBR részlegesen kitöltött állományt is elfogad: az itt üresen hagyott mezők a feltöltés után az OBR felületén pótolhatók. A szürke cellák értékét az IFRS-kombináció rögzíti, ne írja át.</t>
  </si>
  <si>
    <t>OBR.NOTE.FIXED</t>
  </si>
  <si>
    <t>For an IFRS filer (Regulation (EC) No 1606/2002) the combination table fixes these values: balance sheet and income statement form name = PDF, structure = as per the notes, variation = none.</t>
  </si>
  <si>
    <t>IFRS szerinti beszámolónál (1606/2002/EK rendelet) a kombinációs táblázat rögzíti ezeket: a mérleg és az eredménykimutatás űrlap neve = PDF, tagolás = Kiegészítő melléklet szerinti, változat = Nincs.</t>
  </si>
  <si>
    <t>OBR.NOTE.ATT</t>
  </si>
  <si>
    <t>Attachments must be PDF and must not contain scanned documents; their total size may not exceed 20 MB. The balance sheet and the income statement come from the PDF module; the others are selected by the .obr generator in a dialog.</t>
  </si>
  <si>
    <t>A csatolmányok csak PDF formátumúak lehetnek, szkennelt dokumentumot nem tartalmazhatnak, együttes méretük nem haladhatja meg a 20 MB-ot. A mérleg és az eredménykimutatás a PDF-modulból jön; a többit az .obr generátor kéri be ablakban.</t>
  </si>
  <si>
    <t>OBR.SEC.FIRM</t>
  </si>
  <si>
    <t>Company data</t>
  </si>
  <si>
    <t>Cégadatok</t>
  </si>
  <si>
    <t>OBR.SEC.PERIOD</t>
  </si>
  <si>
    <t>Reporting period and currency</t>
  </si>
  <si>
    <t>Beszámolási időszak és pénznem</t>
  </si>
  <si>
    <t>OBR.SEC.COMBO</t>
  </si>
  <si>
    <t>Combination (IFRS)</t>
  </si>
  <si>
    <t>Kombináció (IFRS)</t>
  </si>
  <si>
    <t>OBR.SEC.ATT</t>
  </si>
  <si>
    <t>Attachments</t>
  </si>
  <si>
    <t>Csatolmányok</t>
  </si>
  <si>
    <t>OBR.TAXNUMBER</t>
  </si>
  <si>
    <t>Tax number</t>
  </si>
  <si>
    <t>Adószám</t>
  </si>
  <si>
    <t>OBR.REGNUMBER</t>
  </si>
  <si>
    <t>Company registration number</t>
  </si>
  <si>
    <t>Cégjegyzékszám</t>
  </si>
  <si>
    <t>OBR.FIRMNAME</t>
  </si>
  <si>
    <t>Name</t>
  </si>
  <si>
    <t>Elnevezés</t>
  </si>
  <si>
    <t>OBR.KSHNUMBER</t>
  </si>
  <si>
    <t>Statistical code</t>
  </si>
  <si>
    <t>Statisztikai számjel</t>
  </si>
  <si>
    <t>OBR.ADDR.COUNTRY</t>
  </si>
  <si>
    <t>Seat – country</t>
  </si>
  <si>
    <t>Székhely – ország</t>
  </si>
  <si>
    <t>OBR.ADDR.ZIP</t>
  </si>
  <si>
    <t>Seat – postal code</t>
  </si>
  <si>
    <t>Székhely – irányítószám</t>
  </si>
  <si>
    <t>OBR.ADDR.CITY</t>
  </si>
  <si>
    <t>Seat – city/town</t>
  </si>
  <si>
    <t>Székhely – város/község</t>
  </si>
  <si>
    <t>OBR.ADDR.PLACENAME</t>
  </si>
  <si>
    <t>Seat – public place name</t>
  </si>
  <si>
    <t>Székhely – közterületnév</t>
  </si>
  <si>
    <t>OBR.ADDR.PLACETYPE</t>
  </si>
  <si>
    <t>Seat – type of public place</t>
  </si>
  <si>
    <t>Székhely – közterület jellege</t>
  </si>
  <si>
    <t>OBR.ADDR.NUMBER</t>
  </si>
  <si>
    <t>Seat – house/lot number</t>
  </si>
  <si>
    <t>Székhely – házszám/helyrajzi szám</t>
  </si>
  <si>
    <t>OBR.ADDR.BUILDING</t>
  </si>
  <si>
    <t>Seat – building</t>
  </si>
  <si>
    <t>Székhely – épület</t>
  </si>
  <si>
    <t>OBR.ADDR.STAIRWAY</t>
  </si>
  <si>
    <t>Seat – stairway</t>
  </si>
  <si>
    <t>Székhely – lépcsőház</t>
  </si>
  <si>
    <t>OBR.ADDR.FLOOR</t>
  </si>
  <si>
    <t>Seat – floor</t>
  </si>
  <si>
    <t>Székhely – emelet</t>
  </si>
  <si>
    <t>OBR.ADDR.DOOR</t>
  </si>
  <si>
    <t>Seat – door</t>
  </si>
  <si>
    <t>Székhely – ajtó</t>
  </si>
  <si>
    <t>OBR.BALANCEDATE</t>
  </si>
  <si>
    <t>Balance sheet date of the business year</t>
  </si>
  <si>
    <t>Üzleti év mérlegfordulónapja</t>
  </si>
  <si>
    <t>OBR.FROMDATE</t>
  </si>
  <si>
    <t>Start of the reporting period</t>
  </si>
  <si>
    <t>Beszámolási időszak kezdete</t>
  </si>
  <si>
    <t>OBR.TODATE</t>
  </si>
  <si>
    <t>End of the reporting period</t>
  </si>
  <si>
    <t>Beszámolási időszak vége</t>
  </si>
  <si>
    <t>OBR.CURRENCY</t>
  </si>
  <si>
    <t>Currency (ISO 4217)</t>
  </si>
  <si>
    <t>Pénznem (ISO 4217)</t>
  </si>
  <si>
    <t>OBR.CURRENCYUNIT</t>
  </si>
  <si>
    <t>Currency unit</t>
  </si>
  <si>
    <t>Pénzegység</t>
  </si>
  <si>
    <t>OBR.FIRMTYPE</t>
  </si>
  <si>
    <t>Type of undertaking</t>
  </si>
  <si>
    <t>Vállalkozó típusa</t>
  </si>
  <si>
    <t>OBR.REPORTREASON</t>
  </si>
  <si>
    <t>Reason for submission</t>
  </si>
  <si>
    <t>Benyújtás oka</t>
  </si>
  <si>
    <t>OBR.LAW</t>
  </si>
  <si>
    <t>Additional legislation</t>
  </si>
  <si>
    <t>További jogszabály</t>
  </si>
  <si>
    <t>OBR.REPORTTYPE</t>
  </si>
  <si>
    <t>Type of financial statements</t>
  </si>
  <si>
    <t>Beszámoló típusa</t>
  </si>
  <si>
    <t>OBR.BALANCEPATTERN</t>
  </si>
  <si>
    <t>Structure of the balance sheet</t>
  </si>
  <si>
    <t>Mérleg tagolása</t>
  </si>
  <si>
    <t>OBR.BALANCEVARIATION</t>
  </si>
  <si>
    <t>Variation of the balance sheet</t>
  </si>
  <si>
    <t>Mérleg változata</t>
  </si>
  <si>
    <t>OBR.ISPATTERN</t>
  </si>
  <si>
    <t>Structure of the income statement</t>
  </si>
  <si>
    <t>Eredménykimutatás tagolása</t>
  </si>
  <si>
    <t>OBR.ISVARIATION</t>
  </si>
  <si>
    <t>Variation of the income statement</t>
  </si>
  <si>
    <t>Eredménykimutatás változata</t>
  </si>
  <si>
    <t>OBR.BALANCEATTNAME</t>
  </si>
  <si>
    <t>Balance sheet form name</t>
  </si>
  <si>
    <t>Mérleg űrlap neve</t>
  </si>
  <si>
    <t>OBR.ISATTNAME</t>
  </si>
  <si>
    <t>Income statement form name</t>
  </si>
  <si>
    <t>Eredménykimutatás űrlap neve</t>
  </si>
  <si>
    <t>OBR.ATT.NAME</t>
  </si>
  <si>
    <t>Document</t>
  </si>
  <si>
    <t>Dokumentum</t>
  </si>
  <si>
    <t>OBR.ATT.PATH</t>
  </si>
  <si>
    <t>Selected file</t>
  </si>
  <si>
    <t>Kiválasztott fájl</t>
  </si>
  <si>
    <t>OBR.ATT.REQ</t>
  </si>
  <si>
    <t>Required?</t>
  </si>
  <si>
    <t>Kötelező?</t>
  </si>
  <si>
    <t>OBR.ATT.BALANCE</t>
  </si>
  <si>
    <t>Balance sheet (PDF)</t>
  </si>
  <si>
    <t>OBR.ATT.IS</t>
  </si>
  <si>
    <t>Income statement (PDF)</t>
  </si>
  <si>
    <t>OBR.ATT.NOTES</t>
  </si>
  <si>
    <t>Kiegészítő melléklet</t>
  </si>
  <si>
    <t>OBR.ATT.RESOLUTION</t>
  </si>
  <si>
    <t>Resolution on the use of the net income</t>
  </si>
  <si>
    <t>Adózott eredmény felhasználására vonatkozó határozat</t>
  </si>
  <si>
    <t>OBR.ATT.AUDIT</t>
  </si>
  <si>
    <t>Independent auditor's report</t>
  </si>
  <si>
    <t>Független könyvvizsgálói jelentés</t>
  </si>
  <si>
    <t>OBR.REQ.MANDATORY</t>
  </si>
  <si>
    <t>mandatory</t>
  </si>
  <si>
    <t>kötelező</t>
  </si>
  <si>
    <t>OBR.REQ.OPTIONAL</t>
  </si>
  <si>
    <t>optional</t>
  </si>
  <si>
    <t>opcionális</t>
  </si>
  <si>
    <t>CHK.TITLE</t>
  </si>
  <si>
    <t>CHK</t>
  </si>
  <si>
    <t>CHK.NO</t>
  </si>
  <si>
    <t>#</t>
  </si>
  <si>
    <t>CHK.DESC</t>
  </si>
  <si>
    <t>Test</t>
  </si>
  <si>
    <t>Próba</t>
  </si>
  <si>
    <t>CHK.COUNT</t>
  </si>
  <si>
    <t>CHK.DETAIL</t>
  </si>
  <si>
    <t>Detail</t>
  </si>
  <si>
    <t>Részlet</t>
  </si>
  <si>
    <t>CHK.01</t>
  </si>
  <si>
    <t>Statement of financial position balances</t>
  </si>
  <si>
    <t>A pénzügyi helyzetre vonatkozó kimutatás egyezik</t>
  </si>
  <si>
    <t>CHK.02</t>
  </si>
  <si>
    <t>Trial balance and adjustments: debits = credits</t>
  </si>
  <si>
    <t>Főkönyvi kivonat és korrekciók: Tartozik = Követel</t>
  </si>
  <si>
    <t>CHK.03</t>
  </si>
  <si>
    <t>Mapping complete, keys unique and translated</t>
  </si>
  <si>
    <t>Hozzárendelés teljes, sorkódok egyediek és lefordítottak</t>
  </si>
  <si>
    <t>CHK.04</t>
  </si>
  <si>
    <t>Statement of changes in equity reconciles</t>
  </si>
  <si>
    <t>A saját tőke változásainak kimutatása egyezik</t>
  </si>
  <si>
    <t>CHK.05</t>
  </si>
  <si>
    <t>Closing cash per cash flow = statement of financial position</t>
  </si>
  <si>
    <t>Záró pénzeszköz a cash flow-ban = kimutatás szerinti</t>
  </si>
  <si>
    <t>CHK.06</t>
  </si>
  <si>
    <t>All balance movements explained</t>
  </si>
  <si>
    <t>Minden egyenlegmozgás magyarázott</t>
  </si>
  <si>
    <t>CHK.07</t>
  </si>
  <si>
    <t>MPM reconciliations complete</t>
  </si>
  <si>
    <t>MPM-egyeztetések teljesek</t>
  </si>
  <si>
    <t>CHK.08</t>
  </si>
  <si>
    <t>By-nature disclosure agrees with by-function presentation</t>
  </si>
  <si>
    <t>Költségnem szerinti közzététel egyezik a forgalmi költség eljárással</t>
  </si>
  <si>
    <t>CHK.09</t>
  </si>
  <si>
    <t>All dropdowns resolve to a valid code</t>
  </si>
  <si>
    <t>Minden legördülő érvényes kódra oldódik fel</t>
  </si>
  <si>
    <t>CHK.10</t>
  </si>
  <si>
    <t>Material 'Other' lines (information only)</t>
  </si>
  <si>
    <t>Jelentős „Egyéb” sorok (csak tájékoztatás)</t>
  </si>
  <si>
    <t>TB.CONVENTION</t>
  </si>
  <si>
    <t>All three columns are PRE-CLOSING balances: profit or loss and OCI accounts carry the year's activity; retained earnings and other reserves are before closing. Debit positive, credit negative.</t>
  </si>
  <si>
    <t>Mindhárom oszlop ZÁRÁS ELŐTTI egyenleg: az eredmény- és OCI-számlák az adott év forgalmát tartalmazzák; az eredménytartalék és az egyéb tartalékok zárás előttiek. Tartozik pozitív, Követel negatív.</t>
  </si>
  <si>
    <t>TB.EXAMPLE</t>
  </si>
  <si>
    <t>Example data for a Hungarian trading company (thousands of HUF) - replace with your own trial balance.</t>
  </si>
  <si>
    <t>Példaadatok egy magyar kereskedelmi társaságra (ezer HUF) - cserélje ki saját főkönyvi kivonatára.</t>
  </si>
  <si>
    <t>ADJ.NOPER</t>
  </si>
  <si>
    <t>Period missing</t>
  </si>
  <si>
    <t>Hiányzó időszak</t>
  </si>
  <si>
    <t>ADJ.HINT</t>
  </si>
  <si>
    <t>Post adjustments to accounts, not to line keys; every entry ID must net to zero.</t>
  </si>
  <si>
    <t>A korrekciókat számlákra könyvelje, ne sorkódokra; minden tétel azonosítónak nullára kell záródnia.</t>
  </si>
  <si>
    <t>COA.EXAMPLE</t>
  </si>
  <si>
    <t>Example mapping (Hungarian account classes 1-9, IFRS adjusted). Replace with your own chart of accounts. FX parent must be a P&amp;L account of the same underlying item.</t>
  </si>
  <si>
    <t>Példa hozzárendelés (magyar 1-9 számlaosztályok, IFRS-re igazítva). Cserélje ki saját számlatükrére. Az árfolyam-különbözet alapszámlája ugyanazon tétel eredményszámlája legyen.</t>
  </si>
  <si>
    <t>COA.ERR.NOSTMT</t>
  </si>
  <si>
    <t>Statement missing</t>
  </si>
  <si>
    <t>Hiányzó kimutatás</t>
  </si>
  <si>
    <t>ENG.STMT</t>
  </si>
  <si>
    <t>ENG.CAT</t>
  </si>
  <si>
    <t>Category</t>
  </si>
  <si>
    <t>Kategória</t>
  </si>
  <si>
    <t>ENG.CNC</t>
  </si>
  <si>
    <t>Section</t>
  </si>
  <si>
    <t>Szakasz</t>
  </si>
  <si>
    <t>ENG.KIND</t>
  </si>
  <si>
    <t>Kind</t>
  </si>
  <si>
    <t>Jelleg</t>
  </si>
  <si>
    <t>ENG.RECLASS</t>
  </si>
  <si>
    <t>OCI closes to</t>
  </si>
  <si>
    <t>OCI zárása ide</t>
  </si>
  <si>
    <t>ENG.TBPY</t>
  </si>
  <si>
    <t>TB prior year</t>
  </si>
  <si>
    <t>Főkönyv előző év</t>
  </si>
  <si>
    <t>ENG.ADJPY</t>
  </si>
  <si>
    <t>Adjustments prior year</t>
  </si>
  <si>
    <t>Korrekciók előző év</t>
  </si>
  <si>
    <t>ENG.TBOP</t>
  </si>
  <si>
    <t>TB opening</t>
  </si>
  <si>
    <t>Főkönyv nyitó</t>
  </si>
  <si>
    <t>ENG.ADJOP</t>
  </si>
  <si>
    <t>Adjustments opening</t>
  </si>
  <si>
    <t>Korrekciók nyitó</t>
  </si>
  <si>
    <t>ENG.NATCY</t>
  </si>
  <si>
    <t>Current year - nature view (ledger sign)</t>
  </si>
  <si>
    <t>Tárgyév - összköltség nézet (főkönyvi előjel)</t>
  </si>
  <si>
    <t>ENG.NATPY</t>
  </si>
  <si>
    <t>Prior year - nature view (ledger sign)</t>
  </si>
  <si>
    <t>Előző év - összköltség nézet (főkönyvi előjel)</t>
  </si>
  <si>
    <t>ENG.CFT.TITLE</t>
  </si>
  <si>
    <t>Cash flow tag totals (ledger sign, TB + adjustments)</t>
  </si>
  <si>
    <t>Cash flow jelölések összesítése (főkönyvi előjel, főkönyv + korrekciók)</t>
  </si>
  <si>
    <t>ENG.CFT.TAG</t>
  </si>
  <si>
    <t>Tag</t>
  </si>
  <si>
    <t>Jelölés</t>
  </si>
  <si>
    <t>ENG.HINT</t>
  </si>
  <si>
    <t>Do not edit. One row per line key; statements read this sheet only.</t>
  </si>
  <si>
    <t>Ne szerkessze. Soronként egy sorkód; a kimutatások csak ezt a lapot olvassák.</t>
  </si>
  <si>
    <t>114</t>
  </si>
  <si>
    <t>Immateriális javak (bruttó)</t>
  </si>
  <si>
    <t>Not sensitive</t>
  </si>
  <si>
    <t>Investing - intangibles</t>
  </si>
  <si>
    <t>119</t>
  </si>
  <si>
    <t>Immateriális javak halmozott amortizációja</t>
  </si>
  <si>
    <t>131</t>
  </si>
  <si>
    <t>Ingatlanok, gépek, berendezések (bruttó)</t>
  </si>
  <si>
    <t>Investing - PPE</t>
  </si>
  <si>
    <t>139</t>
  </si>
  <si>
    <t>Ingatlanok, gépek, berendezések halmozott értékcsökkenése</t>
  </si>
  <si>
    <t>125</t>
  </si>
  <si>
    <t>Használatijog-eszközök, nettó (IFRS 16)</t>
  </si>
  <si>
    <t>171</t>
  </si>
  <si>
    <t>Befektetés társult vállalkozásban</t>
  </si>
  <si>
    <t>Investing - associates/JVs</t>
  </si>
  <si>
    <t>195</t>
  </si>
  <si>
    <t>Halasztott adókövetelés (IFRS)</t>
  </si>
  <si>
    <t>Deferred tax balances</t>
  </si>
  <si>
    <t>21-28</t>
  </si>
  <si>
    <t>Working capital - inventories</t>
  </si>
  <si>
    <t>311</t>
  </si>
  <si>
    <t>Working capital - trade receivables (gross)</t>
  </si>
  <si>
    <t>3197</t>
  </si>
  <si>
    <t>Loss allowance on receivables (balance)</t>
  </si>
  <si>
    <t>361</t>
  </si>
  <si>
    <t>Társaságiadó-követelés</t>
  </si>
  <si>
    <t>Current tax balances</t>
  </si>
  <si>
    <t>368</t>
  </si>
  <si>
    <t>Egyéb követelések</t>
  </si>
  <si>
    <t>Working capital - other receivables</t>
  </si>
  <si>
    <t>391</t>
  </si>
  <si>
    <t>Aktív időbeli elhatárolások</t>
  </si>
  <si>
    <t>384</t>
  </si>
  <si>
    <t>Bankbetétek</t>
  </si>
  <si>
    <t>411</t>
  </si>
  <si>
    <t>412</t>
  </si>
  <si>
    <t>Tőketartalék (ázsió)</t>
  </si>
  <si>
    <t>413</t>
  </si>
  <si>
    <t>Eredménytartalék (zárás előtt)</t>
  </si>
  <si>
    <t>417</t>
  </si>
  <si>
    <t>Értékelési tartalék (zárás előtt)</t>
  </si>
  <si>
    <t>OCI reserve (ignored)</t>
  </si>
  <si>
    <t>421</t>
  </si>
  <si>
    <t>Céltartalékok</t>
  </si>
  <si>
    <t>Provisions / employee benefits</t>
  </si>
  <si>
    <t>441</t>
  </si>
  <si>
    <t>Hosszú lejáratú hitelek</t>
  </si>
  <si>
    <t>Financing - borrowings</t>
  </si>
  <si>
    <t>445</t>
  </si>
  <si>
    <t>Financing - lease liabilities</t>
  </si>
  <si>
    <t>461</t>
  </si>
  <si>
    <t>Halasztott adókötelezettség (IFRS)</t>
  </si>
  <si>
    <t>451</t>
  </si>
  <si>
    <t>Rövid lejáratú hitelek</t>
  </si>
  <si>
    <t>452</t>
  </si>
  <si>
    <t>454</t>
  </si>
  <si>
    <t>Working capital - trade payables</t>
  </si>
  <si>
    <t>462</t>
  </si>
  <si>
    <t>Társaságiadó-kötelezettség</t>
  </si>
  <si>
    <t>463-471</t>
  </si>
  <si>
    <t>Egyéb adók, járulékok, bérek</t>
  </si>
  <si>
    <t>Working capital - other payables</t>
  </si>
  <si>
    <t>Yes</t>
  </si>
  <si>
    <t>481</t>
  </si>
  <si>
    <t>Passzív időbeli elhatárolások</t>
  </si>
  <si>
    <t>911</t>
  </si>
  <si>
    <t>Belföldi értékesítés árbevétele</t>
  </si>
  <si>
    <t>Profit or loss</t>
  </si>
  <si>
    <t>None</t>
  </si>
  <si>
    <t>921</t>
  </si>
  <si>
    <t>Export értékesítés árbevétele</t>
  </si>
  <si>
    <t>961</t>
  </si>
  <si>
    <t>Egyéb bevételek</t>
  </si>
  <si>
    <t>9611</t>
  </si>
  <si>
    <t>Tárgyi eszköz értékesítésének nyeresége</t>
  </si>
  <si>
    <t>Gain/loss on disposal</t>
  </si>
  <si>
    <t>511</t>
  </si>
  <si>
    <t>Anyagköltség</t>
  </si>
  <si>
    <t>814</t>
  </si>
  <si>
    <t>Eladott áruk beszerzési értéke</t>
  </si>
  <si>
    <t>522</t>
  </si>
  <si>
    <t>Igénybe vett szolgáltatások</t>
  </si>
  <si>
    <t>541</t>
  </si>
  <si>
    <t>Bérköltség</t>
  </si>
  <si>
    <t>561</t>
  </si>
  <si>
    <t>Bérjárulékok</t>
  </si>
  <si>
    <t>571</t>
  </si>
  <si>
    <t>Értékcsökkenés - tárgyi eszközök</t>
  </si>
  <si>
    <t>Depreciation - PPE</t>
  </si>
  <si>
    <t>572</t>
  </si>
  <si>
    <t>Értékcsökkenés - használatijog-eszközök</t>
  </si>
  <si>
    <t>Depreciation - right-of-use</t>
  </si>
  <si>
    <t>573</t>
  </si>
  <si>
    <t>Amortizáció - immateriális javak</t>
  </si>
  <si>
    <t>Amortisation - intangibles</t>
  </si>
  <si>
    <t>8611</t>
  </si>
  <si>
    <t>Készletek értékvesztése</t>
  </si>
  <si>
    <t>Inventory write-down</t>
  </si>
  <si>
    <t>8664</t>
  </si>
  <si>
    <t>Impairment of receivables - expense (IFRS 9 ECL)</t>
  </si>
  <si>
    <t>861</t>
  </si>
  <si>
    <t>Egyéb ráfordítások</t>
  </si>
  <si>
    <t>8761</t>
  </si>
  <si>
    <t>Árfolyam-különbözet - vevők, szállítók</t>
  </si>
  <si>
    <t>9731</t>
  </si>
  <si>
    <t>Kapott kamat - bankbetétek</t>
  </si>
  <si>
    <t>9751</t>
  </si>
  <si>
    <t>Társult vállalkozás eredményéből való részesedés</t>
  </si>
  <si>
    <t>Investing in assets</t>
  </si>
  <si>
    <t>8721</t>
  </si>
  <si>
    <t>Hitelek kamatráfordítása</t>
  </si>
  <si>
    <t>Providing financing to customers</t>
  </si>
  <si>
    <t>8731</t>
  </si>
  <si>
    <t>8762</t>
  </si>
  <si>
    <t>Árfolyam-különbözet - hitelek</t>
  </si>
  <si>
    <t>891</t>
  </si>
  <si>
    <t>Társasági adó (tényleges)</t>
  </si>
  <si>
    <t>892</t>
  </si>
  <si>
    <t>4171</t>
  </si>
  <si>
    <t>Ingatlanok átértékelése (tárgyévi OCI)</t>
  </si>
  <si>
    <t>A01</t>
  </si>
  <si>
    <t>Példa: átsorolás - előleg szerződéses eszközbe / Example reclassification</t>
  </si>
  <si>
    <t>Példa: átsorolás - vevőkövetelés / Example reclassification</t>
  </si>
  <si>
    <t>NC</t>
  </si>
  <si>
    <t>C</t>
  </si>
  <si>
    <t>EQ</t>
  </si>
  <si>
    <t>NCL</t>
  </si>
  <si>
    <t>CL</t>
  </si>
  <si>
    <t>OP</t>
  </si>
  <si>
    <t>INC</t>
  </si>
  <si>
    <t>EXP</t>
  </si>
  <si>
    <t>INV</t>
  </si>
  <si>
    <t>FIN</t>
  </si>
  <si>
    <t>TAX</t>
  </si>
  <si>
    <t>DISC</t>
  </si>
  <si>
    <t>OR</t>
  </si>
  <si>
    <t>RE</t>
  </si>
  <si>
    <t>NC.DEP.PPE</t>
  </si>
  <si>
    <t>NC.DEP.ROU</t>
  </si>
  <si>
    <t>NC.AMORT.INTANG</t>
  </si>
  <si>
    <t>NC.IMPAIR.PPE</t>
  </si>
  <si>
    <t>NC.IMPAIR.RECEIV</t>
  </si>
  <si>
    <t>NC.IMPAIR.INTANG</t>
  </si>
  <si>
    <t>NC.IMPAIR.INVPROP</t>
  </si>
  <si>
    <t>NC.INVWRITE</t>
  </si>
  <si>
    <t>NC.SBP</t>
  </si>
  <si>
    <t>NC.DISPGAIN</t>
  </si>
  <si>
    <t>NC.FXUNREAL</t>
  </si>
  <si>
    <t>WC.INVENT</t>
  </si>
  <si>
    <t>WC.TRADEREC</t>
  </si>
  <si>
    <t>WC.TRADEREC.ALLOW</t>
  </si>
  <si>
    <t>WC.CONTRACT</t>
  </si>
  <si>
    <t>WC.OTHERREC</t>
  </si>
  <si>
    <t>WC.TRADEPAY</t>
  </si>
  <si>
    <t>WC.CONTRLIAB</t>
  </si>
  <si>
    <t>WC.OTHERPAY</t>
  </si>
  <si>
    <t>PROV</t>
  </si>
  <si>
    <t>TAXCUR</t>
  </si>
  <si>
    <t>TAXDEF</t>
  </si>
  <si>
    <t>INV.PPE</t>
  </si>
  <si>
    <t>INV.INTANG</t>
  </si>
  <si>
    <t>INV.INVPROP</t>
  </si>
  <si>
    <t>INV.FINASSET</t>
  </si>
  <si>
    <t>INV.ASSOC</t>
  </si>
  <si>
    <t>FIN.BORROW</t>
  </si>
  <si>
    <t>FIN.LEASE</t>
  </si>
  <si>
    <t>INT.REC</t>
  </si>
  <si>
    <t>INT.ACCRUED</t>
  </si>
  <si>
    <t>DIV.PAYABLE</t>
  </si>
  <si>
    <t>INT.PAID</t>
  </si>
  <si>
    <t>DIV.REC</t>
  </si>
  <si>
    <t>CASH</t>
  </si>
  <si>
    <t>OCIONLY</t>
  </si>
  <si>
    <t>Adjusted operating profit</t>
  </si>
  <si>
    <t>Korrigált működési eredmény</t>
  </si>
  <si>
    <t>Excludes one-off inventory write-downs to show underlying trading performance.</t>
  </si>
  <si>
    <t>Kiszűri az egyszeri készletleírásokat, így a mögöttes kereskedelmi teljesítményt mutatja.</t>
  </si>
  <si>
    <t>One-off inventory write-downs</t>
  </si>
  <si>
    <t>Egyszeri készletleírások</t>
  </si>
  <si>
    <t>LIST</t>
  </si>
  <si>
    <t>CODE</t>
  </si>
  <si>
    <t>EN</t>
  </si>
  <si>
    <t>HU</t>
  </si>
  <si>
    <t>LANGS</t>
  </si>
  <si>
    <t>Nature</t>
  </si>
  <si>
    <t>Összköltség eljárással</t>
  </si>
  <si>
    <t>Function</t>
  </si>
  <si>
    <t>By function</t>
  </si>
  <si>
    <t>Forgalmi költség eljárással</t>
  </si>
  <si>
    <t>YN</t>
  </si>
  <si>
    <t>Nem</t>
  </si>
  <si>
    <t>Igen</t>
  </si>
  <si>
    <t>STMT</t>
  </si>
  <si>
    <t>CAT</t>
  </si>
  <si>
    <t>MBA</t>
  </si>
  <si>
    <t>-</t>
  </si>
  <si>
    <t>Nem érzékeny</t>
  </si>
  <si>
    <t>Eszközökbe történő befektetés</t>
  </si>
  <si>
    <t>Finanszírozás nyújtása ügyfeleknek</t>
  </si>
  <si>
    <t>PER</t>
  </si>
  <si>
    <t>CY</t>
  </si>
  <si>
    <t>PY</t>
  </si>
  <si>
    <t>CNC</t>
  </si>
  <si>
    <t>KIND</t>
  </si>
  <si>
    <t>Income</t>
  </si>
  <si>
    <t>Bevétel</t>
  </si>
  <si>
    <t>Expense</t>
  </si>
  <si>
    <t>Ráfordítás</t>
  </si>
  <si>
    <t>RECLASS</t>
  </si>
  <si>
    <t>SC</t>
  </si>
  <si>
    <t>SP</t>
  </si>
  <si>
    <t>Nincs</t>
  </si>
  <si>
    <t>Impairment - PPE</t>
  </si>
  <si>
    <t>Értékvesztés - tárgyi eszközök</t>
  </si>
  <si>
    <t>Követelések értékvesztése - ráfordítás (IFRS 9 ECL)</t>
  </si>
  <si>
    <t>Impairment - intangibles</t>
  </si>
  <si>
    <t>Értékvesztés - immateriális javak</t>
  </si>
  <si>
    <t>Impairment - investment property</t>
  </si>
  <si>
    <t>Értékvesztés - befektetési célú ingatlan</t>
  </si>
  <si>
    <t>Készletleírás</t>
  </si>
  <si>
    <t>Share-based payment</t>
  </si>
  <si>
    <t>Részvényalapú kifizetés</t>
  </si>
  <si>
    <t>Értékesítés nyeresége/vesztesége</t>
  </si>
  <si>
    <t>Unrealised FX</t>
  </si>
  <si>
    <t>Nem realizált árfolyam-különbözet</t>
  </si>
  <si>
    <t>Forgótőke - készletek</t>
  </si>
  <si>
    <t>Forgótőke - vevők (bruttó)</t>
  </si>
  <si>
    <t>Követelések értékvesztésének egyenlege</t>
  </si>
  <si>
    <t>Working capital - contract assets</t>
  </si>
  <si>
    <t>Forgótőke - szerződéses eszközök</t>
  </si>
  <si>
    <t>Forgótőke - egyéb követelések</t>
  </si>
  <si>
    <t>Forgótőke - szállítók</t>
  </si>
  <si>
    <t>Working capital - contract liabilities</t>
  </si>
  <si>
    <t>Forgótőke - szerződéses kötelezettségek</t>
  </si>
  <si>
    <t>Forgótőke - egyéb kötelezettségek</t>
  </si>
  <si>
    <t>Céltartalékok / munkavállalói juttatások</t>
  </si>
  <si>
    <t>Tényleges adó egyenlegek</t>
  </si>
  <si>
    <t>Halasztott adó egyenlegek</t>
  </si>
  <si>
    <t>Befektetés - tárgyi eszközök</t>
  </si>
  <si>
    <t>Befektetés - immateriális javak</t>
  </si>
  <si>
    <t>Investing - investment property</t>
  </si>
  <si>
    <t>Befektetés - befektetési célú ingatlan</t>
  </si>
  <si>
    <t>Investing - financial assets</t>
  </si>
  <si>
    <t>Befektetés - pénzügyi eszközök</t>
  </si>
  <si>
    <t>Befektetés - társult/közös vállalkozások</t>
  </si>
  <si>
    <t>Finanszírozás - hitelek</t>
  </si>
  <si>
    <t>Finanszírozás - lízingkötelezettségek</t>
  </si>
  <si>
    <t>Accrued interest payable (balance)</t>
  </si>
  <si>
    <t>Elhatárolt fizetendő kamat (egyenleg)</t>
  </si>
  <si>
    <t>Dividend payable (balance)</t>
  </si>
  <si>
    <t>Osztalékkötelezettség (egyenleg)</t>
  </si>
  <si>
    <t>Pénzeszközök</t>
  </si>
  <si>
    <t>OCI tartalék (figyelmen kívül)</t>
  </si>
  <si>
    <t>SUBT</t>
  </si>
  <si>
    <t>SUB.OP</t>
  </si>
  <si>
    <t>SUB.PBFIT</t>
  </si>
  <si>
    <t>Profit before financing and income taxes</t>
  </si>
  <si>
    <t>SUB.PBT</t>
  </si>
  <si>
    <t>Profit before income taxes</t>
  </si>
  <si>
    <t>SUB.PL</t>
  </si>
  <si>
    <t>Időszaki eredmény</t>
  </si>
  <si>
    <t>SUB.EBITDA</t>
  </si>
  <si>
    <t>UNIT</t>
  </si>
  <si>
    <t>1</t>
  </si>
  <si>
    <t>units</t>
  </si>
  <si>
    <t>egység</t>
  </si>
  <si>
    <t>1000</t>
  </si>
  <si>
    <t>thousands</t>
  </si>
  <si>
    <t>1000000</t>
  </si>
  <si>
    <t>millions</t>
  </si>
  <si>
    <t>OBRUNIT</t>
  </si>
  <si>
    <t>egy</t>
  </si>
  <si>
    <t>one</t>
  </si>
  <si>
    <t>száz</t>
  </si>
  <si>
    <t>hundred</t>
  </si>
  <si>
    <t>thousand</t>
  </si>
  <si>
    <t>million</t>
  </si>
  <si>
    <t>OBRFIRMTYPE</t>
  </si>
  <si>
    <t>Vállalkozás</t>
  </si>
  <si>
    <t>Undertaking</t>
  </si>
  <si>
    <t>Biztosító</t>
  </si>
  <si>
    <t>Insurer</t>
  </si>
  <si>
    <t>Pénzügyi intézmény</t>
  </si>
  <si>
    <t>Financial institution</t>
  </si>
  <si>
    <t>Befektetési vállalkozás</t>
  </si>
  <si>
    <t>Investment firm</t>
  </si>
  <si>
    <t>Egyes pénz- és tőkepiaci szolgáltatásokat is végző egyéb vállalkozás</t>
  </si>
  <si>
    <t>Other undertaking also providing certain money and capital market services</t>
  </si>
  <si>
    <t>OBRREASON</t>
  </si>
  <si>
    <t>Általános üzleti évet záró</t>
  </si>
  <si>
    <t>Closing a general business year</t>
  </si>
  <si>
    <t>Előtársasági üzleti évet záró</t>
  </si>
  <si>
    <t>Closing a pre-company business year</t>
  </si>
  <si>
    <t>Átalakulás miatti üzleti évet záró</t>
  </si>
  <si>
    <t>Closing a business year due to transformation</t>
  </si>
  <si>
    <t>Végelszámolás alatt üzleti évet záró</t>
  </si>
  <si>
    <t>Closing a business year under voluntary liquidation</t>
  </si>
  <si>
    <t>Devizanem áttérés miatti üzleti évet záró</t>
  </si>
  <si>
    <t>Closing a business year due to currency change</t>
  </si>
  <si>
    <t>OBRLAW</t>
  </si>
  <si>
    <t>a nemzetközi számviteli standardok alkalmazásáról szóló 1606/2002/EK (VII.19.) európai parlament és tanács rendelete</t>
  </si>
  <si>
    <t>Regulation (EC) No 1606/2002 on the application of international accounting standards</t>
  </si>
  <si>
    <t>OBRREPTYPE</t>
  </si>
  <si>
    <t>Éves beszámoló</t>
  </si>
  <si>
    <t>Annual financial statements</t>
  </si>
  <si>
    <t>OBRPATTERN</t>
  </si>
  <si>
    <t>Kiegészítő melléklet szerinti</t>
  </si>
  <si>
    <t>As per the notes</t>
  </si>
  <si>
    <t>OBRVAR</t>
  </si>
  <si>
    <t>LINEKEYS</t>
  </si>
  <si>
    <t>LINEKEYS_F</t>
  </si>
  <si>
    <t>LINEKEYS_N</t>
  </si>
  <si>
    <t>12345678-2-41</t>
  </si>
  <si>
    <t>TaxNumber</t>
  </si>
  <si>
    <t>01-10-123456</t>
  </si>
  <si>
    <t>FirmRegistryNumber</t>
  </si>
  <si>
    <t>FirmName</t>
  </si>
  <si>
    <t>12345678-4649-114-01</t>
  </si>
  <si>
    <t>KshNumber</t>
  </si>
  <si>
    <t>Magyarorszag</t>
  </si>
  <si>
    <t>FirmAddressCountry</t>
  </si>
  <si>
    <t>1051</t>
  </si>
  <si>
    <t>FirmAddressZipCode</t>
  </si>
  <si>
    <t>Budapest</t>
  </si>
  <si>
    <t>FirmAddressCity</t>
  </si>
  <si>
    <t>Minta</t>
  </si>
  <si>
    <t>FirmAddressPlaceName</t>
  </si>
  <si>
    <t>utca</t>
  </si>
  <si>
    <t>FirmAddressPlaceType</t>
  </si>
  <si>
    <t>FirmAddressStreetNumber</t>
  </si>
  <si>
    <t>FirmAddressBuilding</t>
  </si>
  <si>
    <t>FirmAddressStairway</t>
  </si>
  <si>
    <t>FirmAddressFloor</t>
  </si>
  <si>
    <t>FirmAddressDoor</t>
  </si>
  <si>
    <t>BalanceSheetDate</t>
  </si>
  <si>
    <t>FromDate</t>
  </si>
  <si>
    <t>ToDate</t>
  </si>
  <si>
    <t>Currency</t>
  </si>
  <si>
    <t>CurrencyUnit</t>
  </si>
  <si>
    <t>Vallalkozas</t>
  </si>
  <si>
    <t>FirmType</t>
  </si>
  <si>
    <t>Altalanos uzleti evet zaro</t>
  </si>
  <si>
    <t>ReportReason</t>
  </si>
  <si>
    <t>AdditionalLaw</t>
  </si>
  <si>
    <t>ReportType</t>
  </si>
  <si>
    <t>BalancePattern</t>
  </si>
  <si>
    <t>BalanceVariation</t>
  </si>
  <si>
    <t>IncomeStatementPattern</t>
  </si>
  <si>
    <t>IncomeStatementVariation</t>
  </si>
  <si>
    <t>BalanceAttachmentName</t>
  </si>
  <si>
    <t>IncomeStatementAttachmentName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</si>
</sst>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numFmt numFmtId="165" formatCode="yyyy\.mm\.dd"/>
    <numFmt numFmtId="166" formatCode="0.0%"/>
    <numFmt numFmtId="167" formatCode="#,##0\ &quot;kB&quot;"/>
    <numFmt numFmtId="168" formatCode="#,##0;\(#,##0\);\-"/>
  </numFmts>
  <fonts count="11" x14ac:knownFonts="1">
    <font>
      <sz val="11"/>
      <color theme="1"/>
      <name val="Calibri"/>
      <family val="2"/>
      <scheme val="minor"/>
    </font>
    <font>
      <b/>
      <sz val="14"/>
      <color rgb="FF1F3864"/>
      <name val="Arial"/>
      <family val="2"/>
      <charset val="238"/>
    </font>
    <font>
      <b/>
      <sz val="10"/>
      <color rgb="FFFFFFFF"/>
      <name val="Arial"/>
      <family val="2"/>
      <charset val="238"/>
    </font>
    <font>
      <sz val="10"/>
      <name val="Arial"/>
      <family val="2"/>
      <charset val="238"/>
    </font>
    <font>
      <i/>
      <sz val="9"/>
      <color rgb="FF595959"/>
      <name val="Arial"/>
      <family val="2"/>
      <charset val="238"/>
    </font>
    <font>
      <sz val="10"/>
      <color rgb="FFFFFFFF"/>
      <name val="Arial"/>
      <family val="2"/>
      <charset val="238"/>
    </font>
    <font>
      <b/>
      <sz val="10"/>
      <name val="Arial"/>
      <family val="2"/>
      <charset val="238"/>
    </font>
    <font>
      <b/>
      <sz val="10"/>
      <color rgb="FF1F3864"/>
      <name val="Arial"/>
      <family val="2"/>
      <charset val="238"/>
    </font>
    <font>
      <i/>
      <sz val="10"/>
      <name val="Arial"/>
      <family val="2"/>
      <charset val="238"/>
    </font>
    <font>
      <i/>
      <sz val="9"/>
      <color rgb="FF9C5700"/>
      <name val="Arial"/>
      <family val="2"/>
      <charset val="238"/>
    </font>
    <font>
      <sz val="9"/>
      <color rgb="FF808080"/>
      <name val="Arial"/>
      <family val="2"/>
      <charset val="238"/>
    </font>
  </fonts>
  <fills count="7">
    <fill>
      <patternFill patternType="none"/>
    </fill>
    <fill>
      <patternFill patternType="gray125"/>
    </fill>
    <fill>
      <patternFill patternType="solid">
        <fgColor rgb="FF2E75B6"/>
      </patternFill>
    </fill>
    <fill>
      <patternFill patternType="solid">
        <fgColor rgb="FFFFFF00"/>
      </patternFill>
    </fill>
    <fill>
      <patternFill patternType="solid">
        <fgColor rgb="FFF2F2F2"/>
      </patternFill>
    </fill>
    <fill>
      <patternFill patternType="solid">
        <fgColor rgb="FFDDEBF7"/>
      </patternFill>
    </fill>
    <fill>
      <patternFill patternType="solid">
        <fgColor rgb="FFBDD7EE"/>
      </patternFill>
    </fill>
  </fills>
  <borders count="7">
    <border>
      <left/>
      <right/>
      <top/>
      <bottom/>
      <diagonal/>
    </border>
    <border>
      <left style="thin">
        <color rgb="FFBFBFBF"/>
      </left>
      <right style="thin">
        <color rgb="FFBFBFBF"/>
      </right>
      <top style="thin">
        <color rgb="FFBFBFBF"/>
      </top>
      <bottom style="thin">
        <color rgb="FFBFBFBF"/>
      </bottom>
      <diagonal/>
    </border>
    <border>
      <left/>
      <right/>
      <top style="thin">
        <color rgb="FF1F3864"/>
      </top>
      <bottom style="thin">
        <color rgb="FF1F3864"/>
      </bottom>
      <diagonal/>
    </border>
    <border>
      <left/>
      <right/>
      <top style="thin">
        <color rgb="FF1F3864"/>
      </top>
      <bottom style="double">
        <color rgb="FF1F3864"/>
      </bottom>
      <diagonal/>
    </border>
    <border>
      <left/>
      <right/>
      <top style="thin">
        <color rgb="FF1F3864"/>
      </top>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s>
  <cellStyleXfs count="1">
    <xf numFmtId="0" fontId="0" fillId="0" borderId="0"/>
  </cellStyleXfs>
  <cellXfs count="58">
    <xf numFmtId="0" fontId="0" fillId="0" borderId="0" xfId="0"/>
    <xf numFmtId="0" fontId="1" fillId="0" borderId="0" xfId="0" applyFont="1"/>
    <xf numFmtId="0" fontId="4" fillId="0" borderId="0" xfId="0" applyFont="1"/>
    <xf numFmtId="0" fontId="2" fillId="2" borderId="1" xfId="0" applyFont="1" applyFill="1" applyBorder="1"/>
    <xf numFmtId="0" fontId="3" fillId="4" borderId="1" xfId="0" applyFont="1" applyFill="1" applyBorder="1"/>
    <xf numFmtId="0" fontId="3" fillId="3" borderId="1" xfId="0" applyFont="1" applyFill="1" applyBorder="1" applyProtection="1">
      <protection locked="0"/>
    </xf>
    <xf numFmtId="165" fontId="3" fillId="3" borderId="1" xfId="0" applyNumberFormat="1" applyFont="1" applyFill="1" applyBorder="1" applyProtection="1">
      <protection locked="0"/>
    </xf>
    <xf numFmtId="165" fontId="3" fillId="0" borderId="1" xfId="0" applyNumberFormat="1" applyFont="1" applyBorder="1"/>
    <xf numFmtId="3" fontId="3" fillId="3" borderId="1" xfId="0" applyNumberFormat="1" applyFont="1" applyFill="1" applyBorder="1" applyProtection="1">
      <protection locked="0"/>
    </xf>
    <xf numFmtId="0" fontId="3" fillId="0" borderId="1" xfId="0" applyFont="1" applyBorder="1"/>
    <xf numFmtId="0" fontId="5" fillId="0" borderId="0" xfId="0" applyFont="1"/>
    <xf numFmtId="166" fontId="3" fillId="3" borderId="1" xfId="0" applyNumberFormat="1" applyFont="1" applyFill="1" applyBorder="1" applyProtection="1">
      <protection locked="0"/>
    </xf>
    <xf numFmtId="0" fontId="6" fillId="0" borderId="1" xfId="0" applyFont="1" applyBorder="1"/>
    <xf numFmtId="167" fontId="3" fillId="4" borderId="1" xfId="0" applyNumberFormat="1" applyFont="1" applyFill="1" applyBorder="1"/>
    <xf numFmtId="0" fontId="3" fillId="0" borderId="0" xfId="0" applyFont="1"/>
    <xf numFmtId="0" fontId="3" fillId="3" borderId="0" xfId="0" applyFont="1" applyFill="1" applyProtection="1">
      <protection locked="0"/>
    </xf>
    <xf numFmtId="0" fontId="3" fillId="0" borderId="0" xfId="0" applyFont="1" applyProtection="1">
      <protection locked="0"/>
    </xf>
    <xf numFmtId="168" fontId="3" fillId="3" borderId="1" xfId="0" applyNumberFormat="1" applyFont="1" applyFill="1" applyBorder="1" applyProtection="1">
      <protection locked="0"/>
    </xf>
    <xf numFmtId="0" fontId="6" fillId="4" borderId="1" xfId="0" applyFont="1" applyFill="1" applyBorder="1"/>
    <xf numFmtId="168" fontId="6" fillId="0" borderId="1" xfId="0" applyNumberFormat="1" applyFont="1" applyBorder="1"/>
    <xf numFmtId="168" fontId="3" fillId="0" borderId="1" xfId="0" applyNumberFormat="1" applyFont="1" applyBorder="1"/>
    <xf numFmtId="0" fontId="6" fillId="0" borderId="0" xfId="0" applyFont="1"/>
    <xf numFmtId="0" fontId="2" fillId="2" borderId="1" xfId="0" applyFont="1" applyFill="1" applyBorder="1" applyAlignment="1">
      <alignment horizontal="center"/>
    </xf>
    <xf numFmtId="165" fontId="2" fillId="2" borderId="1" xfId="0" applyNumberFormat="1" applyFont="1" applyFill="1" applyBorder="1" applyAlignment="1">
      <alignment horizontal="right"/>
    </xf>
    <xf numFmtId="0" fontId="7" fillId="0" borderId="0" xfId="0" applyFont="1"/>
    <xf numFmtId="168" fontId="7" fillId="0" borderId="0" xfId="0" applyNumberFormat="1" applyFont="1"/>
    <xf numFmtId="168" fontId="3" fillId="0" borderId="0" xfId="0" applyNumberFormat="1" applyFont="1"/>
    <xf numFmtId="0" fontId="6" fillId="5" borderId="2" xfId="0" applyFont="1" applyFill="1" applyBorder="1"/>
    <xf numFmtId="168" fontId="6" fillId="5" borderId="2" xfId="0" applyNumberFormat="1" applyFont="1" applyFill="1" applyBorder="1"/>
    <xf numFmtId="0" fontId="6" fillId="6" borderId="3" xfId="0" applyFont="1" applyFill="1" applyBorder="1"/>
    <xf numFmtId="168" fontId="6" fillId="6" borderId="3" xfId="0" applyNumberFormat="1" applyFont="1" applyFill="1" applyBorder="1"/>
    <xf numFmtId="1" fontId="2" fillId="2" borderId="1" xfId="0" applyNumberFormat="1" applyFont="1" applyFill="1" applyBorder="1" applyAlignment="1">
      <alignment horizontal="right"/>
    </xf>
    <xf numFmtId="168" fontId="8" fillId="0" borderId="0" xfId="0" applyNumberFormat="1" applyFont="1"/>
    <xf numFmtId="0" fontId="9" fillId="0" borderId="0" xfId="0" applyFont="1"/>
    <xf numFmtId="1" fontId="7" fillId="0" borderId="0" xfId="0" applyNumberFormat="1" applyFont="1"/>
    <xf numFmtId="0" fontId="2" fillId="2" borderId="1" xfId="0" applyFont="1" applyFill="1" applyBorder="1" applyAlignment="1">
      <alignment horizontal="right" wrapText="1"/>
    </xf>
    <xf numFmtId="0" fontId="2" fillId="2" borderId="1" xfId="0" applyFont="1" applyFill="1" applyBorder="1" applyAlignment="1">
      <alignment horizontal="right"/>
    </xf>
    <xf numFmtId="168" fontId="6" fillId="0" borderId="0" xfId="0" applyNumberFormat="1" applyFont="1"/>
    <xf numFmtId="168" fontId="6" fillId="0" borderId="3" xfId="0" applyNumberFormat="1" applyFont="1" applyBorder="1"/>
    <xf numFmtId="168" fontId="4" fillId="0" borderId="0" xfId="0" applyNumberFormat="1" applyFont="1"/>
    <xf numFmtId="168" fontId="3" fillId="0" borderId="4" xfId="0" applyNumberFormat="1" applyFont="1" applyBorder="1"/>
    <xf numFmtId="0" fontId="2" fillId="2" borderId="1" xfId="0" applyFont="1" applyFill="1" applyBorder="1" applyAlignment="1">
      <alignment horizontal="left" wrapText="1"/>
    </xf>
    <xf numFmtId="1" fontId="4" fillId="0" borderId="0" xfId="0" applyNumberFormat="1" applyFont="1" applyAlignment="1">
      <alignment horizontal="center"/>
    </xf>
    <xf numFmtId="168" fontId="0" fillId="0" borderId="0" xfId="0" applyNumberFormat="1"/>
    <xf numFmtId="166" fontId="3" fillId="0" borderId="0" xfId="0" applyNumberFormat="1" applyFont="1"/>
    <xf numFmtId="0" fontId="3" fillId="3" borderId="1" xfId="0" applyFont="1" applyFill="1" applyBorder="1" applyAlignment="1" applyProtection="1">
      <alignment vertical="top" wrapText="1"/>
      <protection locked="0"/>
    </xf>
    <xf numFmtId="0" fontId="10" fillId="0" borderId="1" xfId="0" applyFont="1" applyBorder="1"/>
    <xf numFmtId="164" fontId="3" fillId="3" borderId="1" xfId="0" applyNumberFormat="1" applyFont="1" applyFill="1" applyBorder="1" applyProtection="1">
      <protection locked="0"/>
    </xf>
    <xf numFmtId="0" fontId="3" fillId="5" borderId="1" xfId="0" applyFont="1" applyFill="1" applyBorder="1"/>
    <xf numFmtId="0" fontId="4" fillId="0" borderId="1" xfId="0" applyFont="1" applyBorder="1"/>
    <xf numFmtId="0" fontId="4" fillId="0" borderId="0" xfId="0" applyFont="1" applyAlignment="1">
      <alignment vertical="top" wrapText="1"/>
    </xf>
    <xf numFmtId="0" fontId="0" fillId="0" borderId="0" xfId="0"/>
    <xf numFmtId="1" fontId="4" fillId="0" borderId="0" xfId="0" applyNumberFormat="1" applyFont="1" applyAlignment="1">
      <alignment horizontal="center"/>
    </xf>
    <xf numFmtId="0" fontId="3" fillId="3" borderId="1" xfId="0" applyFont="1" applyFill="1" applyBorder="1" applyProtection="1">
      <protection locked="0"/>
    </xf>
    <xf numFmtId="0" fontId="0" fillId="0" borderId="5" xfId="0" applyBorder="1" applyProtection="1">
      <protection locked="0"/>
    </xf>
    <xf numFmtId="0" fontId="0" fillId="0" borderId="6" xfId="0" applyBorder="1" applyProtection="1">
      <protection locked="0"/>
    </xf>
    <xf numFmtId="0" fontId="3" fillId="0" borderId="0" xfId="0" applyFont="1" applyAlignment="1">
      <alignment vertical="top" wrapText="1"/>
    </xf>
    <xf numFmtId="0" fontId="3" fillId="3" borderId="1" xfId="0" applyFont="1" applyFill="1" applyBorder="1" applyAlignment="1" applyProtection="1">
      <alignment vertical="top" wrapText="1"/>
      <protection locked="0"/>
    </xf>
  </cellXfs>
  <cellStyles count="1">
    <cellStyle name="Normál" xfId="0" builtinId="0"/>
  </cellStyles>
  <dxfs count="24">
    <dxf>
      <font>
        <color rgb="FF9C5700"/>
      </font>
      <fill>
        <patternFill patternType="solid">
          <fgColor rgb="FFFFEB9C"/>
        </patternFill>
      </fill>
    </dxf>
    <dxf>
      <font>
        <color rgb="FF006100"/>
      </font>
      <fill>
        <patternFill patternType="solid">
          <fgColor rgb="FFC6EFCE"/>
        </patternFill>
      </fill>
    </dxf>
    <dxf>
      <font>
        <b/>
        <color rgb="FF9C0006"/>
      </font>
      <fill>
        <patternFill patternType="solid">
          <fgColor rgb="FFFFC7CE"/>
        </patternFill>
      </fill>
    </dxf>
    <dxf>
      <font>
        <b/>
        <color rgb="FF9C0006"/>
      </font>
      <fill>
        <patternFill patternType="solid">
          <fgColor rgb="FFFFC7CE"/>
        </patternFill>
      </fill>
    </dxf>
    <dxf>
      <font>
        <b/>
        <color rgb="FF9C0006"/>
      </font>
      <fill>
        <patternFill patternType="solid">
          <fgColor rgb="FFFFC7CE"/>
        </patternFill>
      </fill>
    </dxf>
    <dxf>
      <font>
        <b/>
        <color rgb="FF9C0006"/>
      </font>
      <fill>
        <patternFill patternType="solid">
          <fgColor rgb="FFFFC7CE"/>
        </patternFill>
      </fill>
    </dxf>
    <dxf>
      <font>
        <b/>
        <color rgb="FF9C0006"/>
      </font>
      <fill>
        <patternFill patternType="solid">
          <fgColor rgb="FFFFC7CE"/>
        </patternFill>
      </fill>
    </dxf>
    <dxf>
      <font>
        <b/>
        <color rgb="FF9C0006"/>
      </font>
      <fill>
        <patternFill patternType="solid">
          <fgColor rgb="FFFFC7CE"/>
        </patternFill>
      </fill>
    </dxf>
    <dxf>
      <font>
        <b/>
        <color rgb="FF9C0006"/>
      </font>
      <fill>
        <patternFill patternType="solid">
          <fgColor rgb="FFFFC7CE"/>
        </patternFill>
      </fill>
    </dxf>
    <dxf>
      <font>
        <b/>
        <color rgb="FF9C0006"/>
      </font>
      <fill>
        <patternFill patternType="solid">
          <fgColor rgb="FFFFC7CE"/>
        </patternFill>
      </fill>
    </dxf>
    <dxf>
      <font>
        <b/>
        <color rgb="FF9C0006"/>
      </font>
      <fill>
        <patternFill patternType="solid">
          <fgColor rgb="FFFFC7CE"/>
        </patternFill>
      </fill>
    </dxf>
    <dxf>
      <font>
        <b/>
        <color rgb="FF9C0006"/>
      </font>
      <fill>
        <patternFill patternType="solid">
          <fgColor rgb="FFFFC7CE"/>
        </patternFill>
      </fill>
    </dxf>
    <dxf>
      <font>
        <b/>
        <color rgb="FF9C0006"/>
      </font>
      <fill>
        <patternFill patternType="solid">
          <fgColor rgb="FFFFC7CE"/>
        </patternFill>
      </fill>
    </dxf>
    <dxf>
      <font>
        <b/>
        <color rgb="FF9C0006"/>
      </font>
      <fill>
        <patternFill patternType="solid">
          <fgColor rgb="FFFFC7CE"/>
        </patternFill>
      </fill>
    </dxf>
    <dxf>
      <font>
        <color rgb="FF9C5700"/>
      </font>
      <fill>
        <patternFill patternType="solid">
          <fgColor rgb="FFFFEB9C"/>
        </patternFill>
      </fill>
    </dxf>
    <dxf>
      <font>
        <color rgb="FFFFFFFF"/>
      </font>
    </dxf>
    <dxf>
      <font>
        <b/>
        <color rgb="FF9C0006"/>
      </font>
      <fill>
        <patternFill patternType="solid">
          <fgColor rgb="FFFFC7CE"/>
        </patternFill>
      </fill>
    </dxf>
    <dxf>
      <font>
        <color rgb="FF9C0006"/>
      </font>
      <fill>
        <patternFill patternType="solid">
          <fgColor rgb="FFFFC7CE"/>
        </patternFill>
      </fill>
    </dxf>
    <dxf>
      <font>
        <color rgb="FF9C0006"/>
      </font>
      <fill>
        <patternFill patternType="solid">
          <fgColor rgb="FFFFC7CE"/>
        </patternFill>
      </fill>
    </dxf>
    <dxf>
      <font>
        <b/>
        <color rgb="FF9C0006"/>
      </font>
      <fill>
        <patternFill patternType="solid">
          <fgColor rgb="FFFFC7CE"/>
        </patternFill>
      </fill>
    </dxf>
    <dxf>
      <font>
        <color rgb="FF9C0006"/>
      </font>
      <fill>
        <patternFill patternType="solid">
          <fgColor rgb="FFFFC7CE"/>
        </patternFill>
      </fill>
    </dxf>
    <dxf>
      <font>
        <color rgb="FF9C0006"/>
      </font>
      <fill>
        <patternFill patternType="solid">
          <fgColor rgb="FFFFC7CE"/>
        </patternFill>
      </fill>
    </dxf>
    <dxf>
      <font>
        <b/>
        <color rgb="FF9C0006"/>
      </font>
      <fill>
        <patternFill patternType="solid">
          <fgColor rgb="FFFFC7CE"/>
        </patternFill>
      </fill>
    </dxf>
    <dxf>
      <font>
        <b/>
        <color rgb="FF006100"/>
      </font>
      <fill>
        <patternFill patternType="solid">
          <f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hyperlink" Target="https://hihello.com/p/c33e01dc-10d5-4158-91d4-2a166b951a10" TargetMode="External"/><Relationship Id="rId1" Type="http://schemas.openxmlformats.org/officeDocument/2006/relationships/hyperlink" Target="https://xlntbi.hu"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hyperlink" Target="https://hihello.com/p/c33e01dc-10d5-4158-91d4-2a166b951a10" TargetMode="External"/><Relationship Id="rId1" Type="http://schemas.openxmlformats.org/officeDocument/2006/relationships/hyperlink" Target="https://xlntbi.hu"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hyperlink" Target="https://hihello.com/p/c33e01dc-10d5-4158-91d4-2a166b951a10" TargetMode="External"/><Relationship Id="rId1" Type="http://schemas.openxmlformats.org/officeDocument/2006/relationships/hyperlink" Target="https://xlntbi.hu" TargetMode="External"/></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hyperlink" Target="https://hihello.com/p/c33e01dc-10d5-4158-91d4-2a166b951a10" TargetMode="External"/><Relationship Id="rId1" Type="http://schemas.openxmlformats.org/officeDocument/2006/relationships/hyperlink" Target="https://xlntbi.hu"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hyperlink" Target="https://hihello.com/p/c33e01dc-10d5-4158-91d4-2a166b951a10" TargetMode="External"/><Relationship Id="rId1" Type="http://schemas.openxmlformats.org/officeDocument/2006/relationships/hyperlink" Target="https://xlntbi.hu" TargetMode="External"/></Relationships>
</file>

<file path=xl/drawings/_rels/drawing6.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hyperlink" Target="https://hihello.com/p/c33e01dc-10d5-4158-91d4-2a166b951a10" TargetMode="External"/><Relationship Id="rId1" Type="http://schemas.openxmlformats.org/officeDocument/2006/relationships/hyperlink" Target="https://xlntbi.hu"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hyperlink" Target="https://hihello.com/p/c33e01dc-10d5-4158-91d4-2a166b951a10" TargetMode="External"/><Relationship Id="rId1" Type="http://schemas.openxmlformats.org/officeDocument/2006/relationships/hyperlink" Target="https://xlntbi.hu" TargetMode="External"/></Relationships>
</file>

<file path=xl/drawings/_rels/drawing8.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hyperlink" Target="https://hihello.com/p/c33e01dc-10d5-4158-91d4-2a166b951a10" TargetMode="External"/><Relationship Id="rId1" Type="http://schemas.openxmlformats.org/officeDocument/2006/relationships/hyperlink" Target="https://xlntbi.hu" TargetMode="External"/></Relationships>
</file>

<file path=xl/drawings/_rels/drawing9.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hyperlink" Target="https://hihello.com/p/c33e01dc-10d5-4158-91d4-2a166b951a10" TargetMode="External"/><Relationship Id="rId1" Type="http://schemas.openxmlformats.org/officeDocument/2006/relationships/hyperlink" Target="https://xlntbi.hu" TargetMode="External"/></Relationships>
</file>

<file path=xl/drawings/_rels/drawing10.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hyperlink" Target="https://hihello.com/p/c33e01dc-10d5-4158-91d4-2a166b951a10" TargetMode="External"/><Relationship Id="rId1" Type="http://schemas.openxmlformats.org/officeDocument/2006/relationships/hyperlink" Target="https://xlntbi.hu" TargetMode="Externa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hyperlink" Target="https://hihello.com/p/c33e01dc-10d5-4158-91d4-2a166b951a10" TargetMode="External"/><Relationship Id="rId1" Type="http://schemas.openxmlformats.org/officeDocument/2006/relationships/hyperlink" Target="https://xlntbi.hu" TargetMode="Externa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hyperlink" Target="https://hihello.com/p/c33e01dc-10d5-4158-91d4-2a166b951a10" TargetMode="External"/><Relationship Id="rId1" Type="http://schemas.openxmlformats.org/officeDocument/2006/relationships/hyperlink" Target="https://xlntbi.hu" TargetMode="External"/></Relationships>
</file>

<file path=xl/drawings/_rels/drawing1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hyperlink" Target="https://hihello.com/p/c33e01dc-10d5-4158-91d4-2a166b951a10" TargetMode="External"/><Relationship Id="rId1" Type="http://schemas.openxmlformats.org/officeDocument/2006/relationships/hyperlink" Target="https://xlntbi.hu" TargetMode="External"/></Relationships>
</file>

<file path=xl/drawings/_rels/drawing1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hyperlink" Target="https://hihello.com/p/c33e01dc-10d5-4158-91d4-2a166b951a10" TargetMode="External"/><Relationship Id="rId1" Type="http://schemas.openxmlformats.org/officeDocument/2006/relationships/hyperlink" Target="https://xlntbi.hu"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hyperlink" Target="https://hihello.com/p/c33e01dc-10d5-4158-91d4-2a166b951a10" TargetMode="External"/><Relationship Id="rId1" Type="http://schemas.openxmlformats.org/officeDocument/2006/relationships/hyperlink" Target="https://xlntbi.hu" TargetMode="External"/></Relationships>
</file>

<file path=xl/drawings/_rels/drawing16.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hyperlink" Target="https://hihello.com/p/c33e01dc-10d5-4158-91d4-2a166b951a10" TargetMode="External"/><Relationship Id="rId1" Type="http://schemas.openxmlformats.org/officeDocument/2006/relationships/hyperlink" Target="https://xlntbi.hu" TargetMode="External"/></Relationships>
</file>

<file path=xl/drawings/drawing1.xml><?xml version="1.0" encoding="utf-8"?>
<xdr:wsDr xmlns:xdr="http://schemas.openxmlformats.org/drawingml/2006/spreadsheetDrawing" xmlns:a="http://schemas.openxmlformats.org/drawingml/2006/main">
  <xdr:twoCellAnchor>
    <xdr:from>
      <xdr:col>5</xdr:col>
      <xdr:colOff>152400</xdr:colOff>
      <xdr:row>3</xdr:row>
      <xdr:rowOff>0</xdr:rowOff>
    </xdr:from>
    <xdr:to>
      <xdr:col>9</xdr:col>
      <xdr:colOff>381000</xdr:colOff>
      <xdr:row>4</xdr:row>
      <xdr:rowOff>147320</xdr:rowOff>
    </xdr:to>
    <xdr:sp macro="XLNT_Frissit" textlink="">
      <xdr:nvSpPr>
        <xdr:cNvPr id="3" name="XLNTBI_GOMB_FRISSIT">
          <a:extLst>
            <a:ext uri="{FF2B5EF4-FFF2-40B4-BE49-F238E27FC236}">
              <a16:creationId xmlns:a16="http://schemas.microsoft.com/office/drawing/2014/main" id="{DB9D2E89-D96F-D826-DF1A-1482BDE6FE8B}"/>
            </a:ext>
          </a:extLst>
        </xdr:cNvPr>
        <xdr:cNvSpPr/>
      </xdr:nvSpPr>
      <xdr:spPr>
        <a:xfrm>
          <a:off x="11399520" y="586740"/>
          <a:ext cx="2667000" cy="3302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hu-HU" sz="1000" b="1" u="none">
              <a:solidFill>
                <a:srgbClr val="FFFFFF"/>
              </a:solidFill>
            </a:rPr>
            <a:t>Refresh workbook</a:t>
          </a:r>
        </a:p>
      </xdr:txBody>
    </xdr:sp>
    <xdr:clientData/>
  </xdr:twoCellAnchor>
  <xdr:twoCellAnchor>
    <xdr:from>
      <xdr:col>5</xdr:col>
      <xdr:colOff>152400</xdr:colOff>
      <xdr:row>5</xdr:row>
      <xdr:rowOff>40640</xdr:rowOff>
    </xdr:from>
    <xdr:to>
      <xdr:col>9</xdr:col>
      <xdr:colOff>381000</xdr:colOff>
      <xdr:row>7</xdr:row>
      <xdr:rowOff>5080</xdr:rowOff>
    </xdr:to>
    <xdr:sp macro="XLNT_PDF_Kimutatasok" textlink="">
      <xdr:nvSpPr>
        <xdr:cNvPr id="5" name="XLNTBI_GOMB_PDF">
          <a:extLst>
            <a:ext uri="{FF2B5EF4-FFF2-40B4-BE49-F238E27FC236}">
              <a16:creationId xmlns:a16="http://schemas.microsoft.com/office/drawing/2014/main" id="{A1FEFA57-4DBF-FBDC-736C-1EF2C7F874B1}"/>
            </a:ext>
          </a:extLst>
        </xdr:cNvPr>
        <xdr:cNvSpPr/>
      </xdr:nvSpPr>
      <xdr:spPr>
        <a:xfrm>
          <a:off x="11399520" y="993140"/>
          <a:ext cx="2667000" cy="3302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hu-HU" sz="1000" b="1" u="none">
              <a:solidFill>
                <a:srgbClr val="FFFFFF"/>
              </a:solidFill>
            </a:rPr>
            <a:t>Create PDFs (SFP + P&amp;L)</a:t>
          </a:r>
        </a:p>
      </xdr:txBody>
    </xdr:sp>
    <xdr:clientData/>
  </xdr:twoCellAnchor>
  <xdr:twoCellAnchor>
    <xdr:from>
      <xdr:col>5</xdr:col>
      <xdr:colOff>152400</xdr:colOff>
      <xdr:row>7</xdr:row>
      <xdr:rowOff>81280</xdr:rowOff>
    </xdr:from>
    <xdr:to>
      <xdr:col>9</xdr:col>
      <xdr:colOff>381000</xdr:colOff>
      <xdr:row>9</xdr:row>
      <xdr:rowOff>45720</xdr:rowOff>
    </xdr:to>
    <xdr:sp macro="XLNT_OBR_KiegMellekletPdf" textlink="">
      <xdr:nvSpPr>
        <xdr:cNvPr id="6" name="XLNTBI_GOMB_NOTESPDF">
          <a:extLst>
            <a:ext uri="{FF2B5EF4-FFF2-40B4-BE49-F238E27FC236}">
              <a16:creationId xmlns:a16="http://schemas.microsoft.com/office/drawing/2014/main" id="{7FB7BD67-0260-460B-A9FF-A2BC15B454F6}"/>
            </a:ext>
          </a:extLst>
        </xdr:cNvPr>
        <xdr:cNvSpPr/>
      </xdr:nvSpPr>
      <xdr:spPr>
        <a:xfrm>
          <a:off x="11399520" y="1399540"/>
          <a:ext cx="2667000" cy="3302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hu-HU" sz="1000" b="1" u="none">
              <a:solidFill>
                <a:srgbClr val="FFFFFF"/>
              </a:solidFill>
            </a:rPr>
            <a:t>Notes to PDF</a:t>
          </a:r>
        </a:p>
      </xdr:txBody>
    </xdr:sp>
    <xdr:clientData/>
  </xdr:twoCellAnchor>
  <xdr:twoCellAnchor>
    <xdr:from>
      <xdr:col>5</xdr:col>
      <xdr:colOff>152400</xdr:colOff>
      <xdr:row>9</xdr:row>
      <xdr:rowOff>121920</xdr:rowOff>
    </xdr:from>
    <xdr:to>
      <xdr:col>9</xdr:col>
      <xdr:colOff>381000</xdr:colOff>
      <xdr:row>11</xdr:row>
      <xdr:rowOff>86360</xdr:rowOff>
    </xdr:to>
    <xdr:sp macro="XLNT_PDF_Kivalasztas" textlink="">
      <xdr:nvSpPr>
        <xdr:cNvPr id="7" name="XLNTBI_GOMB_PDFPICK">
          <a:extLst>
            <a:ext uri="{FF2B5EF4-FFF2-40B4-BE49-F238E27FC236}">
              <a16:creationId xmlns:a16="http://schemas.microsoft.com/office/drawing/2014/main" id="{A47F507E-24B8-EE32-CEBE-02BFAF197BF5}"/>
            </a:ext>
          </a:extLst>
        </xdr:cNvPr>
        <xdr:cNvSpPr/>
      </xdr:nvSpPr>
      <xdr:spPr>
        <a:xfrm>
          <a:off x="11399520" y="1805940"/>
          <a:ext cx="2667000" cy="3302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hu-HU" sz="1000" b="1" u="none">
              <a:solidFill>
                <a:srgbClr val="FFFFFF"/>
              </a:solidFill>
            </a:rPr>
            <a:t>Select existing PDFs</a:t>
          </a:r>
        </a:p>
      </xdr:txBody>
    </xdr:sp>
    <xdr:clientData/>
  </xdr:twoCellAnchor>
  <xdr:twoCellAnchor>
    <xdr:from>
      <xdr:col>5</xdr:col>
      <xdr:colOff>152400</xdr:colOff>
      <xdr:row>11</xdr:row>
      <xdr:rowOff>162560</xdr:rowOff>
    </xdr:from>
    <xdr:to>
      <xdr:col>9</xdr:col>
      <xdr:colOff>381000</xdr:colOff>
      <xdr:row>13</xdr:row>
      <xdr:rowOff>127000</xdr:rowOff>
    </xdr:to>
    <xdr:sp macro="XLNT_OBR_Generalas" textlink="">
      <xdr:nvSpPr>
        <xdr:cNvPr id="8" name="XLNTBI_GOMB_OBR">
          <a:extLst>
            <a:ext uri="{FF2B5EF4-FFF2-40B4-BE49-F238E27FC236}">
              <a16:creationId xmlns:a16="http://schemas.microsoft.com/office/drawing/2014/main" id="{0528B73A-C0A4-B9EB-0FF8-E252BE9C3E06}"/>
            </a:ext>
          </a:extLst>
        </xdr:cNvPr>
        <xdr:cNvSpPr/>
      </xdr:nvSpPr>
      <xdr:spPr>
        <a:xfrm>
          <a:off x="11399520" y="2212340"/>
          <a:ext cx="2667000" cy="3302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hu-HU" sz="1000" b="1" u="none">
              <a:solidFill>
                <a:srgbClr val="FFFFFF"/>
              </a:solidFill>
            </a:rPr>
            <a:t>Create .obr file</a:t>
          </a:r>
        </a:p>
      </xdr:txBody>
    </xdr:sp>
    <xdr:clientData/>
  </xdr:twoCellAnchor>
  <xdr:twoCellAnchor>
    <xdr:from>
      <xdr:col>4</xdr:col>
      <xdr:colOff>177800</xdr:colOff>
      <xdr:row>3</xdr:row>
      <xdr:rowOff>99060</xdr:rowOff>
    </xdr:from>
    <xdr:to>
      <xdr:col>4</xdr:col>
      <xdr:colOff>1168400</xdr:colOff>
      <xdr:row>5</xdr:row>
      <xdr:rowOff>12700</xdr:rowOff>
    </xdr:to>
    <xdr:sp macro="" textlink="">
      <xdr:nvSpPr>
        <xdr:cNvPr id="13" name="XLNTBI_LINK">
          <a:hlinkClick xmlns:r="http://schemas.openxmlformats.org/officeDocument/2006/relationships" r:id="rId1" tooltip="xlntbi.hu"/>
          <a:extLst>
            <a:ext uri="{FF2B5EF4-FFF2-40B4-BE49-F238E27FC236}">
              <a16:creationId xmlns:a16="http://schemas.microsoft.com/office/drawing/2014/main" id="{6DD2A8A4-913E-76E9-FF3E-69265980E8A9}"/>
            </a:ext>
          </a:extLst>
        </xdr:cNvPr>
        <xdr:cNvSpPr txBox="1"/>
      </xdr:nvSpPr>
      <xdr:spPr>
        <a:xfrm>
          <a:off x="6624320" y="685800"/>
          <a:ext cx="99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r"/>
          <a:r>
            <a:rPr lang="hu-HU" sz="1200" b="1" u="none">
              <a:solidFill>
                <a:srgbClr val="2E75B6"/>
              </a:solidFill>
            </a:rPr>
            <a:t>xlntbi.hu</a:t>
          </a:r>
        </a:p>
      </xdr:txBody>
    </xdr:sp>
    <xdr:clientData/>
  </xdr:twoCellAnchor>
  <xdr:twoCellAnchor editAs="oneCell">
    <xdr:from>
      <xdr:col>4</xdr:col>
      <xdr:colOff>1219200</xdr:colOff>
      <xdr:row>0</xdr:row>
      <xdr:rowOff>50800</xdr:rowOff>
    </xdr:from>
    <xdr:to>
      <xdr:col>4</xdr:col>
      <xdr:colOff>2895600</xdr:colOff>
      <xdr:row>8</xdr:row>
      <xdr:rowOff>99060</xdr:rowOff>
    </xdr:to>
    <xdr:pic>
      <xdr:nvPicPr>
        <xdr:cNvPr id="15" name="XLNTBI_LOGO">
          <a:hlinkClick xmlns:r="http://schemas.openxmlformats.org/officeDocument/2006/relationships" r:id="rId2" tooltip="HiHello - xlntbi.hu"/>
          <a:extLst>
            <a:ext uri="{FF2B5EF4-FFF2-40B4-BE49-F238E27FC236}">
              <a16:creationId xmlns:a16="http://schemas.microsoft.com/office/drawing/2014/main" id="{C49D44C9-859E-C454-749B-5EE40DD4B216}"/>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665720" y="50800"/>
          <a:ext cx="1676400" cy="1549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177800</xdr:colOff>
      <xdr:row>3</xdr:row>
      <xdr:rowOff>99060</xdr:rowOff>
    </xdr:from>
    <xdr:to>
      <xdr:col>8</xdr:col>
      <xdr:colOff>558800</xdr:colOff>
      <xdr:row>5</xdr:row>
      <xdr:rowOff>12700</xdr:rowOff>
    </xdr:to>
    <xdr:sp macro="" textlink="">
      <xdr:nvSpPr>
        <xdr:cNvPr id="3" name="XLNTBI_LINK">
          <a:hlinkClick xmlns:r="http://schemas.openxmlformats.org/officeDocument/2006/relationships" r:id="rId1" tooltip="xlntbi.hu"/>
          <a:extLst>
            <a:ext uri="{FF2B5EF4-FFF2-40B4-BE49-F238E27FC236}">
              <a16:creationId xmlns:a16="http://schemas.microsoft.com/office/drawing/2014/main" id="{5DCFBD87-99EB-14C9-D383-14690CBE65B3}"/>
            </a:ext>
          </a:extLst>
        </xdr:cNvPr>
        <xdr:cNvSpPr txBox="1"/>
      </xdr:nvSpPr>
      <xdr:spPr>
        <a:xfrm>
          <a:off x="16637000" y="685800"/>
          <a:ext cx="99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r"/>
          <a:r>
            <a:rPr lang="hu-HU" sz="1200" b="1" u="none">
              <a:solidFill>
                <a:srgbClr val="2E75B6"/>
              </a:solidFill>
            </a:rPr>
            <a:t>xlntbi.hu</a:t>
          </a:r>
        </a:p>
      </xdr:txBody>
    </xdr:sp>
    <xdr:clientData/>
  </xdr:twoCellAnchor>
  <xdr:twoCellAnchor editAs="oneCell">
    <xdr:from>
      <xdr:col>9</xdr:col>
      <xdr:colOff>0</xdr:colOff>
      <xdr:row>0</xdr:row>
      <xdr:rowOff>50800</xdr:rowOff>
    </xdr:from>
    <xdr:to>
      <xdr:col>11</xdr:col>
      <xdr:colOff>457200</xdr:colOff>
      <xdr:row>8</xdr:row>
      <xdr:rowOff>99060</xdr:rowOff>
    </xdr:to>
    <xdr:pic>
      <xdr:nvPicPr>
        <xdr:cNvPr id="6" name="XLNTBI_LOGO">
          <a:hlinkClick xmlns:r="http://schemas.openxmlformats.org/officeDocument/2006/relationships" r:id="rId2" tooltip="HiHello - xlntbi.hu"/>
          <a:extLst>
            <a:ext uri="{FF2B5EF4-FFF2-40B4-BE49-F238E27FC236}">
              <a16:creationId xmlns:a16="http://schemas.microsoft.com/office/drawing/2014/main" id="{FA5D1C03-44DA-F1B9-EFE2-23A78C1A708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78400" y="50800"/>
          <a:ext cx="1676400" cy="1549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22</xdr:col>
      <xdr:colOff>177801</xdr:colOff>
      <xdr:row>3</xdr:row>
      <xdr:rowOff>99060</xdr:rowOff>
    </xdr:from>
    <xdr:to>
      <xdr:col>23</xdr:col>
      <xdr:colOff>558801</xdr:colOff>
      <xdr:row>5</xdr:row>
      <xdr:rowOff>12700</xdr:rowOff>
    </xdr:to>
    <xdr:sp macro="" textlink="">
      <xdr:nvSpPr>
        <xdr:cNvPr id="3" name="XLNTBI_LINK">
          <a:hlinkClick xmlns:r="http://schemas.openxmlformats.org/officeDocument/2006/relationships" r:id="rId1" tooltip="xlntbi.hu"/>
          <a:extLst>
            <a:ext uri="{FF2B5EF4-FFF2-40B4-BE49-F238E27FC236}">
              <a16:creationId xmlns:a16="http://schemas.microsoft.com/office/drawing/2014/main" id="{13C213C1-302A-3984-60AC-9D8F749F8234}"/>
            </a:ext>
          </a:extLst>
        </xdr:cNvPr>
        <xdr:cNvSpPr txBox="1"/>
      </xdr:nvSpPr>
      <xdr:spPr>
        <a:xfrm>
          <a:off x="24729441" y="685800"/>
          <a:ext cx="99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r"/>
          <a:r>
            <a:rPr lang="hu-HU" sz="1200" b="1" u="none">
              <a:solidFill>
                <a:srgbClr val="2E75B6"/>
              </a:solidFill>
            </a:rPr>
            <a:t>xlntbi.hu</a:t>
          </a:r>
        </a:p>
      </xdr:txBody>
    </xdr:sp>
    <xdr:clientData/>
  </xdr:twoCellAnchor>
  <xdr:twoCellAnchor editAs="oneCell">
    <xdr:from>
      <xdr:col>24</xdr:col>
      <xdr:colOff>1</xdr:colOff>
      <xdr:row>0</xdr:row>
      <xdr:rowOff>50800</xdr:rowOff>
    </xdr:from>
    <xdr:to>
      <xdr:col>26</xdr:col>
      <xdr:colOff>457201</xdr:colOff>
      <xdr:row>8</xdr:row>
      <xdr:rowOff>99060</xdr:rowOff>
    </xdr:to>
    <xdr:pic>
      <xdr:nvPicPr>
        <xdr:cNvPr id="6" name="XLNTBI_LOGO">
          <a:hlinkClick xmlns:r="http://schemas.openxmlformats.org/officeDocument/2006/relationships" r:id="rId2" tooltip="HiHello - xlntbi.hu"/>
          <a:extLst>
            <a:ext uri="{FF2B5EF4-FFF2-40B4-BE49-F238E27FC236}">
              <a16:creationId xmlns:a16="http://schemas.microsoft.com/office/drawing/2014/main" id="{C82EE2DE-3F9B-B3ED-0C07-57F380C7102A}"/>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770841" y="50800"/>
          <a:ext cx="1676400" cy="1549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10</xdr:col>
      <xdr:colOff>177800</xdr:colOff>
      <xdr:row>3</xdr:row>
      <xdr:rowOff>99060</xdr:rowOff>
    </xdr:from>
    <xdr:to>
      <xdr:col>11</xdr:col>
      <xdr:colOff>558800</xdr:colOff>
      <xdr:row>5</xdr:row>
      <xdr:rowOff>12700</xdr:rowOff>
    </xdr:to>
    <xdr:sp macro="" textlink="">
      <xdr:nvSpPr>
        <xdr:cNvPr id="3" name="XLNTBI_LINK">
          <a:hlinkClick xmlns:r="http://schemas.openxmlformats.org/officeDocument/2006/relationships" r:id="rId1" tooltip="xlntbi.hu"/>
          <a:extLst>
            <a:ext uri="{FF2B5EF4-FFF2-40B4-BE49-F238E27FC236}">
              <a16:creationId xmlns:a16="http://schemas.microsoft.com/office/drawing/2014/main" id="{16A2BE37-B522-C25C-CBCD-B2CD328F39C4}"/>
            </a:ext>
          </a:extLst>
        </xdr:cNvPr>
        <xdr:cNvSpPr txBox="1"/>
      </xdr:nvSpPr>
      <xdr:spPr>
        <a:xfrm>
          <a:off x="9093200" y="685800"/>
          <a:ext cx="99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r"/>
          <a:r>
            <a:rPr lang="hu-HU" sz="1200" b="1" u="none">
              <a:solidFill>
                <a:srgbClr val="2E75B6"/>
              </a:solidFill>
            </a:rPr>
            <a:t>xlntbi.hu</a:t>
          </a:r>
        </a:p>
      </xdr:txBody>
    </xdr:sp>
    <xdr:clientData/>
  </xdr:twoCellAnchor>
  <xdr:twoCellAnchor editAs="oneCell">
    <xdr:from>
      <xdr:col>12</xdr:col>
      <xdr:colOff>0</xdr:colOff>
      <xdr:row>0</xdr:row>
      <xdr:rowOff>50800</xdr:rowOff>
    </xdr:from>
    <xdr:to>
      <xdr:col>14</xdr:col>
      <xdr:colOff>457200</xdr:colOff>
      <xdr:row>8</xdr:row>
      <xdr:rowOff>99060</xdr:rowOff>
    </xdr:to>
    <xdr:pic>
      <xdr:nvPicPr>
        <xdr:cNvPr id="6" name="XLNTBI_LOGO">
          <a:hlinkClick xmlns:r="http://schemas.openxmlformats.org/officeDocument/2006/relationships" r:id="rId2" tooltip="HiHello - xlntbi.hu"/>
          <a:extLst>
            <a:ext uri="{FF2B5EF4-FFF2-40B4-BE49-F238E27FC236}">
              <a16:creationId xmlns:a16="http://schemas.microsoft.com/office/drawing/2014/main" id="{6A568AF4-62D7-401C-DFEA-9CD39A6ABF6E}"/>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134600" y="50800"/>
          <a:ext cx="1676400" cy="1549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12</xdr:col>
      <xdr:colOff>177800</xdr:colOff>
      <xdr:row>3</xdr:row>
      <xdr:rowOff>99060</xdr:rowOff>
    </xdr:from>
    <xdr:to>
      <xdr:col>13</xdr:col>
      <xdr:colOff>558800</xdr:colOff>
      <xdr:row>5</xdr:row>
      <xdr:rowOff>12700</xdr:rowOff>
    </xdr:to>
    <xdr:sp macro="" textlink="">
      <xdr:nvSpPr>
        <xdr:cNvPr id="3" name="XLNTBI_LINK">
          <a:hlinkClick xmlns:r="http://schemas.openxmlformats.org/officeDocument/2006/relationships" r:id="rId1" tooltip="xlntbi.hu"/>
          <a:extLst>
            <a:ext uri="{FF2B5EF4-FFF2-40B4-BE49-F238E27FC236}">
              <a16:creationId xmlns:a16="http://schemas.microsoft.com/office/drawing/2014/main" id="{5BBDBD24-F3DB-0E1A-68D0-C54FDFF36224}"/>
            </a:ext>
          </a:extLst>
        </xdr:cNvPr>
        <xdr:cNvSpPr txBox="1"/>
      </xdr:nvSpPr>
      <xdr:spPr>
        <a:xfrm>
          <a:off x="10053320" y="685800"/>
          <a:ext cx="99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r"/>
          <a:r>
            <a:rPr lang="hu-HU" sz="1200" b="1" u="none">
              <a:solidFill>
                <a:srgbClr val="2E75B6"/>
              </a:solidFill>
            </a:rPr>
            <a:t>xlntbi.hu</a:t>
          </a:r>
        </a:p>
      </xdr:txBody>
    </xdr:sp>
    <xdr:clientData/>
  </xdr:twoCellAnchor>
  <xdr:twoCellAnchor editAs="oneCell">
    <xdr:from>
      <xdr:col>14</xdr:col>
      <xdr:colOff>0</xdr:colOff>
      <xdr:row>0</xdr:row>
      <xdr:rowOff>50800</xdr:rowOff>
    </xdr:from>
    <xdr:to>
      <xdr:col>16</xdr:col>
      <xdr:colOff>457200</xdr:colOff>
      <xdr:row>8</xdr:row>
      <xdr:rowOff>99060</xdr:rowOff>
    </xdr:to>
    <xdr:pic>
      <xdr:nvPicPr>
        <xdr:cNvPr id="6" name="XLNTBI_LOGO">
          <a:hlinkClick xmlns:r="http://schemas.openxmlformats.org/officeDocument/2006/relationships" r:id="rId2" tooltip="HiHello - xlntbi.hu"/>
          <a:extLst>
            <a:ext uri="{FF2B5EF4-FFF2-40B4-BE49-F238E27FC236}">
              <a16:creationId xmlns:a16="http://schemas.microsoft.com/office/drawing/2014/main" id="{25007FD2-FB11-FECC-3742-62CD071757E5}"/>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094720" y="50800"/>
          <a:ext cx="1676400" cy="15494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23</xdr:col>
      <xdr:colOff>177794</xdr:colOff>
      <xdr:row>3</xdr:row>
      <xdr:rowOff>99060</xdr:rowOff>
    </xdr:from>
    <xdr:to>
      <xdr:col>24</xdr:col>
      <xdr:colOff>558794</xdr:colOff>
      <xdr:row>5</xdr:row>
      <xdr:rowOff>12700</xdr:rowOff>
    </xdr:to>
    <xdr:sp macro="" textlink="">
      <xdr:nvSpPr>
        <xdr:cNvPr id="3" name="XLNTBI_LINK">
          <a:hlinkClick xmlns:r="http://schemas.openxmlformats.org/officeDocument/2006/relationships" r:id="rId1" tooltip="xlntbi.hu"/>
          <a:extLst>
            <a:ext uri="{FF2B5EF4-FFF2-40B4-BE49-F238E27FC236}">
              <a16:creationId xmlns:a16="http://schemas.microsoft.com/office/drawing/2014/main" id="{98A115E2-A077-C3AF-A870-95CDA4510B4B}"/>
            </a:ext>
          </a:extLst>
        </xdr:cNvPr>
        <xdr:cNvSpPr txBox="1"/>
      </xdr:nvSpPr>
      <xdr:spPr>
        <a:xfrm>
          <a:off x="25003754" y="685800"/>
          <a:ext cx="99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r"/>
          <a:r>
            <a:rPr lang="hu-HU" sz="1200" b="1" u="none">
              <a:solidFill>
                <a:srgbClr val="2E75B6"/>
              </a:solidFill>
            </a:rPr>
            <a:t>xlntbi.hu</a:t>
          </a:r>
        </a:p>
      </xdr:txBody>
    </xdr:sp>
    <xdr:clientData/>
  </xdr:twoCellAnchor>
  <xdr:twoCellAnchor editAs="oneCell">
    <xdr:from>
      <xdr:col>24</xdr:col>
      <xdr:colOff>609594</xdr:colOff>
      <xdr:row>0</xdr:row>
      <xdr:rowOff>50800</xdr:rowOff>
    </xdr:from>
    <xdr:to>
      <xdr:col>27</xdr:col>
      <xdr:colOff>457194</xdr:colOff>
      <xdr:row>8</xdr:row>
      <xdr:rowOff>99060</xdr:rowOff>
    </xdr:to>
    <xdr:pic>
      <xdr:nvPicPr>
        <xdr:cNvPr id="6" name="XLNTBI_LOGO">
          <a:hlinkClick xmlns:r="http://schemas.openxmlformats.org/officeDocument/2006/relationships" r:id="rId2" tooltip="HiHello - xlntbi.hu"/>
          <a:extLst>
            <a:ext uri="{FF2B5EF4-FFF2-40B4-BE49-F238E27FC236}">
              <a16:creationId xmlns:a16="http://schemas.microsoft.com/office/drawing/2014/main" id="{62D9ADEF-E896-80FB-527B-C7C20407318F}"/>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045154" y="50800"/>
          <a:ext cx="1676400" cy="15494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40640</xdr:colOff>
      <xdr:row>3</xdr:row>
      <xdr:rowOff>99060</xdr:rowOff>
    </xdr:from>
    <xdr:to>
      <xdr:col>8</xdr:col>
      <xdr:colOff>421640</xdr:colOff>
      <xdr:row>5</xdr:row>
      <xdr:rowOff>12700</xdr:rowOff>
    </xdr:to>
    <xdr:sp macro="" textlink="">
      <xdr:nvSpPr>
        <xdr:cNvPr id="3" name="XLNTBI_LINK">
          <a:hlinkClick xmlns:r="http://schemas.openxmlformats.org/officeDocument/2006/relationships" r:id="rId1" tooltip="xlntbi.hu"/>
          <a:extLst>
            <a:ext uri="{FF2B5EF4-FFF2-40B4-BE49-F238E27FC236}">
              <a16:creationId xmlns:a16="http://schemas.microsoft.com/office/drawing/2014/main" id="{705ED733-B16C-229E-CFD8-E1FE4905E326}"/>
            </a:ext>
          </a:extLst>
        </xdr:cNvPr>
        <xdr:cNvSpPr txBox="1"/>
      </xdr:nvSpPr>
      <xdr:spPr>
        <a:xfrm>
          <a:off x="7172960" y="685800"/>
          <a:ext cx="99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r"/>
          <a:r>
            <a:rPr lang="hu-HU" sz="1200" b="1" u="none">
              <a:solidFill>
                <a:srgbClr val="2E75B6"/>
              </a:solidFill>
            </a:rPr>
            <a:t>xlntbi.hu</a:t>
          </a:r>
        </a:p>
      </xdr:txBody>
    </xdr:sp>
    <xdr:clientData/>
  </xdr:twoCellAnchor>
  <xdr:twoCellAnchor editAs="oneCell">
    <xdr:from>
      <xdr:col>8</xdr:col>
      <xdr:colOff>472440</xdr:colOff>
      <xdr:row>0</xdr:row>
      <xdr:rowOff>50800</xdr:rowOff>
    </xdr:from>
    <xdr:to>
      <xdr:col>11</xdr:col>
      <xdr:colOff>320040</xdr:colOff>
      <xdr:row>8</xdr:row>
      <xdr:rowOff>99060</xdr:rowOff>
    </xdr:to>
    <xdr:pic>
      <xdr:nvPicPr>
        <xdr:cNvPr id="6" name="XLNTBI_LOGO">
          <a:hlinkClick xmlns:r="http://schemas.openxmlformats.org/officeDocument/2006/relationships" r:id="rId2" tooltip="HiHello - xlntbi.hu"/>
          <a:extLst>
            <a:ext uri="{FF2B5EF4-FFF2-40B4-BE49-F238E27FC236}">
              <a16:creationId xmlns:a16="http://schemas.microsoft.com/office/drawing/2014/main" id="{0EEB8A2F-C3C2-BC8B-0546-FAD5E8BBF4E1}"/>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214360" y="50800"/>
          <a:ext cx="1676400" cy="15494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40640</xdr:colOff>
      <xdr:row>3</xdr:row>
      <xdr:rowOff>99060</xdr:rowOff>
    </xdr:from>
    <xdr:to>
      <xdr:col>10</xdr:col>
      <xdr:colOff>421640</xdr:colOff>
      <xdr:row>5</xdr:row>
      <xdr:rowOff>12700</xdr:rowOff>
    </xdr:to>
    <xdr:sp macro="" textlink="">
      <xdr:nvSpPr>
        <xdr:cNvPr id="3" name="XLNTBI_LINK">
          <a:hlinkClick xmlns:r="http://schemas.openxmlformats.org/officeDocument/2006/relationships" r:id="rId1" tooltip="xlntbi.hu"/>
          <a:extLst>
            <a:ext uri="{FF2B5EF4-FFF2-40B4-BE49-F238E27FC236}">
              <a16:creationId xmlns:a16="http://schemas.microsoft.com/office/drawing/2014/main" id="{283C9446-9C95-DE7D-694A-FC69846CDDCF}"/>
            </a:ext>
          </a:extLst>
        </xdr:cNvPr>
        <xdr:cNvSpPr txBox="1"/>
      </xdr:nvSpPr>
      <xdr:spPr>
        <a:xfrm>
          <a:off x="7172960" y="685800"/>
          <a:ext cx="99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r"/>
          <a:r>
            <a:rPr lang="hu-HU" sz="1200" b="1" u="none">
              <a:solidFill>
                <a:srgbClr val="2E75B6"/>
              </a:solidFill>
            </a:rPr>
            <a:t>xlntbi.hu</a:t>
          </a:r>
        </a:p>
      </xdr:txBody>
    </xdr:sp>
    <xdr:clientData/>
  </xdr:twoCellAnchor>
  <xdr:twoCellAnchor editAs="oneCell">
    <xdr:from>
      <xdr:col>10</xdr:col>
      <xdr:colOff>472440</xdr:colOff>
      <xdr:row>0</xdr:row>
      <xdr:rowOff>50800</xdr:rowOff>
    </xdr:from>
    <xdr:to>
      <xdr:col>13</xdr:col>
      <xdr:colOff>320040</xdr:colOff>
      <xdr:row>8</xdr:row>
      <xdr:rowOff>99060</xdr:rowOff>
    </xdr:to>
    <xdr:pic>
      <xdr:nvPicPr>
        <xdr:cNvPr id="6" name="XLNTBI_LOGO">
          <a:hlinkClick xmlns:r="http://schemas.openxmlformats.org/officeDocument/2006/relationships" r:id="rId2" tooltip="HiHello - xlntbi.hu"/>
          <a:extLst>
            <a:ext uri="{FF2B5EF4-FFF2-40B4-BE49-F238E27FC236}">
              <a16:creationId xmlns:a16="http://schemas.microsoft.com/office/drawing/2014/main" id="{8CE616AB-F992-1160-92FA-E1E6DB5C3DDF}"/>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214360" y="50800"/>
          <a:ext cx="1676400" cy="1549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xdr:col>
      <xdr:colOff>40640</xdr:colOff>
      <xdr:row>3</xdr:row>
      <xdr:rowOff>99060</xdr:rowOff>
    </xdr:from>
    <xdr:to>
      <xdr:col>8</xdr:col>
      <xdr:colOff>421640</xdr:colOff>
      <xdr:row>5</xdr:row>
      <xdr:rowOff>12700</xdr:rowOff>
    </xdr:to>
    <xdr:sp macro="" textlink="">
      <xdr:nvSpPr>
        <xdr:cNvPr id="3" name="XLNTBI_LINK">
          <a:hlinkClick xmlns:r="http://schemas.openxmlformats.org/officeDocument/2006/relationships" r:id="rId1" tooltip="xlntbi.hu"/>
          <a:extLst>
            <a:ext uri="{FF2B5EF4-FFF2-40B4-BE49-F238E27FC236}">
              <a16:creationId xmlns:a16="http://schemas.microsoft.com/office/drawing/2014/main" id="{B1734E57-7669-50E6-A23A-059C6F184B5A}"/>
            </a:ext>
          </a:extLst>
        </xdr:cNvPr>
        <xdr:cNvSpPr txBox="1"/>
      </xdr:nvSpPr>
      <xdr:spPr>
        <a:xfrm>
          <a:off x="7172960" y="685800"/>
          <a:ext cx="99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r"/>
          <a:r>
            <a:rPr lang="hu-HU" sz="1200" b="1" u="none">
              <a:solidFill>
                <a:srgbClr val="2E75B6"/>
              </a:solidFill>
            </a:rPr>
            <a:t>xlntbi.hu</a:t>
          </a:r>
        </a:p>
      </xdr:txBody>
    </xdr:sp>
    <xdr:clientData/>
  </xdr:twoCellAnchor>
  <xdr:twoCellAnchor editAs="oneCell">
    <xdr:from>
      <xdr:col>8</xdr:col>
      <xdr:colOff>472440</xdr:colOff>
      <xdr:row>0</xdr:row>
      <xdr:rowOff>50800</xdr:rowOff>
    </xdr:from>
    <xdr:to>
      <xdr:col>11</xdr:col>
      <xdr:colOff>320040</xdr:colOff>
      <xdr:row>8</xdr:row>
      <xdr:rowOff>99060</xdr:rowOff>
    </xdr:to>
    <xdr:pic>
      <xdr:nvPicPr>
        <xdr:cNvPr id="6" name="XLNTBI_LOGO">
          <a:hlinkClick xmlns:r="http://schemas.openxmlformats.org/officeDocument/2006/relationships" r:id="rId2" tooltip="HiHello - xlntbi.hu"/>
          <a:extLst>
            <a:ext uri="{FF2B5EF4-FFF2-40B4-BE49-F238E27FC236}">
              <a16:creationId xmlns:a16="http://schemas.microsoft.com/office/drawing/2014/main" id="{E7A1742B-D225-32BF-652D-1F8B43312272}"/>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214360" y="50800"/>
          <a:ext cx="1676400" cy="15494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8</xdr:col>
      <xdr:colOff>177800</xdr:colOff>
      <xdr:row>3</xdr:row>
      <xdr:rowOff>99060</xdr:rowOff>
    </xdr:from>
    <xdr:to>
      <xdr:col>9</xdr:col>
      <xdr:colOff>558800</xdr:colOff>
      <xdr:row>5</xdr:row>
      <xdr:rowOff>12700</xdr:rowOff>
    </xdr:to>
    <xdr:sp macro="" textlink="">
      <xdr:nvSpPr>
        <xdr:cNvPr id="3" name="XLNTBI_LINK">
          <a:hlinkClick xmlns:r="http://schemas.openxmlformats.org/officeDocument/2006/relationships" r:id="rId1" tooltip="xlntbi.hu"/>
          <a:extLst>
            <a:ext uri="{FF2B5EF4-FFF2-40B4-BE49-F238E27FC236}">
              <a16:creationId xmlns:a16="http://schemas.microsoft.com/office/drawing/2014/main" id="{F906B9A7-1A22-E947-A860-5E848F5967A2}"/>
            </a:ext>
          </a:extLst>
        </xdr:cNvPr>
        <xdr:cNvSpPr txBox="1"/>
      </xdr:nvSpPr>
      <xdr:spPr>
        <a:xfrm>
          <a:off x="8956040" y="685800"/>
          <a:ext cx="99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r"/>
          <a:r>
            <a:rPr lang="hu-HU" sz="1200" b="1" u="none">
              <a:solidFill>
                <a:srgbClr val="2E75B6"/>
              </a:solidFill>
            </a:rPr>
            <a:t>xlntbi.hu</a:t>
          </a:r>
        </a:p>
      </xdr:txBody>
    </xdr:sp>
    <xdr:clientData/>
  </xdr:twoCellAnchor>
  <xdr:twoCellAnchor editAs="oneCell">
    <xdr:from>
      <xdr:col>10</xdr:col>
      <xdr:colOff>0</xdr:colOff>
      <xdr:row>0</xdr:row>
      <xdr:rowOff>50800</xdr:rowOff>
    </xdr:from>
    <xdr:to>
      <xdr:col>12</xdr:col>
      <xdr:colOff>457200</xdr:colOff>
      <xdr:row>7</xdr:row>
      <xdr:rowOff>83820</xdr:rowOff>
    </xdr:to>
    <xdr:pic>
      <xdr:nvPicPr>
        <xdr:cNvPr id="6" name="XLNTBI_LOGO">
          <a:hlinkClick xmlns:r="http://schemas.openxmlformats.org/officeDocument/2006/relationships" r:id="rId2" tooltip="HiHello - xlntbi.hu"/>
          <a:extLst>
            <a:ext uri="{FF2B5EF4-FFF2-40B4-BE49-F238E27FC236}">
              <a16:creationId xmlns:a16="http://schemas.microsoft.com/office/drawing/2014/main" id="{CBAC34B5-3C0F-D027-6554-5E1A2CA0E4D5}"/>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97440" y="50800"/>
          <a:ext cx="1676400" cy="15494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6</xdr:col>
      <xdr:colOff>40640</xdr:colOff>
      <xdr:row>3</xdr:row>
      <xdr:rowOff>99060</xdr:rowOff>
    </xdr:from>
    <xdr:to>
      <xdr:col>8</xdr:col>
      <xdr:colOff>421640</xdr:colOff>
      <xdr:row>5</xdr:row>
      <xdr:rowOff>12700</xdr:rowOff>
    </xdr:to>
    <xdr:sp macro="" textlink="">
      <xdr:nvSpPr>
        <xdr:cNvPr id="3" name="XLNTBI_LINK">
          <a:hlinkClick xmlns:r="http://schemas.openxmlformats.org/officeDocument/2006/relationships" r:id="rId1" tooltip="xlntbi.hu"/>
          <a:extLst>
            <a:ext uri="{FF2B5EF4-FFF2-40B4-BE49-F238E27FC236}">
              <a16:creationId xmlns:a16="http://schemas.microsoft.com/office/drawing/2014/main" id="{29B32A35-C2F8-7835-E120-4AC8A882D8F6}"/>
            </a:ext>
          </a:extLst>
        </xdr:cNvPr>
        <xdr:cNvSpPr txBox="1"/>
      </xdr:nvSpPr>
      <xdr:spPr>
        <a:xfrm>
          <a:off x="7172960" y="685800"/>
          <a:ext cx="99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r"/>
          <a:r>
            <a:rPr lang="hu-HU" sz="1200" b="1" u="none">
              <a:solidFill>
                <a:srgbClr val="2E75B6"/>
              </a:solidFill>
            </a:rPr>
            <a:t>xlntbi.hu</a:t>
          </a:r>
        </a:p>
      </xdr:txBody>
    </xdr:sp>
    <xdr:clientData/>
  </xdr:twoCellAnchor>
  <xdr:twoCellAnchor editAs="oneCell">
    <xdr:from>
      <xdr:col>8</xdr:col>
      <xdr:colOff>472440</xdr:colOff>
      <xdr:row>0</xdr:row>
      <xdr:rowOff>50800</xdr:rowOff>
    </xdr:from>
    <xdr:to>
      <xdr:col>11</xdr:col>
      <xdr:colOff>320040</xdr:colOff>
      <xdr:row>8</xdr:row>
      <xdr:rowOff>99060</xdr:rowOff>
    </xdr:to>
    <xdr:pic>
      <xdr:nvPicPr>
        <xdr:cNvPr id="6" name="XLNTBI_LOGO">
          <a:hlinkClick xmlns:r="http://schemas.openxmlformats.org/officeDocument/2006/relationships" r:id="rId2" tooltip="HiHello - xlntbi.hu"/>
          <a:extLst>
            <a:ext uri="{FF2B5EF4-FFF2-40B4-BE49-F238E27FC236}">
              <a16:creationId xmlns:a16="http://schemas.microsoft.com/office/drawing/2014/main" id="{1932112F-D72D-A079-EEE5-5578E20D55C9}"/>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214360" y="50800"/>
          <a:ext cx="1676400" cy="15494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177799</xdr:colOff>
      <xdr:row>3</xdr:row>
      <xdr:rowOff>99060</xdr:rowOff>
    </xdr:from>
    <xdr:to>
      <xdr:col>14</xdr:col>
      <xdr:colOff>558799</xdr:colOff>
      <xdr:row>5</xdr:row>
      <xdr:rowOff>12700</xdr:rowOff>
    </xdr:to>
    <xdr:sp macro="" textlink="">
      <xdr:nvSpPr>
        <xdr:cNvPr id="3" name="XLNTBI_LINK">
          <a:hlinkClick xmlns:r="http://schemas.openxmlformats.org/officeDocument/2006/relationships" r:id="rId1" tooltip="xlntbi.hu"/>
          <a:extLst>
            <a:ext uri="{FF2B5EF4-FFF2-40B4-BE49-F238E27FC236}">
              <a16:creationId xmlns:a16="http://schemas.microsoft.com/office/drawing/2014/main" id="{90A7F87F-19E5-5FB1-D19B-C22C75FDCDA6}"/>
            </a:ext>
          </a:extLst>
        </xdr:cNvPr>
        <xdr:cNvSpPr txBox="1"/>
      </xdr:nvSpPr>
      <xdr:spPr>
        <a:xfrm>
          <a:off x="14030959" y="685800"/>
          <a:ext cx="99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r"/>
          <a:r>
            <a:rPr lang="hu-HU" sz="1200" b="1" u="none">
              <a:solidFill>
                <a:srgbClr val="2E75B6"/>
              </a:solidFill>
            </a:rPr>
            <a:t>xlntbi.hu</a:t>
          </a:r>
        </a:p>
      </xdr:txBody>
    </xdr:sp>
    <xdr:clientData/>
  </xdr:twoCellAnchor>
  <xdr:twoCellAnchor editAs="oneCell">
    <xdr:from>
      <xdr:col>14</xdr:col>
      <xdr:colOff>609599</xdr:colOff>
      <xdr:row>0</xdr:row>
      <xdr:rowOff>50800</xdr:rowOff>
    </xdr:from>
    <xdr:to>
      <xdr:col>17</xdr:col>
      <xdr:colOff>457199</xdr:colOff>
      <xdr:row>8</xdr:row>
      <xdr:rowOff>99060</xdr:rowOff>
    </xdr:to>
    <xdr:pic>
      <xdr:nvPicPr>
        <xdr:cNvPr id="6" name="XLNTBI_LOGO">
          <a:hlinkClick xmlns:r="http://schemas.openxmlformats.org/officeDocument/2006/relationships" r:id="rId2" tooltip="HiHello - xlntbi.hu"/>
          <a:extLst>
            <a:ext uri="{FF2B5EF4-FFF2-40B4-BE49-F238E27FC236}">
              <a16:creationId xmlns:a16="http://schemas.microsoft.com/office/drawing/2014/main" id="{7D55DE7C-AB56-698B-AE99-D56B4116CE17}"/>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5072359" y="50800"/>
          <a:ext cx="1676400" cy="15494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6</xdr:col>
      <xdr:colOff>177800</xdr:colOff>
      <xdr:row>3</xdr:row>
      <xdr:rowOff>99060</xdr:rowOff>
    </xdr:from>
    <xdr:to>
      <xdr:col>8</xdr:col>
      <xdr:colOff>558800</xdr:colOff>
      <xdr:row>5</xdr:row>
      <xdr:rowOff>12700</xdr:rowOff>
    </xdr:to>
    <xdr:sp macro="" textlink="">
      <xdr:nvSpPr>
        <xdr:cNvPr id="3" name="XLNTBI_LINK">
          <a:hlinkClick xmlns:r="http://schemas.openxmlformats.org/officeDocument/2006/relationships" r:id="rId1" tooltip="xlntbi.hu"/>
          <a:extLst>
            <a:ext uri="{FF2B5EF4-FFF2-40B4-BE49-F238E27FC236}">
              <a16:creationId xmlns:a16="http://schemas.microsoft.com/office/drawing/2014/main" id="{FFF46352-E4F3-60AF-0E33-48AD3387B2CA}"/>
            </a:ext>
          </a:extLst>
        </xdr:cNvPr>
        <xdr:cNvSpPr txBox="1"/>
      </xdr:nvSpPr>
      <xdr:spPr>
        <a:xfrm>
          <a:off x="10327640" y="685800"/>
          <a:ext cx="99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r"/>
          <a:r>
            <a:rPr lang="hu-HU" sz="1200" b="1" u="none">
              <a:solidFill>
                <a:srgbClr val="2E75B6"/>
              </a:solidFill>
            </a:rPr>
            <a:t>xlntbi.hu</a:t>
          </a:r>
        </a:p>
      </xdr:txBody>
    </xdr:sp>
    <xdr:clientData/>
  </xdr:twoCellAnchor>
  <xdr:twoCellAnchor editAs="oneCell">
    <xdr:from>
      <xdr:col>9</xdr:col>
      <xdr:colOff>0</xdr:colOff>
      <xdr:row>0</xdr:row>
      <xdr:rowOff>50800</xdr:rowOff>
    </xdr:from>
    <xdr:to>
      <xdr:col>11</xdr:col>
      <xdr:colOff>457200</xdr:colOff>
      <xdr:row>8</xdr:row>
      <xdr:rowOff>99060</xdr:rowOff>
    </xdr:to>
    <xdr:pic>
      <xdr:nvPicPr>
        <xdr:cNvPr id="6" name="XLNTBI_LOGO">
          <a:hlinkClick xmlns:r="http://schemas.openxmlformats.org/officeDocument/2006/relationships" r:id="rId2" tooltip="HiHello - xlntbi.hu"/>
          <a:extLst>
            <a:ext uri="{FF2B5EF4-FFF2-40B4-BE49-F238E27FC236}">
              <a16:creationId xmlns:a16="http://schemas.microsoft.com/office/drawing/2014/main" id="{607D2AD2-E0DF-242C-8A73-3419924EEDDF}"/>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369040" y="50800"/>
          <a:ext cx="1676400" cy="15494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4</xdr:col>
      <xdr:colOff>177800</xdr:colOff>
      <xdr:row>3</xdr:row>
      <xdr:rowOff>99060</xdr:rowOff>
    </xdr:from>
    <xdr:to>
      <xdr:col>5</xdr:col>
      <xdr:colOff>558800</xdr:colOff>
      <xdr:row>5</xdr:row>
      <xdr:rowOff>12700</xdr:rowOff>
    </xdr:to>
    <xdr:sp macro="" textlink="">
      <xdr:nvSpPr>
        <xdr:cNvPr id="3" name="XLNTBI_LINK">
          <a:hlinkClick xmlns:r="http://schemas.openxmlformats.org/officeDocument/2006/relationships" r:id="rId1" tooltip="xlntbi.hu"/>
          <a:extLst>
            <a:ext uri="{FF2B5EF4-FFF2-40B4-BE49-F238E27FC236}">
              <a16:creationId xmlns:a16="http://schemas.microsoft.com/office/drawing/2014/main" id="{3183ABC4-2708-1887-F1EE-73DA5C38F9E1}"/>
            </a:ext>
          </a:extLst>
        </xdr:cNvPr>
        <xdr:cNvSpPr txBox="1"/>
      </xdr:nvSpPr>
      <xdr:spPr>
        <a:xfrm>
          <a:off x="9504680" y="685800"/>
          <a:ext cx="99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r"/>
          <a:r>
            <a:rPr lang="hu-HU" sz="1200" b="1" u="none">
              <a:solidFill>
                <a:srgbClr val="2E75B6"/>
              </a:solidFill>
            </a:rPr>
            <a:t>xlntbi.hu</a:t>
          </a:r>
        </a:p>
      </xdr:txBody>
    </xdr:sp>
    <xdr:clientData/>
  </xdr:twoCellAnchor>
  <xdr:twoCellAnchor editAs="oneCell">
    <xdr:from>
      <xdr:col>6</xdr:col>
      <xdr:colOff>0</xdr:colOff>
      <xdr:row>0</xdr:row>
      <xdr:rowOff>50800</xdr:rowOff>
    </xdr:from>
    <xdr:to>
      <xdr:col>8</xdr:col>
      <xdr:colOff>457200</xdr:colOff>
      <xdr:row>8</xdr:row>
      <xdr:rowOff>99060</xdr:rowOff>
    </xdr:to>
    <xdr:pic>
      <xdr:nvPicPr>
        <xdr:cNvPr id="6" name="XLNTBI_LOGO">
          <a:hlinkClick xmlns:r="http://schemas.openxmlformats.org/officeDocument/2006/relationships" r:id="rId2" tooltip="HiHello - xlntbi.hu"/>
          <a:extLst>
            <a:ext uri="{FF2B5EF4-FFF2-40B4-BE49-F238E27FC236}">
              <a16:creationId xmlns:a16="http://schemas.microsoft.com/office/drawing/2014/main" id="{89C5E72D-CCB4-A964-635A-647B9DF79111}"/>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546080" y="50800"/>
          <a:ext cx="1676400" cy="15494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4</xdr:col>
      <xdr:colOff>177799</xdr:colOff>
      <xdr:row>3</xdr:row>
      <xdr:rowOff>99060</xdr:rowOff>
    </xdr:from>
    <xdr:to>
      <xdr:col>5</xdr:col>
      <xdr:colOff>558799</xdr:colOff>
      <xdr:row>5</xdr:row>
      <xdr:rowOff>12700</xdr:rowOff>
    </xdr:to>
    <xdr:sp macro="" textlink="">
      <xdr:nvSpPr>
        <xdr:cNvPr id="3" name="XLNTBI_LINK">
          <a:hlinkClick xmlns:r="http://schemas.openxmlformats.org/officeDocument/2006/relationships" r:id="rId1" tooltip="xlntbi.hu"/>
          <a:extLst>
            <a:ext uri="{FF2B5EF4-FFF2-40B4-BE49-F238E27FC236}">
              <a16:creationId xmlns:a16="http://schemas.microsoft.com/office/drawing/2014/main" id="{BB6C0F2D-091D-0D52-9DDA-57A2C1FED95F}"/>
            </a:ext>
          </a:extLst>
        </xdr:cNvPr>
        <xdr:cNvSpPr txBox="1"/>
      </xdr:nvSpPr>
      <xdr:spPr>
        <a:xfrm>
          <a:off x="9641839" y="685800"/>
          <a:ext cx="99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r"/>
          <a:r>
            <a:rPr lang="hu-HU" sz="1200" b="1" u="none">
              <a:solidFill>
                <a:srgbClr val="2E75B6"/>
              </a:solidFill>
            </a:rPr>
            <a:t>xlntbi.hu</a:t>
          </a:r>
        </a:p>
      </xdr:txBody>
    </xdr:sp>
    <xdr:clientData/>
  </xdr:twoCellAnchor>
  <xdr:twoCellAnchor editAs="oneCell">
    <xdr:from>
      <xdr:col>5</xdr:col>
      <xdr:colOff>609599</xdr:colOff>
      <xdr:row>0</xdr:row>
      <xdr:rowOff>50800</xdr:rowOff>
    </xdr:from>
    <xdr:to>
      <xdr:col>8</xdr:col>
      <xdr:colOff>457199</xdr:colOff>
      <xdr:row>8</xdr:row>
      <xdr:rowOff>99060</xdr:rowOff>
    </xdr:to>
    <xdr:pic>
      <xdr:nvPicPr>
        <xdr:cNvPr id="6" name="XLNTBI_LOGO">
          <a:hlinkClick xmlns:r="http://schemas.openxmlformats.org/officeDocument/2006/relationships" r:id="rId2" tooltip="HiHello - xlntbi.hu"/>
          <a:extLst>
            <a:ext uri="{FF2B5EF4-FFF2-40B4-BE49-F238E27FC236}">
              <a16:creationId xmlns:a16="http://schemas.microsoft.com/office/drawing/2014/main" id="{F099CDF3-0E4A-E5D3-653E-113AE0F38C54}"/>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683239" y="50800"/>
          <a:ext cx="1676400" cy="15494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6</xdr:col>
      <xdr:colOff>177800</xdr:colOff>
      <xdr:row>1</xdr:row>
      <xdr:rowOff>464820</xdr:rowOff>
    </xdr:from>
    <xdr:to>
      <xdr:col>7</xdr:col>
      <xdr:colOff>558800</xdr:colOff>
      <xdr:row>3</xdr:row>
      <xdr:rowOff>27940</xdr:rowOff>
    </xdr:to>
    <xdr:sp macro="" textlink="">
      <xdr:nvSpPr>
        <xdr:cNvPr id="3" name="XLNTBI_LINK">
          <a:hlinkClick xmlns:r="http://schemas.openxmlformats.org/officeDocument/2006/relationships" r:id="rId1" tooltip="xlntbi.hu"/>
          <a:extLst>
            <a:ext uri="{FF2B5EF4-FFF2-40B4-BE49-F238E27FC236}">
              <a16:creationId xmlns:a16="http://schemas.microsoft.com/office/drawing/2014/main" id="{8015DD5F-2880-2606-F297-69968F928BC9}"/>
            </a:ext>
          </a:extLst>
        </xdr:cNvPr>
        <xdr:cNvSpPr txBox="1"/>
      </xdr:nvSpPr>
      <xdr:spPr>
        <a:xfrm>
          <a:off x="9779000" y="685800"/>
          <a:ext cx="99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r"/>
          <a:r>
            <a:rPr lang="hu-HU" sz="1200" b="1" u="none">
              <a:solidFill>
                <a:srgbClr val="2E75B6"/>
              </a:solidFill>
            </a:rPr>
            <a:t>xlntbi.hu</a:t>
          </a:r>
        </a:p>
      </xdr:txBody>
    </xdr:sp>
    <xdr:clientData/>
  </xdr:twoCellAnchor>
  <xdr:twoCellAnchor editAs="oneCell">
    <xdr:from>
      <xdr:col>8</xdr:col>
      <xdr:colOff>0</xdr:colOff>
      <xdr:row>0</xdr:row>
      <xdr:rowOff>50800</xdr:rowOff>
    </xdr:from>
    <xdr:to>
      <xdr:col>10</xdr:col>
      <xdr:colOff>457200</xdr:colOff>
      <xdr:row>6</xdr:row>
      <xdr:rowOff>114300</xdr:rowOff>
    </xdr:to>
    <xdr:pic>
      <xdr:nvPicPr>
        <xdr:cNvPr id="6" name="XLNTBI_LOGO">
          <a:hlinkClick xmlns:r="http://schemas.openxmlformats.org/officeDocument/2006/relationships" r:id="rId2" tooltip="HiHello - xlntbi.hu"/>
          <a:extLst>
            <a:ext uri="{FF2B5EF4-FFF2-40B4-BE49-F238E27FC236}">
              <a16:creationId xmlns:a16="http://schemas.microsoft.com/office/drawing/2014/main" id="{2B6F7093-87E2-C976-A41E-B4DA11C6A488}"/>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820400" y="50800"/>
          <a:ext cx="1676400" cy="1549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unka1"/>
  <dimension ref="A1:D35"/>
  <sheetViews>
    <sheetView showGridLines="0" tabSelected="1" workbookViewId="0">
      <pane ySplit="3" topLeftCell="A4" activePane="bottomLeft" state="frozen"/>
      <selection pane="bottomLeft" activeCell="A3" sqref="A3"/>
    </sheetView>
  </sheetViews>
  <sheetFormatPr defaultRowHeight="14.4" x14ac:dyDescent="0.3"/>
  <cols>
    <col min="1" max="1" width="2" customWidth="1"/>
    <col min="2" max="2" width="58" customWidth="1"/>
    <col min="3" max="3" width="34" customWidth="1"/>
    <col min="4" max="4" width="12" hidden="1" customWidth="1"/>
    <col min="5" max="5" width="70" customWidth="1"/>
  </cols>
  <sheetData>
    <row r="1" spans="1:4" ht="17.399999999999999" x14ac:dyDescent="0.3">
      <c r="A1" s="1" t="str">
        <f>IFERROR(INDEX(DICT_ACTIVE,MATCH("UI.APP.TITLE",DICT_KEY,0))&amp;"","??UI.APP.TITLE")</f>
        <v>XLNT IFRS Financial Statements</v>
      </c>
    </row>
    <row r="2" spans="1:4" x14ac:dyDescent="0.3">
      <c r="A2" s="2" t="str">
        <f>IFERROR(INDEX(DICT_ACTIVE,MATCH("UI.INPUT.HINT",DICT_KEY,0))&amp;"","??UI.INPUT.HINT")</f>
        <v>Yellow cells are inputs; everything else is calculated.</v>
      </c>
    </row>
    <row r="4" spans="1:4" x14ac:dyDescent="0.3">
      <c r="B4" s="3" t="str">
        <f>IFERROR(INDEX(DICT_ACTIVE,MATCH("SET.SEC.GENERAL",DICT_KEY,0))&amp;"","??SET.SEC.GENERAL")</f>
        <v>General</v>
      </c>
      <c r="C4" s="3"/>
      <c r="D4" s="3" t="str">
        <f>IFERROR(INDEX(DICT_ACTIVE,MATCH("UI.CODE",DICT_KEY,0))&amp;"","??UI.CODE")</f>
        <v>code</v>
      </c>
    </row>
    <row r="5" spans="1:4" x14ac:dyDescent="0.3">
      <c r="B5" s="4" t="str">
        <f>IFERROR(INDEX(DICT_ACTIVE,MATCH("SET.LANG",DICT_KEY,0))&amp;"","??SET.LANG")</f>
        <v>Language</v>
      </c>
      <c r="C5" s="5" t="s">
        <v>0</v>
      </c>
    </row>
    <row r="6" spans="1:4" x14ac:dyDescent="0.3">
      <c r="B6" s="4" t="str">
        <f>IFERROR(INDEX(DICT_ACTIVE,MATCH("SET.ENTITY",DICT_KEY,0))&amp;"","??SET.ENTITY")</f>
        <v>Reporting entity</v>
      </c>
      <c r="C6" s="5" t="s">
        <v>1</v>
      </c>
    </row>
    <row r="7" spans="1:4" x14ac:dyDescent="0.3">
      <c r="B7" s="4" t="str">
        <f>IFERROR(INDEX(DICT_ACTIVE,MATCH("SET.REPDATE",DICT_KEY,0))&amp;"","??SET.REPDATE")</f>
        <v>Reporting date</v>
      </c>
      <c r="C7" s="6">
        <v>46387</v>
      </c>
    </row>
    <row r="8" spans="1:4" x14ac:dyDescent="0.3">
      <c r="B8" s="4" t="str">
        <f>IFERROR(INDEX(DICT_ACTIVE,MATCH("SET.PYDATE",DICT_KEY,0))&amp;"","??SET.PYDATE")</f>
        <v>Comparative period end</v>
      </c>
      <c r="C8" s="7">
        <f>DATE(YEAR(RepDate)-1,MONTH(RepDate),DAY(RepDate))</f>
        <v>46022</v>
      </c>
    </row>
    <row r="9" spans="1:4" x14ac:dyDescent="0.3">
      <c r="B9" s="4" t="str">
        <f>IFERROR(INDEX(DICT_ACTIVE,MATCH("SET.OPDATE",DICT_KEY,0))&amp;"","??SET.OPDATE")</f>
        <v>Opening balance date</v>
      </c>
      <c r="C9" s="7">
        <f>DATE(YEAR(RepDate)-2,MONTH(RepDate),DAY(RepDate))</f>
        <v>45657</v>
      </c>
    </row>
    <row r="10" spans="1:4" x14ac:dyDescent="0.3">
      <c r="B10" s="4" t="str">
        <f>IFERROR(INDEX(DICT_ACTIVE,MATCH("SET.CURRENCY",DICT_KEY,0))&amp;"","??SET.CURRENCY")</f>
        <v>Presentation currency (ISO code)</v>
      </c>
      <c r="C10" s="5" t="s">
        <v>2</v>
      </c>
    </row>
    <row r="11" spans="1:4" x14ac:dyDescent="0.3">
      <c r="B11" s="4" t="str">
        <f>IFERROR(INDEX(DICT_ACTIVE,MATCH("SET.UNIT",DICT_KEY,0))&amp;"","??SET.UNIT")</f>
        <v>Rounding unit</v>
      </c>
      <c r="C11" s="8">
        <v>1000</v>
      </c>
    </row>
    <row r="12" spans="1:4" x14ac:dyDescent="0.3">
      <c r="B12" s="4" t="str">
        <f>IFERROR(INDEX(DICT_ACTIVE,MATCH("SET.UNIT.LABEL",DICT_KEY,0))&amp;"","??SET.UNIT.LABEL")</f>
        <v>Unit label (used on statements)</v>
      </c>
      <c r="C12" s="9" t="str">
        <f>TRIM(IFERROR(INDEX(DICT_ACTIVE,MATCH("SET.UNIT.PREFIX",DICT_KEY,0))&amp;"","")&amp;" "&amp;IF(Unit=1,IFERROR(INDEX(DICT_ACTIVE,MATCH("SET.UNIT.1",DICT_KEY,0))&amp;"",""),IF(Unit=1000,IFERROR(INDEX(DICT_ACTIVE,MATCH("SET.UNIT.K",DICT_KEY,0))&amp;"",""),IFERROR(INDEX(DICT_ACTIVE,MATCH("SET.UNIT.M",DICT_KEY,0))&amp;"","")))&amp;" "&amp;Ccy)&amp;IFERROR(INDEX(DICT_ACTIVE,MATCH("SET.UNIT.SUFFIX",DICT_KEY,0))&amp;"","")</f>
        <v>in thousands of HUF</v>
      </c>
    </row>
    <row r="14" spans="1:4" x14ac:dyDescent="0.3">
      <c r="B14" s="3" t="str">
        <f>IFERROR(INDEX(DICT_ACTIVE,MATCH("SET.SEC.IFRS18",DICT_KEY,0))&amp;"","??SET.SEC.IFRS18")</f>
        <v>IFRS 18 presentation choices</v>
      </c>
      <c r="C14" s="3"/>
      <c r="D14" s="3"/>
    </row>
    <row r="15" spans="1:4" x14ac:dyDescent="0.3">
      <c r="B15" s="4" t="str">
        <f>IFERROR(INDEX(DICT_ACTIVE,MATCH("SET.EXPMETHOD",DICT_KEY,0))&amp;"","??SET.EXPMETHOD")</f>
        <v>Operating expenses presented</v>
      </c>
      <c r="C15" s="5" t="s">
        <v>3</v>
      </c>
      <c r="D15" s="10" t="str">
        <f>IFERROR(INDEX(LIST_EXP_CODE,MATCH(C15,LIST_EXP_EN,0)),IFERROR(INDEX(LIST_EXP_CODE,MATCH(C15,LIST_EXP_HU,0)),""))</f>
        <v>Nature</v>
      </c>
    </row>
    <row r="16" spans="1:4" x14ac:dyDescent="0.3">
      <c r="B16" s="4" t="str">
        <f>IFERROR(INDEX(DICT_ACTIVE,MATCH("SET.MBA.INV",DICT_KEY,0))&amp;"","??SET.MBA.INV")</f>
        <v>Main business activity: investing in assets?</v>
      </c>
      <c r="C16" s="5" t="s">
        <v>4</v>
      </c>
      <c r="D16" s="10" t="str">
        <f>IFERROR(INDEX(LIST_YN_CODE,MATCH(C16,LIST_YN_EN,0)),IFERROR(INDEX(LIST_YN_CODE,MATCH(C16,LIST_YN_HU,0)),""))</f>
        <v>No</v>
      </c>
    </row>
    <row r="17" spans="2:4" x14ac:dyDescent="0.3">
      <c r="B17" s="4" t="str">
        <f>IFERROR(INDEX(DICT_ACTIVE,MATCH("SET.MBA.FIN",DICT_KEY,0))&amp;"","??SET.MBA.FIN")</f>
        <v>Main business activity: providing financing to customers?</v>
      </c>
      <c r="C17" s="5" t="s">
        <v>4</v>
      </c>
      <c r="D17" s="10" t="str">
        <f>IFERROR(INDEX(LIST_YN_CODE,MATCH(C17,LIST_YN_EN,0)),IFERROR(INDEX(LIST_YN_CODE,MATCH(C17,LIST_YN_HU,0)),""))</f>
        <v>No</v>
      </c>
    </row>
    <row r="18" spans="2:4" x14ac:dyDescent="0.3">
      <c r="B18" s="4" t="str">
        <f>IFERROR(INDEX(DICT_ACTIVE,MATCH("SET.EBITDA",DICT_KEY,0))&amp;"","??SET.EBITDA")</f>
        <v>Show the EBITDA-like IFRS-specified subtotal?</v>
      </c>
      <c r="C18" s="5" t="s">
        <v>4</v>
      </c>
      <c r="D18" s="10" t="str">
        <f>IFERROR(INDEX(LIST_YN_CODE,MATCH(C18,LIST_YN_EN,0)),IFERROR(INDEX(LIST_YN_CODE,MATCH(C18,LIST_YN_HU,0)),""))</f>
        <v>No</v>
      </c>
    </row>
    <row r="19" spans="2:4" x14ac:dyDescent="0.3">
      <c r="B19" s="4" t="str">
        <f>IFERROR(INDEX(DICT_ACTIVE,MATCH("SET.LEASEINT",DICT_KEY,0))&amp;"","??SET.LEASEINT")</f>
        <v>Is lease interest accrued to the lease liability?</v>
      </c>
      <c r="C19" s="5" t="s">
        <v>4</v>
      </c>
      <c r="D19" s="10" t="str">
        <f>IFERROR(INDEX(LIST_YN_CODE,MATCH(C19,LIST_YN_EN,0)),IFERROR(INDEX(LIST_YN_CODE,MATCH(C19,LIST_YN_HU,0)),""))</f>
        <v>No</v>
      </c>
    </row>
    <row r="20" spans="2:4" ht="42" customHeight="1" x14ac:dyDescent="0.3">
      <c r="B20" s="50" t="str">
        <f>IFERROR(INDEX(DICT_ACTIVE,MATCH("SET.NOTE.MBA",DICT_KEY,0))&amp;"","??SET.NOTE.MBA")</f>
        <v>Only entities whose main business activity is investing in assets or providing financing to customers answer Yes; this moves the related income and expenses into the operating category.</v>
      </c>
      <c r="C20" s="51"/>
      <c r="D20" s="51"/>
    </row>
    <row r="21" spans="2:4" x14ac:dyDescent="0.3">
      <c r="B21" s="3" t="str">
        <f>IFERROR(INDEX(DICT_ACTIVE,MATCH("SET.SEC.OTHER",DICT_KEY,0))&amp;"","??SET.SEC.OTHER")</f>
        <v>Other parameters</v>
      </c>
      <c r="C21" s="3"/>
      <c r="D21" s="3"/>
    </row>
    <row r="22" spans="2:4" x14ac:dyDescent="0.3">
      <c r="B22" s="4" t="str">
        <f>IFERROR(INDEX(DICT_ACTIVE,MATCH("SET.TAXRATE",DICT_KEY,0))&amp;"","??SET.TAXRATE")</f>
        <v>Income tax rate</v>
      </c>
      <c r="C22" s="11">
        <v>0.09</v>
      </c>
    </row>
    <row r="23" spans="2:4" x14ac:dyDescent="0.3">
      <c r="B23" s="4" t="str">
        <f>IFERROR(INDEX(DICT_ACTIVE,MATCH("SET.MATERIALITY",DICT_KEY,0))&amp;"","??SET.MATERIALITY")</f>
        <v>Threshold for material 'Other' line warning</v>
      </c>
      <c r="C23" s="8">
        <v>1000</v>
      </c>
    </row>
    <row r="25" spans="2:4" x14ac:dyDescent="0.3">
      <c r="B25" s="4" t="str">
        <f>IFERROR(INDEX(DICT_ACTIVE,MATCH("SET.STATUS",DICT_KEY,0))&amp;"","??SET.STATUS")</f>
        <v>Workbook status</v>
      </c>
      <c r="C25" s="12" t="str">
        <f>IF('20_CHECKS'!$C$1=0,IFERROR(INDEX(DICT_ACTIVE,MATCH("UI.OK",DICT_KEY,0)),"OK"),IFERROR(INDEX(DICT_ACTIVE,MATCH("UI.ERRORS",DICT_KEY,0)),"Errors")&amp;" ("&amp;'20_CHECKS'!$C$1&amp;")")</f>
        <v>All checks passed</v>
      </c>
    </row>
    <row r="27" spans="2:4" ht="42" customHeight="1" x14ac:dyDescent="0.3">
      <c r="B27" s="50" t="str">
        <f>IFERROR(INDEX(DICT_ACTIVE,MATCH("SET.NOTE.UIO",DICT_KEY,0))&amp;"","??SET.NOTE.UIO")</f>
        <v>Sheet protection is not applied by the template; use the XLNTBI protection macros. UserInterfaceOnly is not kept after closing the file.</v>
      </c>
      <c r="C27" s="51"/>
      <c r="D27" s="51"/>
    </row>
    <row r="29" spans="2:4" ht="42" customHeight="1" x14ac:dyDescent="0.3">
      <c r="B29" s="50" t="str">
        <f>IFERROR(INDEX(DICT_ACTIVE,MATCH("UI.MACRO.HINT",DICT_KEY,0))&amp;"","??UI.MACRO.HINT")</f>
        <v>Save as .xlsm and import the four .bas modules, then press "Refresh workbook" after changing the language or the presentation method.</v>
      </c>
      <c r="C29" s="51"/>
      <c r="D29" s="51"/>
    </row>
    <row r="31" spans="2:4" x14ac:dyDescent="0.3">
      <c r="B31" s="3" t="str">
        <f>IFERROR(INDEX(DICT_ACTIVE,MATCH("SET.SEC.PDF",DICT_KEY,0))&amp;"","??SET.SEC.PDF")</f>
        <v>PDF files for the OBR submission</v>
      </c>
      <c r="C31" s="3"/>
      <c r="D31" s="3"/>
    </row>
    <row r="32" spans="2:4" x14ac:dyDescent="0.3">
      <c r="B32" s="4" t="str">
        <f>IFERROR(INDEX(DICT_ACTIVE,MATCH("SET.PDF.SFP",DICT_KEY,0))&amp;"","??SET.PDF.SFP")</f>
        <v>Statement of financial position (PDF)</v>
      </c>
      <c r="C32" s="4" t="str">
        <f>IFERROR(INDEX(DICT_ACTIVE,MATCH("PDF.NONE",DICT_KEY,0))&amp;"","??PDF.NONE")</f>
        <v>not selected</v>
      </c>
    </row>
    <row r="33" spans="2:4" x14ac:dyDescent="0.3">
      <c r="B33" s="4" t="str">
        <f>IFERROR(INDEX(DICT_ACTIVE,MATCH("SET.PDF.PL",DICT_KEY,0))&amp;"","??SET.PDF.PL")</f>
        <v>Statement of profit or loss (PDF)</v>
      </c>
      <c r="C33" s="4" t="str">
        <f>IFERROR(INDEX(DICT_ACTIVE,MATCH("PDF.NONE",DICT_KEY,0))&amp;"","??PDF.NONE")</f>
        <v>not selected</v>
      </c>
    </row>
    <row r="34" spans="2:4" x14ac:dyDescent="0.3">
      <c r="B34" s="4" t="str">
        <f>IFERROR(INDEX(DICT_ACTIVE,MATCH("SET.PDF.SIZE",DICT_KEY,0))&amp;"","??SET.PDF.SIZE")</f>
        <v>Total size of the selected PDFs</v>
      </c>
      <c r="C34" s="13">
        <v>0</v>
      </c>
    </row>
    <row r="35" spans="2:4" ht="55.95" customHeight="1" x14ac:dyDescent="0.3">
      <c r="B35" s="50" t="str">
        <f>IFERROR(INDEX(DICT_ACTIVE,MATCH("SET.NOTE.PDF",DICT_KEY,0))&amp;"","??SET.NOTE.PDF")</f>
        <v>Under Hungarian rules an IFRS filer uploads the balance sheet and the income statement to the OBR as PDF attachments (see the portal FAQ, point 5.9). Create them with the button, or select existing files. The paths below are read by the OBR module.</v>
      </c>
      <c r="C35" s="51"/>
      <c r="D35" s="51"/>
    </row>
  </sheetData>
  <sheetProtection algorithmName="SHA-512" hashValue="d4JgyNjvrgtBf8ZZkZdp+KV7ToGdwnKCOs8xmlKoXGFPdyMdqQxRMV6jvH5oKYC+38E8hHAQQkh+7Wcvxxgdtg==" saltValue="8evPyhESpU43EXU/E3iS8w==" spinCount="100000" sheet="1" objects="1" scenarios="1" formatCells="0" autoFilter="0" pivotTables="0"/>
  <mergeCells count="4">
    <mergeCell ref="B29:D29"/>
    <mergeCell ref="B27:D27"/>
    <mergeCell ref="B35:D35"/>
    <mergeCell ref="B20:D20"/>
  </mergeCells>
  <dataValidations count="4">
    <dataValidation type="list" showErrorMessage="1" sqref="C5" xr:uid="{00000000-0002-0000-0000-000000000000}">
      <formula1>LIST_LANGS</formula1>
    </dataValidation>
    <dataValidation type="list" showErrorMessage="1" sqref="C11" xr:uid="{00000000-0002-0000-0000-000001000000}">
      <formula1>"1,1000,1000000"</formula1>
    </dataValidation>
    <dataValidation type="list" showErrorMessage="1" sqref="C15" xr:uid="{00000000-0002-0000-0000-000002000000}">
      <formula1>INDEX(LIST_EXP_TXT,0,LangIdx)</formula1>
    </dataValidation>
    <dataValidation type="list" showErrorMessage="1" sqref="C16:C19" xr:uid="{00000000-0002-0000-0000-000003000000}">
      <formula1>INDEX(LIST_YN_TXT,0,LangIdx)</formula1>
    </dataValidation>
  </dataValidations>
  <pageMargins left="0.75" right="0.75" top="1" bottom="1" header="0.5" footer="0.5"/>
  <drawing r:id="rId1"/>
  <extLst>
    <ext xmlns:x14="http://schemas.microsoft.com/office/spreadsheetml/2009/9/main" uri="{78C0D931-6437-407d-A8EE-F0AAD7539E65}">
      <x14:conditionalFormattings>
        <x14:conditionalFormatting xmlns:xm="http://schemas.microsoft.com/office/excel/2006/main">
          <x14:cfRule type="expression" priority="1" id="{00000000-000E-0000-0000-000001000000}">
            <xm:f>'20_CHECKS'!$C$1=0</xm:f>
            <x14:dxf>
              <font>
                <b/>
                <color rgb="FF006100"/>
              </font>
              <fill>
                <patternFill patternType="solid">
                  <fgColor rgb="FFC6EFCE"/>
                </patternFill>
              </fill>
            </x14:dxf>
          </x14:cfRule>
          <x14:cfRule type="expression" priority="2" id="{00000000-000E-0000-0000-000002000000}">
            <xm:f>'20_CHECKS'!$C$1&gt;0</xm:f>
            <x14:dxf>
              <font>
                <b/>
                <color rgb="FF9C0006"/>
              </font>
              <fill>
                <patternFill patternType="solid">
                  <fgColor rgb="FFFFC7CE"/>
                </patternFill>
              </fill>
            </x14:dxf>
          </x14:cfRule>
          <xm:sqref>C25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unka2"/>
  <dimension ref="A1:G1000"/>
  <sheetViews>
    <sheetView showGridLines="0" workbookViewId="0">
      <pane xSplit="1" ySplit="3" topLeftCell="B4" activePane="bottomRight" state="frozen"/>
      <selection pane="topRight"/>
      <selection pane="bottomLeft"/>
      <selection pane="bottomRight" activeCell="A2" sqref="A2"/>
    </sheetView>
  </sheetViews>
  <sheetFormatPr defaultRowHeight="14.4" x14ac:dyDescent="0.3"/>
  <cols>
    <col min="1" max="1" width="22" customWidth="1"/>
    <col min="2" max="2" width="58" customWidth="1"/>
    <col min="3" max="3" width="62" customWidth="1"/>
    <col min="4" max="4" width="58" customWidth="1"/>
    <col min="5" max="5" width="8" customWidth="1"/>
    <col min="6" max="6" width="22" customWidth="1"/>
    <col min="7" max="7" width="10" customWidth="1"/>
  </cols>
  <sheetData>
    <row r="1" spans="1:7" ht="17.399999999999999" x14ac:dyDescent="0.3">
      <c r="A1" s="1" t="str">
        <f>IFERROR(INDEX(DICT_ACTIVE,MATCH("UI.SHEET.DICT",DICT_KEY,0))&amp;"","??UI.SHEET.DICT")</f>
        <v>Dictionary (EN / HU)</v>
      </c>
    </row>
    <row r="3" spans="1:7" x14ac:dyDescent="0.3">
      <c r="A3" s="3" t="str">
        <f>IFERROR(INDEX(DICT_ACTIVE,MATCH("UI.DICT.KEY",DICT_KEY,0))&amp;"","??UI.DICT.KEY")</f>
        <v>Key</v>
      </c>
      <c r="B3" s="3" t="str">
        <f>IFERROR(INDEX(DICT_ACTIVE,MATCH("UI.DICT.EN",DICT_KEY,0))&amp;"","??UI.DICT.EN")</f>
        <v>English</v>
      </c>
      <c r="C3" s="3" t="str">
        <f>IFERROR(INDEX(DICT_ACTIVE,MATCH("UI.DICT.HU",DICT_KEY,0))&amp;"","??UI.DICT.HU")</f>
        <v>Hungarian</v>
      </c>
      <c r="D3" s="3" t="str">
        <f>IFERROR(INDEX(DICT_ACTIVE,MATCH("UI.DICT.ACTIVE",DICT_KEY,0))&amp;"","??UI.DICT.ACTIVE")</f>
        <v>Active</v>
      </c>
      <c r="E3" s="3" t="str">
        <f>IFERROR(INDEX(DICT_ACTIVE,MATCH("UI.DICT.AREA",DICT_KEY,0))&amp;"","??UI.DICT.AREA")</f>
        <v>Area</v>
      </c>
      <c r="F3" s="3" t="str">
        <f>IFERROR(INDEX(DICT_ACTIVE,MATCH("UI.DICT.REF",DICT_KEY,0))&amp;"","??UI.DICT.REF")</f>
        <v>Reference</v>
      </c>
      <c r="G3" s="3" t="str">
        <f>IFERROR(INDEX(DICT_ACTIVE,MATCH("UI.DICT.DUP",DICT_KEY,0))&amp;"","??UI.DICT.DUP")</f>
        <v>Duplicate?</v>
      </c>
    </row>
    <row r="4" spans="1:7" x14ac:dyDescent="0.3">
      <c r="A4" s="14" t="s">
        <v>5</v>
      </c>
      <c r="B4" s="15" t="s">
        <v>6</v>
      </c>
      <c r="C4" s="15" t="s">
        <v>7</v>
      </c>
      <c r="D4" s="14" t="str">
        <f>IF(LangIdx=2,C4&amp;"",B4&amp;"")</f>
        <v>XLNT IFRS Financial Statements</v>
      </c>
      <c r="E4" s="14" t="s">
        <v>8</v>
      </c>
      <c r="F4" s="2"/>
      <c r="G4" s="14" t="str">
        <f t="shared" ref="G4:G67" si="0">IF(COUNTIF(DICT_KEY,A4)&gt;1,"DUP","")</f>
        <v/>
      </c>
    </row>
    <row r="5" spans="1:7" x14ac:dyDescent="0.3">
      <c r="A5" s="14" t="s">
        <v>9</v>
      </c>
      <c r="B5" s="15" t="s">
        <v>10</v>
      </c>
      <c r="C5" s="15" t="s">
        <v>11</v>
      </c>
      <c r="D5" s="14" t="str">
        <f>IF(LangIdx=2,C5&amp;"",B5&amp;"")</f>
        <v>All checks passed</v>
      </c>
      <c r="E5" s="14" t="s">
        <v>8</v>
      </c>
      <c r="F5" s="2"/>
      <c r="G5" s="14" t="str">
        <f t="shared" si="0"/>
        <v/>
      </c>
    </row>
    <row r="6" spans="1:7" x14ac:dyDescent="0.3">
      <c r="A6" s="14" t="s">
        <v>12</v>
      </c>
      <c r="B6" s="15" t="s">
        <v>13</v>
      </c>
      <c r="C6" s="15" t="s">
        <v>14</v>
      </c>
      <c r="D6" s="14" t="str">
        <f>IF(LangIdx=2,C6&amp;"",B6&amp;"")</f>
        <v>Errors</v>
      </c>
      <c r="E6" s="14" t="s">
        <v>8</v>
      </c>
      <c r="F6" s="2"/>
      <c r="G6" s="14" t="str">
        <f t="shared" si="0"/>
        <v/>
      </c>
    </row>
    <row r="7" spans="1:7" x14ac:dyDescent="0.3">
      <c r="A7" s="14" t="s">
        <v>15</v>
      </c>
      <c r="B7" s="15" t="s">
        <v>16</v>
      </c>
      <c r="C7" s="15" t="s">
        <v>17</v>
      </c>
      <c r="D7" s="14" t="str">
        <f>IF(LangIdx=2,C7&amp;"",B7&amp;"")</f>
        <v>Current year</v>
      </c>
      <c r="E7" s="14" t="s">
        <v>8</v>
      </c>
      <c r="F7" s="2"/>
      <c r="G7" s="14" t="str">
        <f t="shared" si="0"/>
        <v/>
      </c>
    </row>
    <row r="8" spans="1:7" x14ac:dyDescent="0.3">
      <c r="A8" s="14" t="s">
        <v>18</v>
      </c>
      <c r="B8" s="15" t="s">
        <v>19</v>
      </c>
      <c r="C8" s="15" t="s">
        <v>20</v>
      </c>
      <c r="D8" s="14" t="str">
        <f>IF(LangIdx=2,C8&amp;"",B8&amp;"")</f>
        <v>Prior year</v>
      </c>
      <c r="E8" s="14" t="s">
        <v>8</v>
      </c>
      <c r="F8" s="2"/>
      <c r="G8" s="14" t="str">
        <f t="shared" si="0"/>
        <v/>
      </c>
    </row>
    <row r="9" spans="1:7" x14ac:dyDescent="0.3">
      <c r="A9" s="14" t="s">
        <v>21</v>
      </c>
      <c r="B9" s="15" t="s">
        <v>22</v>
      </c>
      <c r="C9" s="15" t="s">
        <v>23</v>
      </c>
      <c r="D9" s="14" t="str">
        <f>IF(LangIdx=2,C9&amp;"",B9&amp;"")</f>
        <v>Opening</v>
      </c>
      <c r="E9" s="14" t="s">
        <v>8</v>
      </c>
      <c r="F9" s="2"/>
      <c r="G9" s="14" t="str">
        <f t="shared" si="0"/>
        <v/>
      </c>
    </row>
    <row r="10" spans="1:7" x14ac:dyDescent="0.3">
      <c r="A10" s="14" t="s">
        <v>24</v>
      </c>
      <c r="B10" s="15" t="s">
        <v>25</v>
      </c>
      <c r="C10" s="15" t="s">
        <v>26</v>
      </c>
      <c r="D10" s="14" t="str">
        <f>IF(LangIdx=2,C10&amp;"",B10&amp;"")</f>
        <v>Note</v>
      </c>
      <c r="E10" s="14" t="s">
        <v>8</v>
      </c>
      <c r="F10" s="2"/>
      <c r="G10" s="14" t="str">
        <f t="shared" si="0"/>
        <v/>
      </c>
    </row>
    <row r="11" spans="1:7" x14ac:dyDescent="0.3">
      <c r="A11" s="14" t="s">
        <v>27</v>
      </c>
      <c r="B11" s="15" t="s">
        <v>28</v>
      </c>
      <c r="C11" s="15" t="s">
        <v>29</v>
      </c>
      <c r="D11" s="14" t="str">
        <f>IF(LangIdx=2,C11&amp;"",B11&amp;"")</f>
        <v>Total</v>
      </c>
      <c r="E11" s="14" t="s">
        <v>8</v>
      </c>
      <c r="F11" s="2"/>
      <c r="G11" s="14" t="str">
        <f t="shared" si="0"/>
        <v/>
      </c>
    </row>
    <row r="12" spans="1:7" x14ac:dyDescent="0.3">
      <c r="A12" s="14" t="s">
        <v>30</v>
      </c>
      <c r="B12" s="15" t="s">
        <v>31</v>
      </c>
      <c r="C12" s="15" t="s">
        <v>32</v>
      </c>
      <c r="D12" s="14" t="str">
        <f>IF(LangIdx=2,C12&amp;"",B12&amp;"")</f>
        <v>Yellow cells are inputs; everything else is calculated.</v>
      </c>
      <c r="E12" s="14" t="s">
        <v>8</v>
      </c>
      <c r="F12" s="2"/>
      <c r="G12" s="14" t="str">
        <f t="shared" si="0"/>
        <v/>
      </c>
    </row>
    <row r="13" spans="1:7" x14ac:dyDescent="0.3">
      <c r="A13" s="14" t="s">
        <v>33</v>
      </c>
      <c r="B13" s="15" t="s">
        <v>34</v>
      </c>
      <c r="C13" s="15" t="s">
        <v>35</v>
      </c>
      <c r="D13" s="14" t="str">
        <f>IF(LangIdx=2,C13&amp;"",B13&amp;"")</f>
        <v>code</v>
      </c>
      <c r="E13" s="14" t="s">
        <v>8</v>
      </c>
      <c r="F13" s="2"/>
      <c r="G13" s="14" t="str">
        <f t="shared" si="0"/>
        <v/>
      </c>
    </row>
    <row r="14" spans="1:7" x14ac:dyDescent="0.3">
      <c r="A14" s="14" t="s">
        <v>36</v>
      </c>
      <c r="B14" s="15" t="s">
        <v>37</v>
      </c>
      <c r="C14" s="15" t="s">
        <v>38</v>
      </c>
      <c r="D14" s="14" t="str">
        <f>IF(LangIdx=2,C14&amp;"",B14&amp;"")</f>
        <v>Settings</v>
      </c>
      <c r="E14" s="14" t="s">
        <v>8</v>
      </c>
      <c r="F14" s="2"/>
      <c r="G14" s="14" t="str">
        <f t="shared" si="0"/>
        <v/>
      </c>
    </row>
    <row r="15" spans="1:7" x14ac:dyDescent="0.3">
      <c r="A15" s="14" t="s">
        <v>39</v>
      </c>
      <c r="B15" s="15" t="s">
        <v>40</v>
      </c>
      <c r="C15" s="15" t="s">
        <v>41</v>
      </c>
      <c r="D15" s="14" t="str">
        <f>IF(LangIdx=2,C15&amp;"",B15&amp;"")</f>
        <v>Dictionary (EN / HU)</v>
      </c>
      <c r="E15" s="14" t="s">
        <v>8</v>
      </c>
      <c r="F15" s="2"/>
      <c r="G15" s="14" t="str">
        <f t="shared" si="0"/>
        <v/>
      </c>
    </row>
    <row r="16" spans="1:7" x14ac:dyDescent="0.3">
      <c r="A16" s="14" t="s">
        <v>42</v>
      </c>
      <c r="B16" s="15" t="s">
        <v>43</v>
      </c>
      <c r="C16" s="15" t="s">
        <v>44</v>
      </c>
      <c r="D16" s="14" t="str">
        <f>IF(LangIdx=2,C16&amp;"",B16&amp;"")</f>
        <v>Chart of accounts and mapping</v>
      </c>
      <c r="E16" s="14" t="s">
        <v>8</v>
      </c>
      <c r="F16" s="2"/>
      <c r="G16" s="14" t="str">
        <f t="shared" si="0"/>
        <v/>
      </c>
    </row>
    <row r="17" spans="1:7" x14ac:dyDescent="0.3">
      <c r="A17" s="14" t="s">
        <v>45</v>
      </c>
      <c r="B17" s="15" t="s">
        <v>46</v>
      </c>
      <c r="C17" s="15" t="s">
        <v>47</v>
      </c>
      <c r="D17" s="14" t="str">
        <f>IF(LangIdx=2,C17&amp;"",B17&amp;"")</f>
        <v>Trial balance</v>
      </c>
      <c r="E17" s="14" t="s">
        <v>8</v>
      </c>
      <c r="F17" s="2"/>
      <c r="G17" s="14" t="str">
        <f t="shared" si="0"/>
        <v/>
      </c>
    </row>
    <row r="18" spans="1:7" x14ac:dyDescent="0.3">
      <c r="A18" s="14" t="s">
        <v>48</v>
      </c>
      <c r="B18" s="15" t="s">
        <v>49</v>
      </c>
      <c r="C18" s="15" t="s">
        <v>50</v>
      </c>
      <c r="D18" s="14" t="str">
        <f>IF(LangIdx=2,C18&amp;"",B18&amp;"")</f>
        <v>Adjustments journal</v>
      </c>
      <c r="E18" s="14" t="s">
        <v>8</v>
      </c>
      <c r="F18" s="2"/>
      <c r="G18" s="14" t="str">
        <f t="shared" si="0"/>
        <v/>
      </c>
    </row>
    <row r="19" spans="1:7" x14ac:dyDescent="0.3">
      <c r="A19" s="14" t="s">
        <v>51</v>
      </c>
      <c r="B19" s="15" t="s">
        <v>52</v>
      </c>
      <c r="C19" s="15" t="s">
        <v>53</v>
      </c>
      <c r="D19" s="14" t="str">
        <f>IF(LangIdx=2,C19&amp;"",B19&amp;"")</f>
        <v>Calculation engine</v>
      </c>
      <c r="E19" s="14" t="s">
        <v>8</v>
      </c>
      <c r="F19" s="2"/>
      <c r="G19" s="14" t="str">
        <f t="shared" si="0"/>
        <v/>
      </c>
    </row>
    <row r="20" spans="1:7" x14ac:dyDescent="0.3">
      <c r="A20" s="14" t="s">
        <v>54</v>
      </c>
      <c r="B20" s="15" t="s">
        <v>55</v>
      </c>
      <c r="C20" s="15" t="s">
        <v>56</v>
      </c>
      <c r="D20" s="14" t="str">
        <f>IF(LangIdx=2,C20&amp;"",B20&amp;"")</f>
        <v>Notes to the financial statements</v>
      </c>
      <c r="E20" s="14" t="s">
        <v>8</v>
      </c>
      <c r="F20" s="2"/>
      <c r="G20" s="14" t="str">
        <f t="shared" si="0"/>
        <v/>
      </c>
    </row>
    <row r="21" spans="1:7" x14ac:dyDescent="0.3">
      <c r="A21" s="14" t="s">
        <v>57</v>
      </c>
      <c r="B21" s="15" t="s">
        <v>58</v>
      </c>
      <c r="C21" s="15" t="s">
        <v>59</v>
      </c>
      <c r="D21" s="14" t="str">
        <f>IF(LangIdx=2,C21&amp;"",B21&amp;"")</f>
        <v>Checks</v>
      </c>
      <c r="E21" s="14" t="s">
        <v>8</v>
      </c>
      <c r="F21" s="2"/>
      <c r="G21" s="14" t="str">
        <f t="shared" si="0"/>
        <v/>
      </c>
    </row>
    <row r="22" spans="1:7" x14ac:dyDescent="0.3">
      <c r="A22" s="14" t="s">
        <v>60</v>
      </c>
      <c r="B22" s="15" t="s">
        <v>61</v>
      </c>
      <c r="C22" s="15" t="s">
        <v>62</v>
      </c>
      <c r="D22" s="14" t="str">
        <f>IF(LangIdx=2,C22&amp;"",B22&amp;"")</f>
        <v>Lists (validation sources)</v>
      </c>
      <c r="E22" s="14" t="s">
        <v>8</v>
      </c>
      <c r="F22" s="2"/>
      <c r="G22" s="14" t="str">
        <f t="shared" si="0"/>
        <v/>
      </c>
    </row>
    <row r="23" spans="1:7" x14ac:dyDescent="0.3">
      <c r="A23" s="14" t="s">
        <v>63</v>
      </c>
      <c r="B23" s="15" t="s">
        <v>64</v>
      </c>
      <c r="C23" s="15" t="s">
        <v>65</v>
      </c>
      <c r="D23" s="14" t="str">
        <f>IF(LangIdx=2,C23&amp;"",B23&amp;"")</f>
        <v>This sheet will be built in a later step.</v>
      </c>
      <c r="E23" s="14" t="s">
        <v>8</v>
      </c>
      <c r="F23" s="2"/>
      <c r="G23" s="14" t="str">
        <f t="shared" si="0"/>
        <v/>
      </c>
    </row>
    <row r="24" spans="1:7" x14ac:dyDescent="0.3">
      <c r="A24" s="14" t="s">
        <v>66</v>
      </c>
      <c r="B24" s="15" t="s">
        <v>67</v>
      </c>
      <c r="C24" s="15" t="s">
        <v>68</v>
      </c>
      <c r="D24" s="14" t="str">
        <f>IF(LangIdx=2,C24&amp;"",B24&amp;"")</f>
        <v>Refresh workbook</v>
      </c>
      <c r="E24" s="14" t="s">
        <v>8</v>
      </c>
      <c r="F24" s="2"/>
      <c r="G24" s="14" t="str">
        <f t="shared" si="0"/>
        <v/>
      </c>
    </row>
    <row r="25" spans="1:7" x14ac:dyDescent="0.3">
      <c r="A25" s="14" t="s">
        <v>69</v>
      </c>
      <c r="B25" s="15" t="s">
        <v>70</v>
      </c>
      <c r="C25" s="15" t="s">
        <v>71</v>
      </c>
      <c r="D25" s="14" t="str">
        <f>IF(LangIdx=2,C25&amp;"",B25&amp;"")</f>
        <v>Place logo</v>
      </c>
      <c r="E25" s="14" t="s">
        <v>8</v>
      </c>
      <c r="F25" s="2"/>
      <c r="G25" s="14" t="str">
        <f t="shared" si="0"/>
        <v/>
      </c>
    </row>
    <row r="26" spans="1:7" x14ac:dyDescent="0.3">
      <c r="A26" s="14" t="s">
        <v>72</v>
      </c>
      <c r="B26" s="15" t="s">
        <v>73</v>
      </c>
      <c r="C26" s="15" t="s">
        <v>74</v>
      </c>
      <c r="D26" s="14" t="str">
        <f>IF(LangIdx=2,C26&amp;"",B26&amp;"")</f>
        <v>Remove logo</v>
      </c>
      <c r="E26" s="14" t="s">
        <v>8</v>
      </c>
      <c r="F26" s="2"/>
      <c r="G26" s="14" t="str">
        <f t="shared" si="0"/>
        <v/>
      </c>
    </row>
    <row r="27" spans="1:7" x14ac:dyDescent="0.3">
      <c r="A27" s="14" t="s">
        <v>75</v>
      </c>
      <c r="B27" s="15" t="s">
        <v>76</v>
      </c>
      <c r="C27" s="15" t="s">
        <v>77</v>
      </c>
      <c r="D27" s="14" t="str">
        <f>IF(LangIdx=2,C27&amp;"",B27&amp;"")</f>
        <v>Protect all sheets</v>
      </c>
      <c r="E27" s="14" t="s">
        <v>8</v>
      </c>
      <c r="F27" s="2"/>
      <c r="G27" s="14" t="str">
        <f t="shared" si="0"/>
        <v/>
      </c>
    </row>
    <row r="28" spans="1:7" x14ac:dyDescent="0.3">
      <c r="A28" s="14" t="s">
        <v>78</v>
      </c>
      <c r="B28" s="15" t="s">
        <v>79</v>
      </c>
      <c r="C28" s="15" t="s">
        <v>80</v>
      </c>
      <c r="D28" s="14" t="str">
        <f>IF(LangIdx=2,C28&amp;"",B28&amp;"")</f>
        <v>Unprotect all sheets</v>
      </c>
      <c r="E28" s="14" t="s">
        <v>8</v>
      </c>
      <c r="F28" s="2"/>
      <c r="G28" s="14" t="str">
        <f t="shared" si="0"/>
        <v/>
      </c>
    </row>
    <row r="29" spans="1:7" x14ac:dyDescent="0.3">
      <c r="A29" s="14" t="s">
        <v>81</v>
      </c>
      <c r="B29" s="15" t="s">
        <v>82</v>
      </c>
      <c r="C29" s="15" t="s">
        <v>83</v>
      </c>
      <c r="D29" s="14" t="str">
        <f>IF(LangIdx=2,C29&amp;"",B29&amp;"")</f>
        <v>Create PDFs (SFP + P&amp;L)</v>
      </c>
      <c r="E29" s="14" t="s">
        <v>8</v>
      </c>
      <c r="F29" s="2"/>
      <c r="G29" s="14" t="str">
        <f t="shared" si="0"/>
        <v/>
      </c>
    </row>
    <row r="30" spans="1:7" x14ac:dyDescent="0.3">
      <c r="A30" s="14" t="s">
        <v>84</v>
      </c>
      <c r="B30" s="15" t="s">
        <v>85</v>
      </c>
      <c r="C30" s="15" t="s">
        <v>86</v>
      </c>
      <c r="D30" s="14" t="str">
        <f>IF(LangIdx=2,C30&amp;"",B30&amp;"")</f>
        <v>Select existing PDFs</v>
      </c>
      <c r="E30" s="14" t="s">
        <v>8</v>
      </c>
      <c r="F30" s="2"/>
      <c r="G30" s="14" t="str">
        <f t="shared" si="0"/>
        <v/>
      </c>
    </row>
    <row r="31" spans="1:7" x14ac:dyDescent="0.3">
      <c r="A31" s="14" t="s">
        <v>87</v>
      </c>
      <c r="B31" s="15" t="s">
        <v>88</v>
      </c>
      <c r="C31" s="15" t="s">
        <v>89</v>
      </c>
      <c r="D31" s="14" t="str">
        <f>IF(LangIdx=2,C31&amp;"",B31&amp;"")</f>
        <v>Save as .xlsm and import the four .bas modules, then press "Refresh workbook" after changing the language or the presentation method.</v>
      </c>
      <c r="E31" s="14" t="s">
        <v>8</v>
      </c>
      <c r="F31" s="2"/>
      <c r="G31" s="14" t="str">
        <f t="shared" si="0"/>
        <v/>
      </c>
    </row>
    <row r="32" spans="1:7" x14ac:dyDescent="0.3">
      <c r="A32" s="14" t="s">
        <v>90</v>
      </c>
      <c r="B32" s="15" t="s">
        <v>91</v>
      </c>
      <c r="C32" s="15" t="s">
        <v>92</v>
      </c>
      <c r="D32" s="14" t="str">
        <f>IF(LangIdx=2,C32&amp;"",B32&amp;"")</f>
        <v>Key</v>
      </c>
      <c r="E32" s="14" t="s">
        <v>8</v>
      </c>
      <c r="F32" s="2"/>
      <c r="G32" s="14" t="str">
        <f t="shared" si="0"/>
        <v/>
      </c>
    </row>
    <row r="33" spans="1:7" x14ac:dyDescent="0.3">
      <c r="A33" s="14" t="s">
        <v>93</v>
      </c>
      <c r="B33" s="15" t="s">
        <v>0</v>
      </c>
      <c r="C33" s="15" t="s">
        <v>94</v>
      </c>
      <c r="D33" s="14" t="str">
        <f>IF(LangIdx=2,C33&amp;"",B33&amp;"")</f>
        <v>English</v>
      </c>
      <c r="E33" s="14" t="s">
        <v>8</v>
      </c>
      <c r="F33" s="2"/>
      <c r="G33" s="14" t="str">
        <f t="shared" si="0"/>
        <v/>
      </c>
    </row>
    <row r="34" spans="1:7" x14ac:dyDescent="0.3">
      <c r="A34" s="14" t="s">
        <v>95</v>
      </c>
      <c r="B34" s="15" t="s">
        <v>96</v>
      </c>
      <c r="C34" s="15" t="s">
        <v>97</v>
      </c>
      <c r="D34" s="14" t="str">
        <f>IF(LangIdx=2,C34&amp;"",B34&amp;"")</f>
        <v>Hungarian</v>
      </c>
      <c r="E34" s="14" t="s">
        <v>8</v>
      </c>
      <c r="F34" s="2"/>
      <c r="G34" s="14" t="str">
        <f t="shared" si="0"/>
        <v/>
      </c>
    </row>
    <row r="35" spans="1:7" x14ac:dyDescent="0.3">
      <c r="A35" s="14" t="s">
        <v>98</v>
      </c>
      <c r="B35" s="15" t="s">
        <v>99</v>
      </c>
      <c r="C35" s="15" t="s">
        <v>100</v>
      </c>
      <c r="D35" s="14" t="str">
        <f>IF(LangIdx=2,C35&amp;"",B35&amp;"")</f>
        <v>Active</v>
      </c>
      <c r="E35" s="14" t="s">
        <v>8</v>
      </c>
      <c r="F35" s="2"/>
      <c r="G35" s="14" t="str">
        <f t="shared" si="0"/>
        <v/>
      </c>
    </row>
    <row r="36" spans="1:7" x14ac:dyDescent="0.3">
      <c r="A36" s="14" t="s">
        <v>101</v>
      </c>
      <c r="B36" s="15" t="s">
        <v>102</v>
      </c>
      <c r="C36" s="15" t="s">
        <v>103</v>
      </c>
      <c r="D36" s="14" t="str">
        <f>IF(LangIdx=2,C36&amp;"",B36&amp;"")</f>
        <v>Area</v>
      </c>
      <c r="E36" s="14" t="s">
        <v>8</v>
      </c>
      <c r="F36" s="2"/>
      <c r="G36" s="14" t="str">
        <f t="shared" si="0"/>
        <v/>
      </c>
    </row>
    <row r="37" spans="1:7" x14ac:dyDescent="0.3">
      <c r="A37" s="14" t="s">
        <v>104</v>
      </c>
      <c r="B37" s="15" t="s">
        <v>105</v>
      </c>
      <c r="C37" s="15" t="s">
        <v>106</v>
      </c>
      <c r="D37" s="14" t="str">
        <f>IF(LangIdx=2,C37&amp;"",B37&amp;"")</f>
        <v>Reference</v>
      </c>
      <c r="E37" s="14" t="s">
        <v>8</v>
      </c>
      <c r="F37" s="2"/>
      <c r="G37" s="14" t="str">
        <f t="shared" si="0"/>
        <v/>
      </c>
    </row>
    <row r="38" spans="1:7" x14ac:dyDescent="0.3">
      <c r="A38" s="14" t="s">
        <v>107</v>
      </c>
      <c r="B38" s="15" t="s">
        <v>108</v>
      </c>
      <c r="C38" s="15" t="s">
        <v>109</v>
      </c>
      <c r="D38" s="14" t="str">
        <f>IF(LangIdx=2,C38&amp;"",B38&amp;"")</f>
        <v>Duplicate?</v>
      </c>
      <c r="E38" s="14" t="s">
        <v>8</v>
      </c>
      <c r="F38" s="2"/>
      <c r="G38" s="14" t="str">
        <f t="shared" si="0"/>
        <v/>
      </c>
    </row>
    <row r="39" spans="1:7" x14ac:dyDescent="0.3">
      <c r="A39" s="14" t="s">
        <v>110</v>
      </c>
      <c r="B39" s="15" t="s">
        <v>111</v>
      </c>
      <c r="C39" s="15" t="s">
        <v>112</v>
      </c>
      <c r="D39" s="14" t="str">
        <f>IF(LangIdx=2,C39&amp;"",B39&amp;"")</f>
        <v>Language</v>
      </c>
      <c r="E39" s="14" t="s">
        <v>113</v>
      </c>
      <c r="F39" s="2"/>
      <c r="G39" s="14" t="str">
        <f t="shared" si="0"/>
        <v/>
      </c>
    </row>
    <row r="40" spans="1:7" x14ac:dyDescent="0.3">
      <c r="A40" s="14" t="s">
        <v>114</v>
      </c>
      <c r="B40" s="15" t="s">
        <v>115</v>
      </c>
      <c r="C40" s="15" t="s">
        <v>116</v>
      </c>
      <c r="D40" s="14" t="str">
        <f>IF(LangIdx=2,C40&amp;"",B40&amp;"")</f>
        <v>Reporting entity</v>
      </c>
      <c r="E40" s="14" t="s">
        <v>113</v>
      </c>
      <c r="F40" s="2"/>
      <c r="G40" s="14" t="str">
        <f t="shared" si="0"/>
        <v/>
      </c>
    </row>
    <row r="41" spans="1:7" x14ac:dyDescent="0.3">
      <c r="A41" s="14" t="s">
        <v>117</v>
      </c>
      <c r="B41" s="15" t="s">
        <v>118</v>
      </c>
      <c r="C41" s="15" t="s">
        <v>119</v>
      </c>
      <c r="D41" s="14" t="str">
        <f>IF(LangIdx=2,C41&amp;"",B41&amp;"")</f>
        <v>Reporting date</v>
      </c>
      <c r="E41" s="14" t="s">
        <v>113</v>
      </c>
      <c r="F41" s="2"/>
      <c r="G41" s="14" t="str">
        <f t="shared" si="0"/>
        <v/>
      </c>
    </row>
    <row r="42" spans="1:7" x14ac:dyDescent="0.3">
      <c r="A42" s="14" t="s">
        <v>120</v>
      </c>
      <c r="B42" s="15" t="s">
        <v>121</v>
      </c>
      <c r="C42" s="15" t="s">
        <v>122</v>
      </c>
      <c r="D42" s="14" t="str">
        <f>IF(LangIdx=2,C42&amp;"",B42&amp;"")</f>
        <v>Comparative period end</v>
      </c>
      <c r="E42" s="14" t="s">
        <v>113</v>
      </c>
      <c r="F42" s="2"/>
      <c r="G42" s="14" t="str">
        <f t="shared" si="0"/>
        <v/>
      </c>
    </row>
    <row r="43" spans="1:7" x14ac:dyDescent="0.3">
      <c r="A43" s="14" t="s">
        <v>123</v>
      </c>
      <c r="B43" s="15" t="s">
        <v>124</v>
      </c>
      <c r="C43" s="15" t="s">
        <v>125</v>
      </c>
      <c r="D43" s="14" t="str">
        <f>IF(LangIdx=2,C43&amp;"",B43&amp;"")</f>
        <v>Opening balance date</v>
      </c>
      <c r="E43" s="14" t="s">
        <v>113</v>
      </c>
      <c r="F43" s="2"/>
      <c r="G43" s="14" t="str">
        <f t="shared" si="0"/>
        <v/>
      </c>
    </row>
    <row r="44" spans="1:7" x14ac:dyDescent="0.3">
      <c r="A44" s="14" t="s">
        <v>126</v>
      </c>
      <c r="B44" s="15" t="s">
        <v>127</v>
      </c>
      <c r="C44" s="15" t="s">
        <v>128</v>
      </c>
      <c r="D44" s="14" t="str">
        <f>IF(LangIdx=2,C44&amp;"",B44&amp;"")</f>
        <v>Presentation currency (ISO code)</v>
      </c>
      <c r="E44" s="14" t="s">
        <v>113</v>
      </c>
      <c r="F44" s="2"/>
      <c r="G44" s="14" t="str">
        <f t="shared" si="0"/>
        <v/>
      </c>
    </row>
    <row r="45" spans="1:7" x14ac:dyDescent="0.3">
      <c r="A45" s="14" t="s">
        <v>129</v>
      </c>
      <c r="B45" s="15" t="s">
        <v>130</v>
      </c>
      <c r="C45" s="15" t="s">
        <v>131</v>
      </c>
      <c r="D45" s="14" t="str">
        <f>IF(LangIdx=2,C45&amp;"",B45&amp;"")</f>
        <v>Rounding unit</v>
      </c>
      <c r="E45" s="14" t="s">
        <v>113</v>
      </c>
      <c r="F45" s="2"/>
      <c r="G45" s="14" t="str">
        <f t="shared" si="0"/>
        <v/>
      </c>
    </row>
    <row r="46" spans="1:7" x14ac:dyDescent="0.3">
      <c r="A46" s="14" t="s">
        <v>132</v>
      </c>
      <c r="B46" s="15" t="s">
        <v>133</v>
      </c>
      <c r="C46" s="15" t="s">
        <v>134</v>
      </c>
      <c r="D46" s="14" t="str">
        <f>IF(LangIdx=2,C46&amp;"",B46&amp;"")</f>
        <v>Unit label (used on statements)</v>
      </c>
      <c r="E46" s="14" t="s">
        <v>113</v>
      </c>
      <c r="F46" s="2"/>
      <c r="G46" s="14" t="str">
        <f t="shared" si="0"/>
        <v/>
      </c>
    </row>
    <row r="47" spans="1:7" x14ac:dyDescent="0.3">
      <c r="A47" s="14" t="s">
        <v>135</v>
      </c>
      <c r="B47" s="15" t="s">
        <v>136</v>
      </c>
      <c r="C47" s="15"/>
      <c r="D47" s="14" t="str">
        <f>IF(LangIdx=2,C47&amp;"",B47&amp;"")</f>
        <v>in</v>
      </c>
      <c r="E47" s="14" t="s">
        <v>113</v>
      </c>
      <c r="F47" s="2"/>
      <c r="G47" s="14" t="str">
        <f t="shared" si="0"/>
        <v/>
      </c>
    </row>
    <row r="48" spans="1:7" x14ac:dyDescent="0.3">
      <c r="A48" s="14" t="s">
        <v>137</v>
      </c>
      <c r="B48" s="15"/>
      <c r="C48" s="15"/>
      <c r="D48" s="14" t="str">
        <f>IF(LangIdx=2,C48&amp;"",B48&amp;"")</f>
        <v/>
      </c>
      <c r="E48" s="14" t="s">
        <v>113</v>
      </c>
      <c r="F48" s="2"/>
      <c r="G48" s="14" t="str">
        <f t="shared" si="0"/>
        <v/>
      </c>
    </row>
    <row r="49" spans="1:7" x14ac:dyDescent="0.3">
      <c r="A49" s="14" t="s">
        <v>138</v>
      </c>
      <c r="B49" s="15" t="s">
        <v>139</v>
      </c>
      <c r="C49" s="15" t="s">
        <v>140</v>
      </c>
      <c r="D49" s="14" t="str">
        <f>IF(LangIdx=2,C49&amp;"",B49&amp;"")</f>
        <v>thousands of</v>
      </c>
      <c r="E49" s="14" t="s">
        <v>113</v>
      </c>
      <c r="F49" s="2"/>
      <c r="G49" s="14" t="str">
        <f t="shared" si="0"/>
        <v/>
      </c>
    </row>
    <row r="50" spans="1:7" x14ac:dyDescent="0.3">
      <c r="A50" s="14" t="s">
        <v>141</v>
      </c>
      <c r="B50" s="15" t="s">
        <v>142</v>
      </c>
      <c r="C50" s="15" t="s">
        <v>143</v>
      </c>
      <c r="D50" s="14" t="str">
        <f>IF(LangIdx=2,C50&amp;"",B50&amp;"")</f>
        <v>millions of</v>
      </c>
      <c r="E50" s="14" t="s">
        <v>113</v>
      </c>
      <c r="F50" s="2"/>
      <c r="G50" s="14" t="str">
        <f t="shared" si="0"/>
        <v/>
      </c>
    </row>
    <row r="51" spans="1:7" x14ac:dyDescent="0.3">
      <c r="A51" s="14" t="s">
        <v>144</v>
      </c>
      <c r="B51" s="15"/>
      <c r="C51" s="15" t="s">
        <v>145</v>
      </c>
      <c r="D51" s="14" t="str">
        <f>IF(LangIdx=2,C51&amp;"",B51&amp;"")</f>
        <v/>
      </c>
      <c r="E51" s="14" t="s">
        <v>113</v>
      </c>
      <c r="F51" s="2"/>
      <c r="G51" s="14" t="str">
        <f t="shared" si="0"/>
        <v/>
      </c>
    </row>
    <row r="52" spans="1:7" x14ac:dyDescent="0.3">
      <c r="A52" s="14" t="s">
        <v>146</v>
      </c>
      <c r="B52" s="15" t="s">
        <v>147</v>
      </c>
      <c r="C52" s="15" t="s">
        <v>148</v>
      </c>
      <c r="D52" s="14" t="str">
        <f>IF(LangIdx=2,C52&amp;"",B52&amp;"")</f>
        <v>Operating expenses presented</v>
      </c>
      <c r="E52" s="14" t="s">
        <v>113</v>
      </c>
      <c r="F52" s="2"/>
      <c r="G52" s="14" t="str">
        <f t="shared" si="0"/>
        <v/>
      </c>
    </row>
    <row r="53" spans="1:7" x14ac:dyDescent="0.3">
      <c r="A53" s="14" t="s">
        <v>149</v>
      </c>
      <c r="B53" s="15" t="s">
        <v>150</v>
      </c>
      <c r="C53" s="15" t="s">
        <v>151</v>
      </c>
      <c r="D53" s="14" t="str">
        <f>IF(LangIdx=2,C53&amp;"",B53&amp;"")</f>
        <v>Main business activity: investing in assets?</v>
      </c>
      <c r="E53" s="14" t="s">
        <v>113</v>
      </c>
      <c r="F53" s="2"/>
      <c r="G53" s="14" t="str">
        <f t="shared" si="0"/>
        <v/>
      </c>
    </row>
    <row r="54" spans="1:7" x14ac:dyDescent="0.3">
      <c r="A54" s="14" t="s">
        <v>152</v>
      </c>
      <c r="B54" s="15" t="s">
        <v>153</v>
      </c>
      <c r="C54" s="15" t="s">
        <v>154</v>
      </c>
      <c r="D54" s="14" t="str">
        <f>IF(LangIdx=2,C54&amp;"",B54&amp;"")</f>
        <v>Main business activity: providing financing to customers?</v>
      </c>
      <c r="E54" s="14" t="s">
        <v>113</v>
      </c>
      <c r="F54" s="2"/>
      <c r="G54" s="14" t="str">
        <f t="shared" si="0"/>
        <v/>
      </c>
    </row>
    <row r="55" spans="1:7" x14ac:dyDescent="0.3">
      <c r="A55" s="14" t="s">
        <v>155</v>
      </c>
      <c r="B55" s="15" t="s">
        <v>156</v>
      </c>
      <c r="C55" s="15" t="s">
        <v>157</v>
      </c>
      <c r="D55" s="14" t="str">
        <f>IF(LangIdx=2,C55&amp;"",B55&amp;"")</f>
        <v>Income tax rate</v>
      </c>
      <c r="E55" s="14" t="s">
        <v>113</v>
      </c>
      <c r="F55" s="2"/>
      <c r="G55" s="14" t="str">
        <f t="shared" si="0"/>
        <v/>
      </c>
    </row>
    <row r="56" spans="1:7" x14ac:dyDescent="0.3">
      <c r="A56" s="14" t="s">
        <v>158</v>
      </c>
      <c r="B56" s="15" t="s">
        <v>159</v>
      </c>
      <c r="C56" s="15" t="s">
        <v>160</v>
      </c>
      <c r="D56" s="14" t="str">
        <f>IF(LangIdx=2,C56&amp;"",B56&amp;"")</f>
        <v>Threshold for material 'Other' line warning</v>
      </c>
      <c r="E56" s="14" t="s">
        <v>113</v>
      </c>
      <c r="F56" s="2"/>
      <c r="G56" s="14" t="str">
        <f t="shared" si="0"/>
        <v/>
      </c>
    </row>
    <row r="57" spans="1:7" x14ac:dyDescent="0.3">
      <c r="A57" s="14" t="s">
        <v>161</v>
      </c>
      <c r="B57" s="15" t="s">
        <v>162</v>
      </c>
      <c r="C57" s="15" t="s">
        <v>163</v>
      </c>
      <c r="D57" s="14" t="str">
        <f>IF(LangIdx=2,C57&amp;"",B57&amp;"")</f>
        <v>Show the EBITDA-like IFRS-specified subtotal?</v>
      </c>
      <c r="E57" s="14" t="s">
        <v>113</v>
      </c>
      <c r="F57" s="2"/>
      <c r="G57" s="14" t="str">
        <f t="shared" si="0"/>
        <v/>
      </c>
    </row>
    <row r="58" spans="1:7" x14ac:dyDescent="0.3">
      <c r="A58" s="14" t="s">
        <v>164</v>
      </c>
      <c r="B58" s="15" t="s">
        <v>165</v>
      </c>
      <c r="C58" s="15" t="s">
        <v>166</v>
      </c>
      <c r="D58" s="14" t="str">
        <f>IF(LangIdx=2,C58&amp;"",B58&amp;"")</f>
        <v>Workbook status</v>
      </c>
      <c r="E58" s="14" t="s">
        <v>113</v>
      </c>
      <c r="F58" s="2"/>
      <c r="G58" s="14" t="str">
        <f t="shared" si="0"/>
        <v/>
      </c>
    </row>
    <row r="59" spans="1:7" x14ac:dyDescent="0.3">
      <c r="A59" s="14" t="s">
        <v>167</v>
      </c>
      <c r="B59" s="15" t="s">
        <v>168</v>
      </c>
      <c r="C59" s="15" t="s">
        <v>169</v>
      </c>
      <c r="D59" s="14" t="str">
        <f>IF(LangIdx=2,C59&amp;"",B59&amp;"")</f>
        <v>Is lease interest accrued to the lease liability?</v>
      </c>
      <c r="E59" s="14" t="s">
        <v>113</v>
      </c>
      <c r="F59" s="2"/>
      <c r="G59" s="14" t="str">
        <f t="shared" si="0"/>
        <v/>
      </c>
    </row>
    <row r="60" spans="1:7" x14ac:dyDescent="0.3">
      <c r="A60" s="14" t="s">
        <v>170</v>
      </c>
      <c r="B60" s="15" t="s">
        <v>171</v>
      </c>
      <c r="C60" s="15" t="s">
        <v>172</v>
      </c>
      <c r="D60" s="14" t="str">
        <f>IF(LangIdx=2,C60&amp;"",B60&amp;"")</f>
        <v>PDF files for the OBR submission</v>
      </c>
      <c r="E60" s="14" t="s">
        <v>113</v>
      </c>
      <c r="F60" s="2"/>
      <c r="G60" s="14" t="str">
        <f t="shared" si="0"/>
        <v/>
      </c>
    </row>
    <row r="61" spans="1:7" x14ac:dyDescent="0.3">
      <c r="A61" s="14" t="s">
        <v>173</v>
      </c>
      <c r="B61" s="15" t="s">
        <v>174</v>
      </c>
      <c r="C61" s="15" t="s">
        <v>175</v>
      </c>
      <c r="D61" s="14" t="str">
        <f>IF(LangIdx=2,C61&amp;"",B61&amp;"")</f>
        <v>Statement of financial position (PDF)</v>
      </c>
      <c r="E61" s="14" t="s">
        <v>113</v>
      </c>
      <c r="F61" s="2"/>
      <c r="G61" s="14" t="str">
        <f t="shared" si="0"/>
        <v/>
      </c>
    </row>
    <row r="62" spans="1:7" x14ac:dyDescent="0.3">
      <c r="A62" s="14" t="s">
        <v>176</v>
      </c>
      <c r="B62" s="15" t="s">
        <v>177</v>
      </c>
      <c r="C62" s="15" t="s">
        <v>178</v>
      </c>
      <c r="D62" s="14" t="str">
        <f>IF(LangIdx=2,C62&amp;"",B62&amp;"")</f>
        <v>Statement of profit or loss (PDF)</v>
      </c>
      <c r="E62" s="14" t="s">
        <v>113</v>
      </c>
      <c r="F62" s="2"/>
      <c r="G62" s="14" t="str">
        <f t="shared" si="0"/>
        <v/>
      </c>
    </row>
    <row r="63" spans="1:7" x14ac:dyDescent="0.3">
      <c r="A63" s="14" t="s">
        <v>179</v>
      </c>
      <c r="B63" s="15" t="s">
        <v>180</v>
      </c>
      <c r="C63" s="15" t="s">
        <v>181</v>
      </c>
      <c r="D63" s="14" t="str">
        <f>IF(LangIdx=2,C63&amp;"",B63&amp;"")</f>
        <v>Total size of the selected PDFs</v>
      </c>
      <c r="E63" s="14" t="s">
        <v>113</v>
      </c>
      <c r="F63" s="2"/>
      <c r="G63" s="14" t="str">
        <f t="shared" si="0"/>
        <v/>
      </c>
    </row>
    <row r="64" spans="1:7" x14ac:dyDescent="0.3">
      <c r="A64" s="14" t="s">
        <v>182</v>
      </c>
      <c r="B64" s="15" t="s">
        <v>183</v>
      </c>
      <c r="C64" s="15" t="s">
        <v>184</v>
      </c>
      <c r="D64" s="14" t="str">
        <f>IF(LangIdx=2,C64&amp;"",B64&amp;"")</f>
        <v>Under Hungarian rules an IFRS filer uploads the balance sheet and the income statement to the OBR as PDF attachments (see the portal FAQ, point 5.9). Create them with the button, or select existing files. The paths below are read by the OBR module.</v>
      </c>
      <c r="E64" s="14" t="s">
        <v>113</v>
      </c>
      <c r="F64" s="2"/>
      <c r="G64" s="14" t="str">
        <f t="shared" si="0"/>
        <v/>
      </c>
    </row>
    <row r="65" spans="1:7" x14ac:dyDescent="0.3">
      <c r="A65" s="14" t="s">
        <v>185</v>
      </c>
      <c r="B65" s="15" t="s">
        <v>186</v>
      </c>
      <c r="C65" s="15" t="s">
        <v>187</v>
      </c>
      <c r="D65" s="14" t="str">
        <f>IF(LangIdx=2,C65&amp;"",B65&amp;"")</f>
        <v>not selected</v>
      </c>
      <c r="E65" s="14" t="s">
        <v>113</v>
      </c>
      <c r="F65" s="2"/>
      <c r="G65" s="14" t="str">
        <f t="shared" si="0"/>
        <v/>
      </c>
    </row>
    <row r="66" spans="1:7" x14ac:dyDescent="0.3">
      <c r="A66" s="14" t="s">
        <v>188</v>
      </c>
      <c r="B66" s="15" t="s">
        <v>189</v>
      </c>
      <c r="C66" s="15" t="s">
        <v>190</v>
      </c>
      <c r="D66" s="14" t="str">
        <f>IF(LangIdx=2,C66&amp;"",B66&amp;"")</f>
        <v>Create .obr file</v>
      </c>
      <c r="E66" s="14" t="s">
        <v>113</v>
      </c>
      <c r="F66" s="2"/>
      <c r="G66" s="14" t="str">
        <f t="shared" si="0"/>
        <v/>
      </c>
    </row>
    <row r="67" spans="1:7" x14ac:dyDescent="0.3">
      <c r="A67" s="14" t="s">
        <v>191</v>
      </c>
      <c r="B67" s="15" t="s">
        <v>192</v>
      </c>
      <c r="C67" s="15" t="s">
        <v>193</v>
      </c>
      <c r="D67" s="14" t="str">
        <f>IF(LangIdx=2,C67&amp;"",B67&amp;"")</f>
        <v>Notes to PDF</v>
      </c>
      <c r="E67" s="14" t="s">
        <v>113</v>
      </c>
      <c r="F67" s="2"/>
      <c r="G67" s="14" t="str">
        <f t="shared" si="0"/>
        <v/>
      </c>
    </row>
    <row r="68" spans="1:7" x14ac:dyDescent="0.3">
      <c r="A68" s="14" t="s">
        <v>194</v>
      </c>
      <c r="B68" s="15" t="s">
        <v>195</v>
      </c>
      <c r="C68" s="15" t="s">
        <v>196</v>
      </c>
      <c r="D68" s="14" t="str">
        <f>IF(LangIdx=2,C68&amp;"",B68&amp;"")</f>
        <v>the file does not exist</v>
      </c>
      <c r="E68" s="14" t="s">
        <v>113</v>
      </c>
      <c r="F68" s="2"/>
      <c r="G68" s="14" t="str">
        <f t="shared" ref="G68:G131" si="1">IF(COUNTIF(DICT_KEY,A68)&gt;1,"DUP","")</f>
        <v/>
      </c>
    </row>
    <row r="69" spans="1:7" x14ac:dyDescent="0.3">
      <c r="A69" s="14" t="s">
        <v>197</v>
      </c>
      <c r="B69" s="15" t="s">
        <v>198</v>
      </c>
      <c r="C69" s="15" t="s">
        <v>199</v>
      </c>
      <c r="D69" s="14" t="str">
        <f>IF(LangIdx=2,C69&amp;"",B69&amp;"")</f>
        <v>General</v>
      </c>
      <c r="E69" s="14" t="s">
        <v>113</v>
      </c>
      <c r="F69" s="2"/>
      <c r="G69" s="14" t="str">
        <f t="shared" si="1"/>
        <v/>
      </c>
    </row>
    <row r="70" spans="1:7" x14ac:dyDescent="0.3">
      <c r="A70" s="14" t="s">
        <v>200</v>
      </c>
      <c r="B70" s="15" t="s">
        <v>201</v>
      </c>
      <c r="C70" s="15" t="s">
        <v>202</v>
      </c>
      <c r="D70" s="14" t="str">
        <f>IF(LangIdx=2,C70&amp;"",B70&amp;"")</f>
        <v>IFRS 18 presentation choices</v>
      </c>
      <c r="E70" s="14" t="s">
        <v>113</v>
      </c>
      <c r="F70" s="2"/>
      <c r="G70" s="14" t="str">
        <f t="shared" si="1"/>
        <v/>
      </c>
    </row>
    <row r="71" spans="1:7" x14ac:dyDescent="0.3">
      <c r="A71" s="14" t="s">
        <v>203</v>
      </c>
      <c r="B71" s="15" t="s">
        <v>204</v>
      </c>
      <c r="C71" s="15" t="s">
        <v>205</v>
      </c>
      <c r="D71" s="14" t="str">
        <f>IF(LangIdx=2,C71&amp;"",B71&amp;"")</f>
        <v>Other parameters</v>
      </c>
      <c r="E71" s="14" t="s">
        <v>113</v>
      </c>
      <c r="F71" s="2"/>
      <c r="G71" s="14" t="str">
        <f t="shared" si="1"/>
        <v/>
      </c>
    </row>
    <row r="72" spans="1:7" x14ac:dyDescent="0.3">
      <c r="A72" s="14" t="s">
        <v>206</v>
      </c>
      <c r="B72" s="15" t="s">
        <v>207</v>
      </c>
      <c r="C72" s="15" t="s">
        <v>208</v>
      </c>
      <c r="D72" s="14" t="str">
        <f>IF(LangIdx=2,C72&amp;"",B72&amp;"")</f>
        <v>Only entities whose main business activity is investing in assets or providing financing to customers answer Yes; this moves the related income and expenses into the operating category.</v>
      </c>
      <c r="E72" s="14" t="s">
        <v>113</v>
      </c>
      <c r="F72" s="2"/>
      <c r="G72" s="14" t="str">
        <f t="shared" si="1"/>
        <v/>
      </c>
    </row>
    <row r="73" spans="1:7" x14ac:dyDescent="0.3">
      <c r="A73" s="14" t="s">
        <v>209</v>
      </c>
      <c r="B73" s="15" t="s">
        <v>210</v>
      </c>
      <c r="C73" s="15" t="s">
        <v>211</v>
      </c>
      <c r="D73" s="14" t="str">
        <f>IF(LangIdx=2,C73&amp;"",B73&amp;"")</f>
        <v>Sheet protection is not applied by the template; use the XLNTBI protection macros. UserInterfaceOnly is not kept after closing the file.</v>
      </c>
      <c r="E73" s="14" t="s">
        <v>113</v>
      </c>
      <c r="F73" s="2"/>
      <c r="G73" s="14" t="str">
        <f t="shared" si="1"/>
        <v/>
      </c>
    </row>
    <row r="74" spans="1:7" x14ac:dyDescent="0.3">
      <c r="A74" s="14" t="s">
        <v>212</v>
      </c>
      <c r="B74" s="15" t="s">
        <v>213</v>
      </c>
      <c r="C74" s="15" t="s">
        <v>214</v>
      </c>
      <c r="D74" s="14" t="str">
        <f>IF(LangIdx=2,C74&amp;"",B74&amp;"")</f>
        <v>Account</v>
      </c>
      <c r="E74" s="14" t="s">
        <v>215</v>
      </c>
      <c r="F74" s="2"/>
      <c r="G74" s="14" t="str">
        <f t="shared" si="1"/>
        <v/>
      </c>
    </row>
    <row r="75" spans="1:7" x14ac:dyDescent="0.3">
      <c r="A75" s="14" t="s">
        <v>216</v>
      </c>
      <c r="B75" s="15" t="s">
        <v>217</v>
      </c>
      <c r="C75" s="15" t="s">
        <v>218</v>
      </c>
      <c r="D75" s="14" t="str">
        <f>IF(LangIdx=2,C75&amp;"",B75&amp;"")</f>
        <v>Account name</v>
      </c>
      <c r="E75" s="14" t="s">
        <v>215</v>
      </c>
      <c r="F75" s="2"/>
      <c r="G75" s="14" t="str">
        <f t="shared" si="1"/>
        <v/>
      </c>
    </row>
    <row r="76" spans="1:7" x14ac:dyDescent="0.3">
      <c r="A76" s="14" t="s">
        <v>219</v>
      </c>
      <c r="B76" s="15" t="s">
        <v>220</v>
      </c>
      <c r="C76" s="15" t="s">
        <v>221</v>
      </c>
      <c r="D76" s="14" t="str">
        <f>IF(LangIdx=2,C76&amp;"",B76&amp;"")</f>
        <v>Closing balance - current year</v>
      </c>
      <c r="E76" s="14" t="s">
        <v>215</v>
      </c>
      <c r="F76" s="2"/>
      <c r="G76" s="14" t="str">
        <f t="shared" si="1"/>
        <v/>
      </c>
    </row>
    <row r="77" spans="1:7" x14ac:dyDescent="0.3">
      <c r="A77" s="14" t="s">
        <v>222</v>
      </c>
      <c r="B77" s="15" t="s">
        <v>223</v>
      </c>
      <c r="C77" s="15" t="s">
        <v>224</v>
      </c>
      <c r="D77" s="14" t="str">
        <f>IF(LangIdx=2,C77&amp;"",B77&amp;"")</f>
        <v>Closing balance - prior year</v>
      </c>
      <c r="E77" s="14" t="s">
        <v>215</v>
      </c>
      <c r="F77" s="2"/>
      <c r="G77" s="14" t="str">
        <f t="shared" si="1"/>
        <v/>
      </c>
    </row>
    <row r="78" spans="1:7" x14ac:dyDescent="0.3">
      <c r="A78" s="14" t="s">
        <v>225</v>
      </c>
      <c r="B78" s="15" t="s">
        <v>226</v>
      </c>
      <c r="C78" s="15" t="s">
        <v>227</v>
      </c>
      <c r="D78" s="14" t="str">
        <f>IF(LangIdx=2,C78&amp;"",B78&amp;"")</f>
        <v>Closing balance - opening</v>
      </c>
      <c r="E78" s="14" t="s">
        <v>215</v>
      </c>
      <c r="F78" s="2"/>
      <c r="G78" s="14" t="str">
        <f t="shared" si="1"/>
        <v/>
      </c>
    </row>
    <row r="79" spans="1:7" x14ac:dyDescent="0.3">
      <c r="A79" s="14" t="s">
        <v>228</v>
      </c>
      <c r="B79" s="15" t="s">
        <v>229</v>
      </c>
      <c r="C79" s="15" t="s">
        <v>230</v>
      </c>
      <c r="D79" s="14" t="str">
        <f>IF(LangIdx=2,C79&amp;"",B79&amp;"")</f>
        <v>Check</v>
      </c>
      <c r="E79" s="14" t="s">
        <v>215</v>
      </c>
      <c r="F79" s="2"/>
      <c r="G79" s="14" t="str">
        <f t="shared" si="1"/>
        <v/>
      </c>
    </row>
    <row r="80" spans="1:7" x14ac:dyDescent="0.3">
      <c r="A80" s="14" t="s">
        <v>231</v>
      </c>
      <c r="B80" s="15" t="s">
        <v>232</v>
      </c>
      <c r="C80" s="15" t="s">
        <v>233</v>
      </c>
      <c r="D80" s="14" t="str">
        <f>IF(LangIdx=2,C80&amp;"",B80&amp;"")</f>
        <v>Unmapped account</v>
      </c>
      <c r="E80" s="14" t="s">
        <v>215</v>
      </c>
      <c r="F80" s="2"/>
      <c r="G80" s="14" t="str">
        <f t="shared" si="1"/>
        <v/>
      </c>
    </row>
    <row r="81" spans="1:7" x14ac:dyDescent="0.3">
      <c r="A81" s="14" t="s">
        <v>234</v>
      </c>
      <c r="B81" s="15" t="s">
        <v>235</v>
      </c>
      <c r="C81" s="15" t="s">
        <v>236</v>
      </c>
      <c r="D81" s="14" t="str">
        <f>IF(LangIdx=2,C81&amp;"",B81&amp;"")</f>
        <v>Debit - credit difference (must be zero)</v>
      </c>
      <c r="E81" s="14" t="s">
        <v>215</v>
      </c>
      <c r="F81" s="2"/>
      <c r="G81" s="14" t="str">
        <f t="shared" si="1"/>
        <v/>
      </c>
    </row>
    <row r="82" spans="1:7" x14ac:dyDescent="0.3">
      <c r="A82" s="14" t="s">
        <v>237</v>
      </c>
      <c r="B82" s="15" t="s">
        <v>238</v>
      </c>
      <c r="C82" s="15" t="s">
        <v>239</v>
      </c>
      <c r="D82" s="14" t="str">
        <f>IF(LangIdx=2,C82&amp;"",B82&amp;"")</f>
        <v>Balances in ledger sign: debit positive, credit negative</v>
      </c>
      <c r="E82" s="14" t="s">
        <v>215</v>
      </c>
      <c r="F82" s="2"/>
      <c r="G82" s="14" t="str">
        <f t="shared" si="1"/>
        <v/>
      </c>
    </row>
    <row r="83" spans="1:7" x14ac:dyDescent="0.3">
      <c r="A83" s="14" t="s">
        <v>240</v>
      </c>
      <c r="B83" s="15" t="s">
        <v>241</v>
      </c>
      <c r="C83" s="15" t="s">
        <v>242</v>
      </c>
      <c r="D83" s="14" t="str">
        <f>IF(LangIdx=2,C83&amp;"",B83&amp;"")</f>
        <v>Entry ID</v>
      </c>
      <c r="E83" s="14" t="s">
        <v>243</v>
      </c>
      <c r="F83" s="2"/>
      <c r="G83" s="14" t="str">
        <f t="shared" si="1"/>
        <v/>
      </c>
    </row>
    <row r="84" spans="1:7" x14ac:dyDescent="0.3">
      <c r="A84" s="14" t="s">
        <v>244</v>
      </c>
      <c r="B84" s="15" t="s">
        <v>245</v>
      </c>
      <c r="C84" s="15" t="s">
        <v>246</v>
      </c>
      <c r="D84" s="14" t="str">
        <f>IF(LangIdx=2,C84&amp;"",B84&amp;"")</f>
        <v>Period</v>
      </c>
      <c r="E84" s="14" t="s">
        <v>243</v>
      </c>
      <c r="F84" s="2"/>
      <c r="G84" s="14" t="str">
        <f t="shared" si="1"/>
        <v/>
      </c>
    </row>
    <row r="85" spans="1:7" x14ac:dyDescent="0.3">
      <c r="A85" s="14" t="s">
        <v>247</v>
      </c>
      <c r="B85" s="15" t="s">
        <v>213</v>
      </c>
      <c r="C85" s="15" t="s">
        <v>214</v>
      </c>
      <c r="D85" s="14" t="str">
        <f>IF(LangIdx=2,C85&amp;"",B85&amp;"")</f>
        <v>Account</v>
      </c>
      <c r="E85" s="14" t="s">
        <v>243</v>
      </c>
      <c r="F85" s="2"/>
      <c r="G85" s="14" t="str">
        <f t="shared" si="1"/>
        <v/>
      </c>
    </row>
    <row r="86" spans="1:7" x14ac:dyDescent="0.3">
      <c r="A86" s="14" t="s">
        <v>248</v>
      </c>
      <c r="B86" s="15" t="s">
        <v>249</v>
      </c>
      <c r="C86" s="15" t="s">
        <v>250</v>
      </c>
      <c r="D86" s="14" t="str">
        <f>IF(LangIdx=2,C86&amp;"",B86&amp;"")</f>
        <v>Debit</v>
      </c>
      <c r="E86" s="14" t="s">
        <v>243</v>
      </c>
      <c r="F86" s="2"/>
      <c r="G86" s="14" t="str">
        <f t="shared" si="1"/>
        <v/>
      </c>
    </row>
    <row r="87" spans="1:7" x14ac:dyDescent="0.3">
      <c r="A87" s="14" t="s">
        <v>251</v>
      </c>
      <c r="B87" s="15" t="s">
        <v>252</v>
      </c>
      <c r="C87" s="15" t="s">
        <v>253</v>
      </c>
      <c r="D87" s="14" t="str">
        <f>IF(LangIdx=2,C87&amp;"",B87&amp;"")</f>
        <v>Credit</v>
      </c>
      <c r="E87" s="14" t="s">
        <v>243</v>
      </c>
      <c r="F87" s="2"/>
      <c r="G87" s="14" t="str">
        <f t="shared" si="1"/>
        <v/>
      </c>
    </row>
    <row r="88" spans="1:7" x14ac:dyDescent="0.3">
      <c r="A88" s="14" t="s">
        <v>254</v>
      </c>
      <c r="B88" s="15" t="s">
        <v>255</v>
      </c>
      <c r="C88" s="15" t="s">
        <v>256</v>
      </c>
      <c r="D88" s="14" t="str">
        <f>IF(LangIdx=2,C88&amp;"",B88&amp;"")</f>
        <v>Description</v>
      </c>
      <c r="E88" s="14" t="s">
        <v>243</v>
      </c>
      <c r="F88" s="2"/>
      <c r="G88" s="14" t="str">
        <f t="shared" si="1"/>
        <v/>
      </c>
    </row>
    <row r="89" spans="1:7" x14ac:dyDescent="0.3">
      <c r="A89" s="14" t="s">
        <v>257</v>
      </c>
      <c r="B89" s="15" t="s">
        <v>229</v>
      </c>
      <c r="C89" s="15" t="s">
        <v>230</v>
      </c>
      <c r="D89" s="14" t="str">
        <f>IF(LangIdx=2,C89&amp;"",B89&amp;"")</f>
        <v>Check</v>
      </c>
      <c r="E89" s="14" t="s">
        <v>243</v>
      </c>
      <c r="F89" s="2"/>
      <c r="G89" s="14" t="str">
        <f t="shared" si="1"/>
        <v/>
      </c>
    </row>
    <row r="90" spans="1:7" x14ac:dyDescent="0.3">
      <c r="A90" s="14" t="s">
        <v>258</v>
      </c>
      <c r="B90" s="15" t="s">
        <v>259</v>
      </c>
      <c r="C90" s="15" t="s">
        <v>260</v>
      </c>
      <c r="D90" s="14" t="str">
        <f>IF(LangIdx=2,C90&amp;"",B90&amp;"")</f>
        <v>Unbalanced entry</v>
      </c>
      <c r="E90" s="14" t="s">
        <v>243</v>
      </c>
      <c r="F90" s="2"/>
      <c r="G90" s="14" t="str">
        <f t="shared" si="1"/>
        <v/>
      </c>
    </row>
    <row r="91" spans="1:7" x14ac:dyDescent="0.3">
      <c r="A91" s="14" t="s">
        <v>261</v>
      </c>
      <c r="B91" s="15" t="s">
        <v>213</v>
      </c>
      <c r="C91" s="15" t="s">
        <v>214</v>
      </c>
      <c r="D91" s="14" t="str">
        <f>IF(LangIdx=2,C91&amp;"",B91&amp;"")</f>
        <v>Account</v>
      </c>
      <c r="E91" s="14" t="s">
        <v>262</v>
      </c>
      <c r="F91" s="2"/>
      <c r="G91" s="14" t="str">
        <f t="shared" si="1"/>
        <v/>
      </c>
    </row>
    <row r="92" spans="1:7" x14ac:dyDescent="0.3">
      <c r="A92" s="14" t="s">
        <v>263</v>
      </c>
      <c r="B92" s="15" t="s">
        <v>217</v>
      </c>
      <c r="C92" s="15" t="s">
        <v>218</v>
      </c>
      <c r="D92" s="14" t="str">
        <f>IF(LangIdx=2,C92&amp;"",B92&amp;"")</f>
        <v>Account name</v>
      </c>
      <c r="E92" s="14" t="s">
        <v>262</v>
      </c>
      <c r="F92" s="2"/>
      <c r="G92" s="14" t="str">
        <f t="shared" si="1"/>
        <v/>
      </c>
    </row>
    <row r="93" spans="1:7" x14ac:dyDescent="0.3">
      <c r="A93" s="14" t="s">
        <v>264</v>
      </c>
      <c r="B93" s="15" t="s">
        <v>265</v>
      </c>
      <c r="C93" s="15" t="s">
        <v>266</v>
      </c>
      <c r="D93" s="14" t="str">
        <f>IF(LangIdx=2,C93&amp;"",B93&amp;"")</f>
        <v>Statement</v>
      </c>
      <c r="E93" s="14" t="s">
        <v>262</v>
      </c>
      <c r="F93" s="2"/>
      <c r="G93" s="14" t="str">
        <f t="shared" si="1"/>
        <v/>
      </c>
    </row>
    <row r="94" spans="1:7" x14ac:dyDescent="0.3">
      <c r="A94" s="14" t="s">
        <v>267</v>
      </c>
      <c r="B94" s="15" t="s">
        <v>268</v>
      </c>
      <c r="C94" s="15" t="s">
        <v>269</v>
      </c>
      <c r="D94" s="14" t="str">
        <f>IF(LangIdx=2,C94&amp;"",B94&amp;"")</f>
        <v>Line key</v>
      </c>
      <c r="E94" s="14" t="s">
        <v>262</v>
      </c>
      <c r="F94" s="2"/>
      <c r="G94" s="14" t="str">
        <f t="shared" si="1"/>
        <v/>
      </c>
    </row>
    <row r="95" spans="1:7" x14ac:dyDescent="0.3">
      <c r="A95" s="14" t="s">
        <v>270</v>
      </c>
      <c r="B95" s="15" t="s">
        <v>271</v>
      </c>
      <c r="C95" s="15" t="s">
        <v>272</v>
      </c>
      <c r="D95" s="14" t="str">
        <f>IF(LangIdx=2,C95&amp;"",B95&amp;"")</f>
        <v>Line key - by function</v>
      </c>
      <c r="E95" s="14" t="s">
        <v>262</v>
      </c>
      <c r="F95" s="2"/>
      <c r="G95" s="14" t="str">
        <f t="shared" si="1"/>
        <v/>
      </c>
    </row>
    <row r="96" spans="1:7" x14ac:dyDescent="0.3">
      <c r="A96" s="14" t="s">
        <v>273</v>
      </c>
      <c r="B96" s="15" t="s">
        <v>274</v>
      </c>
      <c r="C96" s="15" t="s">
        <v>275</v>
      </c>
      <c r="D96" s="14" t="str">
        <f>IF(LangIdx=2,C96&amp;"",B96&amp;"")</f>
        <v>Line key - by nature</v>
      </c>
      <c r="E96" s="14" t="s">
        <v>262</v>
      </c>
      <c r="F96" s="2"/>
      <c r="G96" s="14" t="str">
        <f t="shared" si="1"/>
        <v/>
      </c>
    </row>
    <row r="97" spans="1:7" x14ac:dyDescent="0.3">
      <c r="A97" s="14" t="s">
        <v>276</v>
      </c>
      <c r="B97" s="15" t="s">
        <v>277</v>
      </c>
      <c r="C97" s="15" t="s">
        <v>278</v>
      </c>
      <c r="D97" s="14" t="str">
        <f>IF(LangIdx=2,C97&amp;"",B97&amp;"")</f>
        <v>IFRS 18 category</v>
      </c>
      <c r="E97" s="14" t="s">
        <v>262</v>
      </c>
      <c r="F97" s="2"/>
      <c r="G97" s="14" t="str">
        <f t="shared" si="1"/>
        <v/>
      </c>
    </row>
    <row r="98" spans="1:7" x14ac:dyDescent="0.3">
      <c r="A98" s="14" t="s">
        <v>279</v>
      </c>
      <c r="B98" s="15" t="s">
        <v>280</v>
      </c>
      <c r="C98" s="15" t="s">
        <v>281</v>
      </c>
      <c r="D98" s="14" t="str">
        <f>IF(LangIdx=2,C98&amp;"",B98&amp;"")</f>
        <v>Main business activity sensitivity</v>
      </c>
      <c r="E98" s="14" t="s">
        <v>262</v>
      </c>
      <c r="F98" s="2"/>
      <c r="G98" s="14" t="str">
        <f t="shared" si="1"/>
        <v/>
      </c>
    </row>
    <row r="99" spans="1:7" x14ac:dyDescent="0.3">
      <c r="A99" s="14" t="s">
        <v>282</v>
      </c>
      <c r="B99" s="15" t="s">
        <v>283</v>
      </c>
      <c r="C99" s="15" t="s">
        <v>284</v>
      </c>
      <c r="D99" s="14" t="str">
        <f>IF(LangIdx=2,C99&amp;"",B99&amp;"")</f>
        <v>Effective category</v>
      </c>
      <c r="E99" s="14" t="s">
        <v>262</v>
      </c>
      <c r="F99" s="2"/>
      <c r="G99" s="14" t="str">
        <f t="shared" si="1"/>
        <v/>
      </c>
    </row>
    <row r="100" spans="1:7" x14ac:dyDescent="0.3">
      <c r="A100" s="14" t="s">
        <v>285</v>
      </c>
      <c r="B100" s="15" t="s">
        <v>286</v>
      </c>
      <c r="C100" s="15" t="s">
        <v>287</v>
      </c>
      <c r="D100" s="14" t="str">
        <f>IF(LangIdx=2,C100&amp;"",B100&amp;"")</f>
        <v>Effective line key</v>
      </c>
      <c r="E100" s="14" t="s">
        <v>262</v>
      </c>
      <c r="F100" s="2"/>
      <c r="G100" s="14" t="str">
        <f t="shared" si="1"/>
        <v/>
      </c>
    </row>
    <row r="101" spans="1:7" x14ac:dyDescent="0.3">
      <c r="A101" s="14" t="s">
        <v>288</v>
      </c>
      <c r="B101" s="15" t="s">
        <v>289</v>
      </c>
      <c r="C101" s="15" t="s">
        <v>290</v>
      </c>
      <c r="D101" s="14" t="str">
        <f>IF(LangIdx=2,C101&amp;"",B101&amp;"")</f>
        <v>FX parent account</v>
      </c>
      <c r="E101" s="14" t="s">
        <v>262</v>
      </c>
      <c r="F101" s="2"/>
      <c r="G101" s="14" t="str">
        <f t="shared" si="1"/>
        <v/>
      </c>
    </row>
    <row r="102" spans="1:7" x14ac:dyDescent="0.3">
      <c r="A102" s="14" t="s">
        <v>291</v>
      </c>
      <c r="B102" s="15" t="s">
        <v>292</v>
      </c>
      <c r="C102" s="15" t="s">
        <v>293</v>
      </c>
      <c r="D102" s="14" t="str">
        <f>IF(LangIdx=2,C102&amp;"",B102&amp;"")</f>
        <v>Final category</v>
      </c>
      <c r="E102" s="14" t="s">
        <v>262</v>
      </c>
      <c r="F102" s="2"/>
      <c r="G102" s="14" t="str">
        <f t="shared" si="1"/>
        <v/>
      </c>
    </row>
    <row r="103" spans="1:7" x14ac:dyDescent="0.3">
      <c r="A103" s="14" t="s">
        <v>294</v>
      </c>
      <c r="B103" s="15" t="s">
        <v>295</v>
      </c>
      <c r="C103" s="15" t="s">
        <v>296</v>
      </c>
      <c r="D103" s="14" t="str">
        <f>IF(LangIdx=2,C103&amp;"",B103&amp;"")</f>
        <v>Cash flow tag</v>
      </c>
      <c r="E103" s="14" t="s">
        <v>262</v>
      </c>
      <c r="F103" s="2"/>
      <c r="G103" s="14" t="str">
        <f t="shared" si="1"/>
        <v/>
      </c>
    </row>
    <row r="104" spans="1:7" x14ac:dyDescent="0.3">
      <c r="A104" s="14" t="s">
        <v>297</v>
      </c>
      <c r="B104" s="15" t="s">
        <v>298</v>
      </c>
      <c r="C104" s="15" t="s">
        <v>299</v>
      </c>
      <c r="D104" s="14" t="str">
        <f>IF(LangIdx=2,C104&amp;"",B104&amp;"")</f>
        <v>Equity component</v>
      </c>
      <c r="E104" s="14" t="s">
        <v>262</v>
      </c>
      <c r="F104" s="2"/>
      <c r="G104" s="14" t="str">
        <f t="shared" si="1"/>
        <v/>
      </c>
    </row>
    <row r="105" spans="1:7" x14ac:dyDescent="0.3">
      <c r="A105" s="14" t="s">
        <v>300</v>
      </c>
      <c r="B105" s="15" t="s">
        <v>301</v>
      </c>
      <c r="C105" s="15" t="s">
        <v>302</v>
      </c>
      <c r="D105" s="14" t="str">
        <f>IF(LangIdx=2,C105&amp;"",B105&amp;"")</f>
        <v>'Other' line?</v>
      </c>
      <c r="E105" s="14" t="s">
        <v>262</v>
      </c>
      <c r="F105" s="2"/>
      <c r="G105" s="14" t="str">
        <f t="shared" si="1"/>
        <v/>
      </c>
    </row>
    <row r="106" spans="1:7" x14ac:dyDescent="0.3">
      <c r="A106" s="14" t="s">
        <v>303</v>
      </c>
      <c r="B106" s="15" t="s">
        <v>229</v>
      </c>
      <c r="C106" s="15" t="s">
        <v>230</v>
      </c>
      <c r="D106" s="14" t="str">
        <f>IF(LangIdx=2,C106&amp;"",B106&amp;"")</f>
        <v>Check</v>
      </c>
      <c r="E106" s="14" t="s">
        <v>262</v>
      </c>
      <c r="F106" s="2"/>
      <c r="G106" s="14" t="str">
        <f t="shared" si="1"/>
        <v/>
      </c>
    </row>
    <row r="107" spans="1:7" x14ac:dyDescent="0.3">
      <c r="A107" s="14" t="s">
        <v>304</v>
      </c>
      <c r="B107" s="15" t="s">
        <v>305</v>
      </c>
      <c r="C107" s="15" t="s">
        <v>306</v>
      </c>
      <c r="D107" s="14" t="str">
        <f>IF(LangIdx=2,C107&amp;"",B107&amp;"")</f>
        <v>Line key not in catalogue</v>
      </c>
      <c r="E107" s="14" t="s">
        <v>262</v>
      </c>
      <c r="F107" s="2"/>
      <c r="G107" s="14" t="str">
        <f t="shared" si="1"/>
        <v/>
      </c>
    </row>
    <row r="108" spans="1:7" x14ac:dyDescent="0.3">
      <c r="A108" s="14" t="s">
        <v>307</v>
      </c>
      <c r="B108" s="15" t="s">
        <v>308</v>
      </c>
      <c r="C108" s="15" t="s">
        <v>309</v>
      </c>
      <c r="D108" s="14" t="str">
        <f>IF(LangIdx=2,C108&amp;"",B108&amp;"")</f>
        <v>Category missing</v>
      </c>
      <c r="E108" s="14" t="s">
        <v>262</v>
      </c>
      <c r="F108" s="2"/>
      <c r="G108" s="14" t="str">
        <f t="shared" si="1"/>
        <v/>
      </c>
    </row>
    <row r="109" spans="1:7" x14ac:dyDescent="0.3">
      <c r="A109" s="14" t="s">
        <v>310</v>
      </c>
      <c r="B109" s="15" t="s">
        <v>311</v>
      </c>
      <c r="C109" s="15" t="s">
        <v>312</v>
      </c>
      <c r="D109" s="14" t="str">
        <f>IF(LangIdx=2,C109&amp;"",B109&amp;"")</f>
        <v>Function/nature line key missing</v>
      </c>
      <c r="E109" s="14" t="s">
        <v>262</v>
      </c>
      <c r="F109" s="2"/>
      <c r="G109" s="14" t="str">
        <f t="shared" si="1"/>
        <v/>
      </c>
    </row>
    <row r="110" spans="1:7" x14ac:dyDescent="0.3">
      <c r="A110" s="14" t="s">
        <v>313</v>
      </c>
      <c r="B110" s="15" t="s">
        <v>314</v>
      </c>
      <c r="C110" s="15" t="s">
        <v>315</v>
      </c>
      <c r="D110" s="14" t="str">
        <f>IF(LangIdx=2,C110&amp;"",B110&amp;"")</f>
        <v>Statement and line key do not match</v>
      </c>
      <c r="E110" s="14" t="s">
        <v>262</v>
      </c>
      <c r="F110" s="2"/>
      <c r="G110" s="14" t="str">
        <f t="shared" si="1"/>
        <v/>
      </c>
    </row>
    <row r="111" spans="1:7" x14ac:dyDescent="0.3">
      <c r="A111" s="14" t="s">
        <v>316</v>
      </c>
      <c r="B111" s="15" t="s">
        <v>268</v>
      </c>
      <c r="C111" s="15" t="s">
        <v>269</v>
      </c>
      <c r="D111" s="14" t="str">
        <f>IF(LangIdx=2,C111&amp;"",B111&amp;"")</f>
        <v>Line key</v>
      </c>
      <c r="E111" s="14" t="s">
        <v>317</v>
      </c>
      <c r="F111" s="2"/>
      <c r="G111" s="14" t="str">
        <f t="shared" si="1"/>
        <v/>
      </c>
    </row>
    <row r="112" spans="1:7" x14ac:dyDescent="0.3">
      <c r="A112" s="14" t="s">
        <v>318</v>
      </c>
      <c r="B112" s="15" t="s">
        <v>319</v>
      </c>
      <c r="C112" s="15" t="s">
        <v>256</v>
      </c>
      <c r="D112" s="14" t="str">
        <f>IF(LangIdx=2,C112&amp;"",B112&amp;"")</f>
        <v>Label</v>
      </c>
      <c r="E112" s="14" t="s">
        <v>317</v>
      </c>
      <c r="F112" s="2"/>
      <c r="G112" s="14" t="str">
        <f t="shared" si="1"/>
        <v/>
      </c>
    </row>
    <row r="113" spans="1:7" x14ac:dyDescent="0.3">
      <c r="A113" s="14" t="s">
        <v>320</v>
      </c>
      <c r="B113" s="15" t="s">
        <v>321</v>
      </c>
      <c r="C113" s="15" t="s">
        <v>322</v>
      </c>
      <c r="D113" s="14" t="str">
        <f>IF(LangIdx=2,C113&amp;"",B113&amp;"")</f>
        <v>Presentation sign</v>
      </c>
      <c r="E113" s="14" t="s">
        <v>317</v>
      </c>
      <c r="F113" s="2"/>
      <c r="G113" s="14" t="str">
        <f t="shared" si="1"/>
        <v/>
      </c>
    </row>
    <row r="114" spans="1:7" x14ac:dyDescent="0.3">
      <c r="A114" s="14" t="s">
        <v>323</v>
      </c>
      <c r="B114" s="15" t="s">
        <v>324</v>
      </c>
      <c r="C114" s="15" t="s">
        <v>325</v>
      </c>
      <c r="D114" s="14" t="str">
        <f>IF(LangIdx=2,C114&amp;"",B114&amp;"")</f>
        <v>TB current year</v>
      </c>
      <c r="E114" s="14" t="s">
        <v>317</v>
      </c>
      <c r="F114" s="2"/>
      <c r="G114" s="14" t="str">
        <f t="shared" si="1"/>
        <v/>
      </c>
    </row>
    <row r="115" spans="1:7" x14ac:dyDescent="0.3">
      <c r="A115" s="14" t="s">
        <v>326</v>
      </c>
      <c r="B115" s="15" t="s">
        <v>327</v>
      </c>
      <c r="C115" s="15" t="s">
        <v>328</v>
      </c>
      <c r="D115" s="14" t="str">
        <f>IF(LangIdx=2,C115&amp;"",B115&amp;"")</f>
        <v>Adjustments current year</v>
      </c>
      <c r="E115" s="14" t="s">
        <v>317</v>
      </c>
      <c r="F115" s="2"/>
      <c r="G115" s="14" t="str">
        <f t="shared" si="1"/>
        <v/>
      </c>
    </row>
    <row r="116" spans="1:7" x14ac:dyDescent="0.3">
      <c r="A116" s="14" t="s">
        <v>329</v>
      </c>
      <c r="B116" s="15" t="s">
        <v>330</v>
      </c>
      <c r="C116" s="15" t="s">
        <v>331</v>
      </c>
      <c r="D116" s="14" t="str">
        <f>IF(LangIdx=2,C116&amp;"",B116&amp;"")</f>
        <v>Current year (ledger sign)</v>
      </c>
      <c r="E116" s="14" t="s">
        <v>317</v>
      </c>
      <c r="F116" s="2"/>
      <c r="G116" s="14" t="str">
        <f t="shared" si="1"/>
        <v/>
      </c>
    </row>
    <row r="117" spans="1:7" x14ac:dyDescent="0.3">
      <c r="A117" s="14" t="s">
        <v>332</v>
      </c>
      <c r="B117" s="15" t="s">
        <v>333</v>
      </c>
      <c r="C117" s="15" t="s">
        <v>334</v>
      </c>
      <c r="D117" s="14" t="str">
        <f>IF(LangIdx=2,C117&amp;"",B117&amp;"")</f>
        <v>Prior year (ledger sign)</v>
      </c>
      <c r="E117" s="14" t="s">
        <v>317</v>
      </c>
      <c r="F117" s="2"/>
      <c r="G117" s="14" t="str">
        <f t="shared" si="1"/>
        <v/>
      </c>
    </row>
    <row r="118" spans="1:7" x14ac:dyDescent="0.3">
      <c r="A118" s="14" t="s">
        <v>335</v>
      </c>
      <c r="B118" s="15" t="s">
        <v>336</v>
      </c>
      <c r="C118" s="15" t="s">
        <v>337</v>
      </c>
      <c r="D118" s="14" t="str">
        <f>IF(LangIdx=2,C118&amp;"",B118&amp;"")</f>
        <v>Opening (ledger sign)</v>
      </c>
      <c r="E118" s="14" t="s">
        <v>317</v>
      </c>
      <c r="F118" s="2"/>
      <c r="G118" s="14" t="str">
        <f t="shared" si="1"/>
        <v/>
      </c>
    </row>
    <row r="119" spans="1:7" x14ac:dyDescent="0.3">
      <c r="A119" s="14" t="s">
        <v>338</v>
      </c>
      <c r="B119" s="15" t="s">
        <v>339</v>
      </c>
      <c r="C119" s="15" t="s">
        <v>340</v>
      </c>
      <c r="D119" s="14" t="str">
        <f>IF(LangIdx=2,C119&amp;"",B119&amp;"")</f>
        <v>Current year (presented)</v>
      </c>
      <c r="E119" s="14" t="s">
        <v>317</v>
      </c>
      <c r="F119" s="2"/>
      <c r="G119" s="14" t="str">
        <f t="shared" si="1"/>
        <v/>
      </c>
    </row>
    <row r="120" spans="1:7" x14ac:dyDescent="0.3">
      <c r="A120" s="14" t="s">
        <v>341</v>
      </c>
      <c r="B120" s="15" t="s">
        <v>342</v>
      </c>
      <c r="C120" s="15" t="s">
        <v>343</v>
      </c>
      <c r="D120" s="14" t="str">
        <f>IF(LangIdx=2,C120&amp;"",B120&amp;"")</f>
        <v>Prior year (presented)</v>
      </c>
      <c r="E120" s="14" t="s">
        <v>317</v>
      </c>
      <c r="F120" s="2"/>
      <c r="G120" s="14" t="str">
        <f t="shared" si="1"/>
        <v/>
      </c>
    </row>
    <row r="121" spans="1:7" x14ac:dyDescent="0.3">
      <c r="A121" s="14" t="s">
        <v>344</v>
      </c>
      <c r="B121" s="15" t="s">
        <v>345</v>
      </c>
      <c r="C121" s="15" t="s">
        <v>346</v>
      </c>
      <c r="D121" s="14" t="str">
        <f>IF(LangIdx=2,C121&amp;"",B121&amp;"")</f>
        <v>Movement current year</v>
      </c>
      <c r="E121" s="14" t="s">
        <v>317</v>
      </c>
      <c r="F121" s="2"/>
      <c r="G121" s="14" t="str">
        <f t="shared" si="1"/>
        <v/>
      </c>
    </row>
    <row r="122" spans="1:7" x14ac:dyDescent="0.3">
      <c r="A122" s="14" t="s">
        <v>347</v>
      </c>
      <c r="B122" s="15" t="s">
        <v>348</v>
      </c>
      <c r="C122" s="15" t="s">
        <v>349</v>
      </c>
      <c r="D122" s="14" t="str">
        <f>IF(LangIdx=2,C122&amp;"",B122&amp;"")</f>
        <v>Movement prior year</v>
      </c>
      <c r="E122" s="14" t="s">
        <v>317</v>
      </c>
      <c r="F122" s="2"/>
      <c r="G122" s="14" t="str">
        <f t="shared" si="1"/>
        <v/>
      </c>
    </row>
    <row r="123" spans="1:7" x14ac:dyDescent="0.3">
      <c r="A123" s="14" t="s">
        <v>350</v>
      </c>
      <c r="B123" s="15" t="s">
        <v>351</v>
      </c>
      <c r="C123" s="15" t="s">
        <v>352</v>
      </c>
      <c r="D123" s="14" t="str">
        <f>IF(LangIdx=2,C123&amp;"",B123&amp;"")</f>
        <v>Statement of financial position</v>
      </c>
      <c r="E123" s="14" t="s">
        <v>353</v>
      </c>
      <c r="F123" s="2" t="s">
        <v>354</v>
      </c>
      <c r="G123" s="14" t="str">
        <f t="shared" si="1"/>
        <v/>
      </c>
    </row>
    <row r="124" spans="1:7" x14ac:dyDescent="0.3">
      <c r="A124" s="14" t="s">
        <v>355</v>
      </c>
      <c r="B124" s="15" t="s">
        <v>356</v>
      </c>
      <c r="C124" s="15" t="s">
        <v>357</v>
      </c>
      <c r="D124" s="14" t="str">
        <f>IF(LangIdx=2,C124&amp;"",B124&amp;"")</f>
        <v>ASSETS</v>
      </c>
      <c r="E124" s="14" t="s">
        <v>353</v>
      </c>
      <c r="F124" s="2" t="s">
        <v>354</v>
      </c>
      <c r="G124" s="14" t="str">
        <f t="shared" si="1"/>
        <v/>
      </c>
    </row>
    <row r="125" spans="1:7" x14ac:dyDescent="0.3">
      <c r="A125" s="14" t="s">
        <v>358</v>
      </c>
      <c r="B125" s="15" t="s">
        <v>359</v>
      </c>
      <c r="C125" s="15" t="s">
        <v>360</v>
      </c>
      <c r="D125" s="14" t="str">
        <f>IF(LangIdx=2,C125&amp;"",B125&amp;"")</f>
        <v>Non-current assets</v>
      </c>
      <c r="E125" s="14" t="s">
        <v>353</v>
      </c>
      <c r="F125" s="2" t="s">
        <v>354</v>
      </c>
      <c r="G125" s="14" t="str">
        <f t="shared" si="1"/>
        <v/>
      </c>
    </row>
    <row r="126" spans="1:7" x14ac:dyDescent="0.3">
      <c r="A126" s="14" t="s">
        <v>361</v>
      </c>
      <c r="B126" s="15" t="s">
        <v>362</v>
      </c>
      <c r="C126" s="15" t="s">
        <v>363</v>
      </c>
      <c r="D126" s="14" t="str">
        <f>IF(LangIdx=2,C126&amp;"",B126&amp;"")</f>
        <v>Property, plant and equipment</v>
      </c>
      <c r="E126" s="14" t="s">
        <v>353</v>
      </c>
      <c r="F126" s="2" t="s">
        <v>354</v>
      </c>
      <c r="G126" s="14" t="str">
        <f t="shared" si="1"/>
        <v/>
      </c>
    </row>
    <row r="127" spans="1:7" x14ac:dyDescent="0.3">
      <c r="A127" s="14" t="s">
        <v>364</v>
      </c>
      <c r="B127" s="15" t="s">
        <v>365</v>
      </c>
      <c r="C127" s="15" t="s">
        <v>366</v>
      </c>
      <c r="D127" s="14" t="str">
        <f>IF(LangIdx=2,C127&amp;"",B127&amp;"")</f>
        <v>Right-of-use assets</v>
      </c>
      <c r="E127" s="14" t="s">
        <v>353</v>
      </c>
      <c r="F127" s="2" t="s">
        <v>354</v>
      </c>
      <c r="G127" s="14" t="str">
        <f t="shared" si="1"/>
        <v/>
      </c>
    </row>
    <row r="128" spans="1:7" x14ac:dyDescent="0.3">
      <c r="A128" s="14" t="s">
        <v>367</v>
      </c>
      <c r="B128" s="15" t="s">
        <v>368</v>
      </c>
      <c r="C128" s="15" t="s">
        <v>369</v>
      </c>
      <c r="D128" s="14" t="str">
        <f>IF(LangIdx=2,C128&amp;"",B128&amp;"")</f>
        <v>Investment property</v>
      </c>
      <c r="E128" s="14" t="s">
        <v>353</v>
      </c>
      <c r="F128" s="2" t="s">
        <v>354</v>
      </c>
      <c r="G128" s="14" t="str">
        <f t="shared" si="1"/>
        <v/>
      </c>
    </row>
    <row r="129" spans="1:7" x14ac:dyDescent="0.3">
      <c r="A129" s="14" t="s">
        <v>370</v>
      </c>
      <c r="B129" s="15" t="s">
        <v>371</v>
      </c>
      <c r="C129" s="15" t="s">
        <v>372</v>
      </c>
      <c r="D129" s="14" t="str">
        <f>IF(LangIdx=2,C129&amp;"",B129&amp;"")</f>
        <v>Intangible assets</v>
      </c>
      <c r="E129" s="14" t="s">
        <v>353</v>
      </c>
      <c r="F129" s="2" t="s">
        <v>354</v>
      </c>
      <c r="G129" s="14" t="str">
        <f t="shared" si="1"/>
        <v/>
      </c>
    </row>
    <row r="130" spans="1:7" x14ac:dyDescent="0.3">
      <c r="A130" s="14" t="s">
        <v>373</v>
      </c>
      <c r="B130" s="15" t="s">
        <v>374</v>
      </c>
      <c r="C130" s="15" t="s">
        <v>374</v>
      </c>
      <c r="D130" s="14" t="str">
        <f>IF(LangIdx=2,C130&amp;"",B130&amp;"")</f>
        <v>Goodwill</v>
      </c>
      <c r="E130" s="14" t="s">
        <v>353</v>
      </c>
      <c r="F130" s="2" t="s">
        <v>354</v>
      </c>
      <c r="G130" s="14" t="str">
        <f t="shared" si="1"/>
        <v/>
      </c>
    </row>
    <row r="131" spans="1:7" x14ac:dyDescent="0.3">
      <c r="A131" s="14" t="s">
        <v>375</v>
      </c>
      <c r="B131" s="15" t="s">
        <v>376</v>
      </c>
      <c r="C131" s="15" t="s">
        <v>377</v>
      </c>
      <c r="D131" s="14" t="str">
        <f>IF(LangIdx=2,C131&amp;"",B131&amp;"")</f>
        <v>Investments accounted for using the equity method</v>
      </c>
      <c r="E131" s="14" t="s">
        <v>353</v>
      </c>
      <c r="F131" s="2" t="s">
        <v>354</v>
      </c>
      <c r="G131" s="14" t="str">
        <f t="shared" si="1"/>
        <v/>
      </c>
    </row>
    <row r="132" spans="1:7" x14ac:dyDescent="0.3">
      <c r="A132" s="14" t="s">
        <v>378</v>
      </c>
      <c r="B132" s="15" t="s">
        <v>379</v>
      </c>
      <c r="C132" s="15" t="s">
        <v>380</v>
      </c>
      <c r="D132" s="14" t="str">
        <f>IF(LangIdx=2,C132&amp;"",B132&amp;"")</f>
        <v>Non-current financial assets</v>
      </c>
      <c r="E132" s="14" t="s">
        <v>353</v>
      </c>
      <c r="F132" s="2" t="s">
        <v>354</v>
      </c>
      <c r="G132" s="14" t="str">
        <f t="shared" ref="G132:G195" si="2">IF(COUNTIF(DICT_KEY,A132)&gt;1,"DUP","")</f>
        <v/>
      </c>
    </row>
    <row r="133" spans="1:7" x14ac:dyDescent="0.3">
      <c r="A133" s="14" t="s">
        <v>381</v>
      </c>
      <c r="B133" s="15" t="s">
        <v>382</v>
      </c>
      <c r="C133" s="15" t="s">
        <v>383</v>
      </c>
      <c r="D133" s="14" t="str">
        <f>IF(LangIdx=2,C133&amp;"",B133&amp;"")</f>
        <v>Deferred tax assets</v>
      </c>
      <c r="E133" s="14" t="s">
        <v>353</v>
      </c>
      <c r="F133" s="2" t="s">
        <v>354</v>
      </c>
      <c r="G133" s="14" t="str">
        <f t="shared" si="2"/>
        <v/>
      </c>
    </row>
    <row r="134" spans="1:7" x14ac:dyDescent="0.3">
      <c r="A134" s="14" t="s">
        <v>384</v>
      </c>
      <c r="B134" s="15" t="s">
        <v>385</v>
      </c>
      <c r="C134" s="15" t="s">
        <v>386</v>
      </c>
      <c r="D134" s="14" t="str">
        <f>IF(LangIdx=2,C134&amp;"",B134&amp;"")</f>
        <v>Non-current receivables</v>
      </c>
      <c r="E134" s="14" t="s">
        <v>353</v>
      </c>
      <c r="F134" s="2" t="s">
        <v>354</v>
      </c>
      <c r="G134" s="14" t="str">
        <f t="shared" si="2"/>
        <v/>
      </c>
    </row>
    <row r="135" spans="1:7" x14ac:dyDescent="0.3">
      <c r="A135" s="14" t="s">
        <v>387</v>
      </c>
      <c r="B135" s="15" t="s">
        <v>388</v>
      </c>
      <c r="C135" s="15" t="s">
        <v>389</v>
      </c>
      <c r="D135" s="14" t="str">
        <f>IF(LangIdx=2,C135&amp;"",B135&amp;"")</f>
        <v>Other non-current assets</v>
      </c>
      <c r="E135" s="14" t="s">
        <v>353</v>
      </c>
      <c r="F135" s="2" t="s">
        <v>354</v>
      </c>
      <c r="G135" s="14" t="str">
        <f t="shared" si="2"/>
        <v/>
      </c>
    </row>
    <row r="136" spans="1:7" x14ac:dyDescent="0.3">
      <c r="A136" s="14" t="s">
        <v>390</v>
      </c>
      <c r="B136" s="15" t="s">
        <v>391</v>
      </c>
      <c r="C136" s="15" t="s">
        <v>392</v>
      </c>
      <c r="D136" s="14" t="str">
        <f>IF(LangIdx=2,C136&amp;"",B136&amp;"")</f>
        <v>Total non-current assets</v>
      </c>
      <c r="E136" s="14" t="s">
        <v>353</v>
      </c>
      <c r="F136" s="2" t="s">
        <v>354</v>
      </c>
      <c r="G136" s="14" t="str">
        <f t="shared" si="2"/>
        <v/>
      </c>
    </row>
    <row r="137" spans="1:7" x14ac:dyDescent="0.3">
      <c r="A137" s="14" t="s">
        <v>393</v>
      </c>
      <c r="B137" s="15" t="s">
        <v>394</v>
      </c>
      <c r="C137" s="15" t="s">
        <v>395</v>
      </c>
      <c r="D137" s="14" t="str">
        <f>IF(LangIdx=2,C137&amp;"",B137&amp;"")</f>
        <v>Current assets</v>
      </c>
      <c r="E137" s="14" t="s">
        <v>353</v>
      </c>
      <c r="F137" s="2" t="s">
        <v>354</v>
      </c>
      <c r="G137" s="14" t="str">
        <f t="shared" si="2"/>
        <v/>
      </c>
    </row>
    <row r="138" spans="1:7" x14ac:dyDescent="0.3">
      <c r="A138" s="14" t="s">
        <v>396</v>
      </c>
      <c r="B138" s="15" t="s">
        <v>397</v>
      </c>
      <c r="C138" s="15" t="s">
        <v>398</v>
      </c>
      <c r="D138" s="14" t="str">
        <f>IF(LangIdx=2,C138&amp;"",B138&amp;"")</f>
        <v>Inventories</v>
      </c>
      <c r="E138" s="14" t="s">
        <v>353</v>
      </c>
      <c r="F138" s="2" t="s">
        <v>354</v>
      </c>
      <c r="G138" s="14" t="str">
        <f t="shared" si="2"/>
        <v/>
      </c>
    </row>
    <row r="139" spans="1:7" x14ac:dyDescent="0.3">
      <c r="A139" s="14" t="s">
        <v>399</v>
      </c>
      <c r="B139" s="15" t="s">
        <v>400</v>
      </c>
      <c r="C139" s="15" t="s">
        <v>401</v>
      </c>
      <c r="D139" s="14" t="str">
        <f>IF(LangIdx=2,C139&amp;"",B139&amp;"")</f>
        <v>Trade receivables</v>
      </c>
      <c r="E139" s="14" t="s">
        <v>353</v>
      </c>
      <c r="F139" s="2" t="s">
        <v>354</v>
      </c>
      <c r="G139" s="14" t="str">
        <f t="shared" si="2"/>
        <v/>
      </c>
    </row>
    <row r="140" spans="1:7" x14ac:dyDescent="0.3">
      <c r="A140" s="14" t="s">
        <v>402</v>
      </c>
      <c r="B140" s="15" t="s">
        <v>403</v>
      </c>
      <c r="C140" s="15" t="s">
        <v>404</v>
      </c>
      <c r="D140" s="14" t="str">
        <f>IF(LangIdx=2,C140&amp;"",B140&amp;"")</f>
        <v>Contract assets</v>
      </c>
      <c r="E140" s="14" t="s">
        <v>353</v>
      </c>
      <c r="F140" s="2" t="s">
        <v>354</v>
      </c>
      <c r="G140" s="14" t="str">
        <f t="shared" si="2"/>
        <v/>
      </c>
    </row>
    <row r="141" spans="1:7" x14ac:dyDescent="0.3">
      <c r="A141" s="14" t="s">
        <v>405</v>
      </c>
      <c r="B141" s="15" t="s">
        <v>406</v>
      </c>
      <c r="C141" s="15" t="s">
        <v>407</v>
      </c>
      <c r="D141" s="14" t="str">
        <f>IF(LangIdx=2,C141&amp;"",B141&amp;"")</f>
        <v>Other receivables and prepayments</v>
      </c>
      <c r="E141" s="14" t="s">
        <v>353</v>
      </c>
      <c r="F141" s="2" t="s">
        <v>354</v>
      </c>
      <c r="G141" s="14" t="str">
        <f t="shared" si="2"/>
        <v/>
      </c>
    </row>
    <row r="142" spans="1:7" x14ac:dyDescent="0.3">
      <c r="A142" s="14" t="s">
        <v>408</v>
      </c>
      <c r="B142" s="15" t="s">
        <v>409</v>
      </c>
      <c r="C142" s="15" t="s">
        <v>410</v>
      </c>
      <c r="D142" s="14" t="str">
        <f>IF(LangIdx=2,C142&amp;"",B142&amp;"")</f>
        <v>Current tax assets</v>
      </c>
      <c r="E142" s="14" t="s">
        <v>353</v>
      </c>
      <c r="F142" s="2" t="s">
        <v>354</v>
      </c>
      <c r="G142" s="14" t="str">
        <f t="shared" si="2"/>
        <v/>
      </c>
    </row>
    <row r="143" spans="1:7" x14ac:dyDescent="0.3">
      <c r="A143" s="14" t="s">
        <v>411</v>
      </c>
      <c r="B143" s="15" t="s">
        <v>412</v>
      </c>
      <c r="C143" s="15" t="s">
        <v>413</v>
      </c>
      <c r="D143" s="14" t="str">
        <f>IF(LangIdx=2,C143&amp;"",B143&amp;"")</f>
        <v>Current financial assets</v>
      </c>
      <c r="E143" s="14" t="s">
        <v>353</v>
      </c>
      <c r="F143" s="2" t="s">
        <v>354</v>
      </c>
      <c r="G143" s="14" t="str">
        <f t="shared" si="2"/>
        <v/>
      </c>
    </row>
    <row r="144" spans="1:7" x14ac:dyDescent="0.3">
      <c r="A144" s="14" t="s">
        <v>414</v>
      </c>
      <c r="B144" s="15" t="s">
        <v>415</v>
      </c>
      <c r="C144" s="15" t="s">
        <v>416</v>
      </c>
      <c r="D144" s="14" t="str">
        <f>IF(LangIdx=2,C144&amp;"",B144&amp;"")</f>
        <v>Cash and cash equivalents</v>
      </c>
      <c r="E144" s="14" t="s">
        <v>353</v>
      </c>
      <c r="F144" s="2" t="s">
        <v>354</v>
      </c>
      <c r="G144" s="14" t="str">
        <f t="shared" si="2"/>
        <v/>
      </c>
    </row>
    <row r="145" spans="1:7" x14ac:dyDescent="0.3">
      <c r="A145" s="14" t="s">
        <v>417</v>
      </c>
      <c r="B145" s="15" t="s">
        <v>418</v>
      </c>
      <c r="C145" s="15" t="s">
        <v>419</v>
      </c>
      <c r="D145" s="14" t="str">
        <f>IF(LangIdx=2,C145&amp;"",B145&amp;"")</f>
        <v>Assets held for sale</v>
      </c>
      <c r="E145" s="14" t="s">
        <v>353</v>
      </c>
      <c r="F145" s="2" t="s">
        <v>354</v>
      </c>
      <c r="G145" s="14" t="str">
        <f t="shared" si="2"/>
        <v/>
      </c>
    </row>
    <row r="146" spans="1:7" x14ac:dyDescent="0.3">
      <c r="A146" s="14" t="s">
        <v>420</v>
      </c>
      <c r="B146" s="15" t="s">
        <v>421</v>
      </c>
      <c r="C146" s="15" t="s">
        <v>422</v>
      </c>
      <c r="D146" s="14" t="str">
        <f>IF(LangIdx=2,C146&amp;"",B146&amp;"")</f>
        <v>Total current assets</v>
      </c>
      <c r="E146" s="14" t="s">
        <v>353</v>
      </c>
      <c r="F146" s="2" t="s">
        <v>354</v>
      </c>
      <c r="G146" s="14" t="str">
        <f t="shared" si="2"/>
        <v/>
      </c>
    </row>
    <row r="147" spans="1:7" x14ac:dyDescent="0.3">
      <c r="A147" s="14" t="s">
        <v>423</v>
      </c>
      <c r="B147" s="15" t="s">
        <v>424</v>
      </c>
      <c r="C147" s="15" t="s">
        <v>425</v>
      </c>
      <c r="D147" s="14" t="str">
        <f>IF(LangIdx=2,C147&amp;"",B147&amp;"")</f>
        <v>TOTAL ASSETS</v>
      </c>
      <c r="E147" s="14" t="s">
        <v>353</v>
      </c>
      <c r="F147" s="2" t="s">
        <v>354</v>
      </c>
      <c r="G147" s="14" t="str">
        <f t="shared" si="2"/>
        <v/>
      </c>
    </row>
    <row r="148" spans="1:7" x14ac:dyDescent="0.3">
      <c r="A148" s="14" t="s">
        <v>426</v>
      </c>
      <c r="B148" s="15" t="s">
        <v>427</v>
      </c>
      <c r="C148" s="15" t="s">
        <v>428</v>
      </c>
      <c r="D148" s="14" t="str">
        <f>IF(LangIdx=2,C148&amp;"",B148&amp;"")</f>
        <v>EQUITY AND LIABILITIES</v>
      </c>
      <c r="E148" s="14" t="s">
        <v>353</v>
      </c>
      <c r="F148" s="2" t="s">
        <v>354</v>
      </c>
      <c r="G148" s="14" t="str">
        <f t="shared" si="2"/>
        <v/>
      </c>
    </row>
    <row r="149" spans="1:7" x14ac:dyDescent="0.3">
      <c r="A149" s="14" t="s">
        <v>429</v>
      </c>
      <c r="B149" s="15" t="s">
        <v>430</v>
      </c>
      <c r="C149" s="15" t="s">
        <v>431</v>
      </c>
      <c r="D149" s="14" t="str">
        <f>IF(LangIdx=2,C149&amp;"",B149&amp;"")</f>
        <v>Equity</v>
      </c>
      <c r="E149" s="14" t="s">
        <v>353</v>
      </c>
      <c r="F149" s="2" t="s">
        <v>354</v>
      </c>
      <c r="G149" s="14" t="str">
        <f t="shared" si="2"/>
        <v/>
      </c>
    </row>
    <row r="150" spans="1:7" x14ac:dyDescent="0.3">
      <c r="A150" s="14" t="s">
        <v>432</v>
      </c>
      <c r="B150" s="15" t="s">
        <v>433</v>
      </c>
      <c r="C150" s="15" t="s">
        <v>434</v>
      </c>
      <c r="D150" s="14" t="str">
        <f>IF(LangIdx=2,C150&amp;"",B150&amp;"")</f>
        <v>Share capital</v>
      </c>
      <c r="E150" s="14" t="s">
        <v>353</v>
      </c>
      <c r="F150" s="2" t="s">
        <v>354</v>
      </c>
      <c r="G150" s="14" t="str">
        <f t="shared" si="2"/>
        <v/>
      </c>
    </row>
    <row r="151" spans="1:7" x14ac:dyDescent="0.3">
      <c r="A151" s="14" t="s">
        <v>435</v>
      </c>
      <c r="B151" s="15" t="s">
        <v>436</v>
      </c>
      <c r="C151" s="15" t="s">
        <v>437</v>
      </c>
      <c r="D151" s="14" t="str">
        <f>IF(LangIdx=2,C151&amp;"",B151&amp;"")</f>
        <v>Share premium</v>
      </c>
      <c r="E151" s="14" t="s">
        <v>353</v>
      </c>
      <c r="F151" s="2" t="s">
        <v>354</v>
      </c>
      <c r="G151" s="14" t="str">
        <f t="shared" si="2"/>
        <v/>
      </c>
    </row>
    <row r="152" spans="1:7" x14ac:dyDescent="0.3">
      <c r="A152" s="14" t="s">
        <v>438</v>
      </c>
      <c r="B152" s="15" t="s">
        <v>439</v>
      </c>
      <c r="C152" s="15" t="s">
        <v>440</v>
      </c>
      <c r="D152" s="14" t="str">
        <f>IF(LangIdx=2,C152&amp;"",B152&amp;"")</f>
        <v>Other reserves</v>
      </c>
      <c r="E152" s="14" t="s">
        <v>353</v>
      </c>
      <c r="F152" s="2" t="s">
        <v>354</v>
      </c>
      <c r="G152" s="14" t="str">
        <f t="shared" si="2"/>
        <v/>
      </c>
    </row>
    <row r="153" spans="1:7" x14ac:dyDescent="0.3">
      <c r="A153" s="14" t="s">
        <v>441</v>
      </c>
      <c r="B153" s="15" t="s">
        <v>442</v>
      </c>
      <c r="C153" s="15" t="s">
        <v>443</v>
      </c>
      <c r="D153" s="14" t="str">
        <f>IF(LangIdx=2,C153&amp;"",B153&amp;"")</f>
        <v>Retained earnings</v>
      </c>
      <c r="E153" s="14" t="s">
        <v>353</v>
      </c>
      <c r="F153" s="2" t="s">
        <v>354</v>
      </c>
      <c r="G153" s="14" t="str">
        <f t="shared" si="2"/>
        <v/>
      </c>
    </row>
    <row r="154" spans="1:7" x14ac:dyDescent="0.3">
      <c r="A154" s="14" t="s">
        <v>444</v>
      </c>
      <c r="B154" s="15" t="s">
        <v>445</v>
      </c>
      <c r="C154" s="15" t="s">
        <v>446</v>
      </c>
      <c r="D154" s="14" t="str">
        <f>IF(LangIdx=2,C154&amp;"",B154&amp;"")</f>
        <v>Total equity</v>
      </c>
      <c r="E154" s="14" t="s">
        <v>353</v>
      </c>
      <c r="F154" s="2" t="s">
        <v>354</v>
      </c>
      <c r="G154" s="14" t="str">
        <f t="shared" si="2"/>
        <v/>
      </c>
    </row>
    <row r="155" spans="1:7" x14ac:dyDescent="0.3">
      <c r="A155" s="14" t="s">
        <v>447</v>
      </c>
      <c r="B155" s="15" t="s">
        <v>448</v>
      </c>
      <c r="C155" s="15" t="s">
        <v>449</v>
      </c>
      <c r="D155" s="14" t="str">
        <f>IF(LangIdx=2,C155&amp;"",B155&amp;"")</f>
        <v>Non-current liabilities</v>
      </c>
      <c r="E155" s="14" t="s">
        <v>353</v>
      </c>
      <c r="F155" s="2" t="s">
        <v>354</v>
      </c>
      <c r="G155" s="14" t="str">
        <f t="shared" si="2"/>
        <v/>
      </c>
    </row>
    <row r="156" spans="1:7" x14ac:dyDescent="0.3">
      <c r="A156" s="14" t="s">
        <v>450</v>
      </c>
      <c r="B156" s="15" t="s">
        <v>451</v>
      </c>
      <c r="C156" s="15" t="s">
        <v>452</v>
      </c>
      <c r="D156" s="14" t="str">
        <f>IF(LangIdx=2,C156&amp;"",B156&amp;"")</f>
        <v>Non-current borrowings</v>
      </c>
      <c r="E156" s="14" t="s">
        <v>353</v>
      </c>
      <c r="F156" s="2" t="s">
        <v>354</v>
      </c>
      <c r="G156" s="14" t="str">
        <f t="shared" si="2"/>
        <v/>
      </c>
    </row>
    <row r="157" spans="1:7" x14ac:dyDescent="0.3">
      <c r="A157" s="14" t="s">
        <v>453</v>
      </c>
      <c r="B157" s="15" t="s">
        <v>454</v>
      </c>
      <c r="C157" s="15" t="s">
        <v>455</v>
      </c>
      <c r="D157" s="14" t="str">
        <f>IF(LangIdx=2,C157&amp;"",B157&amp;"")</f>
        <v>Non-current lease liabilities</v>
      </c>
      <c r="E157" s="14" t="s">
        <v>353</v>
      </c>
      <c r="F157" s="2" t="s">
        <v>354</v>
      </c>
      <c r="G157" s="14" t="str">
        <f t="shared" si="2"/>
        <v/>
      </c>
    </row>
    <row r="158" spans="1:7" x14ac:dyDescent="0.3">
      <c r="A158" s="14" t="s">
        <v>456</v>
      </c>
      <c r="B158" s="15" t="s">
        <v>457</v>
      </c>
      <c r="C158" s="15" t="s">
        <v>458</v>
      </c>
      <c r="D158" s="14" t="str">
        <f>IF(LangIdx=2,C158&amp;"",B158&amp;"")</f>
        <v>Non-current provisions</v>
      </c>
      <c r="E158" s="14" t="s">
        <v>353</v>
      </c>
      <c r="F158" s="2" t="s">
        <v>354</v>
      </c>
      <c r="G158" s="14" t="str">
        <f t="shared" si="2"/>
        <v/>
      </c>
    </row>
    <row r="159" spans="1:7" x14ac:dyDescent="0.3">
      <c r="A159" s="14" t="s">
        <v>459</v>
      </c>
      <c r="B159" s="15" t="s">
        <v>460</v>
      </c>
      <c r="C159" s="15" t="s">
        <v>461</v>
      </c>
      <c r="D159" s="14" t="str">
        <f>IF(LangIdx=2,C159&amp;"",B159&amp;"")</f>
        <v>Employee benefit liabilities</v>
      </c>
      <c r="E159" s="14" t="s">
        <v>353</v>
      </c>
      <c r="F159" s="2" t="s">
        <v>354</v>
      </c>
      <c r="G159" s="14" t="str">
        <f t="shared" si="2"/>
        <v/>
      </c>
    </row>
    <row r="160" spans="1:7" x14ac:dyDescent="0.3">
      <c r="A160" s="14" t="s">
        <v>462</v>
      </c>
      <c r="B160" s="15" t="s">
        <v>463</v>
      </c>
      <c r="C160" s="15" t="s">
        <v>464</v>
      </c>
      <c r="D160" s="14" t="str">
        <f>IF(LangIdx=2,C160&amp;"",B160&amp;"")</f>
        <v>Deferred tax liabilities</v>
      </c>
      <c r="E160" s="14" t="s">
        <v>353</v>
      </c>
      <c r="F160" s="2" t="s">
        <v>354</v>
      </c>
      <c r="G160" s="14" t="str">
        <f t="shared" si="2"/>
        <v/>
      </c>
    </row>
    <row r="161" spans="1:7" x14ac:dyDescent="0.3">
      <c r="A161" s="14" t="s">
        <v>465</v>
      </c>
      <c r="B161" s="15" t="s">
        <v>466</v>
      </c>
      <c r="C161" s="15" t="s">
        <v>467</v>
      </c>
      <c r="D161" s="14" t="str">
        <f>IF(LangIdx=2,C161&amp;"",B161&amp;"")</f>
        <v>Other non-current liabilities</v>
      </c>
      <c r="E161" s="14" t="s">
        <v>353</v>
      </c>
      <c r="F161" s="2" t="s">
        <v>354</v>
      </c>
      <c r="G161" s="14" t="str">
        <f t="shared" si="2"/>
        <v/>
      </c>
    </row>
    <row r="162" spans="1:7" x14ac:dyDescent="0.3">
      <c r="A162" s="14" t="s">
        <v>468</v>
      </c>
      <c r="B162" s="15" t="s">
        <v>469</v>
      </c>
      <c r="C162" s="15" t="s">
        <v>470</v>
      </c>
      <c r="D162" s="14" t="str">
        <f>IF(LangIdx=2,C162&amp;"",B162&amp;"")</f>
        <v>Total non-current liabilities</v>
      </c>
      <c r="E162" s="14" t="s">
        <v>353</v>
      </c>
      <c r="F162" s="2" t="s">
        <v>354</v>
      </c>
      <c r="G162" s="14" t="str">
        <f t="shared" si="2"/>
        <v/>
      </c>
    </row>
    <row r="163" spans="1:7" x14ac:dyDescent="0.3">
      <c r="A163" s="14" t="s">
        <v>471</v>
      </c>
      <c r="B163" s="15" t="s">
        <v>472</v>
      </c>
      <c r="C163" s="15" t="s">
        <v>473</v>
      </c>
      <c r="D163" s="14" t="str">
        <f>IF(LangIdx=2,C163&amp;"",B163&amp;"")</f>
        <v>Current liabilities</v>
      </c>
      <c r="E163" s="14" t="s">
        <v>353</v>
      </c>
      <c r="F163" s="2" t="s">
        <v>354</v>
      </c>
      <c r="G163" s="14" t="str">
        <f t="shared" si="2"/>
        <v/>
      </c>
    </row>
    <row r="164" spans="1:7" x14ac:dyDescent="0.3">
      <c r="A164" s="14" t="s">
        <v>474</v>
      </c>
      <c r="B164" s="15" t="s">
        <v>475</v>
      </c>
      <c r="C164" s="15" t="s">
        <v>476</v>
      </c>
      <c r="D164" s="14" t="str">
        <f>IF(LangIdx=2,C164&amp;"",B164&amp;"")</f>
        <v>Trade payables</v>
      </c>
      <c r="E164" s="14" t="s">
        <v>353</v>
      </c>
      <c r="F164" s="2" t="s">
        <v>354</v>
      </c>
      <c r="G164" s="14" t="str">
        <f t="shared" si="2"/>
        <v/>
      </c>
    </row>
    <row r="165" spans="1:7" x14ac:dyDescent="0.3">
      <c r="A165" s="14" t="s">
        <v>477</v>
      </c>
      <c r="B165" s="15" t="s">
        <v>478</v>
      </c>
      <c r="C165" s="15" t="s">
        <v>479</v>
      </c>
      <c r="D165" s="14" t="str">
        <f>IF(LangIdx=2,C165&amp;"",B165&amp;"")</f>
        <v>Contract liabilities</v>
      </c>
      <c r="E165" s="14" t="s">
        <v>353</v>
      </c>
      <c r="F165" s="2" t="s">
        <v>354</v>
      </c>
      <c r="G165" s="14" t="str">
        <f t="shared" si="2"/>
        <v/>
      </c>
    </row>
    <row r="166" spans="1:7" x14ac:dyDescent="0.3">
      <c r="A166" s="14" t="s">
        <v>480</v>
      </c>
      <c r="B166" s="15" t="s">
        <v>481</v>
      </c>
      <c r="C166" s="15" t="s">
        <v>482</v>
      </c>
      <c r="D166" s="14" t="str">
        <f>IF(LangIdx=2,C166&amp;"",B166&amp;"")</f>
        <v>Current borrowings</v>
      </c>
      <c r="E166" s="14" t="s">
        <v>353</v>
      </c>
      <c r="F166" s="2" t="s">
        <v>354</v>
      </c>
      <c r="G166" s="14" t="str">
        <f t="shared" si="2"/>
        <v/>
      </c>
    </row>
    <row r="167" spans="1:7" x14ac:dyDescent="0.3">
      <c r="A167" s="14" t="s">
        <v>483</v>
      </c>
      <c r="B167" s="15" t="s">
        <v>484</v>
      </c>
      <c r="C167" s="15" t="s">
        <v>485</v>
      </c>
      <c r="D167" s="14" t="str">
        <f>IF(LangIdx=2,C167&amp;"",B167&amp;"")</f>
        <v>Current lease liabilities</v>
      </c>
      <c r="E167" s="14" t="s">
        <v>353</v>
      </c>
      <c r="F167" s="2" t="s">
        <v>354</v>
      </c>
      <c r="G167" s="14" t="str">
        <f t="shared" si="2"/>
        <v/>
      </c>
    </row>
    <row r="168" spans="1:7" x14ac:dyDescent="0.3">
      <c r="A168" s="14" t="s">
        <v>486</v>
      </c>
      <c r="B168" s="15" t="s">
        <v>487</v>
      </c>
      <c r="C168" s="15" t="s">
        <v>488</v>
      </c>
      <c r="D168" s="14" t="str">
        <f>IF(LangIdx=2,C168&amp;"",B168&amp;"")</f>
        <v>Current provisions</v>
      </c>
      <c r="E168" s="14" t="s">
        <v>353</v>
      </c>
      <c r="F168" s="2" t="s">
        <v>354</v>
      </c>
      <c r="G168" s="14" t="str">
        <f t="shared" si="2"/>
        <v/>
      </c>
    </row>
    <row r="169" spans="1:7" x14ac:dyDescent="0.3">
      <c r="A169" s="14" t="s">
        <v>489</v>
      </c>
      <c r="B169" s="15" t="s">
        <v>490</v>
      </c>
      <c r="C169" s="15" t="s">
        <v>491</v>
      </c>
      <c r="D169" s="14" t="str">
        <f>IF(LangIdx=2,C169&amp;"",B169&amp;"")</f>
        <v>Current tax liabilities</v>
      </c>
      <c r="E169" s="14" t="s">
        <v>353</v>
      </c>
      <c r="F169" s="2" t="s">
        <v>354</v>
      </c>
      <c r="G169" s="14" t="str">
        <f t="shared" si="2"/>
        <v/>
      </c>
    </row>
    <row r="170" spans="1:7" x14ac:dyDescent="0.3">
      <c r="A170" s="14" t="s">
        <v>492</v>
      </c>
      <c r="B170" s="15" t="s">
        <v>493</v>
      </c>
      <c r="C170" s="15" t="s">
        <v>494</v>
      </c>
      <c r="D170" s="14" t="str">
        <f>IF(LangIdx=2,C170&amp;"",B170&amp;"")</f>
        <v>Other current liabilities and accruals</v>
      </c>
      <c r="E170" s="14" t="s">
        <v>353</v>
      </c>
      <c r="F170" s="2" t="s">
        <v>354</v>
      </c>
      <c r="G170" s="14" t="str">
        <f t="shared" si="2"/>
        <v/>
      </c>
    </row>
    <row r="171" spans="1:7" x14ac:dyDescent="0.3">
      <c r="A171" s="14" t="s">
        <v>495</v>
      </c>
      <c r="B171" s="15" t="s">
        <v>496</v>
      </c>
      <c r="C171" s="15" t="s">
        <v>497</v>
      </c>
      <c r="D171" s="14" t="str">
        <f>IF(LangIdx=2,C171&amp;"",B171&amp;"")</f>
        <v>Liabilities associated with assets held for sale</v>
      </c>
      <c r="E171" s="14" t="s">
        <v>353</v>
      </c>
      <c r="F171" s="2" t="s">
        <v>354</v>
      </c>
      <c r="G171" s="14" t="str">
        <f t="shared" si="2"/>
        <v/>
      </c>
    </row>
    <row r="172" spans="1:7" x14ac:dyDescent="0.3">
      <c r="A172" s="14" t="s">
        <v>498</v>
      </c>
      <c r="B172" s="15" t="s">
        <v>499</v>
      </c>
      <c r="C172" s="15" t="s">
        <v>500</v>
      </c>
      <c r="D172" s="14" t="str">
        <f>IF(LangIdx=2,C172&amp;"",B172&amp;"")</f>
        <v>Total current liabilities</v>
      </c>
      <c r="E172" s="14" t="s">
        <v>353</v>
      </c>
      <c r="F172" s="2" t="s">
        <v>354</v>
      </c>
      <c r="G172" s="14" t="str">
        <f t="shared" si="2"/>
        <v/>
      </c>
    </row>
    <row r="173" spans="1:7" x14ac:dyDescent="0.3">
      <c r="A173" s="14" t="s">
        <v>501</v>
      </c>
      <c r="B173" s="15" t="s">
        <v>502</v>
      </c>
      <c r="C173" s="15" t="s">
        <v>503</v>
      </c>
      <c r="D173" s="14" t="str">
        <f>IF(LangIdx=2,C173&amp;"",B173&amp;"")</f>
        <v>TOTAL EQUITY AND LIABILITIES</v>
      </c>
      <c r="E173" s="14" t="s">
        <v>353</v>
      </c>
      <c r="F173" s="2" t="s">
        <v>354</v>
      </c>
      <c r="G173" s="14" t="str">
        <f t="shared" si="2"/>
        <v/>
      </c>
    </row>
    <row r="174" spans="1:7" x14ac:dyDescent="0.3">
      <c r="A174" s="14" t="s">
        <v>504</v>
      </c>
      <c r="B174" s="15" t="s">
        <v>505</v>
      </c>
      <c r="C174" s="15" t="s">
        <v>506</v>
      </c>
      <c r="D174" s="14" t="str">
        <f>IF(LangIdx=2,C174&amp;"",B174&amp;"")</f>
        <v>Balance difference (must be zero)</v>
      </c>
      <c r="E174" s="14" t="s">
        <v>353</v>
      </c>
      <c r="F174" s="2" t="s">
        <v>354</v>
      </c>
      <c r="G174" s="14" t="str">
        <f t="shared" si="2"/>
        <v/>
      </c>
    </row>
    <row r="175" spans="1:7" x14ac:dyDescent="0.3">
      <c r="A175" s="14" t="s">
        <v>507</v>
      </c>
      <c r="B175" s="15" t="s">
        <v>508</v>
      </c>
      <c r="C175" s="15" t="s">
        <v>509</v>
      </c>
      <c r="D175" s="14" t="str">
        <f>IF(LangIdx=2,C175&amp;"",B175&amp;"")</f>
        <v>Statement of profit or loss</v>
      </c>
      <c r="E175" s="14" t="s">
        <v>510</v>
      </c>
      <c r="F175" s="2" t="s">
        <v>511</v>
      </c>
      <c r="G175" s="14" t="str">
        <f t="shared" si="2"/>
        <v/>
      </c>
    </row>
    <row r="176" spans="1:7" x14ac:dyDescent="0.3">
      <c r="A176" s="14" t="s">
        <v>512</v>
      </c>
      <c r="B176" s="15" t="s">
        <v>513</v>
      </c>
      <c r="C176" s="15" t="s">
        <v>514</v>
      </c>
      <c r="D176" s="14" t="str">
        <f>IF(LangIdx=2,C176&amp;"",B176&amp;"")</f>
        <v>Operating</v>
      </c>
      <c r="E176" s="14" t="s">
        <v>510</v>
      </c>
      <c r="F176" s="2" t="s">
        <v>511</v>
      </c>
      <c r="G176" s="14" t="str">
        <f t="shared" si="2"/>
        <v/>
      </c>
    </row>
    <row r="177" spans="1:7" x14ac:dyDescent="0.3">
      <c r="A177" s="14" t="s">
        <v>515</v>
      </c>
      <c r="B177" s="15" t="s">
        <v>516</v>
      </c>
      <c r="C177" s="15" t="s">
        <v>517</v>
      </c>
      <c r="D177" s="14" t="str">
        <f>IF(LangIdx=2,C177&amp;"",B177&amp;"")</f>
        <v>Investing</v>
      </c>
      <c r="E177" s="14" t="s">
        <v>510</v>
      </c>
      <c r="F177" s="2" t="s">
        <v>511</v>
      </c>
      <c r="G177" s="14" t="str">
        <f t="shared" si="2"/>
        <v/>
      </c>
    </row>
    <row r="178" spans="1:7" x14ac:dyDescent="0.3">
      <c r="A178" s="14" t="s">
        <v>518</v>
      </c>
      <c r="B178" s="15" t="s">
        <v>519</v>
      </c>
      <c r="C178" s="15" t="s">
        <v>520</v>
      </c>
      <c r="D178" s="14" t="str">
        <f>IF(LangIdx=2,C178&amp;"",B178&amp;"")</f>
        <v>Financing</v>
      </c>
      <c r="E178" s="14" t="s">
        <v>510</v>
      </c>
      <c r="F178" s="2" t="s">
        <v>511</v>
      </c>
      <c r="G178" s="14" t="str">
        <f t="shared" si="2"/>
        <v/>
      </c>
    </row>
    <row r="179" spans="1:7" x14ac:dyDescent="0.3">
      <c r="A179" s="14" t="s">
        <v>521</v>
      </c>
      <c r="B179" s="15" t="s">
        <v>522</v>
      </c>
      <c r="C179" s="15" t="s">
        <v>523</v>
      </c>
      <c r="D179" s="14" t="str">
        <f>IF(LangIdx=2,C179&amp;"",B179&amp;"")</f>
        <v>Income taxes</v>
      </c>
      <c r="E179" s="14" t="s">
        <v>510</v>
      </c>
      <c r="F179" s="2" t="s">
        <v>511</v>
      </c>
      <c r="G179" s="14" t="str">
        <f t="shared" si="2"/>
        <v/>
      </c>
    </row>
    <row r="180" spans="1:7" x14ac:dyDescent="0.3">
      <c r="A180" s="14" t="s">
        <v>524</v>
      </c>
      <c r="B180" s="15" t="s">
        <v>525</v>
      </c>
      <c r="C180" s="15" t="s">
        <v>526</v>
      </c>
      <c r="D180" s="14" t="str">
        <f>IF(LangIdx=2,C180&amp;"",B180&amp;"")</f>
        <v>Discontinued operations</v>
      </c>
      <c r="E180" s="14" t="s">
        <v>510</v>
      </c>
      <c r="F180" s="2" t="s">
        <v>511</v>
      </c>
      <c r="G180" s="14" t="str">
        <f t="shared" si="2"/>
        <v/>
      </c>
    </row>
    <row r="181" spans="1:7" x14ac:dyDescent="0.3">
      <c r="A181" s="14" t="s">
        <v>527</v>
      </c>
      <c r="B181" s="15" t="s">
        <v>528</v>
      </c>
      <c r="C181" s="15" t="s">
        <v>529</v>
      </c>
      <c r="D181" s="14" t="str">
        <f>IF(LangIdx=2,C181&amp;"",B181&amp;"")</f>
        <v>Operating expenses</v>
      </c>
      <c r="E181" s="14" t="s">
        <v>510</v>
      </c>
      <c r="F181" s="2" t="s">
        <v>511</v>
      </c>
      <c r="G181" s="14" t="str">
        <f t="shared" si="2"/>
        <v/>
      </c>
    </row>
    <row r="182" spans="1:7" x14ac:dyDescent="0.3">
      <c r="A182" s="14" t="s">
        <v>530</v>
      </c>
      <c r="B182" s="15" t="s">
        <v>531</v>
      </c>
      <c r="C182" s="15" t="s">
        <v>532</v>
      </c>
      <c r="D182" s="14" t="str">
        <f>IF(LangIdx=2,C182&amp;"",B182&amp;"")</f>
        <v>Revenue</v>
      </c>
      <c r="E182" s="14" t="s">
        <v>510</v>
      </c>
      <c r="F182" s="2" t="s">
        <v>511</v>
      </c>
      <c r="G182" s="14" t="str">
        <f t="shared" si="2"/>
        <v/>
      </c>
    </row>
    <row r="183" spans="1:7" x14ac:dyDescent="0.3">
      <c r="A183" s="14" t="s">
        <v>533</v>
      </c>
      <c r="B183" s="15" t="s">
        <v>534</v>
      </c>
      <c r="C183" s="15" t="s">
        <v>535</v>
      </c>
      <c r="D183" s="14" t="str">
        <f>IF(LangIdx=2,C183&amp;"",B183&amp;"")</f>
        <v>Other operating income</v>
      </c>
      <c r="E183" s="14" t="s">
        <v>510</v>
      </c>
      <c r="F183" s="2" t="s">
        <v>511</v>
      </c>
      <c r="G183" s="14" t="str">
        <f t="shared" si="2"/>
        <v/>
      </c>
    </row>
    <row r="184" spans="1:7" x14ac:dyDescent="0.3">
      <c r="A184" s="14" t="s">
        <v>536</v>
      </c>
      <c r="B184" s="15" t="s">
        <v>537</v>
      </c>
      <c r="C184" s="15" t="s">
        <v>538</v>
      </c>
      <c r="D184" s="14" t="str">
        <f>IF(LangIdx=2,C184&amp;"",B184&amp;"")</f>
        <v>Cost of sales</v>
      </c>
      <c r="E184" s="14" t="s">
        <v>510</v>
      </c>
      <c r="F184" s="2" t="s">
        <v>511</v>
      </c>
      <c r="G184" s="14" t="str">
        <f t="shared" si="2"/>
        <v/>
      </c>
    </row>
    <row r="185" spans="1:7" x14ac:dyDescent="0.3">
      <c r="A185" s="14" t="s">
        <v>539</v>
      </c>
      <c r="B185" s="15" t="s">
        <v>540</v>
      </c>
      <c r="C185" s="15" t="s">
        <v>541</v>
      </c>
      <c r="D185" s="14" t="str">
        <f>IF(LangIdx=2,C185&amp;"",B185&amp;"")</f>
        <v>Distribution costs</v>
      </c>
      <c r="E185" s="14" t="s">
        <v>510</v>
      </c>
      <c r="F185" s="2" t="s">
        <v>511</v>
      </c>
      <c r="G185" s="14" t="str">
        <f t="shared" si="2"/>
        <v/>
      </c>
    </row>
    <row r="186" spans="1:7" x14ac:dyDescent="0.3">
      <c r="A186" s="14" t="s">
        <v>542</v>
      </c>
      <c r="B186" s="15" t="s">
        <v>543</v>
      </c>
      <c r="C186" s="15" t="s">
        <v>544</v>
      </c>
      <c r="D186" s="14" t="str">
        <f>IF(LangIdx=2,C186&amp;"",B186&amp;"")</f>
        <v>Administrative expenses</v>
      </c>
      <c r="E186" s="14" t="s">
        <v>510</v>
      </c>
      <c r="F186" s="2" t="s">
        <v>511</v>
      </c>
      <c r="G186" s="14" t="str">
        <f t="shared" si="2"/>
        <v/>
      </c>
    </row>
    <row r="187" spans="1:7" x14ac:dyDescent="0.3">
      <c r="A187" s="14" t="s">
        <v>545</v>
      </c>
      <c r="B187" s="15" t="s">
        <v>546</v>
      </c>
      <c r="C187" s="15" t="s">
        <v>547</v>
      </c>
      <c r="D187" s="14" t="str">
        <f>IF(LangIdx=2,C187&amp;"",B187&amp;"")</f>
        <v>Research and development expenses</v>
      </c>
      <c r="E187" s="14" t="s">
        <v>510</v>
      </c>
      <c r="F187" s="2" t="s">
        <v>511</v>
      </c>
      <c r="G187" s="14" t="str">
        <f t="shared" si="2"/>
        <v/>
      </c>
    </row>
    <row r="188" spans="1:7" x14ac:dyDescent="0.3">
      <c r="A188" s="14" t="s">
        <v>548</v>
      </c>
      <c r="B188" s="15" t="s">
        <v>549</v>
      </c>
      <c r="C188" s="15" t="s">
        <v>550</v>
      </c>
      <c r="D188" s="14" t="str">
        <f>IF(LangIdx=2,C188&amp;"",B188&amp;"")</f>
        <v>Other functional expenses</v>
      </c>
      <c r="E188" s="14" t="s">
        <v>510</v>
      </c>
      <c r="F188" s="2" t="s">
        <v>511</v>
      </c>
      <c r="G188" s="14" t="str">
        <f t="shared" si="2"/>
        <v/>
      </c>
    </row>
    <row r="189" spans="1:7" x14ac:dyDescent="0.3">
      <c r="A189" s="14" t="s">
        <v>551</v>
      </c>
      <c r="B189" s="15" t="s">
        <v>552</v>
      </c>
      <c r="C189" s="15" t="s">
        <v>553</v>
      </c>
      <c r="D189" s="14" t="str">
        <f>IF(LangIdx=2,C189&amp;"",B189&amp;"")</f>
        <v>Raw materials, consumables and changes in inventories</v>
      </c>
      <c r="E189" s="14" t="s">
        <v>510</v>
      </c>
      <c r="F189" s="2" t="s">
        <v>511</v>
      </c>
      <c r="G189" s="14" t="str">
        <f t="shared" si="2"/>
        <v/>
      </c>
    </row>
    <row r="190" spans="1:7" x14ac:dyDescent="0.3">
      <c r="A190" s="14" t="s">
        <v>554</v>
      </c>
      <c r="B190" s="15" t="s">
        <v>555</v>
      </c>
      <c r="C190" s="15" t="s">
        <v>556</v>
      </c>
      <c r="D190" s="14" t="str">
        <f>IF(LangIdx=2,C190&amp;"",B190&amp;"")</f>
        <v>Employee benefit expenses</v>
      </c>
      <c r="E190" s="14" t="s">
        <v>510</v>
      </c>
      <c r="F190" s="2" t="s">
        <v>511</v>
      </c>
      <c r="G190" s="14" t="str">
        <f t="shared" si="2"/>
        <v/>
      </c>
    </row>
    <row r="191" spans="1:7" x14ac:dyDescent="0.3">
      <c r="A191" s="14" t="s">
        <v>557</v>
      </c>
      <c r="B191" s="15" t="s">
        <v>558</v>
      </c>
      <c r="C191" s="15" t="s">
        <v>559</v>
      </c>
      <c r="D191" s="14" t="str">
        <f>IF(LangIdx=2,C191&amp;"",B191&amp;"")</f>
        <v>Depreciation</v>
      </c>
      <c r="E191" s="14" t="s">
        <v>510</v>
      </c>
      <c r="F191" s="2" t="s">
        <v>511</v>
      </c>
      <c r="G191" s="14" t="str">
        <f t="shared" si="2"/>
        <v/>
      </c>
    </row>
    <row r="192" spans="1:7" x14ac:dyDescent="0.3">
      <c r="A192" s="14" t="s">
        <v>560</v>
      </c>
      <c r="B192" s="15" t="s">
        <v>561</v>
      </c>
      <c r="C192" s="15" t="s">
        <v>562</v>
      </c>
      <c r="D192" s="14" t="str">
        <f>IF(LangIdx=2,C192&amp;"",B192&amp;"")</f>
        <v>Amortisation</v>
      </c>
      <c r="E192" s="14" t="s">
        <v>510</v>
      </c>
      <c r="F192" s="2" t="s">
        <v>511</v>
      </c>
      <c r="G192" s="14" t="str">
        <f t="shared" si="2"/>
        <v/>
      </c>
    </row>
    <row r="193" spans="1:7" x14ac:dyDescent="0.3">
      <c r="A193" s="14" t="s">
        <v>563</v>
      </c>
      <c r="B193" s="15" t="s">
        <v>564</v>
      </c>
      <c r="C193" s="15" t="s">
        <v>565</v>
      </c>
      <c r="D193" s="14" t="str">
        <f>IF(LangIdx=2,C193&amp;"",B193&amp;"")</f>
        <v>Impairment losses and reversals</v>
      </c>
      <c r="E193" s="14" t="s">
        <v>510</v>
      </c>
      <c r="F193" s="2" t="s">
        <v>511</v>
      </c>
      <c r="G193" s="14" t="str">
        <f t="shared" si="2"/>
        <v/>
      </c>
    </row>
    <row r="194" spans="1:7" x14ac:dyDescent="0.3">
      <c r="A194" s="14" t="s">
        <v>566</v>
      </c>
      <c r="B194" s="15" t="s">
        <v>567</v>
      </c>
      <c r="C194" s="15" t="s">
        <v>568</v>
      </c>
      <c r="D194" s="14" t="str">
        <f>IF(LangIdx=2,C194&amp;"",B194&amp;"")</f>
        <v>Write-downs of inventories and reversals</v>
      </c>
      <c r="E194" s="14" t="s">
        <v>510</v>
      </c>
      <c r="F194" s="2" t="s">
        <v>511</v>
      </c>
      <c r="G194" s="14" t="str">
        <f t="shared" si="2"/>
        <v/>
      </c>
    </row>
    <row r="195" spans="1:7" x14ac:dyDescent="0.3">
      <c r="A195" s="14" t="s">
        <v>569</v>
      </c>
      <c r="B195" s="15" t="s">
        <v>570</v>
      </c>
      <c r="C195" s="15" t="s">
        <v>571</v>
      </c>
      <c r="D195" s="14" t="str">
        <f>IF(LangIdx=2,C195&amp;"",B195&amp;"")</f>
        <v>Other expenses by nature</v>
      </c>
      <c r="E195" s="14" t="s">
        <v>510</v>
      </c>
      <c r="F195" s="2" t="s">
        <v>511</v>
      </c>
      <c r="G195" s="14" t="str">
        <f t="shared" si="2"/>
        <v/>
      </c>
    </row>
    <row r="196" spans="1:7" x14ac:dyDescent="0.3">
      <c r="A196" s="14" t="s">
        <v>572</v>
      </c>
      <c r="B196" s="15" t="s">
        <v>573</v>
      </c>
      <c r="C196" s="15" t="s">
        <v>574</v>
      </c>
      <c r="D196" s="14" t="str">
        <f>IF(LangIdx=2,C196&amp;"",B196&amp;"")</f>
        <v>Foreign exchange differences - operating</v>
      </c>
      <c r="E196" s="14" t="s">
        <v>510</v>
      </c>
      <c r="F196" s="2" t="s">
        <v>511</v>
      </c>
      <c r="G196" s="14" t="str">
        <f t="shared" ref="G196:G259" si="3">IF(COUNTIF(DICT_KEY,A196)&gt;1,"DUP","")</f>
        <v/>
      </c>
    </row>
    <row r="197" spans="1:7" x14ac:dyDescent="0.3">
      <c r="A197" s="14" t="s">
        <v>575</v>
      </c>
      <c r="B197" s="15" t="s">
        <v>576</v>
      </c>
      <c r="C197" s="15" t="s">
        <v>577</v>
      </c>
      <c r="D197" s="14" t="str">
        <f>IF(LangIdx=2,C197&amp;"",B197&amp;"")</f>
        <v>Other operating expenses</v>
      </c>
      <c r="E197" s="14" t="s">
        <v>510</v>
      </c>
      <c r="F197" s="2" t="s">
        <v>511</v>
      </c>
      <c r="G197" s="14" t="str">
        <f t="shared" si="3"/>
        <v/>
      </c>
    </row>
    <row r="198" spans="1:7" x14ac:dyDescent="0.3">
      <c r="A198" s="14" t="s">
        <v>578</v>
      </c>
      <c r="B198" s="15" t="s">
        <v>579</v>
      </c>
      <c r="C198" s="15" t="s">
        <v>580</v>
      </c>
      <c r="D198" s="14" t="str">
        <f>IF(LangIdx=2,C198&amp;"",B198&amp;"")</f>
        <v>Operating profit or loss</v>
      </c>
      <c r="E198" s="14" t="s">
        <v>510</v>
      </c>
      <c r="F198" s="2" t="s">
        <v>511</v>
      </c>
      <c r="G198" s="14" t="str">
        <f t="shared" si="3"/>
        <v/>
      </c>
    </row>
    <row r="199" spans="1:7" x14ac:dyDescent="0.3">
      <c r="A199" s="14" t="s">
        <v>581</v>
      </c>
      <c r="B199" s="15" t="s">
        <v>582</v>
      </c>
      <c r="C199" s="15" t="s">
        <v>583</v>
      </c>
      <c r="D199" s="14" t="str">
        <f>IF(LangIdx=2,C199&amp;"",B199&amp;"")</f>
        <v>Share of profit or loss of associates and joint ventures</v>
      </c>
      <c r="E199" s="14" t="s">
        <v>510</v>
      </c>
      <c r="F199" s="2" t="s">
        <v>511</v>
      </c>
      <c r="G199" s="14" t="str">
        <f t="shared" si="3"/>
        <v/>
      </c>
    </row>
    <row r="200" spans="1:7" x14ac:dyDescent="0.3">
      <c r="A200" s="14" t="s">
        <v>584</v>
      </c>
      <c r="B200" s="15" t="s">
        <v>585</v>
      </c>
      <c r="C200" s="15" t="s">
        <v>586</v>
      </c>
      <c r="D200" s="14" t="str">
        <f>IF(LangIdx=2,C200&amp;"",B200&amp;"")</f>
        <v>Interest income on cash and cash equivalents</v>
      </c>
      <c r="E200" s="14" t="s">
        <v>510</v>
      </c>
      <c r="F200" s="2" t="s">
        <v>511</v>
      </c>
      <c r="G200" s="14" t="str">
        <f t="shared" si="3"/>
        <v/>
      </c>
    </row>
    <row r="201" spans="1:7" x14ac:dyDescent="0.3">
      <c r="A201" s="14" t="s">
        <v>587</v>
      </c>
      <c r="B201" s="15" t="s">
        <v>588</v>
      </c>
      <c r="C201" s="15" t="s">
        <v>589</v>
      </c>
      <c r="D201" s="14" t="str">
        <f>IF(LangIdx=2,C201&amp;"",B201&amp;"")</f>
        <v>Income from investment property</v>
      </c>
      <c r="E201" s="14" t="s">
        <v>510</v>
      </c>
      <c r="F201" s="2" t="s">
        <v>511</v>
      </c>
      <c r="G201" s="14" t="str">
        <f t="shared" si="3"/>
        <v/>
      </c>
    </row>
    <row r="202" spans="1:7" x14ac:dyDescent="0.3">
      <c r="A202" s="14" t="s">
        <v>590</v>
      </c>
      <c r="B202" s="15" t="s">
        <v>591</v>
      </c>
      <c r="C202" s="15" t="s">
        <v>592</v>
      </c>
      <c r="D202" s="14" t="str">
        <f>IF(LangIdx=2,C202&amp;"",B202&amp;"")</f>
        <v>Income from other financial assets</v>
      </c>
      <c r="E202" s="14" t="s">
        <v>510</v>
      </c>
      <c r="F202" s="2" t="s">
        <v>511</v>
      </c>
      <c r="G202" s="14" t="str">
        <f t="shared" si="3"/>
        <v/>
      </c>
    </row>
    <row r="203" spans="1:7" x14ac:dyDescent="0.3">
      <c r="A203" s="14" t="s">
        <v>593</v>
      </c>
      <c r="B203" s="15" t="s">
        <v>594</v>
      </c>
      <c r="C203" s="15" t="s">
        <v>595</v>
      </c>
      <c r="D203" s="14" t="str">
        <f>IF(LangIdx=2,C203&amp;"",B203&amp;"")</f>
        <v>Other investing income and expenses</v>
      </c>
      <c r="E203" s="14" t="s">
        <v>510</v>
      </c>
      <c r="F203" s="2" t="s">
        <v>511</v>
      </c>
      <c r="G203" s="14" t="str">
        <f t="shared" si="3"/>
        <v/>
      </c>
    </row>
    <row r="204" spans="1:7" x14ac:dyDescent="0.3">
      <c r="A204" s="14" t="s">
        <v>596</v>
      </c>
      <c r="B204" s="15" t="s">
        <v>597</v>
      </c>
      <c r="C204" s="15" t="s">
        <v>598</v>
      </c>
      <c r="D204" s="14" t="str">
        <f>IF(LangIdx=2,C204&amp;"",B204&amp;"")</f>
        <v>Profit or loss before financing and income taxes</v>
      </c>
      <c r="E204" s="14" t="s">
        <v>510</v>
      </c>
      <c r="F204" s="2" t="s">
        <v>511</v>
      </c>
      <c r="G204" s="14" t="str">
        <f t="shared" si="3"/>
        <v/>
      </c>
    </row>
    <row r="205" spans="1:7" x14ac:dyDescent="0.3">
      <c r="A205" s="14" t="s">
        <v>599</v>
      </c>
      <c r="B205" s="15" t="s">
        <v>600</v>
      </c>
      <c r="C205" s="15" t="s">
        <v>601</v>
      </c>
      <c r="D205" s="14" t="str">
        <f>IF(LangIdx=2,C205&amp;"",B205&amp;"")</f>
        <v>Interest expense on borrowings</v>
      </c>
      <c r="E205" s="14" t="s">
        <v>510</v>
      </c>
      <c r="F205" s="2" t="s">
        <v>511</v>
      </c>
      <c r="G205" s="14" t="str">
        <f t="shared" si="3"/>
        <v/>
      </c>
    </row>
    <row r="206" spans="1:7" x14ac:dyDescent="0.3">
      <c r="A206" s="14" t="s">
        <v>602</v>
      </c>
      <c r="B206" s="15" t="s">
        <v>603</v>
      </c>
      <c r="C206" s="15" t="s">
        <v>604</v>
      </c>
      <c r="D206" s="14" t="str">
        <f>IF(LangIdx=2,C206&amp;"",B206&amp;"")</f>
        <v>Interest on lease liabilities</v>
      </c>
      <c r="E206" s="14" t="s">
        <v>510</v>
      </c>
      <c r="F206" s="2" t="s">
        <v>511</v>
      </c>
      <c r="G206" s="14" t="str">
        <f t="shared" si="3"/>
        <v/>
      </c>
    </row>
    <row r="207" spans="1:7" x14ac:dyDescent="0.3">
      <c r="A207" s="14" t="s">
        <v>605</v>
      </c>
      <c r="B207" s="15" t="s">
        <v>606</v>
      </c>
      <c r="C207" s="15" t="s">
        <v>607</v>
      </c>
      <c r="D207" s="14" t="str">
        <f>IF(LangIdx=2,C207&amp;"",B207&amp;"")</f>
        <v>Unwinding of discount on provisions</v>
      </c>
      <c r="E207" s="14" t="s">
        <v>510</v>
      </c>
      <c r="F207" s="2" t="s">
        <v>511</v>
      </c>
      <c r="G207" s="14" t="str">
        <f t="shared" si="3"/>
        <v/>
      </c>
    </row>
    <row r="208" spans="1:7" x14ac:dyDescent="0.3">
      <c r="A208" s="14" t="s">
        <v>608</v>
      </c>
      <c r="B208" s="15" t="s">
        <v>609</v>
      </c>
      <c r="C208" s="15" t="s">
        <v>610</v>
      </c>
      <c r="D208" s="14" t="str">
        <f>IF(LangIdx=2,C208&amp;"",B208&amp;"")</f>
        <v>Net interest on employee benefit liabilities</v>
      </c>
      <c r="E208" s="14" t="s">
        <v>510</v>
      </c>
      <c r="F208" s="2" t="s">
        <v>511</v>
      </c>
      <c r="G208" s="14" t="str">
        <f t="shared" si="3"/>
        <v/>
      </c>
    </row>
    <row r="209" spans="1:7" x14ac:dyDescent="0.3">
      <c r="A209" s="14" t="s">
        <v>611</v>
      </c>
      <c r="B209" s="15" t="s">
        <v>612</v>
      </c>
      <c r="C209" s="15" t="s">
        <v>613</v>
      </c>
      <c r="D209" s="14" t="str">
        <f>IF(LangIdx=2,C209&amp;"",B209&amp;"")</f>
        <v>Foreign exchange differences - financing</v>
      </c>
      <c r="E209" s="14" t="s">
        <v>510</v>
      </c>
      <c r="F209" s="2" t="s">
        <v>511</v>
      </c>
      <c r="G209" s="14" t="str">
        <f t="shared" si="3"/>
        <v/>
      </c>
    </row>
    <row r="210" spans="1:7" x14ac:dyDescent="0.3">
      <c r="A210" s="14" t="s">
        <v>614</v>
      </c>
      <c r="B210" s="15" t="s">
        <v>615</v>
      </c>
      <c r="C210" s="15" t="s">
        <v>616</v>
      </c>
      <c r="D210" s="14" t="str">
        <f>IF(LangIdx=2,C210&amp;"",B210&amp;"")</f>
        <v>Other financing income and expenses</v>
      </c>
      <c r="E210" s="14" t="s">
        <v>510</v>
      </c>
      <c r="F210" s="2" t="s">
        <v>511</v>
      </c>
      <c r="G210" s="14" t="str">
        <f t="shared" si="3"/>
        <v/>
      </c>
    </row>
    <row r="211" spans="1:7" x14ac:dyDescent="0.3">
      <c r="A211" s="14" t="s">
        <v>617</v>
      </c>
      <c r="B211" s="15" t="s">
        <v>618</v>
      </c>
      <c r="C211" s="15" t="s">
        <v>619</v>
      </c>
      <c r="D211" s="14" t="str">
        <f>IF(LangIdx=2,C211&amp;"",B211&amp;"")</f>
        <v>Profit or loss before income taxes</v>
      </c>
      <c r="E211" s="14" t="s">
        <v>510</v>
      </c>
      <c r="F211" s="2" t="s">
        <v>511</v>
      </c>
      <c r="G211" s="14" t="str">
        <f t="shared" si="3"/>
        <v/>
      </c>
    </row>
    <row r="212" spans="1:7" x14ac:dyDescent="0.3">
      <c r="A212" s="14" t="s">
        <v>620</v>
      </c>
      <c r="B212" s="15" t="s">
        <v>621</v>
      </c>
      <c r="C212" s="15" t="s">
        <v>622</v>
      </c>
      <c r="D212" s="14" t="str">
        <f>IF(LangIdx=2,C212&amp;"",B212&amp;"")</f>
        <v>Current tax expense</v>
      </c>
      <c r="E212" s="14" t="s">
        <v>510</v>
      </c>
      <c r="F212" s="2" t="s">
        <v>511</v>
      </c>
      <c r="G212" s="14" t="str">
        <f t="shared" si="3"/>
        <v/>
      </c>
    </row>
    <row r="213" spans="1:7" x14ac:dyDescent="0.3">
      <c r="A213" s="14" t="s">
        <v>623</v>
      </c>
      <c r="B213" s="15" t="s">
        <v>624</v>
      </c>
      <c r="C213" s="15" t="s">
        <v>625</v>
      </c>
      <c r="D213" s="14" t="str">
        <f>IF(LangIdx=2,C213&amp;"",B213&amp;"")</f>
        <v>Deferred tax expense</v>
      </c>
      <c r="E213" s="14" t="s">
        <v>510</v>
      </c>
      <c r="F213" s="2" t="s">
        <v>511</v>
      </c>
      <c r="G213" s="14" t="str">
        <f t="shared" si="3"/>
        <v/>
      </c>
    </row>
    <row r="214" spans="1:7" x14ac:dyDescent="0.3">
      <c r="A214" s="14" t="s">
        <v>626</v>
      </c>
      <c r="B214" s="15" t="s">
        <v>627</v>
      </c>
      <c r="C214" s="15" t="s">
        <v>628</v>
      </c>
      <c r="D214" s="14" t="str">
        <f>IF(LangIdx=2,C214&amp;"",B214&amp;"")</f>
        <v>Profit or loss from continuing operations</v>
      </c>
      <c r="E214" s="14" t="s">
        <v>510</v>
      </c>
      <c r="F214" s="2" t="s">
        <v>511</v>
      </c>
      <c r="G214" s="14" t="str">
        <f t="shared" si="3"/>
        <v/>
      </c>
    </row>
    <row r="215" spans="1:7" x14ac:dyDescent="0.3">
      <c r="A215" s="14" t="s">
        <v>629</v>
      </c>
      <c r="B215" s="15" t="s">
        <v>630</v>
      </c>
      <c r="C215" s="15" t="s">
        <v>631</v>
      </c>
      <c r="D215" s="14" t="str">
        <f>IF(LangIdx=2,C215&amp;"",B215&amp;"")</f>
        <v>Profit or loss from discontinued operations</v>
      </c>
      <c r="E215" s="14" t="s">
        <v>510</v>
      </c>
      <c r="F215" s="2" t="s">
        <v>511</v>
      </c>
      <c r="G215" s="14" t="str">
        <f t="shared" si="3"/>
        <v/>
      </c>
    </row>
    <row r="216" spans="1:7" x14ac:dyDescent="0.3">
      <c r="A216" s="14" t="s">
        <v>632</v>
      </c>
      <c r="B216" s="15" t="s">
        <v>633</v>
      </c>
      <c r="C216" s="15" t="s">
        <v>634</v>
      </c>
      <c r="D216" s="14" t="str">
        <f>IF(LangIdx=2,C216&amp;"",B216&amp;"")</f>
        <v>Profit or loss for the year</v>
      </c>
      <c r="E216" s="14" t="s">
        <v>510</v>
      </c>
      <c r="F216" s="2" t="s">
        <v>511</v>
      </c>
      <c r="G216" s="14" t="str">
        <f t="shared" si="3"/>
        <v/>
      </c>
    </row>
    <row r="217" spans="1:7" x14ac:dyDescent="0.3">
      <c r="A217" s="14" t="s">
        <v>635</v>
      </c>
      <c r="B217" s="15" t="s">
        <v>636</v>
      </c>
      <c r="C217" s="15" t="s">
        <v>637</v>
      </c>
      <c r="D217" s="14" t="str">
        <f>IF(LangIdx=2,C217&amp;"",B217&amp;"")</f>
        <v>Operating profit before depreciation, amortisation and specified impairments</v>
      </c>
      <c r="E217" s="14" t="s">
        <v>510</v>
      </c>
      <c r="F217" s="2" t="s">
        <v>511</v>
      </c>
      <c r="G217" s="14" t="str">
        <f t="shared" si="3"/>
        <v/>
      </c>
    </row>
    <row r="218" spans="1:7" x14ac:dyDescent="0.3">
      <c r="A218" s="14" t="s">
        <v>638</v>
      </c>
      <c r="B218" s="15" t="s">
        <v>639</v>
      </c>
      <c r="C218" s="15" t="s">
        <v>640</v>
      </c>
      <c r="D218" s="14" t="str">
        <f>IF(LangIdx=2,C218&amp;"",B218&amp;"")</f>
        <v>Material 'Other' line - disaggregate or explain (IFRS 18)</v>
      </c>
      <c r="E218" s="14" t="s">
        <v>510</v>
      </c>
      <c r="F218" s="2" t="s">
        <v>511</v>
      </c>
      <c r="G218" s="14" t="str">
        <f t="shared" si="3"/>
        <v/>
      </c>
    </row>
    <row r="219" spans="1:7" x14ac:dyDescent="0.3">
      <c r="A219" s="14" t="s">
        <v>641</v>
      </c>
      <c r="B219" s="15" t="s">
        <v>642</v>
      </c>
      <c r="C219" s="15" t="s">
        <v>643</v>
      </c>
      <c r="D219" s="14" t="str">
        <f>IF(LangIdx=2,C219&amp;"",B219&amp;"")</f>
        <v>Statement presenting comprehensive income</v>
      </c>
      <c r="E219" s="14" t="s">
        <v>644</v>
      </c>
      <c r="F219" s="2" t="s">
        <v>645</v>
      </c>
      <c r="G219" s="14" t="str">
        <f t="shared" si="3"/>
        <v/>
      </c>
    </row>
    <row r="220" spans="1:7" x14ac:dyDescent="0.3">
      <c r="A220" s="14" t="s">
        <v>646</v>
      </c>
      <c r="B220" s="15" t="s">
        <v>633</v>
      </c>
      <c r="C220" s="15" t="s">
        <v>634</v>
      </c>
      <c r="D220" s="14" t="str">
        <f>IF(LangIdx=2,C220&amp;"",B220&amp;"")</f>
        <v>Profit or loss for the year</v>
      </c>
      <c r="E220" s="14" t="s">
        <v>644</v>
      </c>
      <c r="F220" s="2" t="s">
        <v>645</v>
      </c>
      <c r="G220" s="14" t="str">
        <f t="shared" si="3"/>
        <v/>
      </c>
    </row>
    <row r="221" spans="1:7" x14ac:dyDescent="0.3">
      <c r="A221" s="14" t="s">
        <v>647</v>
      </c>
      <c r="B221" s="15" t="s">
        <v>648</v>
      </c>
      <c r="C221" s="15" t="s">
        <v>649</v>
      </c>
      <c r="D221" s="14" t="str">
        <f>IF(LangIdx=2,C221&amp;"",B221&amp;"")</f>
        <v>Items that will not be reclassified subsequently to profit or loss</v>
      </c>
      <c r="E221" s="14" t="s">
        <v>644</v>
      </c>
      <c r="F221" s="2" t="s">
        <v>645</v>
      </c>
      <c r="G221" s="14" t="str">
        <f t="shared" si="3"/>
        <v/>
      </c>
    </row>
    <row r="222" spans="1:7" x14ac:dyDescent="0.3">
      <c r="A222" s="14" t="s">
        <v>650</v>
      </c>
      <c r="B222" s="15" t="s">
        <v>651</v>
      </c>
      <c r="C222" s="15" t="s">
        <v>652</v>
      </c>
      <c r="D222" s="14" t="str">
        <f>IF(LangIdx=2,C222&amp;"",B222&amp;"")</f>
        <v>Revaluation of property, plant and equipment</v>
      </c>
      <c r="E222" s="14" t="s">
        <v>644</v>
      </c>
      <c r="F222" s="2" t="s">
        <v>645</v>
      </c>
      <c r="G222" s="14" t="str">
        <f t="shared" si="3"/>
        <v/>
      </c>
    </row>
    <row r="223" spans="1:7" x14ac:dyDescent="0.3">
      <c r="A223" s="14" t="s">
        <v>653</v>
      </c>
      <c r="B223" s="15" t="s">
        <v>654</v>
      </c>
      <c r="C223" s="15" t="s">
        <v>655</v>
      </c>
      <c r="D223" s="14" t="str">
        <f>IF(LangIdx=2,C223&amp;"",B223&amp;"")</f>
        <v>Remeasurement of defined benefit plans</v>
      </c>
      <c r="E223" s="14" t="s">
        <v>644</v>
      </c>
      <c r="F223" s="2" t="s">
        <v>645</v>
      </c>
      <c r="G223" s="14" t="str">
        <f t="shared" si="3"/>
        <v/>
      </c>
    </row>
    <row r="224" spans="1:7" x14ac:dyDescent="0.3">
      <c r="A224" s="14" t="s">
        <v>656</v>
      </c>
      <c r="B224" s="15" t="s">
        <v>657</v>
      </c>
      <c r="C224" s="15" t="s">
        <v>658</v>
      </c>
      <c r="D224" s="14" t="str">
        <f>IF(LangIdx=2,C224&amp;"",B224&amp;"")</f>
        <v>Equity instruments at fair value through OCI</v>
      </c>
      <c r="E224" s="14" t="s">
        <v>644</v>
      </c>
      <c r="F224" s="2" t="s">
        <v>645</v>
      </c>
      <c r="G224" s="14" t="str">
        <f t="shared" si="3"/>
        <v/>
      </c>
    </row>
    <row r="225" spans="1:7" x14ac:dyDescent="0.3">
      <c r="A225" s="14" t="s">
        <v>659</v>
      </c>
      <c r="B225" s="15" t="s">
        <v>660</v>
      </c>
      <c r="C225" s="15" t="s">
        <v>661</v>
      </c>
      <c r="D225" s="14" t="str">
        <f>IF(LangIdx=2,C225&amp;"",B225&amp;"")</f>
        <v>Income tax on items that will not be reclassified</v>
      </c>
      <c r="E225" s="14" t="s">
        <v>644</v>
      </c>
      <c r="F225" s="2" t="s">
        <v>645</v>
      </c>
      <c r="G225" s="14" t="str">
        <f t="shared" si="3"/>
        <v/>
      </c>
    </row>
    <row r="226" spans="1:7" x14ac:dyDescent="0.3">
      <c r="A226" s="14" t="s">
        <v>662</v>
      </c>
      <c r="B226" s="15" t="s">
        <v>663</v>
      </c>
      <c r="C226" s="15" t="s">
        <v>664</v>
      </c>
      <c r="D226" s="14" t="str">
        <f>IF(LangIdx=2,C226&amp;"",B226&amp;"")</f>
        <v>Items that may be reclassified subsequently to profit or loss</v>
      </c>
      <c r="E226" s="14" t="s">
        <v>644</v>
      </c>
      <c r="F226" s="2" t="s">
        <v>645</v>
      </c>
      <c r="G226" s="14" t="str">
        <f t="shared" si="3"/>
        <v/>
      </c>
    </row>
    <row r="227" spans="1:7" x14ac:dyDescent="0.3">
      <c r="A227" s="14" t="s">
        <v>665</v>
      </c>
      <c r="B227" s="15" t="s">
        <v>666</v>
      </c>
      <c r="C227" s="15" t="s">
        <v>667</v>
      </c>
      <c r="D227" s="14" t="str">
        <f>IF(LangIdx=2,C227&amp;"",B227&amp;"")</f>
        <v>Debt instruments at fair value through OCI</v>
      </c>
      <c r="E227" s="14" t="s">
        <v>644</v>
      </c>
      <c r="F227" s="2" t="s">
        <v>645</v>
      </c>
      <c r="G227" s="14" t="str">
        <f t="shared" si="3"/>
        <v/>
      </c>
    </row>
    <row r="228" spans="1:7" x14ac:dyDescent="0.3">
      <c r="A228" s="14" t="s">
        <v>668</v>
      </c>
      <c r="B228" s="15" t="s">
        <v>669</v>
      </c>
      <c r="C228" s="15" t="s">
        <v>670</v>
      </c>
      <c r="D228" s="14" t="str">
        <f>IF(LangIdx=2,C228&amp;"",B228&amp;"")</f>
        <v>Cash flow hedges</v>
      </c>
      <c r="E228" s="14" t="s">
        <v>644</v>
      </c>
      <c r="F228" s="2" t="s">
        <v>645</v>
      </c>
      <c r="G228" s="14" t="str">
        <f t="shared" si="3"/>
        <v/>
      </c>
    </row>
    <row r="229" spans="1:7" x14ac:dyDescent="0.3">
      <c r="A229" s="14" t="s">
        <v>671</v>
      </c>
      <c r="B229" s="15" t="s">
        <v>672</v>
      </c>
      <c r="C229" s="15" t="s">
        <v>673</v>
      </c>
      <c r="D229" s="14" t="str">
        <f>IF(LangIdx=2,C229&amp;"",B229&amp;"")</f>
        <v>Exchange differences on translating foreign operations</v>
      </c>
      <c r="E229" s="14" t="s">
        <v>644</v>
      </c>
      <c r="F229" s="2" t="s">
        <v>645</v>
      </c>
      <c r="G229" s="14" t="str">
        <f t="shared" si="3"/>
        <v/>
      </c>
    </row>
    <row r="230" spans="1:7" x14ac:dyDescent="0.3">
      <c r="A230" s="14" t="s">
        <v>674</v>
      </c>
      <c r="B230" s="15" t="s">
        <v>675</v>
      </c>
      <c r="C230" s="15" t="s">
        <v>676</v>
      </c>
      <c r="D230" s="14" t="str">
        <f>IF(LangIdx=2,C230&amp;"",B230&amp;"")</f>
        <v>Income tax on items that may be reclassified</v>
      </c>
      <c r="E230" s="14" t="s">
        <v>644</v>
      </c>
      <c r="F230" s="2" t="s">
        <v>645</v>
      </c>
      <c r="G230" s="14" t="str">
        <f t="shared" si="3"/>
        <v/>
      </c>
    </row>
    <row r="231" spans="1:7" x14ac:dyDescent="0.3">
      <c r="A231" s="14" t="s">
        <v>677</v>
      </c>
      <c r="B231" s="15" t="s">
        <v>678</v>
      </c>
      <c r="C231" s="15" t="s">
        <v>679</v>
      </c>
      <c r="D231" s="14" t="str">
        <f>IF(LangIdx=2,C231&amp;"",B231&amp;"")</f>
        <v>Other comprehensive income for the year, net of tax</v>
      </c>
      <c r="E231" s="14" t="s">
        <v>644</v>
      </c>
      <c r="F231" s="2" t="s">
        <v>645</v>
      </c>
      <c r="G231" s="14" t="str">
        <f t="shared" si="3"/>
        <v/>
      </c>
    </row>
    <row r="232" spans="1:7" x14ac:dyDescent="0.3">
      <c r="A232" s="14" t="s">
        <v>680</v>
      </c>
      <c r="B232" s="15" t="s">
        <v>681</v>
      </c>
      <c r="C232" s="15" t="s">
        <v>682</v>
      </c>
      <c r="D232" s="14" t="str">
        <f>IF(LangIdx=2,C232&amp;"",B232&amp;"")</f>
        <v>Total comprehensive income for the year</v>
      </c>
      <c r="E232" s="14" t="s">
        <v>644</v>
      </c>
      <c r="F232" s="2" t="s">
        <v>645</v>
      </c>
      <c r="G232" s="14" t="str">
        <f t="shared" si="3"/>
        <v/>
      </c>
    </row>
    <row r="233" spans="1:7" x14ac:dyDescent="0.3">
      <c r="A233" s="14" t="s">
        <v>683</v>
      </c>
      <c r="B233" s="15" t="s">
        <v>684</v>
      </c>
      <c r="C233" s="15" t="s">
        <v>685</v>
      </c>
      <c r="D233" s="14" t="str">
        <f>IF(LangIdx=2,C233&amp;"",B233&amp;"")</f>
        <v>Statement of changes in equity</v>
      </c>
      <c r="E233" s="14" t="s">
        <v>686</v>
      </c>
      <c r="F233" s="2" t="s">
        <v>687</v>
      </c>
      <c r="G233" s="14" t="str">
        <f t="shared" si="3"/>
        <v/>
      </c>
    </row>
    <row r="234" spans="1:7" x14ac:dyDescent="0.3">
      <c r="A234" s="14" t="s">
        <v>688</v>
      </c>
      <c r="B234" s="15" t="s">
        <v>689</v>
      </c>
      <c r="C234" s="15" t="s">
        <v>690</v>
      </c>
      <c r="D234" s="14" t="str">
        <f>IF(LangIdx=2,C234&amp;"",B234&amp;"")</f>
        <v>Balance at beginning of year</v>
      </c>
      <c r="E234" s="14" t="s">
        <v>686</v>
      </c>
      <c r="F234" s="2" t="s">
        <v>687</v>
      </c>
      <c r="G234" s="14" t="str">
        <f t="shared" si="3"/>
        <v/>
      </c>
    </row>
    <row r="235" spans="1:7" x14ac:dyDescent="0.3">
      <c r="A235" s="14" t="s">
        <v>691</v>
      </c>
      <c r="B235" s="15" t="s">
        <v>633</v>
      </c>
      <c r="C235" s="15" t="s">
        <v>634</v>
      </c>
      <c r="D235" s="14" t="str">
        <f>IF(LangIdx=2,C235&amp;"",B235&amp;"")</f>
        <v>Profit or loss for the year</v>
      </c>
      <c r="E235" s="14" t="s">
        <v>686</v>
      </c>
      <c r="F235" s="2" t="s">
        <v>687</v>
      </c>
      <c r="G235" s="14" t="str">
        <f t="shared" si="3"/>
        <v/>
      </c>
    </row>
    <row r="236" spans="1:7" x14ac:dyDescent="0.3">
      <c r="A236" s="14" t="s">
        <v>692</v>
      </c>
      <c r="B236" s="15" t="s">
        <v>693</v>
      </c>
      <c r="C236" s="15" t="s">
        <v>694</v>
      </c>
      <c r="D236" s="14" t="str">
        <f>IF(LangIdx=2,C236&amp;"",B236&amp;"")</f>
        <v>Other comprehensive income</v>
      </c>
      <c r="E236" s="14" t="s">
        <v>686</v>
      </c>
      <c r="F236" s="2" t="s">
        <v>687</v>
      </c>
      <c r="G236" s="14" t="str">
        <f t="shared" si="3"/>
        <v/>
      </c>
    </row>
    <row r="237" spans="1:7" x14ac:dyDescent="0.3">
      <c r="A237" s="14" t="s">
        <v>695</v>
      </c>
      <c r="B237" s="15" t="s">
        <v>696</v>
      </c>
      <c r="C237" s="15" t="s">
        <v>697</v>
      </c>
      <c r="D237" s="14" t="str">
        <f>IF(LangIdx=2,C237&amp;"",B237&amp;"")</f>
        <v>Total comprehensive income</v>
      </c>
      <c r="E237" s="14" t="s">
        <v>686</v>
      </c>
      <c r="F237" s="2" t="s">
        <v>687</v>
      </c>
      <c r="G237" s="14" t="str">
        <f t="shared" si="3"/>
        <v/>
      </c>
    </row>
    <row r="238" spans="1:7" x14ac:dyDescent="0.3">
      <c r="A238" s="14" t="s">
        <v>698</v>
      </c>
      <c r="B238" s="15" t="s">
        <v>699</v>
      </c>
      <c r="C238" s="15" t="s">
        <v>700</v>
      </c>
      <c r="D238" s="14" t="str">
        <f>IF(LangIdx=2,C238&amp;"",B238&amp;"")</f>
        <v>Issue of shares</v>
      </c>
      <c r="E238" s="14" t="s">
        <v>686</v>
      </c>
      <c r="F238" s="2" t="s">
        <v>687</v>
      </c>
      <c r="G238" s="14" t="str">
        <f t="shared" si="3"/>
        <v/>
      </c>
    </row>
    <row r="239" spans="1:7" x14ac:dyDescent="0.3">
      <c r="A239" s="14" t="s">
        <v>701</v>
      </c>
      <c r="B239" s="15" t="s">
        <v>702</v>
      </c>
      <c r="C239" s="15" t="s">
        <v>703</v>
      </c>
      <c r="D239" s="14" t="str">
        <f>IF(LangIdx=2,C239&amp;"",B239&amp;"")</f>
        <v>Dividends declared</v>
      </c>
      <c r="E239" s="14" t="s">
        <v>686</v>
      </c>
      <c r="F239" s="2" t="s">
        <v>687</v>
      </c>
      <c r="G239" s="14" t="str">
        <f t="shared" si="3"/>
        <v/>
      </c>
    </row>
    <row r="240" spans="1:7" x14ac:dyDescent="0.3">
      <c r="A240" s="14" t="s">
        <v>704</v>
      </c>
      <c r="B240" s="15" t="s">
        <v>705</v>
      </c>
      <c r="C240" s="15" t="s">
        <v>706</v>
      </c>
      <c r="D240" s="14" t="str">
        <f>IF(LangIdx=2,C240&amp;"",B240&amp;"")</f>
        <v>Transfers between reserves</v>
      </c>
      <c r="E240" s="14" t="s">
        <v>686</v>
      </c>
      <c r="F240" s="2" t="s">
        <v>687</v>
      </c>
      <c r="G240" s="14" t="str">
        <f t="shared" si="3"/>
        <v/>
      </c>
    </row>
    <row r="241" spans="1:7" x14ac:dyDescent="0.3">
      <c r="A241" s="14" t="s">
        <v>707</v>
      </c>
      <c r="B241" s="15" t="s">
        <v>708</v>
      </c>
      <c r="C241" s="15" t="s">
        <v>709</v>
      </c>
      <c r="D241" s="14" t="str">
        <f>IF(LangIdx=2,C241&amp;"",B241&amp;"")</f>
        <v>Other movements (unexplained)</v>
      </c>
      <c r="E241" s="14" t="s">
        <v>686</v>
      </c>
      <c r="F241" s="2" t="s">
        <v>687</v>
      </c>
      <c r="G241" s="14" t="str">
        <f t="shared" si="3"/>
        <v/>
      </c>
    </row>
    <row r="242" spans="1:7" x14ac:dyDescent="0.3">
      <c r="A242" s="14" t="s">
        <v>710</v>
      </c>
      <c r="B242" s="15" t="s">
        <v>711</v>
      </c>
      <c r="C242" s="15" t="s">
        <v>712</v>
      </c>
      <c r="D242" s="14" t="str">
        <f>IF(LangIdx=2,C242&amp;"",B242&amp;"")</f>
        <v>Balance at end of year</v>
      </c>
      <c r="E242" s="14" t="s">
        <v>686</v>
      </c>
      <c r="F242" s="2" t="s">
        <v>687</v>
      </c>
      <c r="G242" s="14" t="str">
        <f t="shared" si="3"/>
        <v/>
      </c>
    </row>
    <row r="243" spans="1:7" x14ac:dyDescent="0.3">
      <c r="A243" s="14" t="s">
        <v>713</v>
      </c>
      <c r="B243" s="15" t="s">
        <v>714</v>
      </c>
      <c r="C243" s="15" t="s">
        <v>715</v>
      </c>
      <c r="D243" s="14" t="str">
        <f>IF(LangIdx=2,C243&amp;"",B243&amp;"")</f>
        <v>Statement of cash flows</v>
      </c>
      <c r="E243" s="14" t="s">
        <v>716</v>
      </c>
      <c r="F243" s="2" t="s">
        <v>717</v>
      </c>
      <c r="G243" s="14" t="str">
        <f t="shared" si="3"/>
        <v/>
      </c>
    </row>
    <row r="244" spans="1:7" x14ac:dyDescent="0.3">
      <c r="A244" s="14" t="s">
        <v>718</v>
      </c>
      <c r="B244" s="15" t="s">
        <v>719</v>
      </c>
      <c r="C244" s="15" t="s">
        <v>720</v>
      </c>
      <c r="D244" s="14" t="str">
        <f>IF(LangIdx=2,C244&amp;"",B244&amp;"")</f>
        <v>Cash flows from operating activities</v>
      </c>
      <c r="E244" s="14" t="s">
        <v>716</v>
      </c>
      <c r="F244" s="2" t="s">
        <v>717</v>
      </c>
      <c r="G244" s="14" t="str">
        <f t="shared" si="3"/>
        <v/>
      </c>
    </row>
    <row r="245" spans="1:7" x14ac:dyDescent="0.3">
      <c r="A245" s="14" t="s">
        <v>721</v>
      </c>
      <c r="B245" s="15" t="s">
        <v>722</v>
      </c>
      <c r="C245" s="15" t="s">
        <v>723</v>
      </c>
      <c r="D245" s="14" t="str">
        <f>IF(LangIdx=2,C245&amp;"",B245&amp;"")</f>
        <v>Cash flows from investing activities</v>
      </c>
      <c r="E245" s="14" t="s">
        <v>716</v>
      </c>
      <c r="F245" s="2" t="s">
        <v>717</v>
      </c>
      <c r="G245" s="14" t="str">
        <f t="shared" si="3"/>
        <v/>
      </c>
    </row>
    <row r="246" spans="1:7" x14ac:dyDescent="0.3">
      <c r="A246" s="14" t="s">
        <v>724</v>
      </c>
      <c r="B246" s="15" t="s">
        <v>725</v>
      </c>
      <c r="C246" s="15" t="s">
        <v>726</v>
      </c>
      <c r="D246" s="14" t="str">
        <f>IF(LangIdx=2,C246&amp;"",B246&amp;"")</f>
        <v>Cash flows from financing activities</v>
      </c>
      <c r="E246" s="14" t="s">
        <v>716</v>
      </c>
      <c r="F246" s="2" t="s">
        <v>717</v>
      </c>
      <c r="G246" s="14" t="str">
        <f t="shared" si="3"/>
        <v/>
      </c>
    </row>
    <row r="247" spans="1:7" x14ac:dyDescent="0.3">
      <c r="A247" s="14" t="s">
        <v>727</v>
      </c>
      <c r="B247" s="15" t="s">
        <v>579</v>
      </c>
      <c r="C247" s="15" t="s">
        <v>580</v>
      </c>
      <c r="D247" s="14" t="str">
        <f>IF(LangIdx=2,C247&amp;"",B247&amp;"")</f>
        <v>Operating profit or loss</v>
      </c>
      <c r="E247" s="14" t="s">
        <v>716</v>
      </c>
      <c r="F247" s="2" t="s">
        <v>717</v>
      </c>
      <c r="G247" s="14" t="str">
        <f t="shared" si="3"/>
        <v/>
      </c>
    </row>
    <row r="248" spans="1:7" x14ac:dyDescent="0.3">
      <c r="A248" s="14" t="s">
        <v>728</v>
      </c>
      <c r="B248" s="15" t="s">
        <v>729</v>
      </c>
      <c r="C248" s="15" t="s">
        <v>730</v>
      </c>
      <c r="D248" s="14" t="str">
        <f>IF(LangIdx=2,C248&amp;"",B248&amp;"")</f>
        <v>Depreciation, amortisation and impairment</v>
      </c>
      <c r="E248" s="14" t="s">
        <v>716</v>
      </c>
      <c r="F248" s="2" t="s">
        <v>717</v>
      </c>
      <c r="G248" s="14" t="str">
        <f t="shared" si="3"/>
        <v/>
      </c>
    </row>
    <row r="249" spans="1:7" x14ac:dyDescent="0.3">
      <c r="A249" s="14" t="s">
        <v>731</v>
      </c>
      <c r="B249" s="15" t="s">
        <v>732</v>
      </c>
      <c r="C249" s="15" t="s">
        <v>733</v>
      </c>
      <c r="D249" s="14" t="str">
        <f>IF(LangIdx=2,C249&amp;"",B249&amp;"")</f>
        <v>Write-downs of inventories</v>
      </c>
      <c r="E249" s="14" t="s">
        <v>716</v>
      </c>
      <c r="F249" s="2" t="s">
        <v>717</v>
      </c>
      <c r="G249" s="14" t="str">
        <f t="shared" si="3"/>
        <v/>
      </c>
    </row>
    <row r="250" spans="1:7" x14ac:dyDescent="0.3">
      <c r="A250" s="14" t="s">
        <v>734</v>
      </c>
      <c r="B250" s="15" t="s">
        <v>735</v>
      </c>
      <c r="C250" s="15" t="s">
        <v>736</v>
      </c>
      <c r="D250" s="14" t="str">
        <f>IF(LangIdx=2,C250&amp;"",B250&amp;"")</f>
        <v>Share-based payment expense</v>
      </c>
      <c r="E250" s="14" t="s">
        <v>716</v>
      </c>
      <c r="F250" s="2" t="s">
        <v>717</v>
      </c>
      <c r="G250" s="14" t="str">
        <f t="shared" si="3"/>
        <v/>
      </c>
    </row>
    <row r="251" spans="1:7" x14ac:dyDescent="0.3">
      <c r="A251" s="14" t="s">
        <v>737</v>
      </c>
      <c r="B251" s="15" t="s">
        <v>738</v>
      </c>
      <c r="C251" s="15" t="s">
        <v>739</v>
      </c>
      <c r="D251" s="14" t="str">
        <f>IF(LangIdx=2,C251&amp;"",B251&amp;"")</f>
        <v>(Gain)/loss on disposal of non-current assets</v>
      </c>
      <c r="E251" s="14" t="s">
        <v>716</v>
      </c>
      <c r="F251" s="2" t="s">
        <v>717</v>
      </c>
      <c r="G251" s="14" t="str">
        <f t="shared" si="3"/>
        <v/>
      </c>
    </row>
    <row r="252" spans="1:7" x14ac:dyDescent="0.3">
      <c r="A252" s="14" t="s">
        <v>740</v>
      </c>
      <c r="B252" s="15" t="s">
        <v>741</v>
      </c>
      <c r="C252" s="15" t="s">
        <v>742</v>
      </c>
      <c r="D252" s="14" t="str">
        <f>IF(LangIdx=2,C252&amp;"",B252&amp;"")</f>
        <v>Unrealised foreign exchange differences</v>
      </c>
      <c r="E252" s="14" t="s">
        <v>716</v>
      </c>
      <c r="F252" s="2" t="s">
        <v>717</v>
      </c>
      <c r="G252" s="14" t="str">
        <f t="shared" si="3"/>
        <v/>
      </c>
    </row>
    <row r="253" spans="1:7" x14ac:dyDescent="0.3">
      <c r="A253" s="14" t="s">
        <v>743</v>
      </c>
      <c r="B253" s="15" t="s">
        <v>744</v>
      </c>
      <c r="C253" s="15" t="s">
        <v>745</v>
      </c>
      <c r="D253" s="14" t="str">
        <f>IF(LangIdx=2,C253&amp;"",B253&amp;"")</f>
        <v>Movement in provisions and employee benefit liabilities</v>
      </c>
      <c r="E253" s="14" t="s">
        <v>716</v>
      </c>
      <c r="F253" s="2" t="s">
        <v>717</v>
      </c>
      <c r="G253" s="14" t="str">
        <f t="shared" si="3"/>
        <v/>
      </c>
    </row>
    <row r="254" spans="1:7" x14ac:dyDescent="0.3">
      <c r="A254" s="14" t="s">
        <v>746</v>
      </c>
      <c r="B254" s="15" t="s">
        <v>747</v>
      </c>
      <c r="C254" s="15" t="s">
        <v>748</v>
      </c>
      <c r="D254" s="14" t="str">
        <f>IF(LangIdx=2,C254&amp;"",B254&amp;"")</f>
        <v>Impairment losses on receivables</v>
      </c>
      <c r="E254" s="14" t="s">
        <v>716</v>
      </c>
      <c r="F254" s="2" t="s">
        <v>717</v>
      </c>
      <c r="G254" s="14" t="str">
        <f t="shared" si="3"/>
        <v/>
      </c>
    </row>
    <row r="255" spans="1:7" x14ac:dyDescent="0.3">
      <c r="A255" s="14" t="s">
        <v>749</v>
      </c>
      <c r="B255" s="15" t="s">
        <v>750</v>
      </c>
      <c r="C255" s="15" t="s">
        <v>751</v>
      </c>
      <c r="D255" s="14" t="str">
        <f>IF(LangIdx=2,C255&amp;"",B255&amp;"")</f>
        <v>Receivables written off against the loss allowance</v>
      </c>
      <c r="E255" s="14" t="s">
        <v>716</v>
      </c>
      <c r="F255" s="2" t="s">
        <v>717</v>
      </c>
      <c r="G255" s="14" t="str">
        <f t="shared" si="3"/>
        <v/>
      </c>
    </row>
    <row r="256" spans="1:7" x14ac:dyDescent="0.3">
      <c r="A256" s="14" t="s">
        <v>752</v>
      </c>
      <c r="B256" s="15" t="s">
        <v>753</v>
      </c>
      <c r="C256" s="15" t="s">
        <v>754</v>
      </c>
      <c r="D256" s="14" t="str">
        <f>IF(LangIdx=2,C256&amp;"",B256&amp;"")</f>
        <v>Change in inventories</v>
      </c>
      <c r="E256" s="14" t="s">
        <v>716</v>
      </c>
      <c r="F256" s="2" t="s">
        <v>717</v>
      </c>
      <c r="G256" s="14" t="str">
        <f t="shared" si="3"/>
        <v/>
      </c>
    </row>
    <row r="257" spans="1:7" x14ac:dyDescent="0.3">
      <c r="A257" s="14" t="s">
        <v>755</v>
      </c>
      <c r="B257" s="15" t="s">
        <v>756</v>
      </c>
      <c r="C257" s="15" t="s">
        <v>757</v>
      </c>
      <c r="D257" s="14" t="str">
        <f>IF(LangIdx=2,C257&amp;"",B257&amp;"")</f>
        <v>Change in trade receivables (gross)</v>
      </c>
      <c r="E257" s="14" t="s">
        <v>716</v>
      </c>
      <c r="F257" s="2" t="s">
        <v>717</v>
      </c>
      <c r="G257" s="14" t="str">
        <f t="shared" si="3"/>
        <v/>
      </c>
    </row>
    <row r="258" spans="1:7" x14ac:dyDescent="0.3">
      <c r="A258" s="14" t="s">
        <v>758</v>
      </c>
      <c r="B258" s="15" t="s">
        <v>759</v>
      </c>
      <c r="C258" s="15" t="s">
        <v>760</v>
      </c>
      <c r="D258" s="14" t="str">
        <f>IF(LangIdx=2,C258&amp;"",B258&amp;"")</f>
        <v>Change in contract assets</v>
      </c>
      <c r="E258" s="14" t="s">
        <v>716</v>
      </c>
      <c r="F258" s="2" t="s">
        <v>717</v>
      </c>
      <c r="G258" s="14" t="str">
        <f t="shared" si="3"/>
        <v/>
      </c>
    </row>
    <row r="259" spans="1:7" x14ac:dyDescent="0.3">
      <c r="A259" s="14" t="s">
        <v>761</v>
      </c>
      <c r="B259" s="15" t="s">
        <v>762</v>
      </c>
      <c r="C259" s="15" t="s">
        <v>763</v>
      </c>
      <c r="D259" s="14" t="str">
        <f>IF(LangIdx=2,C259&amp;"",B259&amp;"")</f>
        <v>Change in other receivables</v>
      </c>
      <c r="E259" s="14" t="s">
        <v>716</v>
      </c>
      <c r="F259" s="2" t="s">
        <v>717</v>
      </c>
      <c r="G259" s="14" t="str">
        <f t="shared" si="3"/>
        <v/>
      </c>
    </row>
    <row r="260" spans="1:7" x14ac:dyDescent="0.3">
      <c r="A260" s="14" t="s">
        <v>764</v>
      </c>
      <c r="B260" s="15" t="s">
        <v>765</v>
      </c>
      <c r="C260" s="15" t="s">
        <v>766</v>
      </c>
      <c r="D260" s="14" t="str">
        <f>IF(LangIdx=2,C260&amp;"",B260&amp;"")</f>
        <v>Change in trade payables</v>
      </c>
      <c r="E260" s="14" t="s">
        <v>716</v>
      </c>
      <c r="F260" s="2" t="s">
        <v>717</v>
      </c>
      <c r="G260" s="14" t="str">
        <f t="shared" ref="G260:G323" si="4">IF(COUNTIF(DICT_KEY,A260)&gt;1,"DUP","")</f>
        <v/>
      </c>
    </row>
    <row r="261" spans="1:7" x14ac:dyDescent="0.3">
      <c r="A261" s="14" t="s">
        <v>767</v>
      </c>
      <c r="B261" s="15" t="s">
        <v>768</v>
      </c>
      <c r="C261" s="15" t="s">
        <v>769</v>
      </c>
      <c r="D261" s="14" t="str">
        <f>IF(LangIdx=2,C261&amp;"",B261&amp;"")</f>
        <v>Change in contract liabilities</v>
      </c>
      <c r="E261" s="14" t="s">
        <v>716</v>
      </c>
      <c r="F261" s="2" t="s">
        <v>717</v>
      </c>
      <c r="G261" s="14" t="str">
        <f t="shared" si="4"/>
        <v/>
      </c>
    </row>
    <row r="262" spans="1:7" x14ac:dyDescent="0.3">
      <c r="A262" s="14" t="s">
        <v>770</v>
      </c>
      <c r="B262" s="15" t="s">
        <v>771</v>
      </c>
      <c r="C262" s="15" t="s">
        <v>772</v>
      </c>
      <c r="D262" s="14" t="str">
        <f>IF(LangIdx=2,C262&amp;"",B262&amp;"")</f>
        <v>Change in other payables</v>
      </c>
      <c r="E262" s="14" t="s">
        <v>716</v>
      </c>
      <c r="F262" s="2" t="s">
        <v>717</v>
      </c>
      <c r="G262" s="14" t="str">
        <f t="shared" si="4"/>
        <v/>
      </c>
    </row>
    <row r="263" spans="1:7" x14ac:dyDescent="0.3">
      <c r="A263" s="14" t="s">
        <v>773</v>
      </c>
      <c r="B263" s="15" t="s">
        <v>774</v>
      </c>
      <c r="C263" s="15" t="s">
        <v>775</v>
      </c>
      <c r="D263" s="14" t="str">
        <f>IF(LangIdx=2,C263&amp;"",B263&amp;"")</f>
        <v>Cash generated from operations</v>
      </c>
      <c r="E263" s="14" t="s">
        <v>716</v>
      </c>
      <c r="F263" s="2" t="s">
        <v>717</v>
      </c>
      <c r="G263" s="14" t="str">
        <f t="shared" si="4"/>
        <v/>
      </c>
    </row>
    <row r="264" spans="1:7" x14ac:dyDescent="0.3">
      <c r="A264" s="14" t="s">
        <v>776</v>
      </c>
      <c r="B264" s="15" t="s">
        <v>777</v>
      </c>
      <c r="C264" s="15" t="s">
        <v>778</v>
      </c>
      <c r="D264" s="14" t="str">
        <f>IF(LangIdx=2,C264&amp;"",B264&amp;"")</f>
        <v>Income taxes paid</v>
      </c>
      <c r="E264" s="14" t="s">
        <v>716</v>
      </c>
      <c r="F264" s="2" t="s">
        <v>717</v>
      </c>
      <c r="G264" s="14" t="str">
        <f t="shared" si="4"/>
        <v/>
      </c>
    </row>
    <row r="265" spans="1:7" x14ac:dyDescent="0.3">
      <c r="A265" s="14" t="s">
        <v>779</v>
      </c>
      <c r="B265" s="15" t="s">
        <v>780</v>
      </c>
      <c r="C265" s="15" t="s">
        <v>781</v>
      </c>
      <c r="D265" s="14" t="str">
        <f>IF(LangIdx=2,C265&amp;"",B265&amp;"")</f>
        <v>Net cash from operating activities</v>
      </c>
      <c r="E265" s="14" t="s">
        <v>716</v>
      </c>
      <c r="F265" s="2" t="s">
        <v>717</v>
      </c>
      <c r="G265" s="14" t="str">
        <f t="shared" si="4"/>
        <v/>
      </c>
    </row>
    <row r="266" spans="1:7" x14ac:dyDescent="0.3">
      <c r="A266" s="14" t="s">
        <v>782</v>
      </c>
      <c r="B266" s="15" t="s">
        <v>783</v>
      </c>
      <c r="C266" s="15" t="s">
        <v>784</v>
      </c>
      <c r="D266" s="14" t="str">
        <f>IF(LangIdx=2,C266&amp;"",B266&amp;"")</f>
        <v>Purchase of property, plant and equipment</v>
      </c>
      <c r="E266" s="14" t="s">
        <v>716</v>
      </c>
      <c r="F266" s="2" t="s">
        <v>717</v>
      </c>
      <c r="G266" s="14" t="str">
        <f t="shared" si="4"/>
        <v/>
      </c>
    </row>
    <row r="267" spans="1:7" x14ac:dyDescent="0.3">
      <c r="A267" s="14" t="s">
        <v>785</v>
      </c>
      <c r="B267" s="15" t="s">
        <v>786</v>
      </c>
      <c r="C267" s="15" t="s">
        <v>787</v>
      </c>
      <c r="D267" s="14" t="str">
        <f>IF(LangIdx=2,C267&amp;"",B267&amp;"")</f>
        <v>Purchase of intangible assets</v>
      </c>
      <c r="E267" s="14" t="s">
        <v>716</v>
      </c>
      <c r="F267" s="2" t="s">
        <v>717</v>
      </c>
      <c r="G267" s="14" t="str">
        <f t="shared" si="4"/>
        <v/>
      </c>
    </row>
    <row r="268" spans="1:7" x14ac:dyDescent="0.3">
      <c r="A268" s="14" t="s">
        <v>788</v>
      </c>
      <c r="B268" s="15" t="s">
        <v>789</v>
      </c>
      <c r="C268" s="15" t="s">
        <v>790</v>
      </c>
      <c r="D268" s="14" t="str">
        <f>IF(LangIdx=2,C268&amp;"",B268&amp;"")</f>
        <v>Purchase of investment property</v>
      </c>
      <c r="E268" s="14" t="s">
        <v>716</v>
      </c>
      <c r="F268" s="2" t="s">
        <v>717</v>
      </c>
      <c r="G268" s="14" t="str">
        <f t="shared" si="4"/>
        <v/>
      </c>
    </row>
    <row r="269" spans="1:7" x14ac:dyDescent="0.3">
      <c r="A269" s="14" t="s">
        <v>791</v>
      </c>
      <c r="B269" s="15" t="s">
        <v>792</v>
      </c>
      <c r="C269" s="15" t="s">
        <v>793</v>
      </c>
      <c r="D269" s="14" t="str">
        <f>IF(LangIdx=2,C269&amp;"",B269&amp;"")</f>
        <v>Proceeds from disposal of non-current assets</v>
      </c>
      <c r="E269" s="14" t="s">
        <v>716</v>
      </c>
      <c r="F269" s="2" t="s">
        <v>717</v>
      </c>
      <c r="G269" s="14" t="str">
        <f t="shared" si="4"/>
        <v/>
      </c>
    </row>
    <row r="270" spans="1:7" x14ac:dyDescent="0.3">
      <c r="A270" s="14" t="s">
        <v>794</v>
      </c>
      <c r="B270" s="15" t="s">
        <v>795</v>
      </c>
      <c r="C270" s="15" t="s">
        <v>796</v>
      </c>
      <c r="D270" s="14" t="str">
        <f>IF(LangIdx=2,C270&amp;"",B270&amp;"")</f>
        <v>Purchase/sale of financial assets</v>
      </c>
      <c r="E270" s="14" t="s">
        <v>716</v>
      </c>
      <c r="F270" s="2" t="s">
        <v>717</v>
      </c>
      <c r="G270" s="14" t="str">
        <f t="shared" si="4"/>
        <v/>
      </c>
    </row>
    <row r="271" spans="1:7" x14ac:dyDescent="0.3">
      <c r="A271" s="14" t="s">
        <v>797</v>
      </c>
      <c r="B271" s="15" t="s">
        <v>798</v>
      </c>
      <c r="C271" s="15" t="s">
        <v>799</v>
      </c>
      <c r="D271" s="14" t="str">
        <f>IF(LangIdx=2,C271&amp;"",B271&amp;"")</f>
        <v>Investments in associates and joint ventures</v>
      </c>
      <c r="E271" s="14" t="s">
        <v>716</v>
      </c>
      <c r="F271" s="2" t="s">
        <v>717</v>
      </c>
      <c r="G271" s="14" t="str">
        <f t="shared" si="4"/>
        <v/>
      </c>
    </row>
    <row r="272" spans="1:7" x14ac:dyDescent="0.3">
      <c r="A272" s="14" t="s">
        <v>800</v>
      </c>
      <c r="B272" s="15" t="s">
        <v>801</v>
      </c>
      <c r="C272" s="15" t="s">
        <v>802</v>
      </c>
      <c r="D272" s="14" t="str">
        <f>IF(LangIdx=2,C272&amp;"",B272&amp;"")</f>
        <v>Interest received</v>
      </c>
      <c r="E272" s="14" t="s">
        <v>716</v>
      </c>
      <c r="F272" s="2" t="s">
        <v>717</v>
      </c>
      <c r="G272" s="14" t="str">
        <f t="shared" si="4"/>
        <v/>
      </c>
    </row>
    <row r="273" spans="1:7" x14ac:dyDescent="0.3">
      <c r="A273" s="14" t="s">
        <v>803</v>
      </c>
      <c r="B273" s="15" t="s">
        <v>804</v>
      </c>
      <c r="C273" s="15" t="s">
        <v>805</v>
      </c>
      <c r="D273" s="14" t="str">
        <f>IF(LangIdx=2,C273&amp;"",B273&amp;"")</f>
        <v>Dividends received</v>
      </c>
      <c r="E273" s="14" t="s">
        <v>716</v>
      </c>
      <c r="F273" s="2" t="s">
        <v>717</v>
      </c>
      <c r="G273" s="14" t="str">
        <f t="shared" si="4"/>
        <v/>
      </c>
    </row>
    <row r="274" spans="1:7" x14ac:dyDescent="0.3">
      <c r="A274" s="14" t="s">
        <v>806</v>
      </c>
      <c r="B274" s="15" t="s">
        <v>807</v>
      </c>
      <c r="C274" s="15" t="s">
        <v>808</v>
      </c>
      <c r="D274" s="14" t="str">
        <f>IF(LangIdx=2,C274&amp;"",B274&amp;"")</f>
        <v>Net cash from investing activities</v>
      </c>
      <c r="E274" s="14" t="s">
        <v>716</v>
      </c>
      <c r="F274" s="2" t="s">
        <v>717</v>
      </c>
      <c r="G274" s="14" t="str">
        <f t="shared" si="4"/>
        <v/>
      </c>
    </row>
    <row r="275" spans="1:7" x14ac:dyDescent="0.3">
      <c r="A275" s="14" t="s">
        <v>809</v>
      </c>
      <c r="B275" s="15" t="s">
        <v>810</v>
      </c>
      <c r="C275" s="15" t="s">
        <v>811</v>
      </c>
      <c r="D275" s="14" t="str">
        <f>IF(LangIdx=2,C275&amp;"",B275&amp;"")</f>
        <v>Proceeds from borrowings</v>
      </c>
      <c r="E275" s="14" t="s">
        <v>716</v>
      </c>
      <c r="F275" s="2" t="s">
        <v>717</v>
      </c>
      <c r="G275" s="14" t="str">
        <f t="shared" si="4"/>
        <v/>
      </c>
    </row>
    <row r="276" spans="1:7" x14ac:dyDescent="0.3">
      <c r="A276" s="14" t="s">
        <v>812</v>
      </c>
      <c r="B276" s="15" t="s">
        <v>813</v>
      </c>
      <c r="C276" s="15" t="s">
        <v>814</v>
      </c>
      <c r="D276" s="14" t="str">
        <f>IF(LangIdx=2,C276&amp;"",B276&amp;"")</f>
        <v>Repayment of borrowings</v>
      </c>
      <c r="E276" s="14" t="s">
        <v>716</v>
      </c>
      <c r="F276" s="2" t="s">
        <v>717</v>
      </c>
      <c r="G276" s="14" t="str">
        <f t="shared" si="4"/>
        <v/>
      </c>
    </row>
    <row r="277" spans="1:7" x14ac:dyDescent="0.3">
      <c r="A277" s="14" t="s">
        <v>815</v>
      </c>
      <c r="B277" s="15" t="s">
        <v>816</v>
      </c>
      <c r="C277" s="15" t="s">
        <v>817</v>
      </c>
      <c r="D277" s="14" t="str">
        <f>IF(LangIdx=2,C277&amp;"",B277&amp;"")</f>
        <v>Payment of lease liabilities (principal)</v>
      </c>
      <c r="E277" s="14" t="s">
        <v>716</v>
      </c>
      <c r="F277" s="2" t="s">
        <v>717</v>
      </c>
      <c r="G277" s="14" t="str">
        <f t="shared" si="4"/>
        <v/>
      </c>
    </row>
    <row r="278" spans="1:7" x14ac:dyDescent="0.3">
      <c r="A278" s="14" t="s">
        <v>818</v>
      </c>
      <c r="B278" s="15" t="s">
        <v>819</v>
      </c>
      <c r="C278" s="15" t="s">
        <v>820</v>
      </c>
      <c r="D278" s="14" t="str">
        <f>IF(LangIdx=2,C278&amp;"",B278&amp;"")</f>
        <v>Interest paid</v>
      </c>
      <c r="E278" s="14" t="s">
        <v>716</v>
      </c>
      <c r="F278" s="2" t="s">
        <v>717</v>
      </c>
      <c r="G278" s="14" t="str">
        <f t="shared" si="4"/>
        <v/>
      </c>
    </row>
    <row r="279" spans="1:7" x14ac:dyDescent="0.3">
      <c r="A279" s="14" t="s">
        <v>821</v>
      </c>
      <c r="B279" s="15" t="s">
        <v>822</v>
      </c>
      <c r="C279" s="15" t="s">
        <v>823</v>
      </c>
      <c r="D279" s="14" t="str">
        <f>IF(LangIdx=2,C279&amp;"",B279&amp;"")</f>
        <v>Proceeds from issue of shares</v>
      </c>
      <c r="E279" s="14" t="s">
        <v>716</v>
      </c>
      <c r="F279" s="2" t="s">
        <v>717</v>
      </c>
      <c r="G279" s="14" t="str">
        <f t="shared" si="4"/>
        <v/>
      </c>
    </row>
    <row r="280" spans="1:7" x14ac:dyDescent="0.3">
      <c r="A280" s="14" t="s">
        <v>824</v>
      </c>
      <c r="B280" s="15" t="s">
        <v>825</v>
      </c>
      <c r="C280" s="15" t="s">
        <v>826</v>
      </c>
      <c r="D280" s="14" t="str">
        <f>IF(LangIdx=2,C280&amp;"",B280&amp;"")</f>
        <v>Dividends paid</v>
      </c>
      <c r="E280" s="14" t="s">
        <v>716</v>
      </c>
      <c r="F280" s="2" t="s">
        <v>717</v>
      </c>
      <c r="G280" s="14" t="str">
        <f t="shared" si="4"/>
        <v/>
      </c>
    </row>
    <row r="281" spans="1:7" x14ac:dyDescent="0.3">
      <c r="A281" s="14" t="s">
        <v>827</v>
      </c>
      <c r="B281" s="15" t="s">
        <v>828</v>
      </c>
      <c r="C281" s="15" t="s">
        <v>829</v>
      </c>
      <c r="D281" s="14" t="str">
        <f>IF(LangIdx=2,C281&amp;"",B281&amp;"")</f>
        <v>Net cash from financing activities</v>
      </c>
      <c r="E281" s="14" t="s">
        <v>716</v>
      </c>
      <c r="F281" s="2" t="s">
        <v>717</v>
      </c>
      <c r="G281" s="14" t="str">
        <f t="shared" si="4"/>
        <v/>
      </c>
    </row>
    <row r="282" spans="1:7" x14ac:dyDescent="0.3">
      <c r="A282" s="14" t="s">
        <v>830</v>
      </c>
      <c r="B282" s="15" t="s">
        <v>831</v>
      </c>
      <c r="C282" s="15" t="s">
        <v>832</v>
      </c>
      <c r="D282" s="14" t="str">
        <f>IF(LangIdx=2,C282&amp;"",B282&amp;"")</f>
        <v>Net increase/(decrease) in cash and cash equivalents</v>
      </c>
      <c r="E282" s="14" t="s">
        <v>716</v>
      </c>
      <c r="F282" s="2" t="s">
        <v>717</v>
      </c>
      <c r="G282" s="14" t="str">
        <f t="shared" si="4"/>
        <v/>
      </c>
    </row>
    <row r="283" spans="1:7" x14ac:dyDescent="0.3">
      <c r="A283" s="14" t="s">
        <v>833</v>
      </c>
      <c r="B283" s="15" t="s">
        <v>834</v>
      </c>
      <c r="C283" s="15" t="s">
        <v>835</v>
      </c>
      <c r="D283" s="14" t="str">
        <f>IF(LangIdx=2,C283&amp;"",B283&amp;"")</f>
        <v>Effect of exchange rate changes on cash</v>
      </c>
      <c r="E283" s="14" t="s">
        <v>716</v>
      </c>
      <c r="F283" s="2" t="s">
        <v>717</v>
      </c>
      <c r="G283" s="14" t="str">
        <f t="shared" si="4"/>
        <v/>
      </c>
    </row>
    <row r="284" spans="1:7" x14ac:dyDescent="0.3">
      <c r="A284" s="14" t="s">
        <v>836</v>
      </c>
      <c r="B284" s="15" t="s">
        <v>837</v>
      </c>
      <c r="C284" s="15" t="s">
        <v>838</v>
      </c>
      <c r="D284" s="14" t="str">
        <f>IF(LangIdx=2,C284&amp;"",B284&amp;"")</f>
        <v>Cash and cash equivalents at beginning of year</v>
      </c>
      <c r="E284" s="14" t="s">
        <v>716</v>
      </c>
      <c r="F284" s="2" t="s">
        <v>717</v>
      </c>
      <c r="G284" s="14" t="str">
        <f t="shared" si="4"/>
        <v/>
      </c>
    </row>
    <row r="285" spans="1:7" x14ac:dyDescent="0.3">
      <c r="A285" s="14" t="s">
        <v>839</v>
      </c>
      <c r="B285" s="15" t="s">
        <v>840</v>
      </c>
      <c r="C285" s="15" t="s">
        <v>841</v>
      </c>
      <c r="D285" s="14" t="str">
        <f>IF(LangIdx=2,C285&amp;"",B285&amp;"")</f>
        <v>Cash and cash equivalents at end of year</v>
      </c>
      <c r="E285" s="14" t="s">
        <v>716</v>
      </c>
      <c r="F285" s="2" t="s">
        <v>717</v>
      </c>
      <c r="G285" s="14" t="str">
        <f t="shared" si="4"/>
        <v/>
      </c>
    </row>
    <row r="286" spans="1:7" x14ac:dyDescent="0.3">
      <c r="A286" s="14" t="s">
        <v>842</v>
      </c>
      <c r="B286" s="15" t="s">
        <v>843</v>
      </c>
      <c r="C286" s="15" t="s">
        <v>844</v>
      </c>
      <c r="D286" s="14" t="str">
        <f>IF(LangIdx=2,C286&amp;"",B286&amp;"")</f>
        <v>Cash and cash equivalents per statement of financial position</v>
      </c>
      <c r="E286" s="14" t="s">
        <v>716</v>
      </c>
      <c r="F286" s="2" t="s">
        <v>717</v>
      </c>
      <c r="G286" s="14" t="str">
        <f t="shared" si="4"/>
        <v/>
      </c>
    </row>
    <row r="287" spans="1:7" x14ac:dyDescent="0.3">
      <c r="A287" s="14" t="s">
        <v>845</v>
      </c>
      <c r="B287" s="15" t="s">
        <v>846</v>
      </c>
      <c r="C287" s="15" t="s">
        <v>847</v>
      </c>
      <c r="D287" s="14" t="str">
        <f>IF(LangIdx=2,C287&amp;"",B287&amp;"")</f>
        <v>Difference (must be zero)</v>
      </c>
      <c r="E287" s="14" t="s">
        <v>716</v>
      </c>
      <c r="F287" s="2" t="s">
        <v>717</v>
      </c>
      <c r="G287" s="14" t="str">
        <f t="shared" si="4"/>
        <v/>
      </c>
    </row>
    <row r="288" spans="1:7" x14ac:dyDescent="0.3">
      <c r="A288" s="14" t="s">
        <v>848</v>
      </c>
      <c r="B288" s="15" t="s">
        <v>849</v>
      </c>
      <c r="C288" s="15" t="s">
        <v>850</v>
      </c>
      <c r="D288" s="14" t="str">
        <f>IF(LangIdx=2,C288&amp;"",B288&amp;"")</f>
        <v>Roll-forward of balances (non-cash split)</v>
      </c>
      <c r="E288" s="14" t="s">
        <v>716</v>
      </c>
      <c r="F288" s="2" t="s">
        <v>717</v>
      </c>
      <c r="G288" s="14" t="str">
        <f t="shared" si="4"/>
        <v/>
      </c>
    </row>
    <row r="289" spans="1:7" x14ac:dyDescent="0.3">
      <c r="A289" s="14" t="s">
        <v>851</v>
      </c>
      <c r="B289" s="15" t="s">
        <v>852</v>
      </c>
      <c r="C289" s="15" t="s">
        <v>853</v>
      </c>
      <c r="D289" s="14" t="str">
        <f>IF(LangIdx=2,C289&amp;"",B289&amp;"")</f>
        <v>Opening carrying amount</v>
      </c>
      <c r="E289" s="14" t="s">
        <v>716</v>
      </c>
      <c r="F289" s="2" t="s">
        <v>717</v>
      </c>
      <c r="G289" s="14" t="str">
        <f t="shared" si="4"/>
        <v/>
      </c>
    </row>
    <row r="290" spans="1:7" x14ac:dyDescent="0.3">
      <c r="A290" s="14" t="s">
        <v>854</v>
      </c>
      <c r="B290" s="15" t="s">
        <v>855</v>
      </c>
      <c r="C290" s="15" t="s">
        <v>856</v>
      </c>
      <c r="D290" s="14" t="str">
        <f>IF(LangIdx=2,C290&amp;"",B290&amp;"")</f>
        <v>Additions (cash)</v>
      </c>
      <c r="E290" s="14" t="s">
        <v>716</v>
      </c>
      <c r="F290" s="2" t="s">
        <v>717</v>
      </c>
      <c r="G290" s="14" t="str">
        <f t="shared" si="4"/>
        <v/>
      </c>
    </row>
    <row r="291" spans="1:7" x14ac:dyDescent="0.3">
      <c r="A291" s="14" t="s">
        <v>857</v>
      </c>
      <c r="B291" s="15" t="s">
        <v>858</v>
      </c>
      <c r="C291" s="15" t="s">
        <v>859</v>
      </c>
      <c r="D291" s="14" t="str">
        <f>IF(LangIdx=2,C291&amp;"",B291&amp;"")</f>
        <v>Additions (non-cash)</v>
      </c>
      <c r="E291" s="14" t="s">
        <v>716</v>
      </c>
      <c r="F291" s="2" t="s">
        <v>717</v>
      </c>
      <c r="G291" s="14" t="str">
        <f t="shared" si="4"/>
        <v/>
      </c>
    </row>
    <row r="292" spans="1:7" x14ac:dyDescent="0.3">
      <c r="A292" s="14" t="s">
        <v>860</v>
      </c>
      <c r="B292" s="15" t="s">
        <v>861</v>
      </c>
      <c r="C292" s="15" t="s">
        <v>862</v>
      </c>
      <c r="D292" s="14" t="str">
        <f>IF(LangIdx=2,C292&amp;"",B292&amp;"")</f>
        <v>Depreciation / amortisation</v>
      </c>
      <c r="E292" s="14" t="s">
        <v>716</v>
      </c>
      <c r="F292" s="2" t="s">
        <v>717</v>
      </c>
      <c r="G292" s="14" t="str">
        <f t="shared" si="4"/>
        <v/>
      </c>
    </row>
    <row r="293" spans="1:7" x14ac:dyDescent="0.3">
      <c r="A293" s="14" t="s">
        <v>863</v>
      </c>
      <c r="B293" s="15" t="s">
        <v>864</v>
      </c>
      <c r="C293" s="15" t="s">
        <v>865</v>
      </c>
      <c r="D293" s="14" t="str">
        <f>IF(LangIdx=2,C293&amp;"",B293&amp;"")</f>
        <v>Impairment</v>
      </c>
      <c r="E293" s="14" t="s">
        <v>716</v>
      </c>
      <c r="F293" s="2" t="s">
        <v>717</v>
      </c>
      <c r="G293" s="14" t="str">
        <f t="shared" si="4"/>
        <v/>
      </c>
    </row>
    <row r="294" spans="1:7" x14ac:dyDescent="0.3">
      <c r="A294" s="14" t="s">
        <v>866</v>
      </c>
      <c r="B294" s="15" t="s">
        <v>867</v>
      </c>
      <c r="C294" s="15" t="s">
        <v>868</v>
      </c>
      <c r="D294" s="14" t="str">
        <f>IF(LangIdx=2,C294&amp;"",B294&amp;"")</f>
        <v>Revaluation (OCI)</v>
      </c>
      <c r="E294" s="14" t="s">
        <v>716</v>
      </c>
      <c r="F294" s="2" t="s">
        <v>717</v>
      </c>
      <c r="G294" s="14" t="str">
        <f t="shared" si="4"/>
        <v/>
      </c>
    </row>
    <row r="295" spans="1:7" x14ac:dyDescent="0.3">
      <c r="A295" s="14" t="s">
        <v>869</v>
      </c>
      <c r="B295" s="15" t="s">
        <v>870</v>
      </c>
      <c r="C295" s="15" t="s">
        <v>871</v>
      </c>
      <c r="D295" s="14" t="str">
        <f>IF(LangIdx=2,C295&amp;"",B295&amp;"")</f>
        <v>Disposals at carrying amount</v>
      </c>
      <c r="E295" s="14" t="s">
        <v>716</v>
      </c>
      <c r="F295" s="2" t="s">
        <v>717</v>
      </c>
      <c r="G295" s="14" t="str">
        <f t="shared" si="4"/>
        <v/>
      </c>
    </row>
    <row r="296" spans="1:7" x14ac:dyDescent="0.3">
      <c r="A296" s="14" t="s">
        <v>872</v>
      </c>
      <c r="B296" s="15" t="s">
        <v>873</v>
      </c>
      <c r="C296" s="15" t="s">
        <v>874</v>
      </c>
      <c r="D296" s="14" t="str">
        <f>IF(LangIdx=2,C296&amp;"",B296&amp;"")</f>
        <v>Drawdowns</v>
      </c>
      <c r="E296" s="14" t="s">
        <v>716</v>
      </c>
      <c r="F296" s="2" t="s">
        <v>717</v>
      </c>
      <c r="G296" s="14" t="str">
        <f t="shared" si="4"/>
        <v/>
      </c>
    </row>
    <row r="297" spans="1:7" x14ac:dyDescent="0.3">
      <c r="A297" s="14" t="s">
        <v>875</v>
      </c>
      <c r="B297" s="15" t="s">
        <v>876</v>
      </c>
      <c r="C297" s="15" t="s">
        <v>877</v>
      </c>
      <c r="D297" s="14" t="str">
        <f>IF(LangIdx=2,C297&amp;"",B297&amp;"")</f>
        <v>Repayments (derived)</v>
      </c>
      <c r="E297" s="14" t="s">
        <v>716</v>
      </c>
      <c r="F297" s="2" t="s">
        <v>717</v>
      </c>
      <c r="G297" s="14" t="str">
        <f t="shared" si="4"/>
        <v/>
      </c>
    </row>
    <row r="298" spans="1:7" x14ac:dyDescent="0.3">
      <c r="A298" s="14" t="s">
        <v>878</v>
      </c>
      <c r="B298" s="15" t="s">
        <v>879</v>
      </c>
      <c r="C298" s="15" t="s">
        <v>880</v>
      </c>
      <c r="D298" s="14" t="str">
        <f>IF(LangIdx=2,C298&amp;"",B298&amp;"")</f>
        <v>New leases</v>
      </c>
      <c r="E298" s="14" t="s">
        <v>716</v>
      </c>
      <c r="F298" s="2" t="s">
        <v>717</v>
      </c>
      <c r="G298" s="14" t="str">
        <f t="shared" si="4"/>
        <v/>
      </c>
    </row>
    <row r="299" spans="1:7" x14ac:dyDescent="0.3">
      <c r="A299" s="14" t="s">
        <v>881</v>
      </c>
      <c r="B299" s="15" t="s">
        <v>882</v>
      </c>
      <c r="C299" s="15" t="s">
        <v>883</v>
      </c>
      <c r="D299" s="14" t="str">
        <f>IF(LangIdx=2,C299&amp;"",B299&amp;"")</f>
        <v>Interest accrued</v>
      </c>
      <c r="E299" s="14" t="s">
        <v>716</v>
      </c>
      <c r="F299" s="2" t="s">
        <v>717</v>
      </c>
      <c r="G299" s="14" t="str">
        <f t="shared" si="4"/>
        <v/>
      </c>
    </row>
    <row r="300" spans="1:7" x14ac:dyDescent="0.3">
      <c r="A300" s="14" t="s">
        <v>884</v>
      </c>
      <c r="B300" s="15" t="s">
        <v>885</v>
      </c>
      <c r="C300" s="15" t="s">
        <v>886</v>
      </c>
      <c r="D300" s="14" t="str">
        <f>IF(LangIdx=2,C300&amp;"",B300&amp;"")</f>
        <v>Payments (derived)</v>
      </c>
      <c r="E300" s="14" t="s">
        <v>716</v>
      </c>
      <c r="F300" s="2" t="s">
        <v>717</v>
      </c>
      <c r="G300" s="14" t="str">
        <f t="shared" si="4"/>
        <v/>
      </c>
    </row>
    <row r="301" spans="1:7" x14ac:dyDescent="0.3">
      <c r="A301" s="14" t="s">
        <v>887</v>
      </c>
      <c r="B301" s="15" t="s">
        <v>888</v>
      </c>
      <c r="C301" s="15" t="s">
        <v>889</v>
      </c>
      <c r="D301" s="14" t="str">
        <f>IF(LangIdx=2,C301&amp;"",B301&amp;"")</f>
        <v>Charge for the year</v>
      </c>
      <c r="E301" s="14" t="s">
        <v>716</v>
      </c>
      <c r="F301" s="2" t="s">
        <v>717</v>
      </c>
      <c r="G301" s="14" t="str">
        <f t="shared" si="4"/>
        <v/>
      </c>
    </row>
    <row r="302" spans="1:7" x14ac:dyDescent="0.3">
      <c r="A302" s="14" t="s">
        <v>890</v>
      </c>
      <c r="B302" s="15" t="s">
        <v>891</v>
      </c>
      <c r="C302" s="15" t="s">
        <v>892</v>
      </c>
      <c r="D302" s="14" t="str">
        <f>IF(LangIdx=2,C302&amp;"",B302&amp;"")</f>
        <v>Loss allowance on trade receivables</v>
      </c>
      <c r="E302" s="14" t="s">
        <v>716</v>
      </c>
      <c r="F302" s="2" t="s">
        <v>717</v>
      </c>
      <c r="G302" s="14" t="str">
        <f t="shared" si="4"/>
        <v/>
      </c>
    </row>
    <row r="303" spans="1:7" x14ac:dyDescent="0.3">
      <c r="A303" s="14" t="s">
        <v>893</v>
      </c>
      <c r="B303" s="15" t="s">
        <v>894</v>
      </c>
      <c r="C303" s="15" t="s">
        <v>895</v>
      </c>
      <c r="D303" s="14" t="str">
        <f>IF(LangIdx=2,C303&amp;"",B303&amp;"")</f>
        <v>Split into gross change and allowance movement only if the loss allowance account carries the 'Loss allowance on receivables (balance)' tag and the expense account the 'Impairment of receivables' tag; otherwise the net change already covers it.</v>
      </c>
      <c r="E303" s="14" t="s">
        <v>716</v>
      </c>
      <c r="F303" s="2" t="s">
        <v>717</v>
      </c>
      <c r="G303" s="14" t="str">
        <f t="shared" si="4"/>
        <v/>
      </c>
    </row>
    <row r="304" spans="1:7" x14ac:dyDescent="0.3">
      <c r="A304" s="14" t="s">
        <v>896</v>
      </c>
      <c r="B304" s="15" t="s">
        <v>897</v>
      </c>
      <c r="C304" s="15" t="s">
        <v>898</v>
      </c>
      <c r="D304" s="14" t="str">
        <f>IF(LangIdx=2,C304&amp;"",B304&amp;"")</f>
        <v>Utilisation (derived)</v>
      </c>
      <c r="E304" s="14" t="s">
        <v>716</v>
      </c>
      <c r="F304" s="2" t="s">
        <v>717</v>
      </c>
      <c r="G304" s="14" t="str">
        <f t="shared" si="4"/>
        <v/>
      </c>
    </row>
    <row r="305" spans="1:7" x14ac:dyDescent="0.3">
      <c r="A305" s="14" t="s">
        <v>899</v>
      </c>
      <c r="B305" s="15" t="s">
        <v>900</v>
      </c>
      <c r="C305" s="15" t="s">
        <v>901</v>
      </c>
      <c r="D305" s="14" t="str">
        <f>IF(LangIdx=2,C305&amp;"",B305&amp;"")</f>
        <v>FX and other</v>
      </c>
      <c r="E305" s="14" t="s">
        <v>716</v>
      </c>
      <c r="F305" s="2" t="s">
        <v>717</v>
      </c>
      <c r="G305" s="14" t="str">
        <f t="shared" si="4"/>
        <v/>
      </c>
    </row>
    <row r="306" spans="1:7" x14ac:dyDescent="0.3">
      <c r="A306" s="14" t="s">
        <v>902</v>
      </c>
      <c r="B306" s="15" t="s">
        <v>903</v>
      </c>
      <c r="C306" s="15" t="s">
        <v>904</v>
      </c>
      <c r="D306" s="14" t="str">
        <f>IF(LangIdx=2,C306&amp;"",B306&amp;"")</f>
        <v>Closing per statement of financial position</v>
      </c>
      <c r="E306" s="14" t="s">
        <v>716</v>
      </c>
      <c r="F306" s="2" t="s">
        <v>717</v>
      </c>
      <c r="G306" s="14" t="str">
        <f t="shared" si="4"/>
        <v/>
      </c>
    </row>
    <row r="307" spans="1:7" x14ac:dyDescent="0.3">
      <c r="A307" s="14" t="s">
        <v>905</v>
      </c>
      <c r="B307" s="15" t="s">
        <v>906</v>
      </c>
      <c r="C307" s="15" t="s">
        <v>907</v>
      </c>
      <c r="D307" s="14" t="str">
        <f>IF(LangIdx=2,C307&amp;"",B307&amp;"")</f>
        <v>Unexplained movement</v>
      </c>
      <c r="E307" s="14" t="s">
        <v>716</v>
      </c>
      <c r="F307" s="2" t="s">
        <v>717</v>
      </c>
      <c r="G307" s="14" t="str">
        <f t="shared" si="4"/>
        <v/>
      </c>
    </row>
    <row r="308" spans="1:7" x14ac:dyDescent="0.3">
      <c r="A308" s="14" t="s">
        <v>908</v>
      </c>
      <c r="B308" s="15" t="s">
        <v>909</v>
      </c>
      <c r="C308" s="15" t="s">
        <v>910</v>
      </c>
      <c r="D308" s="14" t="str">
        <f>IF(LangIdx=2,C308&amp;"",B308&amp;"")</f>
        <v>Fair value change (non-cash)</v>
      </c>
      <c r="E308" s="14" t="s">
        <v>716</v>
      </c>
      <c r="F308" s="2" t="s">
        <v>717</v>
      </c>
      <c r="G308" s="14" t="str">
        <f t="shared" si="4"/>
        <v/>
      </c>
    </row>
    <row r="309" spans="1:7" x14ac:dyDescent="0.3">
      <c r="A309" s="14" t="s">
        <v>911</v>
      </c>
      <c r="B309" s="15" t="s">
        <v>912</v>
      </c>
      <c r="C309" s="15" t="s">
        <v>913</v>
      </c>
      <c r="D309" s="14" t="str">
        <f>IF(LangIdx=2,C309&amp;"",B309&amp;"")</f>
        <v>Sales at carrying amount</v>
      </c>
      <c r="E309" s="14" t="s">
        <v>716</v>
      </c>
      <c r="F309" s="2" t="s">
        <v>717</v>
      </c>
      <c r="G309" s="14" t="str">
        <f t="shared" si="4"/>
        <v/>
      </c>
    </row>
    <row r="310" spans="1:7" x14ac:dyDescent="0.3">
      <c r="A310" s="14" t="s">
        <v>914</v>
      </c>
      <c r="B310" s="15" t="s">
        <v>915</v>
      </c>
      <c r="C310" s="15" t="s">
        <v>916</v>
      </c>
      <c r="D310" s="14" t="str">
        <f>IF(LangIdx=2,C310&amp;"",B310&amp;"")</f>
        <v>Purchase of financial assets</v>
      </c>
      <c r="E310" s="14" t="s">
        <v>716</v>
      </c>
      <c r="F310" s="2" t="s">
        <v>717</v>
      </c>
      <c r="G310" s="14" t="str">
        <f t="shared" si="4"/>
        <v/>
      </c>
    </row>
    <row r="311" spans="1:7" x14ac:dyDescent="0.3">
      <c r="A311" s="14" t="s">
        <v>917</v>
      </c>
      <c r="B311" s="15" t="s">
        <v>918</v>
      </c>
      <c r="C311" s="15" t="s">
        <v>919</v>
      </c>
      <c r="D311" s="14" t="str">
        <f>IF(LangIdx=2,C311&amp;"",B311&amp;"")</f>
        <v>Proceeds from sale of financial assets</v>
      </c>
      <c r="E311" s="14" t="s">
        <v>716</v>
      </c>
      <c r="F311" s="2" t="s">
        <v>717</v>
      </c>
      <c r="G311" s="14" t="str">
        <f t="shared" si="4"/>
        <v/>
      </c>
    </row>
    <row r="312" spans="1:7" x14ac:dyDescent="0.3">
      <c r="A312" s="14" t="s">
        <v>920</v>
      </c>
      <c r="B312" s="15" t="s">
        <v>921</v>
      </c>
      <c r="C312" s="15" t="s">
        <v>922</v>
      </c>
      <c r="D312" s="14" t="str">
        <f>IF(LangIdx=2,C312&amp;"",B312&amp;"")</f>
        <v>Management-defined performance measures</v>
      </c>
      <c r="E312" s="14" t="s">
        <v>923</v>
      </c>
      <c r="F312" s="2" t="s">
        <v>924</v>
      </c>
      <c r="G312" s="14" t="str">
        <f t="shared" si="4"/>
        <v/>
      </c>
    </row>
    <row r="313" spans="1:7" x14ac:dyDescent="0.3">
      <c r="A313" s="14" t="s">
        <v>925</v>
      </c>
      <c r="B313" s="15" t="s">
        <v>926</v>
      </c>
      <c r="C313" s="15" t="s">
        <v>927</v>
      </c>
      <c r="D313" s="14" t="str">
        <f>IF(LangIdx=2,C313&amp;"",B313&amp;"")</f>
        <v>Name of the measure</v>
      </c>
      <c r="E313" s="14" t="s">
        <v>923</v>
      </c>
      <c r="F313" s="2" t="s">
        <v>924</v>
      </c>
      <c r="G313" s="14" t="str">
        <f t="shared" si="4"/>
        <v/>
      </c>
    </row>
    <row r="314" spans="1:7" x14ac:dyDescent="0.3">
      <c r="A314" s="14" t="s">
        <v>928</v>
      </c>
      <c r="B314" s="15" t="s">
        <v>929</v>
      </c>
      <c r="C314" s="15" t="s">
        <v>930</v>
      </c>
      <c r="D314" s="14" t="str">
        <f>IF(LangIdx=2,C314&amp;"",B314&amp;"")</f>
        <v>Used in public communications outside the financial statements?</v>
      </c>
      <c r="E314" s="14" t="s">
        <v>923</v>
      </c>
      <c r="F314" s="2" t="s">
        <v>924</v>
      </c>
      <c r="G314" s="14" t="str">
        <f t="shared" si="4"/>
        <v/>
      </c>
    </row>
    <row r="315" spans="1:7" x14ac:dyDescent="0.3">
      <c r="A315" s="14" t="s">
        <v>931</v>
      </c>
      <c r="B315" s="15" t="s">
        <v>932</v>
      </c>
      <c r="C315" s="15" t="s">
        <v>933</v>
      </c>
      <c r="D315" s="14" t="str">
        <f>IF(LangIdx=2,C315&amp;"",B315&amp;"")</f>
        <v>Communicates management's view of an aspect of financial performance?</v>
      </c>
      <c r="E315" s="14" t="s">
        <v>923</v>
      </c>
      <c r="F315" s="2" t="s">
        <v>924</v>
      </c>
      <c r="G315" s="14" t="str">
        <f t="shared" si="4"/>
        <v/>
      </c>
    </row>
    <row r="316" spans="1:7" x14ac:dyDescent="0.3">
      <c r="A316" s="14" t="s">
        <v>934</v>
      </c>
      <c r="B316" s="15" t="s">
        <v>935</v>
      </c>
      <c r="C316" s="15" t="s">
        <v>936</v>
      </c>
      <c r="D316" s="14" t="str">
        <f>IF(LangIdx=2,C316&amp;"",B316&amp;"")</f>
        <v>Not a subtotal specified by IFRS?</v>
      </c>
      <c r="E316" s="14" t="s">
        <v>923</v>
      </c>
      <c r="F316" s="2" t="s">
        <v>924</v>
      </c>
      <c r="G316" s="14" t="str">
        <f t="shared" si="4"/>
        <v/>
      </c>
    </row>
    <row r="317" spans="1:7" x14ac:dyDescent="0.3">
      <c r="A317" s="14" t="s">
        <v>937</v>
      </c>
      <c r="B317" s="15" t="s">
        <v>938</v>
      </c>
      <c r="C317" s="15" t="s">
        <v>939</v>
      </c>
      <c r="D317" s="14" t="str">
        <f>IF(LangIdx=2,C317&amp;"",B317&amp;"")</f>
        <v>Why the measure provides useful information</v>
      </c>
      <c r="E317" s="14" t="s">
        <v>923</v>
      </c>
      <c r="F317" s="2" t="s">
        <v>924</v>
      </c>
      <c r="G317" s="14" t="str">
        <f t="shared" si="4"/>
        <v/>
      </c>
    </row>
    <row r="318" spans="1:7" x14ac:dyDescent="0.3">
      <c r="A318" s="14" t="s">
        <v>940</v>
      </c>
      <c r="B318" s="15" t="s">
        <v>941</v>
      </c>
      <c r="C318" s="15" t="s">
        <v>942</v>
      </c>
      <c r="D318" s="14" t="str">
        <f>IF(LangIdx=2,C318&amp;"",B318&amp;"")</f>
        <v>Most directly comparable IFRS-specified subtotal</v>
      </c>
      <c r="E318" s="14" t="s">
        <v>923</v>
      </c>
      <c r="F318" s="2" t="s">
        <v>924</v>
      </c>
      <c r="G318" s="14" t="str">
        <f t="shared" si="4"/>
        <v/>
      </c>
    </row>
    <row r="319" spans="1:7" x14ac:dyDescent="0.3">
      <c r="A319" s="14" t="s">
        <v>943</v>
      </c>
      <c r="B319" s="15" t="s">
        <v>944</v>
      </c>
      <c r="C319" s="15" t="s">
        <v>945</v>
      </c>
      <c r="D319" s="14" t="str">
        <f>IF(LangIdx=2,C319&amp;"",B319&amp;"")</f>
        <v>Reconciling item</v>
      </c>
      <c r="E319" s="14" t="s">
        <v>923</v>
      </c>
      <c r="F319" s="2" t="s">
        <v>924</v>
      </c>
      <c r="G319" s="14" t="str">
        <f t="shared" si="4"/>
        <v/>
      </c>
    </row>
    <row r="320" spans="1:7" x14ac:dyDescent="0.3">
      <c r="A320" s="14" t="s">
        <v>946</v>
      </c>
      <c r="B320" s="15" t="s">
        <v>947</v>
      </c>
      <c r="C320" s="15" t="s">
        <v>948</v>
      </c>
      <c r="D320" s="14" t="str">
        <f>IF(LangIdx=2,C320&amp;"",B320&amp;"")</f>
        <v>Amount</v>
      </c>
      <c r="E320" s="14" t="s">
        <v>923</v>
      </c>
      <c r="F320" s="2" t="s">
        <v>924</v>
      </c>
      <c r="G320" s="14" t="str">
        <f t="shared" si="4"/>
        <v/>
      </c>
    </row>
    <row r="321" spans="1:7" x14ac:dyDescent="0.3">
      <c r="A321" s="14" t="s">
        <v>949</v>
      </c>
      <c r="B321" s="15" t="s">
        <v>950</v>
      </c>
      <c r="C321" s="15" t="s">
        <v>951</v>
      </c>
      <c r="D321" s="14" t="str">
        <f>IF(LangIdx=2,C321&amp;"",B321&amp;"")</f>
        <v>Income tax effect</v>
      </c>
      <c r="E321" s="14" t="s">
        <v>923</v>
      </c>
      <c r="F321" s="2" t="s">
        <v>924</v>
      </c>
      <c r="G321" s="14" t="str">
        <f t="shared" si="4"/>
        <v/>
      </c>
    </row>
    <row r="322" spans="1:7" x14ac:dyDescent="0.3">
      <c r="A322" s="14" t="s">
        <v>952</v>
      </c>
      <c r="B322" s="15" t="s">
        <v>953</v>
      </c>
      <c r="C322" s="15" t="s">
        <v>954</v>
      </c>
      <c r="D322" s="14" t="str">
        <f>IF(LangIdx=2,C322&amp;"",B322&amp;"")</f>
        <v>Effect on non-controlling interests</v>
      </c>
      <c r="E322" s="14" t="s">
        <v>923</v>
      </c>
      <c r="F322" s="2" t="s">
        <v>924</v>
      </c>
      <c r="G322" s="14" t="str">
        <f t="shared" si="4"/>
        <v/>
      </c>
    </row>
    <row r="323" spans="1:7" x14ac:dyDescent="0.3">
      <c r="A323" s="14" t="s">
        <v>955</v>
      </c>
      <c r="B323" s="15" t="s">
        <v>956</v>
      </c>
      <c r="C323" s="15" t="s">
        <v>957</v>
      </c>
      <c r="D323" s="14" t="str">
        <f>IF(LangIdx=2,C323&amp;"",B323&amp;"")</f>
        <v>Management-defined performance measure</v>
      </c>
      <c r="E323" s="14" t="s">
        <v>923</v>
      </c>
      <c r="F323" s="2" t="s">
        <v>924</v>
      </c>
      <c r="G323" s="14" t="str">
        <f t="shared" si="4"/>
        <v/>
      </c>
    </row>
    <row r="324" spans="1:7" x14ac:dyDescent="0.3">
      <c r="A324" s="14" t="s">
        <v>958</v>
      </c>
      <c r="B324" s="15" t="s">
        <v>959</v>
      </c>
      <c r="C324" s="15" t="s">
        <v>960</v>
      </c>
      <c r="D324" s="14" t="str">
        <f>IF(LangIdx=2,C324&amp;"",B324&amp;"")</f>
        <v>Change in calculation compared with prior period?</v>
      </c>
      <c r="E324" s="14" t="s">
        <v>923</v>
      </c>
      <c r="F324" s="2" t="s">
        <v>924</v>
      </c>
      <c r="G324" s="14" t="str">
        <f t="shared" ref="G324:G387" si="5">IF(COUNTIF(DICT_KEY,A324)&gt;1,"DUP","")</f>
        <v/>
      </c>
    </row>
    <row r="325" spans="1:7" x14ac:dyDescent="0.3">
      <c r="A325" s="14" t="s">
        <v>961</v>
      </c>
      <c r="B325" s="15" t="s">
        <v>962</v>
      </c>
      <c r="C325" s="15" t="s">
        <v>963</v>
      </c>
      <c r="D325" s="14" t="str">
        <f>IF(LangIdx=2,C325&amp;"",B325&amp;"")</f>
        <v>Explanation of the change</v>
      </c>
      <c r="E325" s="14" t="s">
        <v>923</v>
      </c>
      <c r="F325" s="2" t="s">
        <v>924</v>
      </c>
      <c r="G325" s="14" t="str">
        <f t="shared" si="5"/>
        <v/>
      </c>
    </row>
    <row r="326" spans="1:7" x14ac:dyDescent="0.3">
      <c r="A326" s="14" t="s">
        <v>964</v>
      </c>
      <c r="B326" s="15" t="s">
        <v>965</v>
      </c>
      <c r="C326" s="15" t="s">
        <v>966</v>
      </c>
      <c r="D326" s="14" t="str">
        <f>IF(LangIdx=2,C326&amp;"",B326&amp;"")</f>
        <v>This measure reflects management's view of an aspect of the entity's financial performance and is not necessarily comparable with measures with similar names presented by other entities.</v>
      </c>
      <c r="E326" s="14" t="s">
        <v>923</v>
      </c>
      <c r="F326" s="2" t="s">
        <v>924</v>
      </c>
      <c r="G326" s="14" t="str">
        <f t="shared" si="5"/>
        <v/>
      </c>
    </row>
    <row r="327" spans="1:7" x14ac:dyDescent="0.3">
      <c r="A327" s="14" t="s">
        <v>967</v>
      </c>
      <c r="B327" s="15" t="s">
        <v>968</v>
      </c>
      <c r="C327" s="15" t="s">
        <v>969</v>
      </c>
      <c r="D327" s="14" t="str">
        <f>IF(LangIdx=2,C327&amp;"",B327&amp;"")</f>
        <v>Not an MPM (condition not met)</v>
      </c>
      <c r="E327" s="14" t="s">
        <v>923</v>
      </c>
      <c r="F327" s="2" t="s">
        <v>924</v>
      </c>
      <c r="G327" s="14" t="str">
        <f t="shared" si="5"/>
        <v/>
      </c>
    </row>
    <row r="328" spans="1:7" x14ac:dyDescent="0.3">
      <c r="A328" s="14" t="s">
        <v>970</v>
      </c>
      <c r="B328" s="15" t="s">
        <v>971</v>
      </c>
      <c r="C328" s="15" t="s">
        <v>972</v>
      </c>
      <c r="D328" s="14" t="str">
        <f>IF(LangIdx=2,C328&amp;"",B328&amp;"")</f>
        <v>Operating expenses by nature</v>
      </c>
      <c r="E328" s="14" t="s">
        <v>973</v>
      </c>
      <c r="F328" s="2"/>
      <c r="G328" s="14" t="str">
        <f t="shared" si="5"/>
        <v/>
      </c>
    </row>
    <row r="329" spans="1:7" x14ac:dyDescent="0.3">
      <c r="A329" s="14" t="s">
        <v>974</v>
      </c>
      <c r="B329" s="15" t="s">
        <v>975</v>
      </c>
      <c r="C329" s="15" t="s">
        <v>976</v>
      </c>
      <c r="D329" s="14" t="str">
        <f>IF(LangIdx=2,C329&amp;"",B329&amp;"")</f>
        <v>Total of the specified nature items</v>
      </c>
      <c r="E329" s="14" t="s">
        <v>973</v>
      </c>
      <c r="F329" s="2"/>
      <c r="G329" s="14" t="str">
        <f t="shared" si="5"/>
        <v/>
      </c>
    </row>
    <row r="330" spans="1:7" x14ac:dyDescent="0.3">
      <c r="A330" s="14" t="s">
        <v>977</v>
      </c>
      <c r="B330" s="15" t="s">
        <v>978</v>
      </c>
      <c r="C330" s="15" t="s">
        <v>979</v>
      </c>
      <c r="D330" s="14" t="str">
        <f>IF(LangIdx=2,C330&amp;"",B330&amp;"")</f>
        <v>Other operating expenses by nature</v>
      </c>
      <c r="E330" s="14" t="s">
        <v>973</v>
      </c>
      <c r="F330" s="2"/>
      <c r="G330" s="14" t="str">
        <f t="shared" si="5"/>
        <v/>
      </c>
    </row>
    <row r="331" spans="1:7" x14ac:dyDescent="0.3">
      <c r="A331" s="14" t="s">
        <v>980</v>
      </c>
      <c r="B331" s="15" t="s">
        <v>981</v>
      </c>
      <c r="C331" s="15" t="s">
        <v>982</v>
      </c>
      <c r="D331" s="14" t="str">
        <f>IF(LangIdx=2,C331&amp;"",B331&amp;"")</f>
        <v>Total operating expenses</v>
      </c>
      <c r="E331" s="14" t="s">
        <v>973</v>
      </c>
      <c r="F331" s="2"/>
      <c r="G331" s="14" t="str">
        <f t="shared" si="5"/>
        <v/>
      </c>
    </row>
    <row r="332" spans="1:7" x14ac:dyDescent="0.3">
      <c r="A332" s="14" t="s">
        <v>983</v>
      </c>
      <c r="B332" s="15" t="s">
        <v>984</v>
      </c>
      <c r="C332" s="15" t="s">
        <v>985</v>
      </c>
      <c r="D332" s="14" t="str">
        <f>IF(LangIdx=2,C332&amp;"",B332&amp;"")</f>
        <v>Agreement with function-based presentation (must be zero)</v>
      </c>
      <c r="E332" s="14" t="s">
        <v>973</v>
      </c>
      <c r="F332" s="2"/>
      <c r="G332" s="14" t="str">
        <f t="shared" si="5"/>
        <v/>
      </c>
    </row>
    <row r="333" spans="1:7" x14ac:dyDescent="0.3">
      <c r="A333" s="14" t="s">
        <v>986</v>
      </c>
      <c r="B333" s="15" t="s">
        <v>987</v>
      </c>
      <c r="C333" s="15" t="s">
        <v>988</v>
      </c>
      <c r="D333" s="14" t="str">
        <f>IF(LangIdx=2,C333&amp;"",B333&amp;"")</f>
        <v>Composition of the investing and financing categories</v>
      </c>
      <c r="E333" s="14" t="s">
        <v>973</v>
      </c>
      <c r="F333" s="2"/>
      <c r="G333" s="14" t="str">
        <f t="shared" si="5"/>
        <v/>
      </c>
    </row>
    <row r="334" spans="1:7" x14ac:dyDescent="0.3">
      <c r="A334" s="14" t="s">
        <v>989</v>
      </c>
      <c r="B334" s="15" t="s">
        <v>990</v>
      </c>
      <c r="C334" s="15" t="s">
        <v>991</v>
      </c>
      <c r="D334" s="14" t="str">
        <f>IF(LangIdx=2,C334&amp;"",B334&amp;"")</f>
        <v>Basis of classification</v>
      </c>
      <c r="E334" s="14" t="s">
        <v>973</v>
      </c>
      <c r="F334" s="2"/>
      <c r="G334" s="14" t="str">
        <f t="shared" si="5"/>
        <v/>
      </c>
    </row>
    <row r="335" spans="1:7" x14ac:dyDescent="0.3">
      <c r="A335" s="14" t="s">
        <v>992</v>
      </c>
      <c r="B335" s="15" t="s">
        <v>993</v>
      </c>
      <c r="C335" s="15" t="s">
        <v>994</v>
      </c>
      <c r="D335" s="14" t="str">
        <f>IF(LangIdx=2,C335&amp;"",B335&amp;"")</f>
        <v>Investment in associate / joint venture</v>
      </c>
      <c r="E335" s="14" t="s">
        <v>973</v>
      </c>
      <c r="F335" s="2"/>
      <c r="G335" s="14" t="str">
        <f t="shared" si="5"/>
        <v/>
      </c>
    </row>
    <row r="336" spans="1:7" x14ac:dyDescent="0.3">
      <c r="A336" s="14" t="s">
        <v>995</v>
      </c>
      <c r="B336" s="15" t="s">
        <v>415</v>
      </c>
      <c r="C336" s="15" t="s">
        <v>416</v>
      </c>
      <c r="D336" s="14" t="str">
        <f>IF(LangIdx=2,C336&amp;"",B336&amp;"")</f>
        <v>Cash and cash equivalents</v>
      </c>
      <c r="E336" s="14" t="s">
        <v>973</v>
      </c>
      <c r="F336" s="2"/>
      <c r="G336" s="14" t="str">
        <f t="shared" si="5"/>
        <v/>
      </c>
    </row>
    <row r="337" spans="1:7" x14ac:dyDescent="0.3">
      <c r="A337" s="14" t="s">
        <v>996</v>
      </c>
      <c r="B337" s="15" t="s">
        <v>997</v>
      </c>
      <c r="C337" s="15" t="s">
        <v>998</v>
      </c>
      <c r="D337" s="14" t="str">
        <f>IF(LangIdx=2,C337&amp;"",B337&amp;"")</f>
        <v>Asset generating returns individually and largely independently</v>
      </c>
      <c r="E337" s="14" t="s">
        <v>973</v>
      </c>
      <c r="F337" s="2"/>
      <c r="G337" s="14" t="str">
        <f t="shared" si="5"/>
        <v/>
      </c>
    </row>
    <row r="338" spans="1:7" x14ac:dyDescent="0.3">
      <c r="A338" s="14" t="s">
        <v>999</v>
      </c>
      <c r="B338" s="15" t="s">
        <v>1000</v>
      </c>
      <c r="C338" s="15" t="s">
        <v>1001</v>
      </c>
      <c r="D338" s="14" t="str">
        <f>IF(LangIdx=2,C338&amp;"",B338&amp;"")</f>
        <v>Liability from transactions involving only the raising of finance</v>
      </c>
      <c r="E338" s="14" t="s">
        <v>973</v>
      </c>
      <c r="F338" s="2"/>
      <c r="G338" s="14" t="str">
        <f t="shared" si="5"/>
        <v/>
      </c>
    </row>
    <row r="339" spans="1:7" x14ac:dyDescent="0.3">
      <c r="A339" s="14" t="s">
        <v>1002</v>
      </c>
      <c r="B339" s="15" t="s">
        <v>1003</v>
      </c>
      <c r="C339" s="15" t="s">
        <v>1004</v>
      </c>
      <c r="D339" s="14" t="str">
        <f>IF(LangIdx=2,C339&amp;"",B339&amp;"")</f>
        <v>Interest on other liabilities</v>
      </c>
      <c r="E339" s="14" t="s">
        <v>973</v>
      </c>
      <c r="F339" s="2"/>
      <c r="G339" s="14" t="str">
        <f t="shared" si="5"/>
        <v/>
      </c>
    </row>
    <row r="340" spans="1:7" x14ac:dyDescent="0.3">
      <c r="A340" s="14" t="s">
        <v>1005</v>
      </c>
      <c r="B340" s="15" t="s">
        <v>1006</v>
      </c>
      <c r="C340" s="15" t="s">
        <v>1007</v>
      </c>
      <c r="D340" s="14" t="str">
        <f>IF(LangIdx=2,C340&amp;"",B340&amp;"")</f>
        <v>Main business activity assessment</v>
      </c>
      <c r="E340" s="14" t="s">
        <v>973</v>
      </c>
      <c r="F340" s="2"/>
      <c r="G340" s="14" t="str">
        <f t="shared" si="5"/>
        <v/>
      </c>
    </row>
    <row r="341" spans="1:7" x14ac:dyDescent="0.3">
      <c r="A341" s="14" t="s">
        <v>1008</v>
      </c>
      <c r="B341" s="15" t="s">
        <v>522</v>
      </c>
      <c r="C341" s="15" t="s">
        <v>523</v>
      </c>
      <c r="D341" s="14" t="str">
        <f>IF(LangIdx=2,C341&amp;"",B341&amp;"")</f>
        <v>Income taxes</v>
      </c>
      <c r="E341" s="14" t="s">
        <v>973</v>
      </c>
      <c r="F341" s="2"/>
      <c r="G341" s="14" t="str">
        <f t="shared" si="5"/>
        <v/>
      </c>
    </row>
    <row r="342" spans="1:7" x14ac:dyDescent="0.3">
      <c r="A342" s="14" t="s">
        <v>1009</v>
      </c>
      <c r="B342" s="15" t="s">
        <v>1010</v>
      </c>
      <c r="C342" s="15" t="s">
        <v>1011</v>
      </c>
      <c r="D342" s="14" t="str">
        <f>IF(LangIdx=2,C342&amp;"",B342&amp;"")</f>
        <v>Tax at the statutory rate</v>
      </c>
      <c r="E342" s="14" t="s">
        <v>973</v>
      </c>
      <c r="F342" s="2"/>
      <c r="G342" s="14" t="str">
        <f t="shared" si="5"/>
        <v/>
      </c>
    </row>
    <row r="343" spans="1:7" x14ac:dyDescent="0.3">
      <c r="A343" s="14" t="s">
        <v>1012</v>
      </c>
      <c r="B343" s="15" t="s">
        <v>1013</v>
      </c>
      <c r="C343" s="15" t="s">
        <v>1014</v>
      </c>
      <c r="D343" s="14" t="str">
        <f>IF(LangIdx=2,C343&amp;"",B343&amp;"")</f>
        <v>Reconciling items</v>
      </c>
      <c r="E343" s="14" t="s">
        <v>973</v>
      </c>
      <c r="F343" s="2"/>
      <c r="G343" s="14" t="str">
        <f t="shared" si="5"/>
        <v/>
      </c>
    </row>
    <row r="344" spans="1:7" x14ac:dyDescent="0.3">
      <c r="A344" s="14" t="s">
        <v>1015</v>
      </c>
      <c r="B344" s="15" t="s">
        <v>1016</v>
      </c>
      <c r="C344" s="15" t="s">
        <v>1017</v>
      </c>
      <c r="D344" s="14" t="str">
        <f>IF(LangIdx=2,C344&amp;"",B344&amp;"")</f>
        <v>Effective tax rate</v>
      </c>
      <c r="E344" s="14" t="s">
        <v>973</v>
      </c>
      <c r="F344" s="2"/>
      <c r="G344" s="14" t="str">
        <f t="shared" si="5"/>
        <v/>
      </c>
    </row>
    <row r="345" spans="1:7" x14ac:dyDescent="0.3">
      <c r="A345" s="14" t="s">
        <v>1018</v>
      </c>
      <c r="B345" s="15" t="s">
        <v>1019</v>
      </c>
      <c r="C345" s="15" t="s">
        <v>1020</v>
      </c>
      <c r="D345" s="14" t="str">
        <f>IF(LangIdx=2,C345&amp;"",B345&amp;"")</f>
        <v>A full IAS 12 rate reconciliation is outside the scope of this template.</v>
      </c>
      <c r="E345" s="14" t="s">
        <v>973</v>
      </c>
      <c r="F345" s="2"/>
      <c r="G345" s="14" t="str">
        <f t="shared" si="5"/>
        <v/>
      </c>
    </row>
    <row r="346" spans="1:7" x14ac:dyDescent="0.3">
      <c r="A346" s="14" t="s">
        <v>1021</v>
      </c>
      <c r="B346" s="15" t="s">
        <v>1022</v>
      </c>
      <c r="C346" s="15" t="s">
        <v>1023</v>
      </c>
      <c r="D346" s="14" t="str">
        <f>IF(LangIdx=2,C346&amp;"",B346&amp;"")</f>
        <v>Basis of preparation</v>
      </c>
      <c r="E346" s="14" t="s">
        <v>973</v>
      </c>
      <c r="F346" s="2"/>
      <c r="G346" s="14" t="str">
        <f t="shared" si="5"/>
        <v/>
      </c>
    </row>
    <row r="347" spans="1:7" x14ac:dyDescent="0.3">
      <c r="A347" s="14" t="s">
        <v>1024</v>
      </c>
      <c r="B347" s="15" t="s">
        <v>1025</v>
      </c>
      <c r="C347" s="15" t="s">
        <v>1026</v>
      </c>
      <c r="D347" s="14" t="str">
        <f>IF(LangIdx=2,C347&amp;"",B347&amp;"")</f>
        <v>Judgement: main business activities</v>
      </c>
      <c r="E347" s="14" t="s">
        <v>973</v>
      </c>
      <c r="F347" s="2"/>
      <c r="G347" s="14" t="str">
        <f t="shared" si="5"/>
        <v/>
      </c>
    </row>
    <row r="348" spans="1:7" x14ac:dyDescent="0.3">
      <c r="A348" s="14" t="s">
        <v>1027</v>
      </c>
      <c r="B348" s="15" t="s">
        <v>921</v>
      </c>
      <c r="C348" s="15" t="s">
        <v>922</v>
      </c>
      <c r="D348" s="14" t="str">
        <f>IF(LangIdx=2,C348&amp;"",B348&amp;"")</f>
        <v>Management-defined performance measures</v>
      </c>
      <c r="E348" s="14" t="s">
        <v>973</v>
      </c>
      <c r="F348" s="2"/>
      <c r="G348" s="14" t="str">
        <f t="shared" si="5"/>
        <v/>
      </c>
    </row>
    <row r="349" spans="1:7" x14ac:dyDescent="0.3">
      <c r="A349" s="14" t="s">
        <v>1028</v>
      </c>
      <c r="B349" s="15" t="s">
        <v>1029</v>
      </c>
      <c r="C349" s="15" t="s">
        <v>1030</v>
      </c>
      <c r="D349" s="14" t="str">
        <f>IF(LangIdx=2,C349&amp;"",B349&amp;"")</f>
        <v>OBR submission – cover sheet data</v>
      </c>
      <c r="E349" s="14" t="s">
        <v>1031</v>
      </c>
      <c r="F349" s="2" t="s">
        <v>1032</v>
      </c>
      <c r="G349" s="14" t="str">
        <f t="shared" si="5"/>
        <v/>
      </c>
    </row>
    <row r="350" spans="1:7" x14ac:dyDescent="0.3">
      <c r="A350" s="14" t="s">
        <v>1033</v>
      </c>
      <c r="B350" s="15" t="s">
        <v>1034</v>
      </c>
      <c r="C350" s="15" t="s">
        <v>1035</v>
      </c>
      <c r="D350" s="14" t="str">
        <f>IF(LangIdx=2,C350&amp;"",B350&amp;"")</f>
        <v>The OBR accepts a partially filled file: fields left empty here can be completed on the OBR website after upload. The grey cells are fixed by the IFRS combination and must not be changed.</v>
      </c>
      <c r="E350" s="14" t="s">
        <v>1031</v>
      </c>
      <c r="F350" s="2" t="s">
        <v>1032</v>
      </c>
      <c r="G350" s="14" t="str">
        <f t="shared" si="5"/>
        <v/>
      </c>
    </row>
    <row r="351" spans="1:7" x14ac:dyDescent="0.3">
      <c r="A351" s="14" t="s">
        <v>1036</v>
      </c>
      <c r="B351" s="15" t="s">
        <v>1037</v>
      </c>
      <c r="C351" s="15" t="s">
        <v>1038</v>
      </c>
      <c r="D351" s="14" t="str">
        <f>IF(LangIdx=2,C351&amp;"",B351&amp;"")</f>
        <v>For an IFRS filer (Regulation (EC) No 1606/2002) the combination table fixes these values: balance sheet and income statement form name = PDF, structure = as per the notes, variation = none.</v>
      </c>
      <c r="E351" s="14" t="s">
        <v>1031</v>
      </c>
      <c r="F351" s="2" t="s">
        <v>1032</v>
      </c>
      <c r="G351" s="14" t="str">
        <f t="shared" si="5"/>
        <v/>
      </c>
    </row>
    <row r="352" spans="1:7" x14ac:dyDescent="0.3">
      <c r="A352" s="14" t="s">
        <v>1039</v>
      </c>
      <c r="B352" s="15" t="s">
        <v>1040</v>
      </c>
      <c r="C352" s="15" t="s">
        <v>1041</v>
      </c>
      <c r="D352" s="14" t="str">
        <f>IF(LangIdx=2,C352&amp;"",B352&amp;"")</f>
        <v>Attachments must be PDF and must not contain scanned documents; their total size may not exceed 20 MB. The balance sheet and the income statement come from the PDF module; the others are selected by the .obr generator in a dialog.</v>
      </c>
      <c r="E352" s="14" t="s">
        <v>1031</v>
      </c>
      <c r="F352" s="2" t="s">
        <v>1032</v>
      </c>
      <c r="G352" s="14" t="str">
        <f t="shared" si="5"/>
        <v/>
      </c>
    </row>
    <row r="353" spans="1:7" x14ac:dyDescent="0.3">
      <c r="A353" s="14" t="s">
        <v>1042</v>
      </c>
      <c r="B353" s="15" t="s">
        <v>1043</v>
      </c>
      <c r="C353" s="15" t="s">
        <v>1044</v>
      </c>
      <c r="D353" s="14" t="str">
        <f>IF(LangIdx=2,C353&amp;"",B353&amp;"")</f>
        <v>Company data</v>
      </c>
      <c r="E353" s="14" t="s">
        <v>1031</v>
      </c>
      <c r="F353" s="2" t="s">
        <v>1032</v>
      </c>
      <c r="G353" s="14" t="str">
        <f t="shared" si="5"/>
        <v/>
      </c>
    </row>
    <row r="354" spans="1:7" x14ac:dyDescent="0.3">
      <c r="A354" s="14" t="s">
        <v>1045</v>
      </c>
      <c r="B354" s="15" t="s">
        <v>1046</v>
      </c>
      <c r="C354" s="15" t="s">
        <v>1047</v>
      </c>
      <c r="D354" s="14" t="str">
        <f>IF(LangIdx=2,C354&amp;"",B354&amp;"")</f>
        <v>Reporting period and currency</v>
      </c>
      <c r="E354" s="14" t="s">
        <v>1031</v>
      </c>
      <c r="F354" s="2" t="s">
        <v>1032</v>
      </c>
      <c r="G354" s="14" t="str">
        <f t="shared" si="5"/>
        <v/>
      </c>
    </row>
    <row r="355" spans="1:7" x14ac:dyDescent="0.3">
      <c r="A355" s="14" t="s">
        <v>1048</v>
      </c>
      <c r="B355" s="15" t="s">
        <v>1049</v>
      </c>
      <c r="C355" s="15" t="s">
        <v>1050</v>
      </c>
      <c r="D355" s="14" t="str">
        <f>IF(LangIdx=2,C355&amp;"",B355&amp;"")</f>
        <v>Combination (IFRS)</v>
      </c>
      <c r="E355" s="14" t="s">
        <v>1031</v>
      </c>
      <c r="F355" s="2" t="s">
        <v>1032</v>
      </c>
      <c r="G355" s="14" t="str">
        <f t="shared" si="5"/>
        <v/>
      </c>
    </row>
    <row r="356" spans="1:7" x14ac:dyDescent="0.3">
      <c r="A356" s="14" t="s">
        <v>1051</v>
      </c>
      <c r="B356" s="15" t="s">
        <v>1052</v>
      </c>
      <c r="C356" s="15" t="s">
        <v>1053</v>
      </c>
      <c r="D356" s="14" t="str">
        <f>IF(LangIdx=2,C356&amp;"",B356&amp;"")</f>
        <v>Attachments</v>
      </c>
      <c r="E356" s="14" t="s">
        <v>1031</v>
      </c>
      <c r="F356" s="2" t="s">
        <v>1032</v>
      </c>
      <c r="G356" s="14" t="str">
        <f t="shared" si="5"/>
        <v/>
      </c>
    </row>
    <row r="357" spans="1:7" x14ac:dyDescent="0.3">
      <c r="A357" s="14" t="s">
        <v>1054</v>
      </c>
      <c r="B357" s="15" t="s">
        <v>1055</v>
      </c>
      <c r="C357" s="15" t="s">
        <v>1056</v>
      </c>
      <c r="D357" s="14" t="str">
        <f>IF(LangIdx=2,C357&amp;"",B357&amp;"")</f>
        <v>Tax number</v>
      </c>
      <c r="E357" s="14" t="s">
        <v>1031</v>
      </c>
      <c r="F357" s="2" t="s">
        <v>1032</v>
      </c>
      <c r="G357" s="14" t="str">
        <f t="shared" si="5"/>
        <v/>
      </c>
    </row>
    <row r="358" spans="1:7" x14ac:dyDescent="0.3">
      <c r="A358" s="14" t="s">
        <v>1057</v>
      </c>
      <c r="B358" s="15" t="s">
        <v>1058</v>
      </c>
      <c r="C358" s="15" t="s">
        <v>1059</v>
      </c>
      <c r="D358" s="14" t="str">
        <f>IF(LangIdx=2,C358&amp;"",B358&amp;"")</f>
        <v>Company registration number</v>
      </c>
      <c r="E358" s="14" t="s">
        <v>1031</v>
      </c>
      <c r="F358" s="2" t="s">
        <v>1032</v>
      </c>
      <c r="G358" s="14" t="str">
        <f t="shared" si="5"/>
        <v/>
      </c>
    </row>
    <row r="359" spans="1:7" x14ac:dyDescent="0.3">
      <c r="A359" s="14" t="s">
        <v>1060</v>
      </c>
      <c r="B359" s="15" t="s">
        <v>1061</v>
      </c>
      <c r="C359" s="15" t="s">
        <v>1062</v>
      </c>
      <c r="D359" s="14" t="str">
        <f>IF(LangIdx=2,C359&amp;"",B359&amp;"")</f>
        <v>Name</v>
      </c>
      <c r="E359" s="14" t="s">
        <v>1031</v>
      </c>
      <c r="F359" s="2" t="s">
        <v>1032</v>
      </c>
      <c r="G359" s="14" t="str">
        <f t="shared" si="5"/>
        <v/>
      </c>
    </row>
    <row r="360" spans="1:7" x14ac:dyDescent="0.3">
      <c r="A360" s="14" t="s">
        <v>1063</v>
      </c>
      <c r="B360" s="15" t="s">
        <v>1064</v>
      </c>
      <c r="C360" s="15" t="s">
        <v>1065</v>
      </c>
      <c r="D360" s="14" t="str">
        <f>IF(LangIdx=2,C360&amp;"",B360&amp;"")</f>
        <v>Statistical code</v>
      </c>
      <c r="E360" s="14" t="s">
        <v>1031</v>
      </c>
      <c r="F360" s="2" t="s">
        <v>1032</v>
      </c>
      <c r="G360" s="14" t="str">
        <f t="shared" si="5"/>
        <v/>
      </c>
    </row>
    <row r="361" spans="1:7" x14ac:dyDescent="0.3">
      <c r="A361" s="14" t="s">
        <v>1066</v>
      </c>
      <c r="B361" s="15" t="s">
        <v>1067</v>
      </c>
      <c r="C361" s="15" t="s">
        <v>1068</v>
      </c>
      <c r="D361" s="14" t="str">
        <f>IF(LangIdx=2,C361&amp;"",B361&amp;"")</f>
        <v>Seat – country</v>
      </c>
      <c r="E361" s="14" t="s">
        <v>1031</v>
      </c>
      <c r="F361" s="2" t="s">
        <v>1032</v>
      </c>
      <c r="G361" s="14" t="str">
        <f t="shared" si="5"/>
        <v/>
      </c>
    </row>
    <row r="362" spans="1:7" x14ac:dyDescent="0.3">
      <c r="A362" s="14" t="s">
        <v>1069</v>
      </c>
      <c r="B362" s="15" t="s">
        <v>1070</v>
      </c>
      <c r="C362" s="15" t="s">
        <v>1071</v>
      </c>
      <c r="D362" s="14" t="str">
        <f>IF(LangIdx=2,C362&amp;"",B362&amp;"")</f>
        <v>Seat – postal code</v>
      </c>
      <c r="E362" s="14" t="s">
        <v>1031</v>
      </c>
      <c r="F362" s="2" t="s">
        <v>1032</v>
      </c>
      <c r="G362" s="14" t="str">
        <f t="shared" si="5"/>
        <v/>
      </c>
    </row>
    <row r="363" spans="1:7" x14ac:dyDescent="0.3">
      <c r="A363" s="14" t="s">
        <v>1072</v>
      </c>
      <c r="B363" s="15" t="s">
        <v>1073</v>
      </c>
      <c r="C363" s="15" t="s">
        <v>1074</v>
      </c>
      <c r="D363" s="14" t="str">
        <f>IF(LangIdx=2,C363&amp;"",B363&amp;"")</f>
        <v>Seat – city/town</v>
      </c>
      <c r="E363" s="14" t="s">
        <v>1031</v>
      </c>
      <c r="F363" s="2" t="s">
        <v>1032</v>
      </c>
      <c r="G363" s="14" t="str">
        <f t="shared" si="5"/>
        <v/>
      </c>
    </row>
    <row r="364" spans="1:7" x14ac:dyDescent="0.3">
      <c r="A364" s="14" t="s">
        <v>1075</v>
      </c>
      <c r="B364" s="15" t="s">
        <v>1076</v>
      </c>
      <c r="C364" s="15" t="s">
        <v>1077</v>
      </c>
      <c r="D364" s="14" t="str">
        <f>IF(LangIdx=2,C364&amp;"",B364&amp;"")</f>
        <v>Seat – public place name</v>
      </c>
      <c r="E364" s="14" t="s">
        <v>1031</v>
      </c>
      <c r="F364" s="2" t="s">
        <v>1032</v>
      </c>
      <c r="G364" s="14" t="str">
        <f t="shared" si="5"/>
        <v/>
      </c>
    </row>
    <row r="365" spans="1:7" x14ac:dyDescent="0.3">
      <c r="A365" s="14" t="s">
        <v>1078</v>
      </c>
      <c r="B365" s="15" t="s">
        <v>1079</v>
      </c>
      <c r="C365" s="15" t="s">
        <v>1080</v>
      </c>
      <c r="D365" s="14" t="str">
        <f>IF(LangIdx=2,C365&amp;"",B365&amp;"")</f>
        <v>Seat – type of public place</v>
      </c>
      <c r="E365" s="14" t="s">
        <v>1031</v>
      </c>
      <c r="F365" s="2" t="s">
        <v>1032</v>
      </c>
      <c r="G365" s="14" t="str">
        <f t="shared" si="5"/>
        <v/>
      </c>
    </row>
    <row r="366" spans="1:7" x14ac:dyDescent="0.3">
      <c r="A366" s="14" t="s">
        <v>1081</v>
      </c>
      <c r="B366" s="15" t="s">
        <v>1082</v>
      </c>
      <c r="C366" s="15" t="s">
        <v>1083</v>
      </c>
      <c r="D366" s="14" t="str">
        <f>IF(LangIdx=2,C366&amp;"",B366&amp;"")</f>
        <v>Seat – house/lot number</v>
      </c>
      <c r="E366" s="14" t="s">
        <v>1031</v>
      </c>
      <c r="F366" s="2" t="s">
        <v>1032</v>
      </c>
      <c r="G366" s="14" t="str">
        <f t="shared" si="5"/>
        <v/>
      </c>
    </row>
    <row r="367" spans="1:7" x14ac:dyDescent="0.3">
      <c r="A367" s="14" t="s">
        <v>1084</v>
      </c>
      <c r="B367" s="15" t="s">
        <v>1085</v>
      </c>
      <c r="C367" s="15" t="s">
        <v>1086</v>
      </c>
      <c r="D367" s="14" t="str">
        <f>IF(LangIdx=2,C367&amp;"",B367&amp;"")</f>
        <v>Seat – building</v>
      </c>
      <c r="E367" s="14" t="s">
        <v>1031</v>
      </c>
      <c r="F367" s="2" t="s">
        <v>1032</v>
      </c>
      <c r="G367" s="14" t="str">
        <f t="shared" si="5"/>
        <v/>
      </c>
    </row>
    <row r="368" spans="1:7" x14ac:dyDescent="0.3">
      <c r="A368" s="14" t="s">
        <v>1087</v>
      </c>
      <c r="B368" s="15" t="s">
        <v>1088</v>
      </c>
      <c r="C368" s="15" t="s">
        <v>1089</v>
      </c>
      <c r="D368" s="14" t="str">
        <f>IF(LangIdx=2,C368&amp;"",B368&amp;"")</f>
        <v>Seat – stairway</v>
      </c>
      <c r="E368" s="14" t="s">
        <v>1031</v>
      </c>
      <c r="F368" s="2" t="s">
        <v>1032</v>
      </c>
      <c r="G368" s="14" t="str">
        <f t="shared" si="5"/>
        <v/>
      </c>
    </row>
    <row r="369" spans="1:7" x14ac:dyDescent="0.3">
      <c r="A369" s="14" t="s">
        <v>1090</v>
      </c>
      <c r="B369" s="15" t="s">
        <v>1091</v>
      </c>
      <c r="C369" s="15" t="s">
        <v>1092</v>
      </c>
      <c r="D369" s="14" t="str">
        <f>IF(LangIdx=2,C369&amp;"",B369&amp;"")</f>
        <v>Seat – floor</v>
      </c>
      <c r="E369" s="14" t="s">
        <v>1031</v>
      </c>
      <c r="F369" s="2" t="s">
        <v>1032</v>
      </c>
      <c r="G369" s="14" t="str">
        <f t="shared" si="5"/>
        <v/>
      </c>
    </row>
    <row r="370" spans="1:7" x14ac:dyDescent="0.3">
      <c r="A370" s="14" t="s">
        <v>1093</v>
      </c>
      <c r="B370" s="15" t="s">
        <v>1094</v>
      </c>
      <c r="C370" s="15" t="s">
        <v>1095</v>
      </c>
      <c r="D370" s="14" t="str">
        <f>IF(LangIdx=2,C370&amp;"",B370&amp;"")</f>
        <v>Seat – door</v>
      </c>
      <c r="E370" s="14" t="s">
        <v>1031</v>
      </c>
      <c r="F370" s="2" t="s">
        <v>1032</v>
      </c>
      <c r="G370" s="14" t="str">
        <f t="shared" si="5"/>
        <v/>
      </c>
    </row>
    <row r="371" spans="1:7" x14ac:dyDescent="0.3">
      <c r="A371" s="14" t="s">
        <v>1096</v>
      </c>
      <c r="B371" s="15" t="s">
        <v>1097</v>
      </c>
      <c r="C371" s="15" t="s">
        <v>1098</v>
      </c>
      <c r="D371" s="14" t="str">
        <f>IF(LangIdx=2,C371&amp;"",B371&amp;"")</f>
        <v>Balance sheet date of the business year</v>
      </c>
      <c r="E371" s="14" t="s">
        <v>1031</v>
      </c>
      <c r="F371" s="2" t="s">
        <v>1032</v>
      </c>
      <c r="G371" s="14" t="str">
        <f t="shared" si="5"/>
        <v/>
      </c>
    </row>
    <row r="372" spans="1:7" x14ac:dyDescent="0.3">
      <c r="A372" s="14" t="s">
        <v>1099</v>
      </c>
      <c r="B372" s="15" t="s">
        <v>1100</v>
      </c>
      <c r="C372" s="15" t="s">
        <v>1101</v>
      </c>
      <c r="D372" s="14" t="str">
        <f>IF(LangIdx=2,C372&amp;"",B372&amp;"")</f>
        <v>Start of the reporting period</v>
      </c>
      <c r="E372" s="14" t="s">
        <v>1031</v>
      </c>
      <c r="F372" s="2" t="s">
        <v>1032</v>
      </c>
      <c r="G372" s="14" t="str">
        <f t="shared" si="5"/>
        <v/>
      </c>
    </row>
    <row r="373" spans="1:7" x14ac:dyDescent="0.3">
      <c r="A373" s="14" t="s">
        <v>1102</v>
      </c>
      <c r="B373" s="15" t="s">
        <v>1103</v>
      </c>
      <c r="C373" s="15" t="s">
        <v>1104</v>
      </c>
      <c r="D373" s="14" t="str">
        <f>IF(LangIdx=2,C373&amp;"",B373&amp;"")</f>
        <v>End of the reporting period</v>
      </c>
      <c r="E373" s="14" t="s">
        <v>1031</v>
      </c>
      <c r="F373" s="2" t="s">
        <v>1032</v>
      </c>
      <c r="G373" s="14" t="str">
        <f t="shared" si="5"/>
        <v/>
      </c>
    </row>
    <row r="374" spans="1:7" x14ac:dyDescent="0.3">
      <c r="A374" s="14" t="s">
        <v>1105</v>
      </c>
      <c r="B374" s="15" t="s">
        <v>1106</v>
      </c>
      <c r="C374" s="15" t="s">
        <v>1107</v>
      </c>
      <c r="D374" s="14" t="str">
        <f>IF(LangIdx=2,C374&amp;"",B374&amp;"")</f>
        <v>Currency (ISO 4217)</v>
      </c>
      <c r="E374" s="14" t="s">
        <v>1031</v>
      </c>
      <c r="F374" s="2" t="s">
        <v>1032</v>
      </c>
      <c r="G374" s="14" t="str">
        <f t="shared" si="5"/>
        <v/>
      </c>
    </row>
    <row r="375" spans="1:7" x14ac:dyDescent="0.3">
      <c r="A375" s="14" t="s">
        <v>1108</v>
      </c>
      <c r="B375" s="15" t="s">
        <v>1109</v>
      </c>
      <c r="C375" s="15" t="s">
        <v>1110</v>
      </c>
      <c r="D375" s="14" t="str">
        <f>IF(LangIdx=2,C375&amp;"",B375&amp;"")</f>
        <v>Currency unit</v>
      </c>
      <c r="E375" s="14" t="s">
        <v>1031</v>
      </c>
      <c r="F375" s="2" t="s">
        <v>1032</v>
      </c>
      <c r="G375" s="14" t="str">
        <f t="shared" si="5"/>
        <v/>
      </c>
    </row>
    <row r="376" spans="1:7" x14ac:dyDescent="0.3">
      <c r="A376" s="14" t="s">
        <v>1111</v>
      </c>
      <c r="B376" s="15" t="s">
        <v>1112</v>
      </c>
      <c r="C376" s="15" t="s">
        <v>1113</v>
      </c>
      <c r="D376" s="14" t="str">
        <f>IF(LangIdx=2,C376&amp;"",B376&amp;"")</f>
        <v>Type of undertaking</v>
      </c>
      <c r="E376" s="14" t="s">
        <v>1031</v>
      </c>
      <c r="F376" s="2" t="s">
        <v>1032</v>
      </c>
      <c r="G376" s="14" t="str">
        <f t="shared" si="5"/>
        <v/>
      </c>
    </row>
    <row r="377" spans="1:7" x14ac:dyDescent="0.3">
      <c r="A377" s="14" t="s">
        <v>1114</v>
      </c>
      <c r="B377" s="15" t="s">
        <v>1115</v>
      </c>
      <c r="C377" s="15" t="s">
        <v>1116</v>
      </c>
      <c r="D377" s="14" t="str">
        <f>IF(LangIdx=2,C377&amp;"",B377&amp;"")</f>
        <v>Reason for submission</v>
      </c>
      <c r="E377" s="14" t="s">
        <v>1031</v>
      </c>
      <c r="F377" s="2" t="s">
        <v>1032</v>
      </c>
      <c r="G377" s="14" t="str">
        <f t="shared" si="5"/>
        <v/>
      </c>
    </row>
    <row r="378" spans="1:7" x14ac:dyDescent="0.3">
      <c r="A378" s="14" t="s">
        <v>1117</v>
      </c>
      <c r="B378" s="15" t="s">
        <v>1118</v>
      </c>
      <c r="C378" s="15" t="s">
        <v>1119</v>
      </c>
      <c r="D378" s="14" t="str">
        <f>IF(LangIdx=2,C378&amp;"",B378&amp;"")</f>
        <v>Additional legislation</v>
      </c>
      <c r="E378" s="14" t="s">
        <v>1031</v>
      </c>
      <c r="F378" s="2" t="s">
        <v>1032</v>
      </c>
      <c r="G378" s="14" t="str">
        <f t="shared" si="5"/>
        <v/>
      </c>
    </row>
    <row r="379" spans="1:7" x14ac:dyDescent="0.3">
      <c r="A379" s="14" t="s">
        <v>1120</v>
      </c>
      <c r="B379" s="15" t="s">
        <v>1121</v>
      </c>
      <c r="C379" s="15" t="s">
        <v>1122</v>
      </c>
      <c r="D379" s="14" t="str">
        <f>IF(LangIdx=2,C379&amp;"",B379&amp;"")</f>
        <v>Type of financial statements</v>
      </c>
      <c r="E379" s="14" t="s">
        <v>1031</v>
      </c>
      <c r="F379" s="2" t="s">
        <v>1032</v>
      </c>
      <c r="G379" s="14" t="str">
        <f t="shared" si="5"/>
        <v/>
      </c>
    </row>
    <row r="380" spans="1:7" x14ac:dyDescent="0.3">
      <c r="A380" s="14" t="s">
        <v>1123</v>
      </c>
      <c r="B380" s="15" t="s">
        <v>1124</v>
      </c>
      <c r="C380" s="15" t="s">
        <v>1125</v>
      </c>
      <c r="D380" s="14" t="str">
        <f>IF(LangIdx=2,C380&amp;"",B380&amp;"")</f>
        <v>Structure of the balance sheet</v>
      </c>
      <c r="E380" s="14" t="s">
        <v>1031</v>
      </c>
      <c r="F380" s="2" t="s">
        <v>1032</v>
      </c>
      <c r="G380" s="14" t="str">
        <f t="shared" si="5"/>
        <v/>
      </c>
    </row>
    <row r="381" spans="1:7" x14ac:dyDescent="0.3">
      <c r="A381" s="14" t="s">
        <v>1126</v>
      </c>
      <c r="B381" s="15" t="s">
        <v>1127</v>
      </c>
      <c r="C381" s="15" t="s">
        <v>1128</v>
      </c>
      <c r="D381" s="14" t="str">
        <f>IF(LangIdx=2,C381&amp;"",B381&amp;"")</f>
        <v>Variation of the balance sheet</v>
      </c>
      <c r="E381" s="14" t="s">
        <v>1031</v>
      </c>
      <c r="F381" s="2" t="s">
        <v>1032</v>
      </c>
      <c r="G381" s="14" t="str">
        <f t="shared" si="5"/>
        <v/>
      </c>
    </row>
    <row r="382" spans="1:7" x14ac:dyDescent="0.3">
      <c r="A382" s="14" t="s">
        <v>1129</v>
      </c>
      <c r="B382" s="15" t="s">
        <v>1130</v>
      </c>
      <c r="C382" s="15" t="s">
        <v>1131</v>
      </c>
      <c r="D382" s="14" t="str">
        <f>IF(LangIdx=2,C382&amp;"",B382&amp;"")</f>
        <v>Structure of the income statement</v>
      </c>
      <c r="E382" s="14" t="s">
        <v>1031</v>
      </c>
      <c r="F382" s="2" t="s">
        <v>1032</v>
      </c>
      <c r="G382" s="14" t="str">
        <f t="shared" si="5"/>
        <v/>
      </c>
    </row>
    <row r="383" spans="1:7" x14ac:dyDescent="0.3">
      <c r="A383" s="14" t="s">
        <v>1132</v>
      </c>
      <c r="B383" s="15" t="s">
        <v>1133</v>
      </c>
      <c r="C383" s="15" t="s">
        <v>1134</v>
      </c>
      <c r="D383" s="14" t="str">
        <f>IF(LangIdx=2,C383&amp;"",B383&amp;"")</f>
        <v>Variation of the income statement</v>
      </c>
      <c r="E383" s="14" t="s">
        <v>1031</v>
      </c>
      <c r="F383" s="2" t="s">
        <v>1032</v>
      </c>
      <c r="G383" s="14" t="str">
        <f t="shared" si="5"/>
        <v/>
      </c>
    </row>
    <row r="384" spans="1:7" x14ac:dyDescent="0.3">
      <c r="A384" s="14" t="s">
        <v>1135</v>
      </c>
      <c r="B384" s="15" t="s">
        <v>1136</v>
      </c>
      <c r="C384" s="15" t="s">
        <v>1137</v>
      </c>
      <c r="D384" s="14" t="str">
        <f>IF(LangIdx=2,C384&amp;"",B384&amp;"")</f>
        <v>Balance sheet form name</v>
      </c>
      <c r="E384" s="14" t="s">
        <v>1031</v>
      </c>
      <c r="F384" s="2" t="s">
        <v>1032</v>
      </c>
      <c r="G384" s="14" t="str">
        <f t="shared" si="5"/>
        <v/>
      </c>
    </row>
    <row r="385" spans="1:7" x14ac:dyDescent="0.3">
      <c r="A385" s="14" t="s">
        <v>1138</v>
      </c>
      <c r="B385" s="15" t="s">
        <v>1139</v>
      </c>
      <c r="C385" s="15" t="s">
        <v>1140</v>
      </c>
      <c r="D385" s="14" t="str">
        <f>IF(LangIdx=2,C385&amp;"",B385&amp;"")</f>
        <v>Income statement form name</v>
      </c>
      <c r="E385" s="14" t="s">
        <v>1031</v>
      </c>
      <c r="F385" s="2" t="s">
        <v>1032</v>
      </c>
      <c r="G385" s="14" t="str">
        <f t="shared" si="5"/>
        <v/>
      </c>
    </row>
    <row r="386" spans="1:7" x14ac:dyDescent="0.3">
      <c r="A386" s="14" t="s">
        <v>1141</v>
      </c>
      <c r="B386" s="15" t="s">
        <v>1142</v>
      </c>
      <c r="C386" s="15" t="s">
        <v>1143</v>
      </c>
      <c r="D386" s="14" t="str">
        <f>IF(LangIdx=2,C386&amp;"",B386&amp;"")</f>
        <v>Document</v>
      </c>
      <c r="E386" s="14" t="s">
        <v>1031</v>
      </c>
      <c r="F386" s="2" t="s">
        <v>1032</v>
      </c>
      <c r="G386" s="14" t="str">
        <f t="shared" si="5"/>
        <v/>
      </c>
    </row>
    <row r="387" spans="1:7" x14ac:dyDescent="0.3">
      <c r="A387" s="14" t="s">
        <v>1144</v>
      </c>
      <c r="B387" s="15" t="s">
        <v>1145</v>
      </c>
      <c r="C387" s="15" t="s">
        <v>1146</v>
      </c>
      <c r="D387" s="14" t="str">
        <f>IF(LangIdx=2,C387&amp;"",B387&amp;"")</f>
        <v>Selected file</v>
      </c>
      <c r="E387" s="14" t="s">
        <v>1031</v>
      </c>
      <c r="F387" s="2" t="s">
        <v>1032</v>
      </c>
      <c r="G387" s="14" t="str">
        <f t="shared" si="5"/>
        <v/>
      </c>
    </row>
    <row r="388" spans="1:7" x14ac:dyDescent="0.3">
      <c r="A388" s="14" t="s">
        <v>1147</v>
      </c>
      <c r="B388" s="15" t="s">
        <v>1148</v>
      </c>
      <c r="C388" s="15" t="s">
        <v>1149</v>
      </c>
      <c r="D388" s="14" t="str">
        <f>IF(LangIdx=2,C388&amp;"",B388&amp;"")</f>
        <v>Required?</v>
      </c>
      <c r="E388" s="14" t="s">
        <v>1031</v>
      </c>
      <c r="F388" s="2" t="s">
        <v>1032</v>
      </c>
      <c r="G388" s="14" t="str">
        <f t="shared" ref="G388:G430" si="6">IF(COUNTIF(DICT_KEY,A388)&gt;1,"DUP","")</f>
        <v/>
      </c>
    </row>
    <row r="389" spans="1:7" x14ac:dyDescent="0.3">
      <c r="A389" s="14" t="s">
        <v>1150</v>
      </c>
      <c r="B389" s="15" t="s">
        <v>1151</v>
      </c>
      <c r="C389" s="15" t="s">
        <v>175</v>
      </c>
      <c r="D389" s="14" t="str">
        <f>IF(LangIdx=2,C389&amp;"",B389&amp;"")</f>
        <v>Balance sheet (PDF)</v>
      </c>
      <c r="E389" s="14" t="s">
        <v>1031</v>
      </c>
      <c r="F389" s="2" t="s">
        <v>1032</v>
      </c>
      <c r="G389" s="14" t="str">
        <f t="shared" si="6"/>
        <v/>
      </c>
    </row>
    <row r="390" spans="1:7" x14ac:dyDescent="0.3">
      <c r="A390" s="14" t="s">
        <v>1152</v>
      </c>
      <c r="B390" s="15" t="s">
        <v>1153</v>
      </c>
      <c r="C390" s="15" t="s">
        <v>178</v>
      </c>
      <c r="D390" s="14" t="str">
        <f>IF(LangIdx=2,C390&amp;"",B390&amp;"")</f>
        <v>Income statement (PDF)</v>
      </c>
      <c r="E390" s="14" t="s">
        <v>1031</v>
      </c>
      <c r="F390" s="2" t="s">
        <v>1032</v>
      </c>
      <c r="G390" s="14" t="str">
        <f t="shared" si="6"/>
        <v/>
      </c>
    </row>
    <row r="391" spans="1:7" x14ac:dyDescent="0.3">
      <c r="A391" s="14" t="s">
        <v>1154</v>
      </c>
      <c r="B391" s="15" t="s">
        <v>55</v>
      </c>
      <c r="C391" s="15" t="s">
        <v>1155</v>
      </c>
      <c r="D391" s="14" t="str">
        <f>IF(LangIdx=2,C391&amp;"",B391&amp;"")</f>
        <v>Notes to the financial statements</v>
      </c>
      <c r="E391" s="14" t="s">
        <v>1031</v>
      </c>
      <c r="F391" s="2" t="s">
        <v>1032</v>
      </c>
      <c r="G391" s="14" t="str">
        <f t="shared" si="6"/>
        <v/>
      </c>
    </row>
    <row r="392" spans="1:7" x14ac:dyDescent="0.3">
      <c r="A392" s="14" t="s">
        <v>1156</v>
      </c>
      <c r="B392" s="15" t="s">
        <v>1157</v>
      </c>
      <c r="C392" s="15" t="s">
        <v>1158</v>
      </c>
      <c r="D392" s="14" t="str">
        <f>IF(LangIdx=2,C392&amp;"",B392&amp;"")</f>
        <v>Resolution on the use of the net income</v>
      </c>
      <c r="E392" s="14" t="s">
        <v>1031</v>
      </c>
      <c r="F392" s="2" t="s">
        <v>1032</v>
      </c>
      <c r="G392" s="14" t="str">
        <f t="shared" si="6"/>
        <v/>
      </c>
    </row>
    <row r="393" spans="1:7" x14ac:dyDescent="0.3">
      <c r="A393" s="14" t="s">
        <v>1159</v>
      </c>
      <c r="B393" s="15" t="s">
        <v>1160</v>
      </c>
      <c r="C393" s="15" t="s">
        <v>1161</v>
      </c>
      <c r="D393" s="14" t="str">
        <f>IF(LangIdx=2,C393&amp;"",B393&amp;"")</f>
        <v>Independent auditor's report</v>
      </c>
      <c r="E393" s="14" t="s">
        <v>1031</v>
      </c>
      <c r="F393" s="2" t="s">
        <v>1032</v>
      </c>
      <c r="G393" s="14" t="str">
        <f t="shared" si="6"/>
        <v/>
      </c>
    </row>
    <row r="394" spans="1:7" x14ac:dyDescent="0.3">
      <c r="A394" s="14" t="s">
        <v>1162</v>
      </c>
      <c r="B394" s="15" t="s">
        <v>1163</v>
      </c>
      <c r="C394" s="15" t="s">
        <v>1164</v>
      </c>
      <c r="D394" s="14" t="str">
        <f>IF(LangIdx=2,C394&amp;"",B394&amp;"")</f>
        <v>mandatory</v>
      </c>
      <c r="E394" s="14" t="s">
        <v>1031</v>
      </c>
      <c r="F394" s="2" t="s">
        <v>1032</v>
      </c>
      <c r="G394" s="14" t="str">
        <f t="shared" si="6"/>
        <v/>
      </c>
    </row>
    <row r="395" spans="1:7" x14ac:dyDescent="0.3">
      <c r="A395" s="14" t="s">
        <v>1165</v>
      </c>
      <c r="B395" s="15" t="s">
        <v>1166</v>
      </c>
      <c r="C395" s="15" t="s">
        <v>1167</v>
      </c>
      <c r="D395" s="14" t="str">
        <f>IF(LangIdx=2,C395&amp;"",B395&amp;"")</f>
        <v>optional</v>
      </c>
      <c r="E395" s="14" t="s">
        <v>1031</v>
      </c>
      <c r="F395" s="2" t="s">
        <v>1032</v>
      </c>
      <c r="G395" s="14" t="str">
        <f t="shared" si="6"/>
        <v/>
      </c>
    </row>
    <row r="396" spans="1:7" x14ac:dyDescent="0.3">
      <c r="A396" s="14" t="s">
        <v>1168</v>
      </c>
      <c r="B396" s="15" t="s">
        <v>58</v>
      </c>
      <c r="C396" s="15" t="s">
        <v>59</v>
      </c>
      <c r="D396" s="14" t="str">
        <f>IF(LangIdx=2,C396&amp;"",B396&amp;"")</f>
        <v>Checks</v>
      </c>
      <c r="E396" s="14" t="s">
        <v>1169</v>
      </c>
      <c r="F396" s="2"/>
      <c r="G396" s="14" t="str">
        <f t="shared" si="6"/>
        <v/>
      </c>
    </row>
    <row r="397" spans="1:7" x14ac:dyDescent="0.3">
      <c r="A397" s="14" t="s">
        <v>1170</v>
      </c>
      <c r="B397" s="15" t="s">
        <v>1171</v>
      </c>
      <c r="C397" s="15" t="s">
        <v>1171</v>
      </c>
      <c r="D397" s="14" t="str">
        <f>IF(LangIdx=2,C397&amp;"",B397&amp;"")</f>
        <v>#</v>
      </c>
      <c r="E397" s="14" t="s">
        <v>1169</v>
      </c>
      <c r="F397" s="2"/>
      <c r="G397" s="14" t="str">
        <f t="shared" si="6"/>
        <v/>
      </c>
    </row>
    <row r="398" spans="1:7" x14ac:dyDescent="0.3">
      <c r="A398" s="14" t="s">
        <v>1172</v>
      </c>
      <c r="B398" s="15" t="s">
        <v>1173</v>
      </c>
      <c r="C398" s="15" t="s">
        <v>1174</v>
      </c>
      <c r="D398" s="14" t="str">
        <f>IF(LangIdx=2,C398&amp;"",B398&amp;"")</f>
        <v>Test</v>
      </c>
      <c r="E398" s="14" t="s">
        <v>1169</v>
      </c>
      <c r="F398" s="2"/>
      <c r="G398" s="14" t="str">
        <f t="shared" si="6"/>
        <v/>
      </c>
    </row>
    <row r="399" spans="1:7" x14ac:dyDescent="0.3">
      <c r="A399" s="14" t="s">
        <v>1175</v>
      </c>
      <c r="B399" s="15" t="s">
        <v>13</v>
      </c>
      <c r="C399" s="15" t="s">
        <v>14</v>
      </c>
      <c r="D399" s="14" t="str">
        <f>IF(LangIdx=2,C399&amp;"",B399&amp;"")</f>
        <v>Errors</v>
      </c>
      <c r="E399" s="14" t="s">
        <v>1169</v>
      </c>
      <c r="F399" s="2"/>
      <c r="G399" s="14" t="str">
        <f t="shared" si="6"/>
        <v/>
      </c>
    </row>
    <row r="400" spans="1:7" x14ac:dyDescent="0.3">
      <c r="A400" s="14" t="s">
        <v>1176</v>
      </c>
      <c r="B400" s="15" t="s">
        <v>1177</v>
      </c>
      <c r="C400" s="15" t="s">
        <v>1178</v>
      </c>
      <c r="D400" s="14" t="str">
        <f>IF(LangIdx=2,C400&amp;"",B400&amp;"")</f>
        <v>Detail</v>
      </c>
      <c r="E400" s="14" t="s">
        <v>1169</v>
      </c>
      <c r="F400" s="2"/>
      <c r="G400" s="14" t="str">
        <f t="shared" si="6"/>
        <v/>
      </c>
    </row>
    <row r="401" spans="1:7" x14ac:dyDescent="0.3">
      <c r="A401" s="14" t="s">
        <v>1179</v>
      </c>
      <c r="B401" s="15" t="s">
        <v>1180</v>
      </c>
      <c r="C401" s="15" t="s">
        <v>1181</v>
      </c>
      <c r="D401" s="14" t="str">
        <f>IF(LangIdx=2,C401&amp;"",B401&amp;"")</f>
        <v>Statement of financial position balances</v>
      </c>
      <c r="E401" s="14" t="s">
        <v>1169</v>
      </c>
      <c r="F401" s="2"/>
      <c r="G401" s="14" t="str">
        <f t="shared" si="6"/>
        <v/>
      </c>
    </row>
    <row r="402" spans="1:7" x14ac:dyDescent="0.3">
      <c r="A402" s="14" t="s">
        <v>1182</v>
      </c>
      <c r="B402" s="15" t="s">
        <v>1183</v>
      </c>
      <c r="C402" s="15" t="s">
        <v>1184</v>
      </c>
      <c r="D402" s="14" t="str">
        <f>IF(LangIdx=2,C402&amp;"",B402&amp;"")</f>
        <v>Trial balance and adjustments: debits = credits</v>
      </c>
      <c r="E402" s="14" t="s">
        <v>1169</v>
      </c>
      <c r="F402" s="2"/>
      <c r="G402" s="14" t="str">
        <f t="shared" si="6"/>
        <v/>
      </c>
    </row>
    <row r="403" spans="1:7" x14ac:dyDescent="0.3">
      <c r="A403" s="14" t="s">
        <v>1185</v>
      </c>
      <c r="B403" s="15" t="s">
        <v>1186</v>
      </c>
      <c r="C403" s="15" t="s">
        <v>1187</v>
      </c>
      <c r="D403" s="14" t="str">
        <f>IF(LangIdx=2,C403&amp;"",B403&amp;"")</f>
        <v>Mapping complete, keys unique and translated</v>
      </c>
      <c r="E403" s="14" t="s">
        <v>1169</v>
      </c>
      <c r="F403" s="2"/>
      <c r="G403" s="14" t="str">
        <f t="shared" si="6"/>
        <v/>
      </c>
    </row>
    <row r="404" spans="1:7" x14ac:dyDescent="0.3">
      <c r="A404" s="14" t="s">
        <v>1188</v>
      </c>
      <c r="B404" s="15" t="s">
        <v>1189</v>
      </c>
      <c r="C404" s="15" t="s">
        <v>1190</v>
      </c>
      <c r="D404" s="14" t="str">
        <f>IF(LangIdx=2,C404&amp;"",B404&amp;"")</f>
        <v>Statement of changes in equity reconciles</v>
      </c>
      <c r="E404" s="14" t="s">
        <v>1169</v>
      </c>
      <c r="F404" s="2"/>
      <c r="G404" s="14" t="str">
        <f t="shared" si="6"/>
        <v/>
      </c>
    </row>
    <row r="405" spans="1:7" x14ac:dyDescent="0.3">
      <c r="A405" s="14" t="s">
        <v>1191</v>
      </c>
      <c r="B405" s="15" t="s">
        <v>1192</v>
      </c>
      <c r="C405" s="15" t="s">
        <v>1193</v>
      </c>
      <c r="D405" s="14" t="str">
        <f>IF(LangIdx=2,C405&amp;"",B405&amp;"")</f>
        <v>Closing cash per cash flow = statement of financial position</v>
      </c>
      <c r="E405" s="14" t="s">
        <v>1169</v>
      </c>
      <c r="F405" s="2"/>
      <c r="G405" s="14" t="str">
        <f t="shared" si="6"/>
        <v/>
      </c>
    </row>
    <row r="406" spans="1:7" x14ac:dyDescent="0.3">
      <c r="A406" s="14" t="s">
        <v>1194</v>
      </c>
      <c r="B406" s="15" t="s">
        <v>1195</v>
      </c>
      <c r="C406" s="15" t="s">
        <v>1196</v>
      </c>
      <c r="D406" s="14" t="str">
        <f>IF(LangIdx=2,C406&amp;"",B406&amp;"")</f>
        <v>All balance movements explained</v>
      </c>
      <c r="E406" s="14" t="s">
        <v>1169</v>
      </c>
      <c r="F406" s="2"/>
      <c r="G406" s="14" t="str">
        <f t="shared" si="6"/>
        <v/>
      </c>
    </row>
    <row r="407" spans="1:7" x14ac:dyDescent="0.3">
      <c r="A407" s="14" t="s">
        <v>1197</v>
      </c>
      <c r="B407" s="15" t="s">
        <v>1198</v>
      </c>
      <c r="C407" s="15" t="s">
        <v>1199</v>
      </c>
      <c r="D407" s="14" t="str">
        <f>IF(LangIdx=2,C407&amp;"",B407&amp;"")</f>
        <v>MPM reconciliations complete</v>
      </c>
      <c r="E407" s="14" t="s">
        <v>1169</v>
      </c>
      <c r="F407" s="2"/>
      <c r="G407" s="14" t="str">
        <f t="shared" si="6"/>
        <v/>
      </c>
    </row>
    <row r="408" spans="1:7" x14ac:dyDescent="0.3">
      <c r="A408" s="14" t="s">
        <v>1200</v>
      </c>
      <c r="B408" s="15" t="s">
        <v>1201</v>
      </c>
      <c r="C408" s="15" t="s">
        <v>1202</v>
      </c>
      <c r="D408" s="14" t="str">
        <f>IF(LangIdx=2,C408&amp;"",B408&amp;"")</f>
        <v>By-nature disclosure agrees with by-function presentation</v>
      </c>
      <c r="E408" s="14" t="s">
        <v>1169</v>
      </c>
      <c r="F408" s="2"/>
      <c r="G408" s="14" t="str">
        <f t="shared" si="6"/>
        <v/>
      </c>
    </row>
    <row r="409" spans="1:7" x14ac:dyDescent="0.3">
      <c r="A409" s="14" t="s">
        <v>1203</v>
      </c>
      <c r="B409" s="15" t="s">
        <v>1204</v>
      </c>
      <c r="C409" s="15" t="s">
        <v>1205</v>
      </c>
      <c r="D409" s="14" t="str">
        <f>IF(LangIdx=2,C409&amp;"",B409&amp;"")</f>
        <v>All dropdowns resolve to a valid code</v>
      </c>
      <c r="E409" s="14" t="s">
        <v>1169</v>
      </c>
      <c r="F409" s="2"/>
      <c r="G409" s="14" t="str">
        <f t="shared" si="6"/>
        <v/>
      </c>
    </row>
    <row r="410" spans="1:7" x14ac:dyDescent="0.3">
      <c r="A410" s="14" t="s">
        <v>1206</v>
      </c>
      <c r="B410" s="15" t="s">
        <v>1207</v>
      </c>
      <c r="C410" s="15" t="s">
        <v>1208</v>
      </c>
      <c r="D410" s="14" t="str">
        <f>IF(LangIdx=2,C410&amp;"",B410&amp;"")</f>
        <v>Material 'Other' lines (information only)</v>
      </c>
      <c r="E410" s="14" t="s">
        <v>1169</v>
      </c>
      <c r="F410" s="2"/>
      <c r="G410" s="14" t="str">
        <f t="shared" si="6"/>
        <v/>
      </c>
    </row>
    <row r="411" spans="1:7" x14ac:dyDescent="0.3">
      <c r="A411" s="14" t="s">
        <v>1209</v>
      </c>
      <c r="B411" s="15" t="s">
        <v>1210</v>
      </c>
      <c r="C411" s="15" t="s">
        <v>1211</v>
      </c>
      <c r="D411" s="14" t="str">
        <f>IF(LangIdx=2,C411&amp;"",B411&amp;"")</f>
        <v>All three columns are PRE-CLOSING balances: profit or loss and OCI accounts carry the year's activity; retained earnings and other reserves are before closing. Debit positive, credit negative.</v>
      </c>
      <c r="E411" s="14" t="s">
        <v>215</v>
      </c>
      <c r="F411" s="2"/>
      <c r="G411" s="14" t="str">
        <f t="shared" si="6"/>
        <v/>
      </c>
    </row>
    <row r="412" spans="1:7" x14ac:dyDescent="0.3">
      <c r="A412" s="14" t="s">
        <v>1212</v>
      </c>
      <c r="B412" s="15" t="s">
        <v>1213</v>
      </c>
      <c r="C412" s="15" t="s">
        <v>1214</v>
      </c>
      <c r="D412" s="14" t="str">
        <f>IF(LangIdx=2,C412&amp;"",B412&amp;"")</f>
        <v>Example data for a Hungarian trading company (thousands of HUF) - replace with your own trial balance.</v>
      </c>
      <c r="E412" s="14" t="s">
        <v>215</v>
      </c>
      <c r="F412" s="2"/>
      <c r="G412" s="14" t="str">
        <f t="shared" si="6"/>
        <v/>
      </c>
    </row>
    <row r="413" spans="1:7" x14ac:dyDescent="0.3">
      <c r="A413" s="14" t="s">
        <v>1215</v>
      </c>
      <c r="B413" s="15" t="s">
        <v>1216</v>
      </c>
      <c r="C413" s="15" t="s">
        <v>1217</v>
      </c>
      <c r="D413" s="14" t="str">
        <f>IF(LangIdx=2,C413&amp;"",B413&amp;"")</f>
        <v>Period missing</v>
      </c>
      <c r="E413" s="14" t="s">
        <v>243</v>
      </c>
      <c r="F413" s="2"/>
      <c r="G413" s="14" t="str">
        <f t="shared" si="6"/>
        <v/>
      </c>
    </row>
    <row r="414" spans="1:7" x14ac:dyDescent="0.3">
      <c r="A414" s="14" t="s">
        <v>1218</v>
      </c>
      <c r="B414" s="15" t="s">
        <v>1219</v>
      </c>
      <c r="C414" s="15" t="s">
        <v>1220</v>
      </c>
      <c r="D414" s="14" t="str">
        <f>IF(LangIdx=2,C414&amp;"",B414&amp;"")</f>
        <v>Post adjustments to accounts, not to line keys; every entry ID must net to zero.</v>
      </c>
      <c r="E414" s="14" t="s">
        <v>243</v>
      </c>
      <c r="F414" s="2"/>
      <c r="G414" s="14" t="str">
        <f t="shared" si="6"/>
        <v/>
      </c>
    </row>
    <row r="415" spans="1:7" x14ac:dyDescent="0.3">
      <c r="A415" s="14" t="s">
        <v>1221</v>
      </c>
      <c r="B415" s="15" t="s">
        <v>1222</v>
      </c>
      <c r="C415" s="15" t="s">
        <v>1223</v>
      </c>
      <c r="D415" s="14" t="str">
        <f>IF(LangIdx=2,C415&amp;"",B415&amp;"")</f>
        <v>Example mapping (Hungarian account classes 1-9, IFRS adjusted). Replace with your own chart of accounts. FX parent must be a P&amp;L account of the same underlying item.</v>
      </c>
      <c r="E415" s="14" t="s">
        <v>262</v>
      </c>
      <c r="F415" s="2"/>
      <c r="G415" s="14" t="str">
        <f t="shared" si="6"/>
        <v/>
      </c>
    </row>
    <row r="416" spans="1:7" x14ac:dyDescent="0.3">
      <c r="A416" s="14" t="s">
        <v>1224</v>
      </c>
      <c r="B416" s="15" t="s">
        <v>1225</v>
      </c>
      <c r="C416" s="15" t="s">
        <v>1226</v>
      </c>
      <c r="D416" s="14" t="str">
        <f>IF(LangIdx=2,C416&amp;"",B416&amp;"")</f>
        <v>Statement missing</v>
      </c>
      <c r="E416" s="14" t="s">
        <v>262</v>
      </c>
      <c r="F416" s="2"/>
      <c r="G416" s="14" t="str">
        <f t="shared" si="6"/>
        <v/>
      </c>
    </row>
    <row r="417" spans="1:7" x14ac:dyDescent="0.3">
      <c r="A417" s="14" t="s">
        <v>1227</v>
      </c>
      <c r="B417" s="15" t="s">
        <v>265</v>
      </c>
      <c r="C417" s="15" t="s">
        <v>266</v>
      </c>
      <c r="D417" s="14" t="str">
        <f>IF(LangIdx=2,C417&amp;"",B417&amp;"")</f>
        <v>Statement</v>
      </c>
      <c r="E417" s="14" t="s">
        <v>317</v>
      </c>
      <c r="F417" s="2"/>
      <c r="G417" s="14" t="str">
        <f t="shared" si="6"/>
        <v/>
      </c>
    </row>
    <row r="418" spans="1:7" x14ac:dyDescent="0.3">
      <c r="A418" s="14" t="s">
        <v>1228</v>
      </c>
      <c r="B418" s="15" t="s">
        <v>1229</v>
      </c>
      <c r="C418" s="15" t="s">
        <v>1230</v>
      </c>
      <c r="D418" s="14" t="str">
        <f>IF(LangIdx=2,C418&amp;"",B418&amp;"")</f>
        <v>Category</v>
      </c>
      <c r="E418" s="14" t="s">
        <v>317</v>
      </c>
      <c r="F418" s="2"/>
      <c r="G418" s="14" t="str">
        <f t="shared" si="6"/>
        <v/>
      </c>
    </row>
    <row r="419" spans="1:7" x14ac:dyDescent="0.3">
      <c r="A419" s="14" t="s">
        <v>1231</v>
      </c>
      <c r="B419" s="15" t="s">
        <v>1232</v>
      </c>
      <c r="C419" s="15" t="s">
        <v>1233</v>
      </c>
      <c r="D419" s="14" t="str">
        <f>IF(LangIdx=2,C419&amp;"",B419&amp;"")</f>
        <v>Section</v>
      </c>
      <c r="E419" s="14" t="s">
        <v>317</v>
      </c>
      <c r="F419" s="2"/>
      <c r="G419" s="14" t="str">
        <f t="shared" si="6"/>
        <v/>
      </c>
    </row>
    <row r="420" spans="1:7" x14ac:dyDescent="0.3">
      <c r="A420" s="14" t="s">
        <v>1234</v>
      </c>
      <c r="B420" s="15" t="s">
        <v>1235</v>
      </c>
      <c r="C420" s="15" t="s">
        <v>1236</v>
      </c>
      <c r="D420" s="14" t="str">
        <f>IF(LangIdx=2,C420&amp;"",B420&amp;"")</f>
        <v>Kind</v>
      </c>
      <c r="E420" s="14" t="s">
        <v>317</v>
      </c>
      <c r="F420" s="2"/>
      <c r="G420" s="14" t="str">
        <f t="shared" si="6"/>
        <v/>
      </c>
    </row>
    <row r="421" spans="1:7" x14ac:dyDescent="0.3">
      <c r="A421" s="14" t="s">
        <v>1237</v>
      </c>
      <c r="B421" s="15" t="s">
        <v>1238</v>
      </c>
      <c r="C421" s="15" t="s">
        <v>1239</v>
      </c>
      <c r="D421" s="14" t="str">
        <f>IF(LangIdx=2,C421&amp;"",B421&amp;"")</f>
        <v>OCI closes to</v>
      </c>
      <c r="E421" s="14" t="s">
        <v>317</v>
      </c>
      <c r="F421" s="2"/>
      <c r="G421" s="14" t="str">
        <f t="shared" si="6"/>
        <v/>
      </c>
    </row>
    <row r="422" spans="1:7" x14ac:dyDescent="0.3">
      <c r="A422" s="14" t="s">
        <v>1240</v>
      </c>
      <c r="B422" s="15" t="s">
        <v>1241</v>
      </c>
      <c r="C422" s="15" t="s">
        <v>1242</v>
      </c>
      <c r="D422" s="14" t="str">
        <f>IF(LangIdx=2,C422&amp;"",B422&amp;"")</f>
        <v>TB prior year</v>
      </c>
      <c r="E422" s="14" t="s">
        <v>317</v>
      </c>
      <c r="F422" s="2"/>
      <c r="G422" s="14" t="str">
        <f t="shared" si="6"/>
        <v/>
      </c>
    </row>
    <row r="423" spans="1:7" x14ac:dyDescent="0.3">
      <c r="A423" s="14" t="s">
        <v>1243</v>
      </c>
      <c r="B423" s="15" t="s">
        <v>1244</v>
      </c>
      <c r="C423" s="15" t="s">
        <v>1245</v>
      </c>
      <c r="D423" s="14" t="str">
        <f>IF(LangIdx=2,C423&amp;"",B423&amp;"")</f>
        <v>Adjustments prior year</v>
      </c>
      <c r="E423" s="14" t="s">
        <v>317</v>
      </c>
      <c r="F423" s="2"/>
      <c r="G423" s="14" t="str">
        <f t="shared" si="6"/>
        <v/>
      </c>
    </row>
    <row r="424" spans="1:7" x14ac:dyDescent="0.3">
      <c r="A424" s="14" t="s">
        <v>1246</v>
      </c>
      <c r="B424" s="15" t="s">
        <v>1247</v>
      </c>
      <c r="C424" s="15" t="s">
        <v>1248</v>
      </c>
      <c r="D424" s="14" t="str">
        <f>IF(LangIdx=2,C424&amp;"",B424&amp;"")</f>
        <v>TB opening</v>
      </c>
      <c r="E424" s="14" t="s">
        <v>317</v>
      </c>
      <c r="F424" s="2"/>
      <c r="G424" s="14" t="str">
        <f t="shared" si="6"/>
        <v/>
      </c>
    </row>
    <row r="425" spans="1:7" x14ac:dyDescent="0.3">
      <c r="A425" s="14" t="s">
        <v>1249</v>
      </c>
      <c r="B425" s="15" t="s">
        <v>1250</v>
      </c>
      <c r="C425" s="15" t="s">
        <v>1251</v>
      </c>
      <c r="D425" s="14" t="str">
        <f>IF(LangIdx=2,C425&amp;"",B425&amp;"")</f>
        <v>Adjustments opening</v>
      </c>
      <c r="E425" s="14" t="s">
        <v>317</v>
      </c>
      <c r="F425" s="2"/>
      <c r="G425" s="14" t="str">
        <f t="shared" si="6"/>
        <v/>
      </c>
    </row>
    <row r="426" spans="1:7" x14ac:dyDescent="0.3">
      <c r="A426" s="14" t="s">
        <v>1252</v>
      </c>
      <c r="B426" s="15" t="s">
        <v>1253</v>
      </c>
      <c r="C426" s="15" t="s">
        <v>1254</v>
      </c>
      <c r="D426" s="14" t="str">
        <f>IF(LangIdx=2,C426&amp;"",B426&amp;"")</f>
        <v>Current year - nature view (ledger sign)</v>
      </c>
      <c r="E426" s="14" t="s">
        <v>317</v>
      </c>
      <c r="F426" s="2"/>
      <c r="G426" s="14" t="str">
        <f t="shared" si="6"/>
        <v/>
      </c>
    </row>
    <row r="427" spans="1:7" x14ac:dyDescent="0.3">
      <c r="A427" s="14" t="s">
        <v>1255</v>
      </c>
      <c r="B427" s="15" t="s">
        <v>1256</v>
      </c>
      <c r="C427" s="15" t="s">
        <v>1257</v>
      </c>
      <c r="D427" s="14" t="str">
        <f>IF(LangIdx=2,C427&amp;"",B427&amp;"")</f>
        <v>Prior year - nature view (ledger sign)</v>
      </c>
      <c r="E427" s="14" t="s">
        <v>317</v>
      </c>
      <c r="F427" s="2"/>
      <c r="G427" s="14" t="str">
        <f t="shared" si="6"/>
        <v/>
      </c>
    </row>
    <row r="428" spans="1:7" x14ac:dyDescent="0.3">
      <c r="A428" s="14" t="s">
        <v>1258</v>
      </c>
      <c r="B428" s="15" t="s">
        <v>1259</v>
      </c>
      <c r="C428" s="15" t="s">
        <v>1260</v>
      </c>
      <c r="D428" s="14" t="str">
        <f>IF(LangIdx=2,C428&amp;"",B428&amp;"")</f>
        <v>Cash flow tag totals (ledger sign, TB + adjustments)</v>
      </c>
      <c r="E428" s="14" t="s">
        <v>317</v>
      </c>
      <c r="F428" s="2"/>
      <c r="G428" s="14" t="str">
        <f t="shared" si="6"/>
        <v/>
      </c>
    </row>
    <row r="429" spans="1:7" x14ac:dyDescent="0.3">
      <c r="A429" s="14" t="s">
        <v>1261</v>
      </c>
      <c r="B429" s="15" t="s">
        <v>1262</v>
      </c>
      <c r="C429" s="15" t="s">
        <v>1263</v>
      </c>
      <c r="D429" s="14" t="str">
        <f>IF(LangIdx=2,C429&amp;"",B429&amp;"")</f>
        <v>Tag</v>
      </c>
      <c r="E429" s="14" t="s">
        <v>317</v>
      </c>
      <c r="F429" s="2"/>
      <c r="G429" s="14" t="str">
        <f t="shared" si="6"/>
        <v/>
      </c>
    </row>
    <row r="430" spans="1:7" x14ac:dyDescent="0.3">
      <c r="A430" s="14" t="s">
        <v>1264</v>
      </c>
      <c r="B430" s="15" t="s">
        <v>1265</v>
      </c>
      <c r="C430" s="15" t="s">
        <v>1266</v>
      </c>
      <c r="D430" s="14" t="str">
        <f>IF(LangIdx=2,C430&amp;"",B430&amp;"")</f>
        <v>Do not edit. One row per line key; statements read this sheet only.</v>
      </c>
      <c r="E430" s="14" t="s">
        <v>317</v>
      </c>
      <c r="F430" s="2"/>
      <c r="G430" s="14" t="str">
        <f t="shared" si="6"/>
        <v/>
      </c>
    </row>
    <row r="431" spans="1:7" x14ac:dyDescent="0.3">
      <c r="A431" s="16"/>
      <c r="B431" s="16"/>
      <c r="C431" s="16"/>
      <c r="D431" s="14" t="str">
        <f>IF(A431="","",IF(LangIdx=2,C431&amp;"",B431&amp;""))</f>
        <v/>
      </c>
      <c r="E431" s="16"/>
      <c r="F431" s="16"/>
      <c r="G431" s="14" t="str">
        <f t="shared" ref="G431:G494" si="7">IF(A431="","",IF(COUNTIF(DICT_KEY,A431)&gt;1,"DUP",""))</f>
        <v/>
      </c>
    </row>
    <row r="432" spans="1:7" x14ac:dyDescent="0.3">
      <c r="A432" s="16"/>
      <c r="B432" s="16"/>
      <c r="C432" s="16"/>
      <c r="D432" s="14" t="str">
        <f>IF(A432="","",IF(LangIdx=2,C432&amp;"",B432&amp;""))</f>
        <v/>
      </c>
      <c r="E432" s="16"/>
      <c r="F432" s="16"/>
      <c r="G432" s="14" t="str">
        <f t="shared" si="7"/>
        <v/>
      </c>
    </row>
    <row r="433" spans="1:7" x14ac:dyDescent="0.3">
      <c r="A433" s="16"/>
      <c r="B433" s="16"/>
      <c r="C433" s="16"/>
      <c r="D433" s="14" t="str">
        <f>IF(A433="","",IF(LangIdx=2,C433&amp;"",B433&amp;""))</f>
        <v/>
      </c>
      <c r="E433" s="16"/>
      <c r="F433" s="16"/>
      <c r="G433" s="14" t="str">
        <f t="shared" si="7"/>
        <v/>
      </c>
    </row>
    <row r="434" spans="1:7" x14ac:dyDescent="0.3">
      <c r="A434" s="16"/>
      <c r="B434" s="16"/>
      <c r="C434" s="16"/>
      <c r="D434" s="14" t="str">
        <f>IF(A434="","",IF(LangIdx=2,C434&amp;"",B434&amp;""))</f>
        <v/>
      </c>
      <c r="E434" s="16"/>
      <c r="F434" s="16"/>
      <c r="G434" s="14" t="str">
        <f t="shared" si="7"/>
        <v/>
      </c>
    </row>
    <row r="435" spans="1:7" x14ac:dyDescent="0.3">
      <c r="A435" s="16"/>
      <c r="B435" s="16"/>
      <c r="C435" s="16"/>
      <c r="D435" s="14" t="str">
        <f>IF(A435="","",IF(LangIdx=2,C435&amp;"",B435&amp;""))</f>
        <v/>
      </c>
      <c r="E435" s="16"/>
      <c r="F435" s="16"/>
      <c r="G435" s="14" t="str">
        <f t="shared" si="7"/>
        <v/>
      </c>
    </row>
    <row r="436" spans="1:7" x14ac:dyDescent="0.3">
      <c r="A436" s="16"/>
      <c r="B436" s="16"/>
      <c r="C436" s="16"/>
      <c r="D436" s="14" t="str">
        <f>IF(A436="","",IF(LangIdx=2,C436&amp;"",B436&amp;""))</f>
        <v/>
      </c>
      <c r="E436" s="16"/>
      <c r="F436" s="16"/>
      <c r="G436" s="14" t="str">
        <f t="shared" si="7"/>
        <v/>
      </c>
    </row>
    <row r="437" spans="1:7" x14ac:dyDescent="0.3">
      <c r="A437" s="16"/>
      <c r="B437" s="16"/>
      <c r="C437" s="16"/>
      <c r="D437" s="14" t="str">
        <f>IF(A437="","",IF(LangIdx=2,C437&amp;"",B437&amp;""))</f>
        <v/>
      </c>
      <c r="E437" s="16"/>
      <c r="F437" s="16"/>
      <c r="G437" s="14" t="str">
        <f t="shared" si="7"/>
        <v/>
      </c>
    </row>
    <row r="438" spans="1:7" x14ac:dyDescent="0.3">
      <c r="A438" s="16"/>
      <c r="B438" s="16"/>
      <c r="C438" s="16"/>
      <c r="D438" s="14" t="str">
        <f>IF(A438="","",IF(LangIdx=2,C438&amp;"",B438&amp;""))</f>
        <v/>
      </c>
      <c r="E438" s="16"/>
      <c r="F438" s="16"/>
      <c r="G438" s="14" t="str">
        <f t="shared" si="7"/>
        <v/>
      </c>
    </row>
    <row r="439" spans="1:7" x14ac:dyDescent="0.3">
      <c r="A439" s="16"/>
      <c r="B439" s="16"/>
      <c r="C439" s="16"/>
      <c r="D439" s="14" t="str">
        <f>IF(A439="","",IF(LangIdx=2,C439&amp;"",B439&amp;""))</f>
        <v/>
      </c>
      <c r="E439" s="16"/>
      <c r="F439" s="16"/>
      <c r="G439" s="14" t="str">
        <f t="shared" si="7"/>
        <v/>
      </c>
    </row>
    <row r="440" spans="1:7" x14ac:dyDescent="0.3">
      <c r="A440" s="16"/>
      <c r="B440" s="16"/>
      <c r="C440" s="16"/>
      <c r="D440" s="14" t="str">
        <f>IF(A440="","",IF(LangIdx=2,C440&amp;"",B440&amp;""))</f>
        <v/>
      </c>
      <c r="E440" s="16"/>
      <c r="F440" s="16"/>
      <c r="G440" s="14" t="str">
        <f t="shared" si="7"/>
        <v/>
      </c>
    </row>
    <row r="441" spans="1:7" x14ac:dyDescent="0.3">
      <c r="A441" s="16"/>
      <c r="B441" s="16"/>
      <c r="C441" s="16"/>
      <c r="D441" s="14" t="str">
        <f>IF(A441="","",IF(LangIdx=2,C441&amp;"",B441&amp;""))</f>
        <v/>
      </c>
      <c r="E441" s="16"/>
      <c r="F441" s="16"/>
      <c r="G441" s="14" t="str">
        <f t="shared" si="7"/>
        <v/>
      </c>
    </row>
    <row r="442" spans="1:7" x14ac:dyDescent="0.3">
      <c r="A442" s="16"/>
      <c r="B442" s="16"/>
      <c r="C442" s="16"/>
      <c r="D442" s="14" t="str">
        <f>IF(A442="","",IF(LangIdx=2,C442&amp;"",B442&amp;""))</f>
        <v/>
      </c>
      <c r="E442" s="16"/>
      <c r="F442" s="16"/>
      <c r="G442" s="14" t="str">
        <f t="shared" si="7"/>
        <v/>
      </c>
    </row>
    <row r="443" spans="1:7" x14ac:dyDescent="0.3">
      <c r="A443" s="16"/>
      <c r="B443" s="16"/>
      <c r="C443" s="16"/>
      <c r="D443" s="14" t="str">
        <f>IF(A443="","",IF(LangIdx=2,C443&amp;"",B443&amp;""))</f>
        <v/>
      </c>
      <c r="E443" s="16"/>
      <c r="F443" s="16"/>
      <c r="G443" s="14" t="str">
        <f t="shared" si="7"/>
        <v/>
      </c>
    </row>
    <row r="444" spans="1:7" x14ac:dyDescent="0.3">
      <c r="A444" s="16"/>
      <c r="B444" s="16"/>
      <c r="C444" s="16"/>
      <c r="D444" s="14" t="str">
        <f>IF(A444="","",IF(LangIdx=2,C444&amp;"",B444&amp;""))</f>
        <v/>
      </c>
      <c r="E444" s="16"/>
      <c r="F444" s="16"/>
      <c r="G444" s="14" t="str">
        <f t="shared" si="7"/>
        <v/>
      </c>
    </row>
    <row r="445" spans="1:7" x14ac:dyDescent="0.3">
      <c r="A445" s="16"/>
      <c r="B445" s="16"/>
      <c r="C445" s="16"/>
      <c r="D445" s="14" t="str">
        <f>IF(A445="","",IF(LangIdx=2,C445&amp;"",B445&amp;""))</f>
        <v/>
      </c>
      <c r="E445" s="16"/>
      <c r="F445" s="16"/>
      <c r="G445" s="14" t="str">
        <f t="shared" si="7"/>
        <v/>
      </c>
    </row>
    <row r="446" spans="1:7" x14ac:dyDescent="0.3">
      <c r="A446" s="16"/>
      <c r="B446" s="16"/>
      <c r="C446" s="16"/>
      <c r="D446" s="14" t="str">
        <f>IF(A446="","",IF(LangIdx=2,C446&amp;"",B446&amp;""))</f>
        <v/>
      </c>
      <c r="E446" s="16"/>
      <c r="F446" s="16"/>
      <c r="G446" s="14" t="str">
        <f t="shared" si="7"/>
        <v/>
      </c>
    </row>
    <row r="447" spans="1:7" x14ac:dyDescent="0.3">
      <c r="A447" s="16"/>
      <c r="B447" s="16"/>
      <c r="C447" s="16"/>
      <c r="D447" s="14" t="str">
        <f>IF(A447="","",IF(LangIdx=2,C447&amp;"",B447&amp;""))</f>
        <v/>
      </c>
      <c r="E447" s="16"/>
      <c r="F447" s="16"/>
      <c r="G447" s="14" t="str">
        <f t="shared" si="7"/>
        <v/>
      </c>
    </row>
    <row r="448" spans="1:7" x14ac:dyDescent="0.3">
      <c r="A448" s="16"/>
      <c r="B448" s="16"/>
      <c r="C448" s="16"/>
      <c r="D448" s="14" t="str">
        <f>IF(A448="","",IF(LangIdx=2,C448&amp;"",B448&amp;""))</f>
        <v/>
      </c>
      <c r="E448" s="16"/>
      <c r="F448" s="16"/>
      <c r="G448" s="14" t="str">
        <f t="shared" si="7"/>
        <v/>
      </c>
    </row>
    <row r="449" spans="1:7" x14ac:dyDescent="0.3">
      <c r="A449" s="16"/>
      <c r="B449" s="16"/>
      <c r="C449" s="16"/>
      <c r="D449" s="14" t="str">
        <f>IF(A449="","",IF(LangIdx=2,C449&amp;"",B449&amp;""))</f>
        <v/>
      </c>
      <c r="E449" s="16"/>
      <c r="F449" s="16"/>
      <c r="G449" s="14" t="str">
        <f t="shared" si="7"/>
        <v/>
      </c>
    </row>
    <row r="450" spans="1:7" x14ac:dyDescent="0.3">
      <c r="A450" s="16"/>
      <c r="B450" s="16"/>
      <c r="C450" s="16"/>
      <c r="D450" s="14" t="str">
        <f>IF(A450="","",IF(LangIdx=2,C450&amp;"",B450&amp;""))</f>
        <v/>
      </c>
      <c r="E450" s="16"/>
      <c r="F450" s="16"/>
      <c r="G450" s="14" t="str">
        <f t="shared" si="7"/>
        <v/>
      </c>
    </row>
    <row r="451" spans="1:7" x14ac:dyDescent="0.3">
      <c r="A451" s="16"/>
      <c r="B451" s="16"/>
      <c r="C451" s="16"/>
      <c r="D451" s="14" t="str">
        <f>IF(A451="","",IF(LangIdx=2,C451&amp;"",B451&amp;""))</f>
        <v/>
      </c>
      <c r="E451" s="16"/>
      <c r="F451" s="16"/>
      <c r="G451" s="14" t="str">
        <f t="shared" si="7"/>
        <v/>
      </c>
    </row>
    <row r="452" spans="1:7" x14ac:dyDescent="0.3">
      <c r="A452" s="16"/>
      <c r="B452" s="16"/>
      <c r="C452" s="16"/>
      <c r="D452" s="14" t="str">
        <f>IF(A452="","",IF(LangIdx=2,C452&amp;"",B452&amp;""))</f>
        <v/>
      </c>
      <c r="E452" s="16"/>
      <c r="F452" s="16"/>
      <c r="G452" s="14" t="str">
        <f t="shared" si="7"/>
        <v/>
      </c>
    </row>
    <row r="453" spans="1:7" x14ac:dyDescent="0.3">
      <c r="A453" s="16"/>
      <c r="B453" s="16"/>
      <c r="C453" s="16"/>
      <c r="D453" s="14" t="str">
        <f>IF(A453="","",IF(LangIdx=2,C453&amp;"",B453&amp;""))</f>
        <v/>
      </c>
      <c r="E453" s="16"/>
      <c r="F453" s="16"/>
      <c r="G453" s="14" t="str">
        <f t="shared" si="7"/>
        <v/>
      </c>
    </row>
    <row r="454" spans="1:7" x14ac:dyDescent="0.3">
      <c r="A454" s="16"/>
      <c r="B454" s="16"/>
      <c r="C454" s="16"/>
      <c r="D454" s="14" t="str">
        <f>IF(A454="","",IF(LangIdx=2,C454&amp;"",B454&amp;""))</f>
        <v/>
      </c>
      <c r="E454" s="16"/>
      <c r="F454" s="16"/>
      <c r="G454" s="14" t="str">
        <f t="shared" si="7"/>
        <v/>
      </c>
    </row>
    <row r="455" spans="1:7" x14ac:dyDescent="0.3">
      <c r="A455" s="16"/>
      <c r="B455" s="16"/>
      <c r="C455" s="16"/>
      <c r="D455" s="14" t="str">
        <f>IF(A455="","",IF(LangIdx=2,C455&amp;"",B455&amp;""))</f>
        <v/>
      </c>
      <c r="E455" s="16"/>
      <c r="F455" s="16"/>
      <c r="G455" s="14" t="str">
        <f t="shared" si="7"/>
        <v/>
      </c>
    </row>
    <row r="456" spans="1:7" x14ac:dyDescent="0.3">
      <c r="A456" s="16"/>
      <c r="B456" s="16"/>
      <c r="C456" s="16"/>
      <c r="D456" s="14" t="str">
        <f>IF(A456="","",IF(LangIdx=2,C456&amp;"",B456&amp;""))</f>
        <v/>
      </c>
      <c r="E456" s="16"/>
      <c r="F456" s="16"/>
      <c r="G456" s="14" t="str">
        <f t="shared" si="7"/>
        <v/>
      </c>
    </row>
    <row r="457" spans="1:7" x14ac:dyDescent="0.3">
      <c r="A457" s="16"/>
      <c r="B457" s="16"/>
      <c r="C457" s="16"/>
      <c r="D457" s="14" t="str">
        <f>IF(A457="","",IF(LangIdx=2,C457&amp;"",B457&amp;""))</f>
        <v/>
      </c>
      <c r="E457" s="16"/>
      <c r="F457" s="16"/>
      <c r="G457" s="14" t="str">
        <f t="shared" si="7"/>
        <v/>
      </c>
    </row>
    <row r="458" spans="1:7" x14ac:dyDescent="0.3">
      <c r="A458" s="16"/>
      <c r="B458" s="16"/>
      <c r="C458" s="16"/>
      <c r="D458" s="14" t="str">
        <f>IF(A458="","",IF(LangIdx=2,C458&amp;"",B458&amp;""))</f>
        <v/>
      </c>
      <c r="E458" s="16"/>
      <c r="F458" s="16"/>
      <c r="G458" s="14" t="str">
        <f t="shared" si="7"/>
        <v/>
      </c>
    </row>
    <row r="459" spans="1:7" x14ac:dyDescent="0.3">
      <c r="A459" s="16"/>
      <c r="B459" s="16"/>
      <c r="C459" s="16"/>
      <c r="D459" s="14" t="str">
        <f>IF(A459="","",IF(LangIdx=2,C459&amp;"",B459&amp;""))</f>
        <v/>
      </c>
      <c r="E459" s="16"/>
      <c r="F459" s="16"/>
      <c r="G459" s="14" t="str">
        <f t="shared" si="7"/>
        <v/>
      </c>
    </row>
    <row r="460" spans="1:7" x14ac:dyDescent="0.3">
      <c r="A460" s="16"/>
      <c r="B460" s="16"/>
      <c r="C460" s="16"/>
      <c r="D460" s="14" t="str">
        <f>IF(A460="","",IF(LangIdx=2,C460&amp;"",B460&amp;""))</f>
        <v/>
      </c>
      <c r="E460" s="16"/>
      <c r="F460" s="16"/>
      <c r="G460" s="14" t="str">
        <f t="shared" si="7"/>
        <v/>
      </c>
    </row>
    <row r="461" spans="1:7" x14ac:dyDescent="0.3">
      <c r="A461" s="16"/>
      <c r="B461" s="16"/>
      <c r="C461" s="16"/>
      <c r="D461" s="14" t="str">
        <f>IF(A461="","",IF(LangIdx=2,C461&amp;"",B461&amp;""))</f>
        <v/>
      </c>
      <c r="E461" s="16"/>
      <c r="F461" s="16"/>
      <c r="G461" s="14" t="str">
        <f t="shared" si="7"/>
        <v/>
      </c>
    </row>
    <row r="462" spans="1:7" x14ac:dyDescent="0.3">
      <c r="A462" s="16"/>
      <c r="B462" s="16"/>
      <c r="C462" s="16"/>
      <c r="D462" s="14" t="str">
        <f>IF(A462="","",IF(LangIdx=2,C462&amp;"",B462&amp;""))</f>
        <v/>
      </c>
      <c r="E462" s="16"/>
      <c r="F462" s="16"/>
      <c r="G462" s="14" t="str">
        <f t="shared" si="7"/>
        <v/>
      </c>
    </row>
    <row r="463" spans="1:7" x14ac:dyDescent="0.3">
      <c r="A463" s="16"/>
      <c r="B463" s="16"/>
      <c r="C463" s="16"/>
      <c r="D463" s="14" t="str">
        <f>IF(A463="","",IF(LangIdx=2,C463&amp;"",B463&amp;""))</f>
        <v/>
      </c>
      <c r="E463" s="16"/>
      <c r="F463" s="16"/>
      <c r="G463" s="14" t="str">
        <f t="shared" si="7"/>
        <v/>
      </c>
    </row>
    <row r="464" spans="1:7" x14ac:dyDescent="0.3">
      <c r="A464" s="16"/>
      <c r="B464" s="16"/>
      <c r="C464" s="16"/>
      <c r="D464" s="14" t="str">
        <f>IF(A464="","",IF(LangIdx=2,C464&amp;"",B464&amp;""))</f>
        <v/>
      </c>
      <c r="E464" s="16"/>
      <c r="F464" s="16"/>
      <c r="G464" s="14" t="str">
        <f t="shared" si="7"/>
        <v/>
      </c>
    </row>
    <row r="465" spans="1:7" x14ac:dyDescent="0.3">
      <c r="A465" s="16"/>
      <c r="B465" s="16"/>
      <c r="C465" s="16"/>
      <c r="D465" s="14" t="str">
        <f>IF(A465="","",IF(LangIdx=2,C465&amp;"",B465&amp;""))</f>
        <v/>
      </c>
      <c r="E465" s="16"/>
      <c r="F465" s="16"/>
      <c r="G465" s="14" t="str">
        <f t="shared" si="7"/>
        <v/>
      </c>
    </row>
    <row r="466" spans="1:7" x14ac:dyDescent="0.3">
      <c r="A466" s="16"/>
      <c r="B466" s="16"/>
      <c r="C466" s="16"/>
      <c r="D466" s="14" t="str">
        <f>IF(A466="","",IF(LangIdx=2,C466&amp;"",B466&amp;""))</f>
        <v/>
      </c>
      <c r="E466" s="16"/>
      <c r="F466" s="16"/>
      <c r="G466" s="14" t="str">
        <f t="shared" si="7"/>
        <v/>
      </c>
    </row>
    <row r="467" spans="1:7" x14ac:dyDescent="0.3">
      <c r="A467" s="16"/>
      <c r="B467" s="16"/>
      <c r="C467" s="16"/>
      <c r="D467" s="14" t="str">
        <f>IF(A467="","",IF(LangIdx=2,C467&amp;"",B467&amp;""))</f>
        <v/>
      </c>
      <c r="E467" s="16"/>
      <c r="F467" s="16"/>
      <c r="G467" s="14" t="str">
        <f t="shared" si="7"/>
        <v/>
      </c>
    </row>
    <row r="468" spans="1:7" x14ac:dyDescent="0.3">
      <c r="A468" s="16"/>
      <c r="B468" s="16"/>
      <c r="C468" s="16"/>
      <c r="D468" s="14" t="str">
        <f>IF(A468="","",IF(LangIdx=2,C468&amp;"",B468&amp;""))</f>
        <v/>
      </c>
      <c r="E468" s="16"/>
      <c r="F468" s="16"/>
      <c r="G468" s="14" t="str">
        <f t="shared" si="7"/>
        <v/>
      </c>
    </row>
    <row r="469" spans="1:7" x14ac:dyDescent="0.3">
      <c r="A469" s="16"/>
      <c r="B469" s="16"/>
      <c r="C469" s="16"/>
      <c r="D469" s="14" t="str">
        <f>IF(A469="","",IF(LangIdx=2,C469&amp;"",B469&amp;""))</f>
        <v/>
      </c>
      <c r="E469" s="16"/>
      <c r="F469" s="16"/>
      <c r="G469" s="14" t="str">
        <f t="shared" si="7"/>
        <v/>
      </c>
    </row>
    <row r="470" spans="1:7" x14ac:dyDescent="0.3">
      <c r="A470" s="16"/>
      <c r="B470" s="16"/>
      <c r="C470" s="16"/>
      <c r="D470" s="14" t="str">
        <f>IF(A470="","",IF(LangIdx=2,C470&amp;"",B470&amp;""))</f>
        <v/>
      </c>
      <c r="E470" s="16"/>
      <c r="F470" s="16"/>
      <c r="G470" s="14" t="str">
        <f t="shared" si="7"/>
        <v/>
      </c>
    </row>
    <row r="471" spans="1:7" x14ac:dyDescent="0.3">
      <c r="A471" s="16"/>
      <c r="B471" s="16"/>
      <c r="C471" s="16"/>
      <c r="D471" s="14" t="str">
        <f>IF(A471="","",IF(LangIdx=2,C471&amp;"",B471&amp;""))</f>
        <v/>
      </c>
      <c r="E471" s="16"/>
      <c r="F471" s="16"/>
      <c r="G471" s="14" t="str">
        <f t="shared" si="7"/>
        <v/>
      </c>
    </row>
    <row r="472" spans="1:7" x14ac:dyDescent="0.3">
      <c r="A472" s="16"/>
      <c r="B472" s="16"/>
      <c r="C472" s="16"/>
      <c r="D472" s="14" t="str">
        <f>IF(A472="","",IF(LangIdx=2,C472&amp;"",B472&amp;""))</f>
        <v/>
      </c>
      <c r="E472" s="16"/>
      <c r="F472" s="16"/>
      <c r="G472" s="14" t="str">
        <f t="shared" si="7"/>
        <v/>
      </c>
    </row>
    <row r="473" spans="1:7" x14ac:dyDescent="0.3">
      <c r="A473" s="16"/>
      <c r="B473" s="16"/>
      <c r="C473" s="16"/>
      <c r="D473" s="14" t="str">
        <f>IF(A473="","",IF(LangIdx=2,C473&amp;"",B473&amp;""))</f>
        <v/>
      </c>
      <c r="E473" s="16"/>
      <c r="F473" s="16"/>
      <c r="G473" s="14" t="str">
        <f t="shared" si="7"/>
        <v/>
      </c>
    </row>
    <row r="474" spans="1:7" x14ac:dyDescent="0.3">
      <c r="A474" s="16"/>
      <c r="B474" s="16"/>
      <c r="C474" s="16"/>
      <c r="D474" s="14" t="str">
        <f>IF(A474="","",IF(LangIdx=2,C474&amp;"",B474&amp;""))</f>
        <v/>
      </c>
      <c r="E474" s="16"/>
      <c r="F474" s="16"/>
      <c r="G474" s="14" t="str">
        <f t="shared" si="7"/>
        <v/>
      </c>
    </row>
    <row r="475" spans="1:7" x14ac:dyDescent="0.3">
      <c r="A475" s="16"/>
      <c r="B475" s="16"/>
      <c r="C475" s="16"/>
      <c r="D475" s="14" t="str">
        <f>IF(A475="","",IF(LangIdx=2,C475&amp;"",B475&amp;""))</f>
        <v/>
      </c>
      <c r="E475" s="16"/>
      <c r="F475" s="16"/>
      <c r="G475" s="14" t="str">
        <f t="shared" si="7"/>
        <v/>
      </c>
    </row>
    <row r="476" spans="1:7" x14ac:dyDescent="0.3">
      <c r="A476" s="16"/>
      <c r="B476" s="16"/>
      <c r="C476" s="16"/>
      <c r="D476" s="14" t="str">
        <f>IF(A476="","",IF(LangIdx=2,C476&amp;"",B476&amp;""))</f>
        <v/>
      </c>
      <c r="E476" s="16"/>
      <c r="F476" s="16"/>
      <c r="G476" s="14" t="str">
        <f t="shared" si="7"/>
        <v/>
      </c>
    </row>
    <row r="477" spans="1:7" x14ac:dyDescent="0.3">
      <c r="A477" s="16"/>
      <c r="B477" s="16"/>
      <c r="C477" s="16"/>
      <c r="D477" s="14" t="str">
        <f>IF(A477="","",IF(LangIdx=2,C477&amp;"",B477&amp;""))</f>
        <v/>
      </c>
      <c r="E477" s="16"/>
      <c r="F477" s="16"/>
      <c r="G477" s="14" t="str">
        <f t="shared" si="7"/>
        <v/>
      </c>
    </row>
    <row r="478" spans="1:7" x14ac:dyDescent="0.3">
      <c r="A478" s="16"/>
      <c r="B478" s="16"/>
      <c r="C478" s="16"/>
      <c r="D478" s="14" t="str">
        <f>IF(A478="","",IF(LangIdx=2,C478&amp;"",B478&amp;""))</f>
        <v/>
      </c>
      <c r="E478" s="16"/>
      <c r="F478" s="16"/>
      <c r="G478" s="14" t="str">
        <f t="shared" si="7"/>
        <v/>
      </c>
    </row>
    <row r="479" spans="1:7" x14ac:dyDescent="0.3">
      <c r="A479" s="16"/>
      <c r="B479" s="16"/>
      <c r="C479" s="16"/>
      <c r="D479" s="14" t="str">
        <f>IF(A479="","",IF(LangIdx=2,C479&amp;"",B479&amp;""))</f>
        <v/>
      </c>
      <c r="E479" s="16"/>
      <c r="F479" s="16"/>
      <c r="G479" s="14" t="str">
        <f t="shared" si="7"/>
        <v/>
      </c>
    </row>
    <row r="480" spans="1:7" x14ac:dyDescent="0.3">
      <c r="A480" s="16"/>
      <c r="B480" s="16"/>
      <c r="C480" s="16"/>
      <c r="D480" s="14" t="str">
        <f>IF(A480="","",IF(LangIdx=2,C480&amp;"",B480&amp;""))</f>
        <v/>
      </c>
      <c r="E480" s="16"/>
      <c r="F480" s="16"/>
      <c r="G480" s="14" t="str">
        <f t="shared" si="7"/>
        <v/>
      </c>
    </row>
    <row r="481" spans="1:7" x14ac:dyDescent="0.3">
      <c r="A481" s="16"/>
      <c r="B481" s="16"/>
      <c r="C481" s="16"/>
      <c r="D481" s="14" t="str">
        <f>IF(A481="","",IF(LangIdx=2,C481&amp;"",B481&amp;""))</f>
        <v/>
      </c>
      <c r="E481" s="16"/>
      <c r="F481" s="16"/>
      <c r="G481" s="14" t="str">
        <f t="shared" si="7"/>
        <v/>
      </c>
    </row>
    <row r="482" spans="1:7" x14ac:dyDescent="0.3">
      <c r="A482" s="16"/>
      <c r="B482" s="16"/>
      <c r="C482" s="16"/>
      <c r="D482" s="14" t="str">
        <f>IF(A482="","",IF(LangIdx=2,C482&amp;"",B482&amp;""))</f>
        <v/>
      </c>
      <c r="E482" s="16"/>
      <c r="F482" s="16"/>
      <c r="G482" s="14" t="str">
        <f t="shared" si="7"/>
        <v/>
      </c>
    </row>
    <row r="483" spans="1:7" x14ac:dyDescent="0.3">
      <c r="A483" s="16"/>
      <c r="B483" s="16"/>
      <c r="C483" s="16"/>
      <c r="D483" s="14" t="str">
        <f>IF(A483="","",IF(LangIdx=2,C483&amp;"",B483&amp;""))</f>
        <v/>
      </c>
      <c r="E483" s="16"/>
      <c r="F483" s="16"/>
      <c r="G483" s="14" t="str">
        <f t="shared" si="7"/>
        <v/>
      </c>
    </row>
    <row r="484" spans="1:7" x14ac:dyDescent="0.3">
      <c r="A484" s="16"/>
      <c r="B484" s="16"/>
      <c r="C484" s="16"/>
      <c r="D484" s="14" t="str">
        <f>IF(A484="","",IF(LangIdx=2,C484&amp;"",B484&amp;""))</f>
        <v/>
      </c>
      <c r="E484" s="16"/>
      <c r="F484" s="16"/>
      <c r="G484" s="14" t="str">
        <f t="shared" si="7"/>
        <v/>
      </c>
    </row>
    <row r="485" spans="1:7" x14ac:dyDescent="0.3">
      <c r="A485" s="16"/>
      <c r="B485" s="16"/>
      <c r="C485" s="16"/>
      <c r="D485" s="14" t="str">
        <f>IF(A485="","",IF(LangIdx=2,C485&amp;"",B485&amp;""))</f>
        <v/>
      </c>
      <c r="E485" s="16"/>
      <c r="F485" s="16"/>
      <c r="G485" s="14" t="str">
        <f t="shared" si="7"/>
        <v/>
      </c>
    </row>
    <row r="486" spans="1:7" x14ac:dyDescent="0.3">
      <c r="A486" s="16"/>
      <c r="B486" s="16"/>
      <c r="C486" s="16"/>
      <c r="D486" s="14" t="str">
        <f>IF(A486="","",IF(LangIdx=2,C486&amp;"",B486&amp;""))</f>
        <v/>
      </c>
      <c r="E486" s="16"/>
      <c r="F486" s="16"/>
      <c r="G486" s="14" t="str">
        <f t="shared" si="7"/>
        <v/>
      </c>
    </row>
    <row r="487" spans="1:7" x14ac:dyDescent="0.3">
      <c r="A487" s="16"/>
      <c r="B487" s="16"/>
      <c r="C487" s="16"/>
      <c r="D487" s="14" t="str">
        <f>IF(A487="","",IF(LangIdx=2,C487&amp;"",B487&amp;""))</f>
        <v/>
      </c>
      <c r="E487" s="16"/>
      <c r="F487" s="16"/>
      <c r="G487" s="14" t="str">
        <f t="shared" si="7"/>
        <v/>
      </c>
    </row>
    <row r="488" spans="1:7" x14ac:dyDescent="0.3">
      <c r="A488" s="16"/>
      <c r="B488" s="16"/>
      <c r="C488" s="16"/>
      <c r="D488" s="14" t="str">
        <f>IF(A488="","",IF(LangIdx=2,C488&amp;"",B488&amp;""))</f>
        <v/>
      </c>
      <c r="E488" s="16"/>
      <c r="F488" s="16"/>
      <c r="G488" s="14" t="str">
        <f t="shared" si="7"/>
        <v/>
      </c>
    </row>
    <row r="489" spans="1:7" x14ac:dyDescent="0.3">
      <c r="A489" s="16"/>
      <c r="B489" s="16"/>
      <c r="C489" s="16"/>
      <c r="D489" s="14" t="str">
        <f>IF(A489="","",IF(LangIdx=2,C489&amp;"",B489&amp;""))</f>
        <v/>
      </c>
      <c r="E489" s="16"/>
      <c r="F489" s="16"/>
      <c r="G489" s="14" t="str">
        <f t="shared" si="7"/>
        <v/>
      </c>
    </row>
    <row r="490" spans="1:7" x14ac:dyDescent="0.3">
      <c r="A490" s="16"/>
      <c r="B490" s="16"/>
      <c r="C490" s="16"/>
      <c r="D490" s="14" t="str">
        <f>IF(A490="","",IF(LangIdx=2,C490&amp;"",B490&amp;""))</f>
        <v/>
      </c>
      <c r="E490" s="16"/>
      <c r="F490" s="16"/>
      <c r="G490" s="14" t="str">
        <f t="shared" si="7"/>
        <v/>
      </c>
    </row>
    <row r="491" spans="1:7" x14ac:dyDescent="0.3">
      <c r="A491" s="16"/>
      <c r="B491" s="16"/>
      <c r="C491" s="16"/>
      <c r="D491" s="14" t="str">
        <f>IF(A491="","",IF(LangIdx=2,C491&amp;"",B491&amp;""))</f>
        <v/>
      </c>
      <c r="E491" s="16"/>
      <c r="F491" s="16"/>
      <c r="G491" s="14" t="str">
        <f t="shared" si="7"/>
        <v/>
      </c>
    </row>
    <row r="492" spans="1:7" x14ac:dyDescent="0.3">
      <c r="A492" s="16"/>
      <c r="B492" s="16"/>
      <c r="C492" s="16"/>
      <c r="D492" s="14" t="str">
        <f>IF(A492="","",IF(LangIdx=2,C492&amp;"",B492&amp;""))</f>
        <v/>
      </c>
      <c r="E492" s="16"/>
      <c r="F492" s="16"/>
      <c r="G492" s="14" t="str">
        <f t="shared" si="7"/>
        <v/>
      </c>
    </row>
    <row r="493" spans="1:7" x14ac:dyDescent="0.3">
      <c r="A493" s="16"/>
      <c r="B493" s="16"/>
      <c r="C493" s="16"/>
      <c r="D493" s="14" t="str">
        <f>IF(A493="","",IF(LangIdx=2,C493&amp;"",B493&amp;""))</f>
        <v/>
      </c>
      <c r="E493" s="16"/>
      <c r="F493" s="16"/>
      <c r="G493" s="14" t="str">
        <f t="shared" si="7"/>
        <v/>
      </c>
    </row>
    <row r="494" spans="1:7" x14ac:dyDescent="0.3">
      <c r="A494" s="16"/>
      <c r="B494" s="16"/>
      <c r="C494" s="16"/>
      <c r="D494" s="14" t="str">
        <f>IF(A494="","",IF(LangIdx=2,C494&amp;"",B494&amp;""))</f>
        <v/>
      </c>
      <c r="E494" s="16"/>
      <c r="F494" s="16"/>
      <c r="G494" s="14" t="str">
        <f t="shared" si="7"/>
        <v/>
      </c>
    </row>
    <row r="495" spans="1:7" x14ac:dyDescent="0.3">
      <c r="A495" s="16"/>
      <c r="B495" s="16"/>
      <c r="C495" s="16"/>
      <c r="D495" s="14" t="str">
        <f>IF(A495="","",IF(LangIdx=2,C495&amp;"",B495&amp;""))</f>
        <v/>
      </c>
      <c r="E495" s="16"/>
      <c r="F495" s="16"/>
      <c r="G495" s="14" t="str">
        <f t="shared" ref="G495:G558" si="8">IF(A495="","",IF(COUNTIF(DICT_KEY,A495)&gt;1,"DUP",""))</f>
        <v/>
      </c>
    </row>
    <row r="496" spans="1:7" x14ac:dyDescent="0.3">
      <c r="A496" s="16"/>
      <c r="B496" s="16"/>
      <c r="C496" s="16"/>
      <c r="D496" s="14" t="str">
        <f>IF(A496="","",IF(LangIdx=2,C496&amp;"",B496&amp;""))</f>
        <v/>
      </c>
      <c r="E496" s="16"/>
      <c r="F496" s="16"/>
      <c r="G496" s="14" t="str">
        <f t="shared" si="8"/>
        <v/>
      </c>
    </row>
    <row r="497" spans="1:7" x14ac:dyDescent="0.3">
      <c r="A497" s="16"/>
      <c r="B497" s="16"/>
      <c r="C497" s="16"/>
      <c r="D497" s="14" t="str">
        <f>IF(A497="","",IF(LangIdx=2,C497&amp;"",B497&amp;""))</f>
        <v/>
      </c>
      <c r="E497" s="16"/>
      <c r="F497" s="16"/>
      <c r="G497" s="14" t="str">
        <f t="shared" si="8"/>
        <v/>
      </c>
    </row>
    <row r="498" spans="1:7" x14ac:dyDescent="0.3">
      <c r="A498" s="16"/>
      <c r="B498" s="16"/>
      <c r="C498" s="16"/>
      <c r="D498" s="14" t="str">
        <f>IF(A498="","",IF(LangIdx=2,C498&amp;"",B498&amp;""))</f>
        <v/>
      </c>
      <c r="E498" s="16"/>
      <c r="F498" s="16"/>
      <c r="G498" s="14" t="str">
        <f t="shared" si="8"/>
        <v/>
      </c>
    </row>
    <row r="499" spans="1:7" x14ac:dyDescent="0.3">
      <c r="A499" s="16"/>
      <c r="B499" s="16"/>
      <c r="C499" s="16"/>
      <c r="D499" s="14" t="str">
        <f>IF(A499="","",IF(LangIdx=2,C499&amp;"",B499&amp;""))</f>
        <v/>
      </c>
      <c r="E499" s="16"/>
      <c r="F499" s="16"/>
      <c r="G499" s="14" t="str">
        <f t="shared" si="8"/>
        <v/>
      </c>
    </row>
    <row r="500" spans="1:7" x14ac:dyDescent="0.3">
      <c r="A500" s="16"/>
      <c r="B500" s="16"/>
      <c r="C500" s="16"/>
      <c r="D500" s="14" t="str">
        <f>IF(A500="","",IF(LangIdx=2,C500&amp;"",B500&amp;""))</f>
        <v/>
      </c>
      <c r="E500" s="16"/>
      <c r="F500" s="16"/>
      <c r="G500" s="14" t="str">
        <f t="shared" si="8"/>
        <v/>
      </c>
    </row>
    <row r="501" spans="1:7" x14ac:dyDescent="0.3">
      <c r="A501" s="16"/>
      <c r="B501" s="16"/>
      <c r="C501" s="16"/>
      <c r="D501" s="14" t="str">
        <f>IF(A501="","",IF(LangIdx=2,C501&amp;"",B501&amp;""))</f>
        <v/>
      </c>
      <c r="E501" s="16"/>
      <c r="F501" s="16"/>
      <c r="G501" s="14" t="str">
        <f t="shared" si="8"/>
        <v/>
      </c>
    </row>
    <row r="502" spans="1:7" x14ac:dyDescent="0.3">
      <c r="A502" s="16"/>
      <c r="B502" s="16"/>
      <c r="C502" s="16"/>
      <c r="D502" s="14" t="str">
        <f>IF(A502="","",IF(LangIdx=2,C502&amp;"",B502&amp;""))</f>
        <v/>
      </c>
      <c r="E502" s="16"/>
      <c r="F502" s="16"/>
      <c r="G502" s="14" t="str">
        <f t="shared" si="8"/>
        <v/>
      </c>
    </row>
    <row r="503" spans="1:7" x14ac:dyDescent="0.3">
      <c r="A503" s="16"/>
      <c r="B503" s="16"/>
      <c r="C503" s="16"/>
      <c r="D503" s="14" t="str">
        <f>IF(A503="","",IF(LangIdx=2,C503&amp;"",B503&amp;""))</f>
        <v/>
      </c>
      <c r="E503" s="16"/>
      <c r="F503" s="16"/>
      <c r="G503" s="14" t="str">
        <f t="shared" si="8"/>
        <v/>
      </c>
    </row>
    <row r="504" spans="1:7" x14ac:dyDescent="0.3">
      <c r="A504" s="16"/>
      <c r="B504" s="16"/>
      <c r="C504" s="16"/>
      <c r="D504" s="14" t="str">
        <f>IF(A504="","",IF(LangIdx=2,C504&amp;"",B504&amp;""))</f>
        <v/>
      </c>
      <c r="E504" s="16"/>
      <c r="F504" s="16"/>
      <c r="G504" s="14" t="str">
        <f t="shared" si="8"/>
        <v/>
      </c>
    </row>
    <row r="505" spans="1:7" x14ac:dyDescent="0.3">
      <c r="A505" s="16"/>
      <c r="B505" s="16"/>
      <c r="C505" s="16"/>
      <c r="D505" s="14" t="str">
        <f>IF(A505="","",IF(LangIdx=2,C505&amp;"",B505&amp;""))</f>
        <v/>
      </c>
      <c r="E505" s="16"/>
      <c r="F505" s="16"/>
      <c r="G505" s="14" t="str">
        <f t="shared" si="8"/>
        <v/>
      </c>
    </row>
    <row r="506" spans="1:7" x14ac:dyDescent="0.3">
      <c r="A506" s="16"/>
      <c r="B506" s="16"/>
      <c r="C506" s="16"/>
      <c r="D506" s="14" t="str">
        <f>IF(A506="","",IF(LangIdx=2,C506&amp;"",B506&amp;""))</f>
        <v/>
      </c>
      <c r="E506" s="16"/>
      <c r="F506" s="16"/>
      <c r="G506" s="14" t="str">
        <f t="shared" si="8"/>
        <v/>
      </c>
    </row>
    <row r="507" spans="1:7" x14ac:dyDescent="0.3">
      <c r="A507" s="16"/>
      <c r="B507" s="16"/>
      <c r="C507" s="16"/>
      <c r="D507" s="14" t="str">
        <f>IF(A507="","",IF(LangIdx=2,C507&amp;"",B507&amp;""))</f>
        <v/>
      </c>
      <c r="E507" s="16"/>
      <c r="F507" s="16"/>
      <c r="G507" s="14" t="str">
        <f t="shared" si="8"/>
        <v/>
      </c>
    </row>
    <row r="508" spans="1:7" x14ac:dyDescent="0.3">
      <c r="A508" s="16"/>
      <c r="B508" s="16"/>
      <c r="C508" s="16"/>
      <c r="D508" s="14" t="str">
        <f>IF(A508="","",IF(LangIdx=2,C508&amp;"",B508&amp;""))</f>
        <v/>
      </c>
      <c r="E508" s="16"/>
      <c r="F508" s="16"/>
      <c r="G508" s="14" t="str">
        <f t="shared" si="8"/>
        <v/>
      </c>
    </row>
    <row r="509" spans="1:7" x14ac:dyDescent="0.3">
      <c r="A509" s="16"/>
      <c r="B509" s="16"/>
      <c r="C509" s="16"/>
      <c r="D509" s="14" t="str">
        <f>IF(A509="","",IF(LangIdx=2,C509&amp;"",B509&amp;""))</f>
        <v/>
      </c>
      <c r="E509" s="16"/>
      <c r="F509" s="16"/>
      <c r="G509" s="14" t="str">
        <f t="shared" si="8"/>
        <v/>
      </c>
    </row>
    <row r="510" spans="1:7" x14ac:dyDescent="0.3">
      <c r="A510" s="16"/>
      <c r="B510" s="16"/>
      <c r="C510" s="16"/>
      <c r="D510" s="14" t="str">
        <f>IF(A510="","",IF(LangIdx=2,C510&amp;"",B510&amp;""))</f>
        <v/>
      </c>
      <c r="E510" s="16"/>
      <c r="F510" s="16"/>
      <c r="G510" s="14" t="str">
        <f t="shared" si="8"/>
        <v/>
      </c>
    </row>
    <row r="511" spans="1:7" x14ac:dyDescent="0.3">
      <c r="A511" s="16"/>
      <c r="B511" s="16"/>
      <c r="C511" s="16"/>
      <c r="D511" s="14" t="str">
        <f>IF(A511="","",IF(LangIdx=2,C511&amp;"",B511&amp;""))</f>
        <v/>
      </c>
      <c r="E511" s="16"/>
      <c r="F511" s="16"/>
      <c r="G511" s="14" t="str">
        <f t="shared" si="8"/>
        <v/>
      </c>
    </row>
    <row r="512" spans="1:7" x14ac:dyDescent="0.3">
      <c r="A512" s="16"/>
      <c r="B512" s="16"/>
      <c r="C512" s="16"/>
      <c r="D512" s="14" t="str">
        <f>IF(A512="","",IF(LangIdx=2,C512&amp;"",B512&amp;""))</f>
        <v/>
      </c>
      <c r="E512" s="16"/>
      <c r="F512" s="16"/>
      <c r="G512" s="14" t="str">
        <f t="shared" si="8"/>
        <v/>
      </c>
    </row>
    <row r="513" spans="1:7" x14ac:dyDescent="0.3">
      <c r="A513" s="16"/>
      <c r="B513" s="16"/>
      <c r="C513" s="16"/>
      <c r="D513" s="14" t="str">
        <f>IF(A513="","",IF(LangIdx=2,C513&amp;"",B513&amp;""))</f>
        <v/>
      </c>
      <c r="E513" s="16"/>
      <c r="F513" s="16"/>
      <c r="G513" s="14" t="str">
        <f t="shared" si="8"/>
        <v/>
      </c>
    </row>
    <row r="514" spans="1:7" x14ac:dyDescent="0.3">
      <c r="A514" s="16"/>
      <c r="B514" s="16"/>
      <c r="C514" s="16"/>
      <c r="D514" s="14" t="str">
        <f>IF(A514="","",IF(LangIdx=2,C514&amp;"",B514&amp;""))</f>
        <v/>
      </c>
      <c r="E514" s="16"/>
      <c r="F514" s="16"/>
      <c r="G514" s="14" t="str">
        <f t="shared" si="8"/>
        <v/>
      </c>
    </row>
    <row r="515" spans="1:7" x14ac:dyDescent="0.3">
      <c r="A515" s="16"/>
      <c r="B515" s="16"/>
      <c r="C515" s="16"/>
      <c r="D515" s="14" t="str">
        <f>IF(A515="","",IF(LangIdx=2,C515&amp;"",B515&amp;""))</f>
        <v/>
      </c>
      <c r="E515" s="16"/>
      <c r="F515" s="16"/>
      <c r="G515" s="14" t="str">
        <f t="shared" si="8"/>
        <v/>
      </c>
    </row>
    <row r="516" spans="1:7" x14ac:dyDescent="0.3">
      <c r="A516" s="16"/>
      <c r="B516" s="16"/>
      <c r="C516" s="16"/>
      <c r="D516" s="14" t="str">
        <f>IF(A516="","",IF(LangIdx=2,C516&amp;"",B516&amp;""))</f>
        <v/>
      </c>
      <c r="E516" s="16"/>
      <c r="F516" s="16"/>
      <c r="G516" s="14" t="str">
        <f t="shared" si="8"/>
        <v/>
      </c>
    </row>
    <row r="517" spans="1:7" x14ac:dyDescent="0.3">
      <c r="A517" s="16"/>
      <c r="B517" s="16"/>
      <c r="C517" s="16"/>
      <c r="D517" s="14" t="str">
        <f>IF(A517="","",IF(LangIdx=2,C517&amp;"",B517&amp;""))</f>
        <v/>
      </c>
      <c r="E517" s="16"/>
      <c r="F517" s="16"/>
      <c r="G517" s="14" t="str">
        <f t="shared" si="8"/>
        <v/>
      </c>
    </row>
    <row r="518" spans="1:7" x14ac:dyDescent="0.3">
      <c r="A518" s="16"/>
      <c r="B518" s="16"/>
      <c r="C518" s="16"/>
      <c r="D518" s="14" t="str">
        <f>IF(A518="","",IF(LangIdx=2,C518&amp;"",B518&amp;""))</f>
        <v/>
      </c>
      <c r="E518" s="16"/>
      <c r="F518" s="16"/>
      <c r="G518" s="14" t="str">
        <f t="shared" si="8"/>
        <v/>
      </c>
    </row>
    <row r="519" spans="1:7" x14ac:dyDescent="0.3">
      <c r="A519" s="16"/>
      <c r="B519" s="16"/>
      <c r="C519" s="16"/>
      <c r="D519" s="14" t="str">
        <f>IF(A519="","",IF(LangIdx=2,C519&amp;"",B519&amp;""))</f>
        <v/>
      </c>
      <c r="E519" s="16"/>
      <c r="F519" s="16"/>
      <c r="G519" s="14" t="str">
        <f t="shared" si="8"/>
        <v/>
      </c>
    </row>
    <row r="520" spans="1:7" x14ac:dyDescent="0.3">
      <c r="A520" s="16"/>
      <c r="B520" s="16"/>
      <c r="C520" s="16"/>
      <c r="D520" s="14" t="str">
        <f>IF(A520="","",IF(LangIdx=2,C520&amp;"",B520&amp;""))</f>
        <v/>
      </c>
      <c r="E520" s="16"/>
      <c r="F520" s="16"/>
      <c r="G520" s="14" t="str">
        <f t="shared" si="8"/>
        <v/>
      </c>
    </row>
    <row r="521" spans="1:7" x14ac:dyDescent="0.3">
      <c r="A521" s="16"/>
      <c r="B521" s="16"/>
      <c r="C521" s="16"/>
      <c r="D521" s="14" t="str">
        <f>IF(A521="","",IF(LangIdx=2,C521&amp;"",B521&amp;""))</f>
        <v/>
      </c>
      <c r="E521" s="16"/>
      <c r="F521" s="16"/>
      <c r="G521" s="14" t="str">
        <f t="shared" si="8"/>
        <v/>
      </c>
    </row>
    <row r="522" spans="1:7" x14ac:dyDescent="0.3">
      <c r="A522" s="16"/>
      <c r="B522" s="16"/>
      <c r="C522" s="16"/>
      <c r="D522" s="14" t="str">
        <f>IF(A522="","",IF(LangIdx=2,C522&amp;"",B522&amp;""))</f>
        <v/>
      </c>
      <c r="E522" s="16"/>
      <c r="F522" s="16"/>
      <c r="G522" s="14" t="str">
        <f t="shared" si="8"/>
        <v/>
      </c>
    </row>
    <row r="523" spans="1:7" x14ac:dyDescent="0.3">
      <c r="A523" s="16"/>
      <c r="B523" s="16"/>
      <c r="C523" s="16"/>
      <c r="D523" s="14" t="str">
        <f>IF(A523="","",IF(LangIdx=2,C523&amp;"",B523&amp;""))</f>
        <v/>
      </c>
      <c r="E523" s="16"/>
      <c r="F523" s="16"/>
      <c r="G523" s="14" t="str">
        <f t="shared" si="8"/>
        <v/>
      </c>
    </row>
    <row r="524" spans="1:7" x14ac:dyDescent="0.3">
      <c r="A524" s="16"/>
      <c r="B524" s="16"/>
      <c r="C524" s="16"/>
      <c r="D524" s="14" t="str">
        <f>IF(A524="","",IF(LangIdx=2,C524&amp;"",B524&amp;""))</f>
        <v/>
      </c>
      <c r="E524" s="16"/>
      <c r="F524" s="16"/>
      <c r="G524" s="14" t="str">
        <f t="shared" si="8"/>
        <v/>
      </c>
    </row>
    <row r="525" spans="1:7" x14ac:dyDescent="0.3">
      <c r="A525" s="16"/>
      <c r="B525" s="16"/>
      <c r="C525" s="16"/>
      <c r="D525" s="14" t="str">
        <f>IF(A525="","",IF(LangIdx=2,C525&amp;"",B525&amp;""))</f>
        <v/>
      </c>
      <c r="E525" s="16"/>
      <c r="F525" s="16"/>
      <c r="G525" s="14" t="str">
        <f t="shared" si="8"/>
        <v/>
      </c>
    </row>
    <row r="526" spans="1:7" x14ac:dyDescent="0.3">
      <c r="A526" s="16"/>
      <c r="B526" s="16"/>
      <c r="C526" s="16"/>
      <c r="D526" s="14" t="str">
        <f>IF(A526="","",IF(LangIdx=2,C526&amp;"",B526&amp;""))</f>
        <v/>
      </c>
      <c r="E526" s="16"/>
      <c r="F526" s="16"/>
      <c r="G526" s="14" t="str">
        <f t="shared" si="8"/>
        <v/>
      </c>
    </row>
    <row r="527" spans="1:7" x14ac:dyDescent="0.3">
      <c r="A527" s="16"/>
      <c r="B527" s="16"/>
      <c r="C527" s="16"/>
      <c r="D527" s="14" t="str">
        <f>IF(A527="","",IF(LangIdx=2,C527&amp;"",B527&amp;""))</f>
        <v/>
      </c>
      <c r="E527" s="16"/>
      <c r="F527" s="16"/>
      <c r="G527" s="14" t="str">
        <f t="shared" si="8"/>
        <v/>
      </c>
    </row>
    <row r="528" spans="1:7" x14ac:dyDescent="0.3">
      <c r="A528" s="16"/>
      <c r="B528" s="16"/>
      <c r="C528" s="16"/>
      <c r="D528" s="14" t="str">
        <f>IF(A528="","",IF(LangIdx=2,C528&amp;"",B528&amp;""))</f>
        <v/>
      </c>
      <c r="E528" s="16"/>
      <c r="F528" s="16"/>
      <c r="G528" s="14" t="str">
        <f t="shared" si="8"/>
        <v/>
      </c>
    </row>
    <row r="529" spans="1:7" x14ac:dyDescent="0.3">
      <c r="A529" s="16"/>
      <c r="B529" s="16"/>
      <c r="C529" s="16"/>
      <c r="D529" s="14" t="str">
        <f>IF(A529="","",IF(LangIdx=2,C529&amp;"",B529&amp;""))</f>
        <v/>
      </c>
      <c r="E529" s="16"/>
      <c r="F529" s="16"/>
      <c r="G529" s="14" t="str">
        <f t="shared" si="8"/>
        <v/>
      </c>
    </row>
    <row r="530" spans="1:7" x14ac:dyDescent="0.3">
      <c r="A530" s="16"/>
      <c r="B530" s="16"/>
      <c r="C530" s="16"/>
      <c r="D530" s="14" t="str">
        <f>IF(A530="","",IF(LangIdx=2,C530&amp;"",B530&amp;""))</f>
        <v/>
      </c>
      <c r="E530" s="16"/>
      <c r="F530" s="16"/>
      <c r="G530" s="14" t="str">
        <f t="shared" si="8"/>
        <v/>
      </c>
    </row>
    <row r="531" spans="1:7" x14ac:dyDescent="0.3">
      <c r="A531" s="16"/>
      <c r="B531" s="16"/>
      <c r="C531" s="16"/>
      <c r="D531" s="14" t="str">
        <f>IF(A531="","",IF(LangIdx=2,C531&amp;"",B531&amp;""))</f>
        <v/>
      </c>
      <c r="E531" s="16"/>
      <c r="F531" s="16"/>
      <c r="G531" s="14" t="str">
        <f t="shared" si="8"/>
        <v/>
      </c>
    </row>
    <row r="532" spans="1:7" x14ac:dyDescent="0.3">
      <c r="A532" s="16"/>
      <c r="B532" s="16"/>
      <c r="C532" s="16"/>
      <c r="D532" s="14" t="str">
        <f>IF(A532="","",IF(LangIdx=2,C532&amp;"",B532&amp;""))</f>
        <v/>
      </c>
      <c r="E532" s="16"/>
      <c r="F532" s="16"/>
      <c r="G532" s="14" t="str">
        <f t="shared" si="8"/>
        <v/>
      </c>
    </row>
    <row r="533" spans="1:7" x14ac:dyDescent="0.3">
      <c r="A533" s="16"/>
      <c r="B533" s="16"/>
      <c r="C533" s="16"/>
      <c r="D533" s="14" t="str">
        <f>IF(A533="","",IF(LangIdx=2,C533&amp;"",B533&amp;""))</f>
        <v/>
      </c>
      <c r="E533" s="16"/>
      <c r="F533" s="16"/>
      <c r="G533" s="14" t="str">
        <f t="shared" si="8"/>
        <v/>
      </c>
    </row>
    <row r="534" spans="1:7" x14ac:dyDescent="0.3">
      <c r="A534" s="16"/>
      <c r="B534" s="16"/>
      <c r="C534" s="16"/>
      <c r="D534" s="14" t="str">
        <f>IF(A534="","",IF(LangIdx=2,C534&amp;"",B534&amp;""))</f>
        <v/>
      </c>
      <c r="E534" s="16"/>
      <c r="F534" s="16"/>
      <c r="G534" s="14" t="str">
        <f t="shared" si="8"/>
        <v/>
      </c>
    </row>
    <row r="535" spans="1:7" x14ac:dyDescent="0.3">
      <c r="A535" s="16"/>
      <c r="B535" s="16"/>
      <c r="C535" s="16"/>
      <c r="D535" s="14" t="str">
        <f>IF(A535="","",IF(LangIdx=2,C535&amp;"",B535&amp;""))</f>
        <v/>
      </c>
      <c r="E535" s="16"/>
      <c r="F535" s="16"/>
      <c r="G535" s="14" t="str">
        <f t="shared" si="8"/>
        <v/>
      </c>
    </row>
    <row r="536" spans="1:7" x14ac:dyDescent="0.3">
      <c r="A536" s="16"/>
      <c r="B536" s="16"/>
      <c r="C536" s="16"/>
      <c r="D536" s="14" t="str">
        <f>IF(A536="","",IF(LangIdx=2,C536&amp;"",B536&amp;""))</f>
        <v/>
      </c>
      <c r="E536" s="16"/>
      <c r="F536" s="16"/>
      <c r="G536" s="14" t="str">
        <f t="shared" si="8"/>
        <v/>
      </c>
    </row>
    <row r="537" spans="1:7" x14ac:dyDescent="0.3">
      <c r="A537" s="16"/>
      <c r="B537" s="16"/>
      <c r="C537" s="16"/>
      <c r="D537" s="14" t="str">
        <f>IF(A537="","",IF(LangIdx=2,C537&amp;"",B537&amp;""))</f>
        <v/>
      </c>
      <c r="E537" s="16"/>
      <c r="F537" s="16"/>
      <c r="G537" s="14" t="str">
        <f t="shared" si="8"/>
        <v/>
      </c>
    </row>
    <row r="538" spans="1:7" x14ac:dyDescent="0.3">
      <c r="A538" s="16"/>
      <c r="B538" s="16"/>
      <c r="C538" s="16"/>
      <c r="D538" s="14" t="str">
        <f>IF(A538="","",IF(LangIdx=2,C538&amp;"",B538&amp;""))</f>
        <v/>
      </c>
      <c r="E538" s="16"/>
      <c r="F538" s="16"/>
      <c r="G538" s="14" t="str">
        <f t="shared" si="8"/>
        <v/>
      </c>
    </row>
    <row r="539" spans="1:7" x14ac:dyDescent="0.3">
      <c r="A539" s="16"/>
      <c r="B539" s="16"/>
      <c r="C539" s="16"/>
      <c r="D539" s="14" t="str">
        <f>IF(A539="","",IF(LangIdx=2,C539&amp;"",B539&amp;""))</f>
        <v/>
      </c>
      <c r="E539" s="16"/>
      <c r="F539" s="16"/>
      <c r="G539" s="14" t="str">
        <f t="shared" si="8"/>
        <v/>
      </c>
    </row>
    <row r="540" spans="1:7" x14ac:dyDescent="0.3">
      <c r="A540" s="16"/>
      <c r="B540" s="16"/>
      <c r="C540" s="16"/>
      <c r="D540" s="14" t="str">
        <f>IF(A540="","",IF(LangIdx=2,C540&amp;"",B540&amp;""))</f>
        <v/>
      </c>
      <c r="E540" s="16"/>
      <c r="F540" s="16"/>
      <c r="G540" s="14" t="str">
        <f t="shared" si="8"/>
        <v/>
      </c>
    </row>
    <row r="541" spans="1:7" x14ac:dyDescent="0.3">
      <c r="A541" s="16"/>
      <c r="B541" s="16"/>
      <c r="C541" s="16"/>
      <c r="D541" s="14" t="str">
        <f>IF(A541="","",IF(LangIdx=2,C541&amp;"",B541&amp;""))</f>
        <v/>
      </c>
      <c r="E541" s="16"/>
      <c r="F541" s="16"/>
      <c r="G541" s="14" t="str">
        <f t="shared" si="8"/>
        <v/>
      </c>
    </row>
    <row r="542" spans="1:7" x14ac:dyDescent="0.3">
      <c r="A542" s="16"/>
      <c r="B542" s="16"/>
      <c r="C542" s="16"/>
      <c r="D542" s="14" t="str">
        <f>IF(A542="","",IF(LangIdx=2,C542&amp;"",B542&amp;""))</f>
        <v/>
      </c>
      <c r="E542" s="16"/>
      <c r="F542" s="16"/>
      <c r="G542" s="14" t="str">
        <f t="shared" si="8"/>
        <v/>
      </c>
    </row>
    <row r="543" spans="1:7" x14ac:dyDescent="0.3">
      <c r="A543" s="16"/>
      <c r="B543" s="16"/>
      <c r="C543" s="16"/>
      <c r="D543" s="14" t="str">
        <f>IF(A543="","",IF(LangIdx=2,C543&amp;"",B543&amp;""))</f>
        <v/>
      </c>
      <c r="E543" s="16"/>
      <c r="F543" s="16"/>
      <c r="G543" s="14" t="str">
        <f t="shared" si="8"/>
        <v/>
      </c>
    </row>
    <row r="544" spans="1:7" x14ac:dyDescent="0.3">
      <c r="A544" s="16"/>
      <c r="B544" s="16"/>
      <c r="C544" s="16"/>
      <c r="D544" s="14" t="str">
        <f>IF(A544="","",IF(LangIdx=2,C544&amp;"",B544&amp;""))</f>
        <v/>
      </c>
      <c r="E544" s="16"/>
      <c r="F544" s="16"/>
      <c r="G544" s="14" t="str">
        <f t="shared" si="8"/>
        <v/>
      </c>
    </row>
    <row r="545" spans="1:7" x14ac:dyDescent="0.3">
      <c r="A545" s="16"/>
      <c r="B545" s="16"/>
      <c r="C545" s="16"/>
      <c r="D545" s="14" t="str">
        <f>IF(A545="","",IF(LangIdx=2,C545&amp;"",B545&amp;""))</f>
        <v/>
      </c>
      <c r="E545" s="16"/>
      <c r="F545" s="16"/>
      <c r="G545" s="14" t="str">
        <f t="shared" si="8"/>
        <v/>
      </c>
    </row>
    <row r="546" spans="1:7" x14ac:dyDescent="0.3">
      <c r="A546" s="16"/>
      <c r="B546" s="16"/>
      <c r="C546" s="16"/>
      <c r="D546" s="14" t="str">
        <f>IF(A546="","",IF(LangIdx=2,C546&amp;"",B546&amp;""))</f>
        <v/>
      </c>
      <c r="E546" s="16"/>
      <c r="F546" s="16"/>
      <c r="G546" s="14" t="str">
        <f t="shared" si="8"/>
        <v/>
      </c>
    </row>
    <row r="547" spans="1:7" x14ac:dyDescent="0.3">
      <c r="A547" s="16"/>
      <c r="B547" s="16"/>
      <c r="C547" s="16"/>
      <c r="D547" s="14" t="str">
        <f>IF(A547="","",IF(LangIdx=2,C547&amp;"",B547&amp;""))</f>
        <v/>
      </c>
      <c r="E547" s="16"/>
      <c r="F547" s="16"/>
      <c r="G547" s="14" t="str">
        <f t="shared" si="8"/>
        <v/>
      </c>
    </row>
    <row r="548" spans="1:7" x14ac:dyDescent="0.3">
      <c r="A548" s="16"/>
      <c r="B548" s="16"/>
      <c r="C548" s="16"/>
      <c r="D548" s="14" t="str">
        <f>IF(A548="","",IF(LangIdx=2,C548&amp;"",B548&amp;""))</f>
        <v/>
      </c>
      <c r="E548" s="16"/>
      <c r="F548" s="16"/>
      <c r="G548" s="14" t="str">
        <f t="shared" si="8"/>
        <v/>
      </c>
    </row>
    <row r="549" spans="1:7" x14ac:dyDescent="0.3">
      <c r="A549" s="16"/>
      <c r="B549" s="16"/>
      <c r="C549" s="16"/>
      <c r="D549" s="14" t="str">
        <f>IF(A549="","",IF(LangIdx=2,C549&amp;"",B549&amp;""))</f>
        <v/>
      </c>
      <c r="E549" s="16"/>
      <c r="F549" s="16"/>
      <c r="G549" s="14" t="str">
        <f t="shared" si="8"/>
        <v/>
      </c>
    </row>
    <row r="550" spans="1:7" x14ac:dyDescent="0.3">
      <c r="A550" s="16"/>
      <c r="B550" s="16"/>
      <c r="C550" s="16"/>
      <c r="D550" s="14" t="str">
        <f>IF(A550="","",IF(LangIdx=2,C550&amp;"",B550&amp;""))</f>
        <v/>
      </c>
      <c r="E550" s="16"/>
      <c r="F550" s="16"/>
      <c r="G550" s="14" t="str">
        <f t="shared" si="8"/>
        <v/>
      </c>
    </row>
    <row r="551" spans="1:7" x14ac:dyDescent="0.3">
      <c r="A551" s="16"/>
      <c r="B551" s="16"/>
      <c r="C551" s="16"/>
      <c r="D551" s="14" t="str">
        <f>IF(A551="","",IF(LangIdx=2,C551&amp;"",B551&amp;""))</f>
        <v/>
      </c>
      <c r="E551" s="16"/>
      <c r="F551" s="16"/>
      <c r="G551" s="14" t="str">
        <f t="shared" si="8"/>
        <v/>
      </c>
    </row>
    <row r="552" spans="1:7" x14ac:dyDescent="0.3">
      <c r="A552" s="16"/>
      <c r="B552" s="16"/>
      <c r="C552" s="16"/>
      <c r="D552" s="14" t="str">
        <f>IF(A552="","",IF(LangIdx=2,C552&amp;"",B552&amp;""))</f>
        <v/>
      </c>
      <c r="E552" s="16"/>
      <c r="F552" s="16"/>
      <c r="G552" s="14" t="str">
        <f t="shared" si="8"/>
        <v/>
      </c>
    </row>
    <row r="553" spans="1:7" x14ac:dyDescent="0.3">
      <c r="A553" s="16"/>
      <c r="B553" s="16"/>
      <c r="C553" s="16"/>
      <c r="D553" s="14" t="str">
        <f>IF(A553="","",IF(LangIdx=2,C553&amp;"",B553&amp;""))</f>
        <v/>
      </c>
      <c r="E553" s="16"/>
      <c r="F553" s="16"/>
      <c r="G553" s="14" t="str">
        <f t="shared" si="8"/>
        <v/>
      </c>
    </row>
    <row r="554" spans="1:7" x14ac:dyDescent="0.3">
      <c r="A554" s="16"/>
      <c r="B554" s="16"/>
      <c r="C554" s="16"/>
      <c r="D554" s="14" t="str">
        <f>IF(A554="","",IF(LangIdx=2,C554&amp;"",B554&amp;""))</f>
        <v/>
      </c>
      <c r="E554" s="16"/>
      <c r="F554" s="16"/>
      <c r="G554" s="14" t="str">
        <f t="shared" si="8"/>
        <v/>
      </c>
    </row>
    <row r="555" spans="1:7" x14ac:dyDescent="0.3">
      <c r="A555" s="16"/>
      <c r="B555" s="16"/>
      <c r="C555" s="16"/>
      <c r="D555" s="14" t="str">
        <f>IF(A555="","",IF(LangIdx=2,C555&amp;"",B555&amp;""))</f>
        <v/>
      </c>
      <c r="E555" s="16"/>
      <c r="F555" s="16"/>
      <c r="G555" s="14" t="str">
        <f t="shared" si="8"/>
        <v/>
      </c>
    </row>
    <row r="556" spans="1:7" x14ac:dyDescent="0.3">
      <c r="A556" s="16"/>
      <c r="B556" s="16"/>
      <c r="C556" s="16"/>
      <c r="D556" s="14" t="str">
        <f>IF(A556="","",IF(LangIdx=2,C556&amp;"",B556&amp;""))</f>
        <v/>
      </c>
      <c r="E556" s="16"/>
      <c r="F556" s="16"/>
      <c r="G556" s="14" t="str">
        <f t="shared" si="8"/>
        <v/>
      </c>
    </row>
    <row r="557" spans="1:7" x14ac:dyDescent="0.3">
      <c r="A557" s="16"/>
      <c r="B557" s="16"/>
      <c r="C557" s="16"/>
      <c r="D557" s="14" t="str">
        <f>IF(A557="","",IF(LangIdx=2,C557&amp;"",B557&amp;""))</f>
        <v/>
      </c>
      <c r="E557" s="16"/>
      <c r="F557" s="16"/>
      <c r="G557" s="14" t="str">
        <f t="shared" si="8"/>
        <v/>
      </c>
    </row>
    <row r="558" spans="1:7" x14ac:dyDescent="0.3">
      <c r="A558" s="16"/>
      <c r="B558" s="16"/>
      <c r="C558" s="16"/>
      <c r="D558" s="14" t="str">
        <f>IF(A558="","",IF(LangIdx=2,C558&amp;"",B558&amp;""))</f>
        <v/>
      </c>
      <c r="E558" s="16"/>
      <c r="F558" s="16"/>
      <c r="G558" s="14" t="str">
        <f t="shared" si="8"/>
        <v/>
      </c>
    </row>
    <row r="559" spans="1:7" x14ac:dyDescent="0.3">
      <c r="A559" s="16"/>
      <c r="B559" s="16"/>
      <c r="C559" s="16"/>
      <c r="D559" s="14" t="str">
        <f>IF(A559="","",IF(LangIdx=2,C559&amp;"",B559&amp;""))</f>
        <v/>
      </c>
      <c r="E559" s="16"/>
      <c r="F559" s="16"/>
      <c r="G559" s="14" t="str">
        <f t="shared" ref="G559:G622" si="9">IF(A559="","",IF(COUNTIF(DICT_KEY,A559)&gt;1,"DUP",""))</f>
        <v/>
      </c>
    </row>
    <row r="560" spans="1:7" x14ac:dyDescent="0.3">
      <c r="A560" s="16"/>
      <c r="B560" s="16"/>
      <c r="C560" s="16"/>
      <c r="D560" s="14" t="str">
        <f>IF(A560="","",IF(LangIdx=2,C560&amp;"",B560&amp;""))</f>
        <v/>
      </c>
      <c r="E560" s="16"/>
      <c r="F560" s="16"/>
      <c r="G560" s="14" t="str">
        <f t="shared" si="9"/>
        <v/>
      </c>
    </row>
    <row r="561" spans="1:7" x14ac:dyDescent="0.3">
      <c r="A561" s="16"/>
      <c r="B561" s="16"/>
      <c r="C561" s="16"/>
      <c r="D561" s="14" t="str">
        <f>IF(A561="","",IF(LangIdx=2,C561&amp;"",B561&amp;""))</f>
        <v/>
      </c>
      <c r="E561" s="16"/>
      <c r="F561" s="16"/>
      <c r="G561" s="14" t="str">
        <f t="shared" si="9"/>
        <v/>
      </c>
    </row>
    <row r="562" spans="1:7" x14ac:dyDescent="0.3">
      <c r="A562" s="16"/>
      <c r="B562" s="16"/>
      <c r="C562" s="16"/>
      <c r="D562" s="14" t="str">
        <f>IF(A562="","",IF(LangIdx=2,C562&amp;"",B562&amp;""))</f>
        <v/>
      </c>
      <c r="E562" s="16"/>
      <c r="F562" s="16"/>
      <c r="G562" s="14" t="str">
        <f t="shared" si="9"/>
        <v/>
      </c>
    </row>
    <row r="563" spans="1:7" x14ac:dyDescent="0.3">
      <c r="A563" s="16"/>
      <c r="B563" s="16"/>
      <c r="C563" s="16"/>
      <c r="D563" s="14" t="str">
        <f>IF(A563="","",IF(LangIdx=2,C563&amp;"",B563&amp;""))</f>
        <v/>
      </c>
      <c r="E563" s="16"/>
      <c r="F563" s="16"/>
      <c r="G563" s="14" t="str">
        <f t="shared" si="9"/>
        <v/>
      </c>
    </row>
    <row r="564" spans="1:7" x14ac:dyDescent="0.3">
      <c r="A564" s="16"/>
      <c r="B564" s="16"/>
      <c r="C564" s="16"/>
      <c r="D564" s="14" t="str">
        <f>IF(A564="","",IF(LangIdx=2,C564&amp;"",B564&amp;""))</f>
        <v/>
      </c>
      <c r="E564" s="16"/>
      <c r="F564" s="16"/>
      <c r="G564" s="14" t="str">
        <f t="shared" si="9"/>
        <v/>
      </c>
    </row>
    <row r="565" spans="1:7" x14ac:dyDescent="0.3">
      <c r="A565" s="16"/>
      <c r="B565" s="16"/>
      <c r="C565" s="16"/>
      <c r="D565" s="14" t="str">
        <f>IF(A565="","",IF(LangIdx=2,C565&amp;"",B565&amp;""))</f>
        <v/>
      </c>
      <c r="E565" s="16"/>
      <c r="F565" s="16"/>
      <c r="G565" s="14" t="str">
        <f t="shared" si="9"/>
        <v/>
      </c>
    </row>
    <row r="566" spans="1:7" x14ac:dyDescent="0.3">
      <c r="A566" s="16"/>
      <c r="B566" s="16"/>
      <c r="C566" s="16"/>
      <c r="D566" s="14" t="str">
        <f>IF(A566="","",IF(LangIdx=2,C566&amp;"",B566&amp;""))</f>
        <v/>
      </c>
      <c r="E566" s="16"/>
      <c r="F566" s="16"/>
      <c r="G566" s="14" t="str">
        <f t="shared" si="9"/>
        <v/>
      </c>
    </row>
    <row r="567" spans="1:7" x14ac:dyDescent="0.3">
      <c r="A567" s="16"/>
      <c r="B567" s="16"/>
      <c r="C567" s="16"/>
      <c r="D567" s="14" t="str">
        <f>IF(A567="","",IF(LangIdx=2,C567&amp;"",B567&amp;""))</f>
        <v/>
      </c>
      <c r="E567" s="16"/>
      <c r="F567" s="16"/>
      <c r="G567" s="14" t="str">
        <f t="shared" si="9"/>
        <v/>
      </c>
    </row>
    <row r="568" spans="1:7" x14ac:dyDescent="0.3">
      <c r="A568" s="16"/>
      <c r="B568" s="16"/>
      <c r="C568" s="16"/>
      <c r="D568" s="14" t="str">
        <f>IF(A568="","",IF(LangIdx=2,C568&amp;"",B568&amp;""))</f>
        <v/>
      </c>
      <c r="E568" s="16"/>
      <c r="F568" s="16"/>
      <c r="G568" s="14" t="str">
        <f t="shared" si="9"/>
        <v/>
      </c>
    </row>
    <row r="569" spans="1:7" x14ac:dyDescent="0.3">
      <c r="A569" s="16"/>
      <c r="B569" s="16"/>
      <c r="C569" s="16"/>
      <c r="D569" s="14" t="str">
        <f>IF(A569="","",IF(LangIdx=2,C569&amp;"",B569&amp;""))</f>
        <v/>
      </c>
      <c r="E569" s="16"/>
      <c r="F569" s="16"/>
      <c r="G569" s="14" t="str">
        <f t="shared" si="9"/>
        <v/>
      </c>
    </row>
    <row r="570" spans="1:7" x14ac:dyDescent="0.3">
      <c r="A570" s="16"/>
      <c r="B570" s="16"/>
      <c r="C570" s="16"/>
      <c r="D570" s="14" t="str">
        <f>IF(A570="","",IF(LangIdx=2,C570&amp;"",B570&amp;""))</f>
        <v/>
      </c>
      <c r="E570" s="16"/>
      <c r="F570" s="16"/>
      <c r="G570" s="14" t="str">
        <f t="shared" si="9"/>
        <v/>
      </c>
    </row>
    <row r="571" spans="1:7" x14ac:dyDescent="0.3">
      <c r="A571" s="16"/>
      <c r="B571" s="16"/>
      <c r="C571" s="16"/>
      <c r="D571" s="14" t="str">
        <f>IF(A571="","",IF(LangIdx=2,C571&amp;"",B571&amp;""))</f>
        <v/>
      </c>
      <c r="E571" s="16"/>
      <c r="F571" s="16"/>
      <c r="G571" s="14" t="str">
        <f t="shared" si="9"/>
        <v/>
      </c>
    </row>
    <row r="572" spans="1:7" x14ac:dyDescent="0.3">
      <c r="A572" s="16"/>
      <c r="B572" s="16"/>
      <c r="C572" s="16"/>
      <c r="D572" s="14" t="str">
        <f>IF(A572="","",IF(LangIdx=2,C572&amp;"",B572&amp;""))</f>
        <v/>
      </c>
      <c r="E572" s="16"/>
      <c r="F572" s="16"/>
      <c r="G572" s="14" t="str">
        <f t="shared" si="9"/>
        <v/>
      </c>
    </row>
    <row r="573" spans="1:7" x14ac:dyDescent="0.3">
      <c r="A573" s="16"/>
      <c r="B573" s="16"/>
      <c r="C573" s="16"/>
      <c r="D573" s="14" t="str">
        <f>IF(A573="","",IF(LangIdx=2,C573&amp;"",B573&amp;""))</f>
        <v/>
      </c>
      <c r="E573" s="16"/>
      <c r="F573" s="16"/>
      <c r="G573" s="14" t="str">
        <f t="shared" si="9"/>
        <v/>
      </c>
    </row>
    <row r="574" spans="1:7" x14ac:dyDescent="0.3">
      <c r="A574" s="16"/>
      <c r="B574" s="16"/>
      <c r="C574" s="16"/>
      <c r="D574" s="14" t="str">
        <f>IF(A574="","",IF(LangIdx=2,C574&amp;"",B574&amp;""))</f>
        <v/>
      </c>
      <c r="E574" s="16"/>
      <c r="F574" s="16"/>
      <c r="G574" s="14" t="str">
        <f t="shared" si="9"/>
        <v/>
      </c>
    </row>
    <row r="575" spans="1:7" x14ac:dyDescent="0.3">
      <c r="A575" s="16"/>
      <c r="B575" s="16"/>
      <c r="C575" s="16"/>
      <c r="D575" s="14" t="str">
        <f>IF(A575="","",IF(LangIdx=2,C575&amp;"",B575&amp;""))</f>
        <v/>
      </c>
      <c r="E575" s="16"/>
      <c r="F575" s="16"/>
      <c r="G575" s="14" t="str">
        <f t="shared" si="9"/>
        <v/>
      </c>
    </row>
    <row r="576" spans="1:7" x14ac:dyDescent="0.3">
      <c r="A576" s="16"/>
      <c r="B576" s="16"/>
      <c r="C576" s="16"/>
      <c r="D576" s="14" t="str">
        <f>IF(A576="","",IF(LangIdx=2,C576&amp;"",B576&amp;""))</f>
        <v/>
      </c>
      <c r="E576" s="16"/>
      <c r="F576" s="16"/>
      <c r="G576" s="14" t="str">
        <f t="shared" si="9"/>
        <v/>
      </c>
    </row>
    <row r="577" spans="1:7" x14ac:dyDescent="0.3">
      <c r="A577" s="16"/>
      <c r="B577" s="16"/>
      <c r="C577" s="16"/>
      <c r="D577" s="14" t="str">
        <f>IF(A577="","",IF(LangIdx=2,C577&amp;"",B577&amp;""))</f>
        <v/>
      </c>
      <c r="E577" s="16"/>
      <c r="F577" s="16"/>
      <c r="G577" s="14" t="str">
        <f t="shared" si="9"/>
        <v/>
      </c>
    </row>
    <row r="578" spans="1:7" x14ac:dyDescent="0.3">
      <c r="A578" s="16"/>
      <c r="B578" s="16"/>
      <c r="C578" s="16"/>
      <c r="D578" s="14" t="str">
        <f>IF(A578="","",IF(LangIdx=2,C578&amp;"",B578&amp;""))</f>
        <v/>
      </c>
      <c r="E578" s="16"/>
      <c r="F578" s="16"/>
      <c r="G578" s="14" t="str">
        <f t="shared" si="9"/>
        <v/>
      </c>
    </row>
    <row r="579" spans="1:7" x14ac:dyDescent="0.3">
      <c r="A579" s="16"/>
      <c r="B579" s="16"/>
      <c r="C579" s="16"/>
      <c r="D579" s="14" t="str">
        <f>IF(A579="","",IF(LangIdx=2,C579&amp;"",B579&amp;""))</f>
        <v/>
      </c>
      <c r="E579" s="16"/>
      <c r="F579" s="16"/>
      <c r="G579" s="14" t="str">
        <f t="shared" si="9"/>
        <v/>
      </c>
    </row>
    <row r="580" spans="1:7" x14ac:dyDescent="0.3">
      <c r="A580" s="16"/>
      <c r="B580" s="16"/>
      <c r="C580" s="16"/>
      <c r="D580" s="14" t="str">
        <f>IF(A580="","",IF(LangIdx=2,C580&amp;"",B580&amp;""))</f>
        <v/>
      </c>
      <c r="E580" s="16"/>
      <c r="F580" s="16"/>
      <c r="G580" s="14" t="str">
        <f t="shared" si="9"/>
        <v/>
      </c>
    </row>
    <row r="581" spans="1:7" x14ac:dyDescent="0.3">
      <c r="A581" s="16"/>
      <c r="B581" s="16"/>
      <c r="C581" s="16"/>
      <c r="D581" s="14" t="str">
        <f>IF(A581="","",IF(LangIdx=2,C581&amp;"",B581&amp;""))</f>
        <v/>
      </c>
      <c r="E581" s="16"/>
      <c r="F581" s="16"/>
      <c r="G581" s="14" t="str">
        <f t="shared" si="9"/>
        <v/>
      </c>
    </row>
    <row r="582" spans="1:7" x14ac:dyDescent="0.3">
      <c r="A582" s="16"/>
      <c r="B582" s="16"/>
      <c r="C582" s="16"/>
      <c r="D582" s="14" t="str">
        <f>IF(A582="","",IF(LangIdx=2,C582&amp;"",B582&amp;""))</f>
        <v/>
      </c>
      <c r="E582" s="16"/>
      <c r="F582" s="16"/>
      <c r="G582" s="14" t="str">
        <f t="shared" si="9"/>
        <v/>
      </c>
    </row>
    <row r="583" spans="1:7" x14ac:dyDescent="0.3">
      <c r="A583" s="16"/>
      <c r="B583" s="16"/>
      <c r="C583" s="16"/>
      <c r="D583" s="14" t="str">
        <f>IF(A583="","",IF(LangIdx=2,C583&amp;"",B583&amp;""))</f>
        <v/>
      </c>
      <c r="E583" s="16"/>
      <c r="F583" s="16"/>
      <c r="G583" s="14" t="str">
        <f t="shared" si="9"/>
        <v/>
      </c>
    </row>
    <row r="584" spans="1:7" x14ac:dyDescent="0.3">
      <c r="A584" s="16"/>
      <c r="B584" s="16"/>
      <c r="C584" s="16"/>
      <c r="D584" s="14" t="str">
        <f>IF(A584="","",IF(LangIdx=2,C584&amp;"",B584&amp;""))</f>
        <v/>
      </c>
      <c r="E584" s="16"/>
      <c r="F584" s="16"/>
      <c r="G584" s="14" t="str">
        <f t="shared" si="9"/>
        <v/>
      </c>
    </row>
    <row r="585" spans="1:7" x14ac:dyDescent="0.3">
      <c r="A585" s="16"/>
      <c r="B585" s="16"/>
      <c r="C585" s="16"/>
      <c r="D585" s="14" t="str">
        <f>IF(A585="","",IF(LangIdx=2,C585&amp;"",B585&amp;""))</f>
        <v/>
      </c>
      <c r="E585" s="16"/>
      <c r="F585" s="16"/>
      <c r="G585" s="14" t="str">
        <f t="shared" si="9"/>
        <v/>
      </c>
    </row>
    <row r="586" spans="1:7" x14ac:dyDescent="0.3">
      <c r="A586" s="16"/>
      <c r="B586" s="16"/>
      <c r="C586" s="16"/>
      <c r="D586" s="14" t="str">
        <f>IF(A586="","",IF(LangIdx=2,C586&amp;"",B586&amp;""))</f>
        <v/>
      </c>
      <c r="E586" s="16"/>
      <c r="F586" s="16"/>
      <c r="G586" s="14" t="str">
        <f t="shared" si="9"/>
        <v/>
      </c>
    </row>
    <row r="587" spans="1:7" x14ac:dyDescent="0.3">
      <c r="A587" s="16"/>
      <c r="B587" s="16"/>
      <c r="C587" s="16"/>
      <c r="D587" s="14" t="str">
        <f>IF(A587="","",IF(LangIdx=2,C587&amp;"",B587&amp;""))</f>
        <v/>
      </c>
      <c r="E587" s="16"/>
      <c r="F587" s="16"/>
      <c r="G587" s="14" t="str">
        <f t="shared" si="9"/>
        <v/>
      </c>
    </row>
    <row r="588" spans="1:7" x14ac:dyDescent="0.3">
      <c r="A588" s="16"/>
      <c r="B588" s="16"/>
      <c r="C588" s="16"/>
      <c r="D588" s="14" t="str">
        <f>IF(A588="","",IF(LangIdx=2,C588&amp;"",B588&amp;""))</f>
        <v/>
      </c>
      <c r="E588" s="16"/>
      <c r="F588" s="16"/>
      <c r="G588" s="14" t="str">
        <f t="shared" si="9"/>
        <v/>
      </c>
    </row>
    <row r="589" spans="1:7" x14ac:dyDescent="0.3">
      <c r="A589" s="16"/>
      <c r="B589" s="16"/>
      <c r="C589" s="16"/>
      <c r="D589" s="14" t="str">
        <f>IF(A589="","",IF(LangIdx=2,C589&amp;"",B589&amp;""))</f>
        <v/>
      </c>
      <c r="E589" s="16"/>
      <c r="F589" s="16"/>
      <c r="G589" s="14" t="str">
        <f t="shared" si="9"/>
        <v/>
      </c>
    </row>
    <row r="590" spans="1:7" x14ac:dyDescent="0.3">
      <c r="A590" s="16"/>
      <c r="B590" s="16"/>
      <c r="C590" s="16"/>
      <c r="D590" s="14" t="str">
        <f>IF(A590="","",IF(LangIdx=2,C590&amp;"",B590&amp;""))</f>
        <v/>
      </c>
      <c r="E590" s="16"/>
      <c r="F590" s="16"/>
      <c r="G590" s="14" t="str">
        <f t="shared" si="9"/>
        <v/>
      </c>
    </row>
    <row r="591" spans="1:7" x14ac:dyDescent="0.3">
      <c r="A591" s="16"/>
      <c r="B591" s="16"/>
      <c r="C591" s="16"/>
      <c r="D591" s="14" t="str">
        <f>IF(A591="","",IF(LangIdx=2,C591&amp;"",B591&amp;""))</f>
        <v/>
      </c>
      <c r="E591" s="16"/>
      <c r="F591" s="16"/>
      <c r="G591" s="14" t="str">
        <f t="shared" si="9"/>
        <v/>
      </c>
    </row>
    <row r="592" spans="1:7" x14ac:dyDescent="0.3">
      <c r="A592" s="16"/>
      <c r="B592" s="16"/>
      <c r="C592" s="16"/>
      <c r="D592" s="14" t="str">
        <f>IF(A592="","",IF(LangIdx=2,C592&amp;"",B592&amp;""))</f>
        <v/>
      </c>
      <c r="E592" s="16"/>
      <c r="F592" s="16"/>
      <c r="G592" s="14" t="str">
        <f t="shared" si="9"/>
        <v/>
      </c>
    </row>
    <row r="593" spans="1:7" x14ac:dyDescent="0.3">
      <c r="A593" s="16"/>
      <c r="B593" s="16"/>
      <c r="C593" s="16"/>
      <c r="D593" s="14" t="str">
        <f>IF(A593="","",IF(LangIdx=2,C593&amp;"",B593&amp;""))</f>
        <v/>
      </c>
      <c r="E593" s="16"/>
      <c r="F593" s="16"/>
      <c r="G593" s="14" t="str">
        <f t="shared" si="9"/>
        <v/>
      </c>
    </row>
    <row r="594" spans="1:7" x14ac:dyDescent="0.3">
      <c r="A594" s="16"/>
      <c r="B594" s="16"/>
      <c r="C594" s="16"/>
      <c r="D594" s="14" t="str">
        <f>IF(A594="","",IF(LangIdx=2,C594&amp;"",B594&amp;""))</f>
        <v/>
      </c>
      <c r="E594" s="16"/>
      <c r="F594" s="16"/>
      <c r="G594" s="14" t="str">
        <f t="shared" si="9"/>
        <v/>
      </c>
    </row>
    <row r="595" spans="1:7" x14ac:dyDescent="0.3">
      <c r="A595" s="16"/>
      <c r="B595" s="16"/>
      <c r="C595" s="16"/>
      <c r="D595" s="14" t="str">
        <f>IF(A595="","",IF(LangIdx=2,C595&amp;"",B595&amp;""))</f>
        <v/>
      </c>
      <c r="E595" s="16"/>
      <c r="F595" s="16"/>
      <c r="G595" s="14" t="str">
        <f t="shared" si="9"/>
        <v/>
      </c>
    </row>
    <row r="596" spans="1:7" x14ac:dyDescent="0.3">
      <c r="A596" s="16"/>
      <c r="B596" s="16"/>
      <c r="C596" s="16"/>
      <c r="D596" s="14" t="str">
        <f>IF(A596="","",IF(LangIdx=2,C596&amp;"",B596&amp;""))</f>
        <v/>
      </c>
      <c r="E596" s="16"/>
      <c r="F596" s="16"/>
      <c r="G596" s="14" t="str">
        <f t="shared" si="9"/>
        <v/>
      </c>
    </row>
    <row r="597" spans="1:7" x14ac:dyDescent="0.3">
      <c r="A597" s="16"/>
      <c r="B597" s="16"/>
      <c r="C597" s="16"/>
      <c r="D597" s="14" t="str">
        <f>IF(A597="","",IF(LangIdx=2,C597&amp;"",B597&amp;""))</f>
        <v/>
      </c>
      <c r="E597" s="16"/>
      <c r="F597" s="16"/>
      <c r="G597" s="14" t="str">
        <f t="shared" si="9"/>
        <v/>
      </c>
    </row>
    <row r="598" spans="1:7" x14ac:dyDescent="0.3">
      <c r="A598" s="16"/>
      <c r="B598" s="16"/>
      <c r="C598" s="16"/>
      <c r="D598" s="14" t="str">
        <f>IF(A598="","",IF(LangIdx=2,C598&amp;"",B598&amp;""))</f>
        <v/>
      </c>
      <c r="E598" s="16"/>
      <c r="F598" s="16"/>
      <c r="G598" s="14" t="str">
        <f t="shared" si="9"/>
        <v/>
      </c>
    </row>
    <row r="599" spans="1:7" x14ac:dyDescent="0.3">
      <c r="A599" s="16"/>
      <c r="B599" s="16"/>
      <c r="C599" s="16"/>
      <c r="D599" s="14" t="str">
        <f>IF(A599="","",IF(LangIdx=2,C599&amp;"",B599&amp;""))</f>
        <v/>
      </c>
      <c r="E599" s="16"/>
      <c r="F599" s="16"/>
      <c r="G599" s="14" t="str">
        <f t="shared" si="9"/>
        <v/>
      </c>
    </row>
    <row r="600" spans="1:7" x14ac:dyDescent="0.3">
      <c r="A600" s="16"/>
      <c r="B600" s="16"/>
      <c r="C600" s="16"/>
      <c r="D600" s="14" t="str">
        <f>IF(A600="","",IF(LangIdx=2,C600&amp;"",B600&amp;""))</f>
        <v/>
      </c>
      <c r="E600" s="16"/>
      <c r="F600" s="16"/>
      <c r="G600" s="14" t="str">
        <f t="shared" si="9"/>
        <v/>
      </c>
    </row>
    <row r="601" spans="1:7" x14ac:dyDescent="0.3">
      <c r="A601" s="16"/>
      <c r="B601" s="16"/>
      <c r="C601" s="16"/>
      <c r="D601" s="14" t="str">
        <f>IF(A601="","",IF(LangIdx=2,C601&amp;"",B601&amp;""))</f>
        <v/>
      </c>
      <c r="E601" s="16"/>
      <c r="F601" s="16"/>
      <c r="G601" s="14" t="str">
        <f t="shared" si="9"/>
        <v/>
      </c>
    </row>
    <row r="602" spans="1:7" x14ac:dyDescent="0.3">
      <c r="A602" s="16"/>
      <c r="B602" s="16"/>
      <c r="C602" s="16"/>
      <c r="D602" s="14" t="str">
        <f>IF(A602="","",IF(LangIdx=2,C602&amp;"",B602&amp;""))</f>
        <v/>
      </c>
      <c r="E602" s="16"/>
      <c r="F602" s="16"/>
      <c r="G602" s="14" t="str">
        <f t="shared" si="9"/>
        <v/>
      </c>
    </row>
    <row r="603" spans="1:7" x14ac:dyDescent="0.3">
      <c r="A603" s="16"/>
      <c r="B603" s="16"/>
      <c r="C603" s="16"/>
      <c r="D603" s="14" t="str">
        <f>IF(A603="","",IF(LangIdx=2,C603&amp;"",B603&amp;""))</f>
        <v/>
      </c>
      <c r="E603" s="16"/>
      <c r="F603" s="16"/>
      <c r="G603" s="14" t="str">
        <f t="shared" si="9"/>
        <v/>
      </c>
    </row>
    <row r="604" spans="1:7" x14ac:dyDescent="0.3">
      <c r="A604" s="16"/>
      <c r="B604" s="16"/>
      <c r="C604" s="16"/>
      <c r="D604" s="14" t="str">
        <f>IF(A604="","",IF(LangIdx=2,C604&amp;"",B604&amp;""))</f>
        <v/>
      </c>
      <c r="E604" s="16"/>
      <c r="F604" s="16"/>
      <c r="G604" s="14" t="str">
        <f t="shared" si="9"/>
        <v/>
      </c>
    </row>
    <row r="605" spans="1:7" x14ac:dyDescent="0.3">
      <c r="A605" s="16"/>
      <c r="B605" s="16"/>
      <c r="C605" s="16"/>
      <c r="D605" s="14" t="str">
        <f>IF(A605="","",IF(LangIdx=2,C605&amp;"",B605&amp;""))</f>
        <v/>
      </c>
      <c r="E605" s="16"/>
      <c r="F605" s="16"/>
      <c r="G605" s="14" t="str">
        <f t="shared" si="9"/>
        <v/>
      </c>
    </row>
    <row r="606" spans="1:7" x14ac:dyDescent="0.3">
      <c r="A606" s="16"/>
      <c r="B606" s="16"/>
      <c r="C606" s="16"/>
      <c r="D606" s="14" t="str">
        <f>IF(A606="","",IF(LangIdx=2,C606&amp;"",B606&amp;""))</f>
        <v/>
      </c>
      <c r="E606" s="16"/>
      <c r="F606" s="16"/>
      <c r="G606" s="14" t="str">
        <f t="shared" si="9"/>
        <v/>
      </c>
    </row>
    <row r="607" spans="1:7" x14ac:dyDescent="0.3">
      <c r="A607" s="16"/>
      <c r="B607" s="16"/>
      <c r="C607" s="16"/>
      <c r="D607" s="14" t="str">
        <f>IF(A607="","",IF(LangIdx=2,C607&amp;"",B607&amp;""))</f>
        <v/>
      </c>
      <c r="E607" s="16"/>
      <c r="F607" s="16"/>
      <c r="G607" s="14" t="str">
        <f t="shared" si="9"/>
        <v/>
      </c>
    </row>
    <row r="608" spans="1:7" x14ac:dyDescent="0.3">
      <c r="A608" s="16"/>
      <c r="B608" s="16"/>
      <c r="C608" s="16"/>
      <c r="D608" s="14" t="str">
        <f>IF(A608="","",IF(LangIdx=2,C608&amp;"",B608&amp;""))</f>
        <v/>
      </c>
      <c r="E608" s="16"/>
      <c r="F608" s="16"/>
      <c r="G608" s="14" t="str">
        <f t="shared" si="9"/>
        <v/>
      </c>
    </row>
    <row r="609" spans="1:7" x14ac:dyDescent="0.3">
      <c r="A609" s="16"/>
      <c r="B609" s="16"/>
      <c r="C609" s="16"/>
      <c r="D609" s="14" t="str">
        <f>IF(A609="","",IF(LangIdx=2,C609&amp;"",B609&amp;""))</f>
        <v/>
      </c>
      <c r="E609" s="16"/>
      <c r="F609" s="16"/>
      <c r="G609" s="14" t="str">
        <f t="shared" si="9"/>
        <v/>
      </c>
    </row>
    <row r="610" spans="1:7" x14ac:dyDescent="0.3">
      <c r="A610" s="16"/>
      <c r="B610" s="16"/>
      <c r="C610" s="16"/>
      <c r="D610" s="14" t="str">
        <f>IF(A610="","",IF(LangIdx=2,C610&amp;"",B610&amp;""))</f>
        <v/>
      </c>
      <c r="E610" s="16"/>
      <c r="F610" s="16"/>
      <c r="G610" s="14" t="str">
        <f t="shared" si="9"/>
        <v/>
      </c>
    </row>
    <row r="611" spans="1:7" x14ac:dyDescent="0.3">
      <c r="A611" s="16"/>
      <c r="B611" s="16"/>
      <c r="C611" s="16"/>
      <c r="D611" s="14" t="str">
        <f>IF(A611="","",IF(LangIdx=2,C611&amp;"",B611&amp;""))</f>
        <v/>
      </c>
      <c r="E611" s="16"/>
      <c r="F611" s="16"/>
      <c r="G611" s="14" t="str">
        <f t="shared" si="9"/>
        <v/>
      </c>
    </row>
    <row r="612" spans="1:7" x14ac:dyDescent="0.3">
      <c r="A612" s="16"/>
      <c r="B612" s="16"/>
      <c r="C612" s="16"/>
      <c r="D612" s="14" t="str">
        <f>IF(A612="","",IF(LangIdx=2,C612&amp;"",B612&amp;""))</f>
        <v/>
      </c>
      <c r="E612" s="16"/>
      <c r="F612" s="16"/>
      <c r="G612" s="14" t="str">
        <f t="shared" si="9"/>
        <v/>
      </c>
    </row>
    <row r="613" spans="1:7" x14ac:dyDescent="0.3">
      <c r="A613" s="16"/>
      <c r="B613" s="16"/>
      <c r="C613" s="16"/>
      <c r="D613" s="14" t="str">
        <f>IF(A613="","",IF(LangIdx=2,C613&amp;"",B613&amp;""))</f>
        <v/>
      </c>
      <c r="E613" s="16"/>
      <c r="F613" s="16"/>
      <c r="G613" s="14" t="str">
        <f t="shared" si="9"/>
        <v/>
      </c>
    </row>
    <row r="614" spans="1:7" x14ac:dyDescent="0.3">
      <c r="A614" s="16"/>
      <c r="B614" s="16"/>
      <c r="C614" s="16"/>
      <c r="D614" s="14" t="str">
        <f>IF(A614="","",IF(LangIdx=2,C614&amp;"",B614&amp;""))</f>
        <v/>
      </c>
      <c r="E614" s="16"/>
      <c r="F614" s="16"/>
      <c r="G614" s="14" t="str">
        <f t="shared" si="9"/>
        <v/>
      </c>
    </row>
    <row r="615" spans="1:7" x14ac:dyDescent="0.3">
      <c r="A615" s="16"/>
      <c r="B615" s="16"/>
      <c r="C615" s="16"/>
      <c r="D615" s="14" t="str">
        <f>IF(A615="","",IF(LangIdx=2,C615&amp;"",B615&amp;""))</f>
        <v/>
      </c>
      <c r="E615" s="16"/>
      <c r="F615" s="16"/>
      <c r="G615" s="14" t="str">
        <f t="shared" si="9"/>
        <v/>
      </c>
    </row>
    <row r="616" spans="1:7" x14ac:dyDescent="0.3">
      <c r="A616" s="16"/>
      <c r="B616" s="16"/>
      <c r="C616" s="16"/>
      <c r="D616" s="14" t="str">
        <f>IF(A616="","",IF(LangIdx=2,C616&amp;"",B616&amp;""))</f>
        <v/>
      </c>
      <c r="E616" s="16"/>
      <c r="F616" s="16"/>
      <c r="G616" s="14" t="str">
        <f t="shared" si="9"/>
        <v/>
      </c>
    </row>
    <row r="617" spans="1:7" x14ac:dyDescent="0.3">
      <c r="A617" s="16"/>
      <c r="B617" s="16"/>
      <c r="C617" s="16"/>
      <c r="D617" s="14" t="str">
        <f>IF(A617="","",IF(LangIdx=2,C617&amp;"",B617&amp;""))</f>
        <v/>
      </c>
      <c r="E617" s="16"/>
      <c r="F617" s="16"/>
      <c r="G617" s="14" t="str">
        <f t="shared" si="9"/>
        <v/>
      </c>
    </row>
    <row r="618" spans="1:7" x14ac:dyDescent="0.3">
      <c r="A618" s="16"/>
      <c r="B618" s="16"/>
      <c r="C618" s="16"/>
      <c r="D618" s="14" t="str">
        <f>IF(A618="","",IF(LangIdx=2,C618&amp;"",B618&amp;""))</f>
        <v/>
      </c>
      <c r="E618" s="16"/>
      <c r="F618" s="16"/>
      <c r="G618" s="14" t="str">
        <f t="shared" si="9"/>
        <v/>
      </c>
    </row>
    <row r="619" spans="1:7" x14ac:dyDescent="0.3">
      <c r="A619" s="16"/>
      <c r="B619" s="16"/>
      <c r="C619" s="16"/>
      <c r="D619" s="14" t="str">
        <f>IF(A619="","",IF(LangIdx=2,C619&amp;"",B619&amp;""))</f>
        <v/>
      </c>
      <c r="E619" s="16"/>
      <c r="F619" s="16"/>
      <c r="G619" s="14" t="str">
        <f t="shared" si="9"/>
        <v/>
      </c>
    </row>
    <row r="620" spans="1:7" x14ac:dyDescent="0.3">
      <c r="A620" s="16"/>
      <c r="B620" s="16"/>
      <c r="C620" s="16"/>
      <c r="D620" s="14" t="str">
        <f>IF(A620="","",IF(LangIdx=2,C620&amp;"",B620&amp;""))</f>
        <v/>
      </c>
      <c r="E620" s="16"/>
      <c r="F620" s="16"/>
      <c r="G620" s="14" t="str">
        <f t="shared" si="9"/>
        <v/>
      </c>
    </row>
    <row r="621" spans="1:7" x14ac:dyDescent="0.3">
      <c r="A621" s="16"/>
      <c r="B621" s="16"/>
      <c r="C621" s="16"/>
      <c r="D621" s="14" t="str">
        <f>IF(A621="","",IF(LangIdx=2,C621&amp;"",B621&amp;""))</f>
        <v/>
      </c>
      <c r="E621" s="16"/>
      <c r="F621" s="16"/>
      <c r="G621" s="14" t="str">
        <f t="shared" si="9"/>
        <v/>
      </c>
    </row>
    <row r="622" spans="1:7" x14ac:dyDescent="0.3">
      <c r="A622" s="16"/>
      <c r="B622" s="16"/>
      <c r="C622" s="16"/>
      <c r="D622" s="14" t="str">
        <f>IF(A622="","",IF(LangIdx=2,C622&amp;"",B622&amp;""))</f>
        <v/>
      </c>
      <c r="E622" s="16"/>
      <c r="F622" s="16"/>
      <c r="G622" s="14" t="str">
        <f t="shared" si="9"/>
        <v/>
      </c>
    </row>
    <row r="623" spans="1:7" x14ac:dyDescent="0.3">
      <c r="A623" s="16"/>
      <c r="B623" s="16"/>
      <c r="C623" s="16"/>
      <c r="D623" s="14" t="str">
        <f>IF(A623="","",IF(LangIdx=2,C623&amp;"",B623&amp;""))</f>
        <v/>
      </c>
      <c r="E623" s="16"/>
      <c r="F623" s="16"/>
      <c r="G623" s="14" t="str">
        <f t="shared" ref="G623:G686" si="10">IF(A623="","",IF(COUNTIF(DICT_KEY,A623)&gt;1,"DUP",""))</f>
        <v/>
      </c>
    </row>
    <row r="624" spans="1:7" x14ac:dyDescent="0.3">
      <c r="A624" s="16"/>
      <c r="B624" s="16"/>
      <c r="C624" s="16"/>
      <c r="D624" s="14" t="str">
        <f>IF(A624="","",IF(LangIdx=2,C624&amp;"",B624&amp;""))</f>
        <v/>
      </c>
      <c r="E624" s="16"/>
      <c r="F624" s="16"/>
      <c r="G624" s="14" t="str">
        <f t="shared" si="10"/>
        <v/>
      </c>
    </row>
    <row r="625" spans="1:7" x14ac:dyDescent="0.3">
      <c r="A625" s="16"/>
      <c r="B625" s="16"/>
      <c r="C625" s="16"/>
      <c r="D625" s="14" t="str">
        <f>IF(A625="","",IF(LangIdx=2,C625&amp;"",B625&amp;""))</f>
        <v/>
      </c>
      <c r="E625" s="16"/>
      <c r="F625" s="16"/>
      <c r="G625" s="14" t="str">
        <f t="shared" si="10"/>
        <v/>
      </c>
    </row>
    <row r="626" spans="1:7" x14ac:dyDescent="0.3">
      <c r="A626" s="16"/>
      <c r="B626" s="16"/>
      <c r="C626" s="16"/>
      <c r="D626" s="14" t="str">
        <f>IF(A626="","",IF(LangIdx=2,C626&amp;"",B626&amp;""))</f>
        <v/>
      </c>
      <c r="E626" s="16"/>
      <c r="F626" s="16"/>
      <c r="G626" s="14" t="str">
        <f t="shared" si="10"/>
        <v/>
      </c>
    </row>
    <row r="627" spans="1:7" x14ac:dyDescent="0.3">
      <c r="A627" s="16"/>
      <c r="B627" s="16"/>
      <c r="C627" s="16"/>
      <c r="D627" s="14" t="str">
        <f>IF(A627="","",IF(LangIdx=2,C627&amp;"",B627&amp;""))</f>
        <v/>
      </c>
      <c r="E627" s="16"/>
      <c r="F627" s="16"/>
      <c r="G627" s="14" t="str">
        <f t="shared" si="10"/>
        <v/>
      </c>
    </row>
    <row r="628" spans="1:7" x14ac:dyDescent="0.3">
      <c r="A628" s="16"/>
      <c r="B628" s="16"/>
      <c r="C628" s="16"/>
      <c r="D628" s="14" t="str">
        <f>IF(A628="","",IF(LangIdx=2,C628&amp;"",B628&amp;""))</f>
        <v/>
      </c>
      <c r="E628" s="16"/>
      <c r="F628" s="16"/>
      <c r="G628" s="14" t="str">
        <f t="shared" si="10"/>
        <v/>
      </c>
    </row>
    <row r="629" spans="1:7" x14ac:dyDescent="0.3">
      <c r="A629" s="16"/>
      <c r="B629" s="16"/>
      <c r="C629" s="16"/>
      <c r="D629" s="14" t="str">
        <f>IF(A629="","",IF(LangIdx=2,C629&amp;"",B629&amp;""))</f>
        <v/>
      </c>
      <c r="E629" s="16"/>
      <c r="F629" s="16"/>
      <c r="G629" s="14" t="str">
        <f t="shared" si="10"/>
        <v/>
      </c>
    </row>
    <row r="630" spans="1:7" x14ac:dyDescent="0.3">
      <c r="A630" s="16"/>
      <c r="B630" s="16"/>
      <c r="C630" s="16"/>
      <c r="D630" s="14" t="str">
        <f>IF(A630="","",IF(LangIdx=2,C630&amp;"",B630&amp;""))</f>
        <v/>
      </c>
      <c r="E630" s="16"/>
      <c r="F630" s="16"/>
      <c r="G630" s="14" t="str">
        <f t="shared" si="10"/>
        <v/>
      </c>
    </row>
    <row r="631" spans="1:7" x14ac:dyDescent="0.3">
      <c r="A631" s="16"/>
      <c r="B631" s="16"/>
      <c r="C631" s="16"/>
      <c r="D631" s="14" t="str">
        <f>IF(A631="","",IF(LangIdx=2,C631&amp;"",B631&amp;""))</f>
        <v/>
      </c>
      <c r="E631" s="16"/>
      <c r="F631" s="16"/>
      <c r="G631" s="14" t="str">
        <f t="shared" si="10"/>
        <v/>
      </c>
    </row>
    <row r="632" spans="1:7" x14ac:dyDescent="0.3">
      <c r="A632" s="16"/>
      <c r="B632" s="16"/>
      <c r="C632" s="16"/>
      <c r="D632" s="14" t="str">
        <f>IF(A632="","",IF(LangIdx=2,C632&amp;"",B632&amp;""))</f>
        <v/>
      </c>
      <c r="E632" s="16"/>
      <c r="F632" s="16"/>
      <c r="G632" s="14" t="str">
        <f t="shared" si="10"/>
        <v/>
      </c>
    </row>
    <row r="633" spans="1:7" x14ac:dyDescent="0.3">
      <c r="A633" s="16"/>
      <c r="B633" s="16"/>
      <c r="C633" s="16"/>
      <c r="D633" s="14" t="str">
        <f>IF(A633="","",IF(LangIdx=2,C633&amp;"",B633&amp;""))</f>
        <v/>
      </c>
      <c r="E633" s="16"/>
      <c r="F633" s="16"/>
      <c r="G633" s="14" t="str">
        <f t="shared" si="10"/>
        <v/>
      </c>
    </row>
    <row r="634" spans="1:7" x14ac:dyDescent="0.3">
      <c r="A634" s="16"/>
      <c r="B634" s="16"/>
      <c r="C634" s="16"/>
      <c r="D634" s="14" t="str">
        <f>IF(A634="","",IF(LangIdx=2,C634&amp;"",B634&amp;""))</f>
        <v/>
      </c>
      <c r="E634" s="16"/>
      <c r="F634" s="16"/>
      <c r="G634" s="14" t="str">
        <f t="shared" si="10"/>
        <v/>
      </c>
    </row>
    <row r="635" spans="1:7" x14ac:dyDescent="0.3">
      <c r="A635" s="16"/>
      <c r="B635" s="16"/>
      <c r="C635" s="16"/>
      <c r="D635" s="14" t="str">
        <f>IF(A635="","",IF(LangIdx=2,C635&amp;"",B635&amp;""))</f>
        <v/>
      </c>
      <c r="E635" s="16"/>
      <c r="F635" s="16"/>
      <c r="G635" s="14" t="str">
        <f t="shared" si="10"/>
        <v/>
      </c>
    </row>
    <row r="636" spans="1:7" x14ac:dyDescent="0.3">
      <c r="A636" s="16"/>
      <c r="B636" s="16"/>
      <c r="C636" s="16"/>
      <c r="D636" s="14" t="str">
        <f>IF(A636="","",IF(LangIdx=2,C636&amp;"",B636&amp;""))</f>
        <v/>
      </c>
      <c r="E636" s="16"/>
      <c r="F636" s="16"/>
      <c r="G636" s="14" t="str">
        <f t="shared" si="10"/>
        <v/>
      </c>
    </row>
    <row r="637" spans="1:7" x14ac:dyDescent="0.3">
      <c r="A637" s="16"/>
      <c r="B637" s="16"/>
      <c r="C637" s="16"/>
      <c r="D637" s="14" t="str">
        <f>IF(A637="","",IF(LangIdx=2,C637&amp;"",B637&amp;""))</f>
        <v/>
      </c>
      <c r="E637" s="16"/>
      <c r="F637" s="16"/>
      <c r="G637" s="14" t="str">
        <f t="shared" si="10"/>
        <v/>
      </c>
    </row>
    <row r="638" spans="1:7" x14ac:dyDescent="0.3">
      <c r="A638" s="16"/>
      <c r="B638" s="16"/>
      <c r="C638" s="16"/>
      <c r="D638" s="14" t="str">
        <f>IF(A638="","",IF(LangIdx=2,C638&amp;"",B638&amp;""))</f>
        <v/>
      </c>
      <c r="E638" s="16"/>
      <c r="F638" s="16"/>
      <c r="G638" s="14" t="str">
        <f t="shared" si="10"/>
        <v/>
      </c>
    </row>
    <row r="639" spans="1:7" x14ac:dyDescent="0.3">
      <c r="A639" s="16"/>
      <c r="B639" s="16"/>
      <c r="C639" s="16"/>
      <c r="D639" s="14" t="str">
        <f>IF(A639="","",IF(LangIdx=2,C639&amp;"",B639&amp;""))</f>
        <v/>
      </c>
      <c r="E639" s="16"/>
      <c r="F639" s="16"/>
      <c r="G639" s="14" t="str">
        <f t="shared" si="10"/>
        <v/>
      </c>
    </row>
    <row r="640" spans="1:7" x14ac:dyDescent="0.3">
      <c r="A640" s="16"/>
      <c r="B640" s="16"/>
      <c r="C640" s="16"/>
      <c r="D640" s="14" t="str">
        <f>IF(A640="","",IF(LangIdx=2,C640&amp;"",B640&amp;""))</f>
        <v/>
      </c>
      <c r="E640" s="16"/>
      <c r="F640" s="16"/>
      <c r="G640" s="14" t="str">
        <f t="shared" si="10"/>
        <v/>
      </c>
    </row>
    <row r="641" spans="1:7" x14ac:dyDescent="0.3">
      <c r="A641" s="16"/>
      <c r="B641" s="16"/>
      <c r="C641" s="16"/>
      <c r="D641" s="14" t="str">
        <f>IF(A641="","",IF(LangIdx=2,C641&amp;"",B641&amp;""))</f>
        <v/>
      </c>
      <c r="E641" s="16"/>
      <c r="F641" s="16"/>
      <c r="G641" s="14" t="str">
        <f t="shared" si="10"/>
        <v/>
      </c>
    </row>
    <row r="642" spans="1:7" x14ac:dyDescent="0.3">
      <c r="A642" s="16"/>
      <c r="B642" s="16"/>
      <c r="C642" s="16"/>
      <c r="D642" s="14" t="str">
        <f>IF(A642="","",IF(LangIdx=2,C642&amp;"",B642&amp;""))</f>
        <v/>
      </c>
      <c r="E642" s="16"/>
      <c r="F642" s="16"/>
      <c r="G642" s="14" t="str">
        <f t="shared" si="10"/>
        <v/>
      </c>
    </row>
    <row r="643" spans="1:7" x14ac:dyDescent="0.3">
      <c r="A643" s="16"/>
      <c r="B643" s="16"/>
      <c r="C643" s="16"/>
      <c r="D643" s="14" t="str">
        <f>IF(A643="","",IF(LangIdx=2,C643&amp;"",B643&amp;""))</f>
        <v/>
      </c>
      <c r="E643" s="16"/>
      <c r="F643" s="16"/>
      <c r="G643" s="14" t="str">
        <f t="shared" si="10"/>
        <v/>
      </c>
    </row>
    <row r="644" spans="1:7" x14ac:dyDescent="0.3">
      <c r="A644" s="16"/>
      <c r="B644" s="16"/>
      <c r="C644" s="16"/>
      <c r="D644" s="14" t="str">
        <f>IF(A644="","",IF(LangIdx=2,C644&amp;"",B644&amp;""))</f>
        <v/>
      </c>
      <c r="E644" s="16"/>
      <c r="F644" s="16"/>
      <c r="G644" s="14" t="str">
        <f t="shared" si="10"/>
        <v/>
      </c>
    </row>
    <row r="645" spans="1:7" x14ac:dyDescent="0.3">
      <c r="A645" s="16"/>
      <c r="B645" s="16"/>
      <c r="C645" s="16"/>
      <c r="D645" s="14" t="str">
        <f>IF(A645="","",IF(LangIdx=2,C645&amp;"",B645&amp;""))</f>
        <v/>
      </c>
      <c r="E645" s="16"/>
      <c r="F645" s="16"/>
      <c r="G645" s="14" t="str">
        <f t="shared" si="10"/>
        <v/>
      </c>
    </row>
    <row r="646" spans="1:7" x14ac:dyDescent="0.3">
      <c r="A646" s="16"/>
      <c r="B646" s="16"/>
      <c r="C646" s="16"/>
      <c r="D646" s="14" t="str">
        <f>IF(A646="","",IF(LangIdx=2,C646&amp;"",B646&amp;""))</f>
        <v/>
      </c>
      <c r="E646" s="16"/>
      <c r="F646" s="16"/>
      <c r="G646" s="14" t="str">
        <f t="shared" si="10"/>
        <v/>
      </c>
    </row>
    <row r="647" spans="1:7" x14ac:dyDescent="0.3">
      <c r="A647" s="16"/>
      <c r="B647" s="16"/>
      <c r="C647" s="16"/>
      <c r="D647" s="14" t="str">
        <f>IF(A647="","",IF(LangIdx=2,C647&amp;"",B647&amp;""))</f>
        <v/>
      </c>
      <c r="E647" s="16"/>
      <c r="F647" s="16"/>
      <c r="G647" s="14" t="str">
        <f t="shared" si="10"/>
        <v/>
      </c>
    </row>
    <row r="648" spans="1:7" x14ac:dyDescent="0.3">
      <c r="A648" s="16"/>
      <c r="B648" s="16"/>
      <c r="C648" s="16"/>
      <c r="D648" s="14" t="str">
        <f>IF(A648="","",IF(LangIdx=2,C648&amp;"",B648&amp;""))</f>
        <v/>
      </c>
      <c r="E648" s="16"/>
      <c r="F648" s="16"/>
      <c r="G648" s="14" t="str">
        <f t="shared" si="10"/>
        <v/>
      </c>
    </row>
    <row r="649" spans="1:7" x14ac:dyDescent="0.3">
      <c r="A649" s="16"/>
      <c r="B649" s="16"/>
      <c r="C649" s="16"/>
      <c r="D649" s="14" t="str">
        <f>IF(A649="","",IF(LangIdx=2,C649&amp;"",B649&amp;""))</f>
        <v/>
      </c>
      <c r="E649" s="16"/>
      <c r="F649" s="16"/>
      <c r="G649" s="14" t="str">
        <f t="shared" si="10"/>
        <v/>
      </c>
    </row>
    <row r="650" spans="1:7" x14ac:dyDescent="0.3">
      <c r="A650" s="16"/>
      <c r="B650" s="16"/>
      <c r="C650" s="16"/>
      <c r="D650" s="14" t="str">
        <f>IF(A650="","",IF(LangIdx=2,C650&amp;"",B650&amp;""))</f>
        <v/>
      </c>
      <c r="E650" s="16"/>
      <c r="F650" s="16"/>
      <c r="G650" s="14" t="str">
        <f t="shared" si="10"/>
        <v/>
      </c>
    </row>
    <row r="651" spans="1:7" x14ac:dyDescent="0.3">
      <c r="A651" s="16"/>
      <c r="B651" s="16"/>
      <c r="C651" s="16"/>
      <c r="D651" s="14" t="str">
        <f>IF(A651="","",IF(LangIdx=2,C651&amp;"",B651&amp;""))</f>
        <v/>
      </c>
      <c r="E651" s="16"/>
      <c r="F651" s="16"/>
      <c r="G651" s="14" t="str">
        <f t="shared" si="10"/>
        <v/>
      </c>
    </row>
    <row r="652" spans="1:7" x14ac:dyDescent="0.3">
      <c r="A652" s="16"/>
      <c r="B652" s="16"/>
      <c r="C652" s="16"/>
      <c r="D652" s="14" t="str">
        <f>IF(A652="","",IF(LangIdx=2,C652&amp;"",B652&amp;""))</f>
        <v/>
      </c>
      <c r="E652" s="16"/>
      <c r="F652" s="16"/>
      <c r="G652" s="14" t="str">
        <f t="shared" si="10"/>
        <v/>
      </c>
    </row>
    <row r="653" spans="1:7" x14ac:dyDescent="0.3">
      <c r="A653" s="16"/>
      <c r="B653" s="16"/>
      <c r="C653" s="16"/>
      <c r="D653" s="14" t="str">
        <f>IF(A653="","",IF(LangIdx=2,C653&amp;"",B653&amp;""))</f>
        <v/>
      </c>
      <c r="E653" s="16"/>
      <c r="F653" s="16"/>
      <c r="G653" s="14" t="str">
        <f t="shared" si="10"/>
        <v/>
      </c>
    </row>
    <row r="654" spans="1:7" x14ac:dyDescent="0.3">
      <c r="A654" s="16"/>
      <c r="B654" s="16"/>
      <c r="C654" s="16"/>
      <c r="D654" s="14" t="str">
        <f>IF(A654="","",IF(LangIdx=2,C654&amp;"",B654&amp;""))</f>
        <v/>
      </c>
      <c r="E654" s="16"/>
      <c r="F654" s="16"/>
      <c r="G654" s="14" t="str">
        <f t="shared" si="10"/>
        <v/>
      </c>
    </row>
    <row r="655" spans="1:7" x14ac:dyDescent="0.3">
      <c r="A655" s="16"/>
      <c r="B655" s="16"/>
      <c r="C655" s="16"/>
      <c r="D655" s="14" t="str">
        <f>IF(A655="","",IF(LangIdx=2,C655&amp;"",B655&amp;""))</f>
        <v/>
      </c>
      <c r="E655" s="16"/>
      <c r="F655" s="16"/>
      <c r="G655" s="14" t="str">
        <f t="shared" si="10"/>
        <v/>
      </c>
    </row>
    <row r="656" spans="1:7" x14ac:dyDescent="0.3">
      <c r="A656" s="16"/>
      <c r="B656" s="16"/>
      <c r="C656" s="16"/>
      <c r="D656" s="14" t="str">
        <f>IF(A656="","",IF(LangIdx=2,C656&amp;"",B656&amp;""))</f>
        <v/>
      </c>
      <c r="E656" s="16"/>
      <c r="F656" s="16"/>
      <c r="G656" s="14" t="str">
        <f t="shared" si="10"/>
        <v/>
      </c>
    </row>
    <row r="657" spans="1:7" x14ac:dyDescent="0.3">
      <c r="A657" s="16"/>
      <c r="B657" s="16"/>
      <c r="C657" s="16"/>
      <c r="D657" s="14" t="str">
        <f>IF(A657="","",IF(LangIdx=2,C657&amp;"",B657&amp;""))</f>
        <v/>
      </c>
      <c r="E657" s="16"/>
      <c r="F657" s="16"/>
      <c r="G657" s="14" t="str">
        <f t="shared" si="10"/>
        <v/>
      </c>
    </row>
    <row r="658" spans="1:7" x14ac:dyDescent="0.3">
      <c r="A658" s="16"/>
      <c r="B658" s="16"/>
      <c r="C658" s="16"/>
      <c r="D658" s="14" t="str">
        <f>IF(A658="","",IF(LangIdx=2,C658&amp;"",B658&amp;""))</f>
        <v/>
      </c>
      <c r="E658" s="16"/>
      <c r="F658" s="16"/>
      <c r="G658" s="14" t="str">
        <f t="shared" si="10"/>
        <v/>
      </c>
    </row>
    <row r="659" spans="1:7" x14ac:dyDescent="0.3">
      <c r="A659" s="16"/>
      <c r="B659" s="16"/>
      <c r="C659" s="16"/>
      <c r="D659" s="14" t="str">
        <f>IF(A659="","",IF(LangIdx=2,C659&amp;"",B659&amp;""))</f>
        <v/>
      </c>
      <c r="E659" s="16"/>
      <c r="F659" s="16"/>
      <c r="G659" s="14" t="str">
        <f t="shared" si="10"/>
        <v/>
      </c>
    </row>
    <row r="660" spans="1:7" x14ac:dyDescent="0.3">
      <c r="A660" s="16"/>
      <c r="B660" s="16"/>
      <c r="C660" s="16"/>
      <c r="D660" s="14" t="str">
        <f>IF(A660="","",IF(LangIdx=2,C660&amp;"",B660&amp;""))</f>
        <v/>
      </c>
      <c r="E660" s="16"/>
      <c r="F660" s="16"/>
      <c r="G660" s="14" t="str">
        <f t="shared" si="10"/>
        <v/>
      </c>
    </row>
    <row r="661" spans="1:7" x14ac:dyDescent="0.3">
      <c r="A661" s="16"/>
      <c r="B661" s="16"/>
      <c r="C661" s="16"/>
      <c r="D661" s="14" t="str">
        <f>IF(A661="","",IF(LangIdx=2,C661&amp;"",B661&amp;""))</f>
        <v/>
      </c>
      <c r="E661" s="16"/>
      <c r="F661" s="16"/>
      <c r="G661" s="14" t="str">
        <f t="shared" si="10"/>
        <v/>
      </c>
    </row>
    <row r="662" spans="1:7" x14ac:dyDescent="0.3">
      <c r="A662" s="16"/>
      <c r="B662" s="16"/>
      <c r="C662" s="16"/>
      <c r="D662" s="14" t="str">
        <f>IF(A662="","",IF(LangIdx=2,C662&amp;"",B662&amp;""))</f>
        <v/>
      </c>
      <c r="E662" s="16"/>
      <c r="F662" s="16"/>
      <c r="G662" s="14" t="str">
        <f t="shared" si="10"/>
        <v/>
      </c>
    </row>
    <row r="663" spans="1:7" x14ac:dyDescent="0.3">
      <c r="A663" s="16"/>
      <c r="B663" s="16"/>
      <c r="C663" s="16"/>
      <c r="D663" s="14" t="str">
        <f>IF(A663="","",IF(LangIdx=2,C663&amp;"",B663&amp;""))</f>
        <v/>
      </c>
      <c r="E663" s="16"/>
      <c r="F663" s="16"/>
      <c r="G663" s="14" t="str">
        <f t="shared" si="10"/>
        <v/>
      </c>
    </row>
    <row r="664" spans="1:7" x14ac:dyDescent="0.3">
      <c r="A664" s="16"/>
      <c r="B664" s="16"/>
      <c r="C664" s="16"/>
      <c r="D664" s="14" t="str">
        <f>IF(A664="","",IF(LangIdx=2,C664&amp;"",B664&amp;""))</f>
        <v/>
      </c>
      <c r="E664" s="16"/>
      <c r="F664" s="16"/>
      <c r="G664" s="14" t="str">
        <f t="shared" si="10"/>
        <v/>
      </c>
    </row>
    <row r="665" spans="1:7" x14ac:dyDescent="0.3">
      <c r="A665" s="16"/>
      <c r="B665" s="16"/>
      <c r="C665" s="16"/>
      <c r="D665" s="14" t="str">
        <f>IF(A665="","",IF(LangIdx=2,C665&amp;"",B665&amp;""))</f>
        <v/>
      </c>
      <c r="E665" s="16"/>
      <c r="F665" s="16"/>
      <c r="G665" s="14" t="str">
        <f t="shared" si="10"/>
        <v/>
      </c>
    </row>
    <row r="666" spans="1:7" x14ac:dyDescent="0.3">
      <c r="A666" s="16"/>
      <c r="B666" s="16"/>
      <c r="C666" s="16"/>
      <c r="D666" s="14" t="str">
        <f>IF(A666="","",IF(LangIdx=2,C666&amp;"",B666&amp;""))</f>
        <v/>
      </c>
      <c r="E666" s="16"/>
      <c r="F666" s="16"/>
      <c r="G666" s="14" t="str">
        <f t="shared" si="10"/>
        <v/>
      </c>
    </row>
    <row r="667" spans="1:7" x14ac:dyDescent="0.3">
      <c r="A667" s="16"/>
      <c r="B667" s="16"/>
      <c r="C667" s="16"/>
      <c r="D667" s="14" t="str">
        <f>IF(A667="","",IF(LangIdx=2,C667&amp;"",B667&amp;""))</f>
        <v/>
      </c>
      <c r="E667" s="16"/>
      <c r="F667" s="16"/>
      <c r="G667" s="14" t="str">
        <f t="shared" si="10"/>
        <v/>
      </c>
    </row>
    <row r="668" spans="1:7" x14ac:dyDescent="0.3">
      <c r="A668" s="16"/>
      <c r="B668" s="16"/>
      <c r="C668" s="16"/>
      <c r="D668" s="14" t="str">
        <f>IF(A668="","",IF(LangIdx=2,C668&amp;"",B668&amp;""))</f>
        <v/>
      </c>
      <c r="E668" s="16"/>
      <c r="F668" s="16"/>
      <c r="G668" s="14" t="str">
        <f t="shared" si="10"/>
        <v/>
      </c>
    </row>
    <row r="669" spans="1:7" x14ac:dyDescent="0.3">
      <c r="A669" s="16"/>
      <c r="B669" s="16"/>
      <c r="C669" s="16"/>
      <c r="D669" s="14" t="str">
        <f>IF(A669="","",IF(LangIdx=2,C669&amp;"",B669&amp;""))</f>
        <v/>
      </c>
      <c r="E669" s="16"/>
      <c r="F669" s="16"/>
      <c r="G669" s="14" t="str">
        <f t="shared" si="10"/>
        <v/>
      </c>
    </row>
    <row r="670" spans="1:7" x14ac:dyDescent="0.3">
      <c r="A670" s="16"/>
      <c r="B670" s="16"/>
      <c r="C670" s="16"/>
      <c r="D670" s="14" t="str">
        <f>IF(A670="","",IF(LangIdx=2,C670&amp;"",B670&amp;""))</f>
        <v/>
      </c>
      <c r="E670" s="16"/>
      <c r="F670" s="16"/>
      <c r="G670" s="14" t="str">
        <f t="shared" si="10"/>
        <v/>
      </c>
    </row>
    <row r="671" spans="1:7" x14ac:dyDescent="0.3">
      <c r="A671" s="16"/>
      <c r="B671" s="16"/>
      <c r="C671" s="16"/>
      <c r="D671" s="14" t="str">
        <f>IF(A671="","",IF(LangIdx=2,C671&amp;"",B671&amp;""))</f>
        <v/>
      </c>
      <c r="E671" s="16"/>
      <c r="F671" s="16"/>
      <c r="G671" s="14" t="str">
        <f t="shared" si="10"/>
        <v/>
      </c>
    </row>
    <row r="672" spans="1:7" x14ac:dyDescent="0.3">
      <c r="A672" s="16"/>
      <c r="B672" s="16"/>
      <c r="C672" s="16"/>
      <c r="D672" s="14" t="str">
        <f>IF(A672="","",IF(LangIdx=2,C672&amp;"",B672&amp;""))</f>
        <v/>
      </c>
      <c r="E672" s="16"/>
      <c r="F672" s="16"/>
      <c r="G672" s="14" t="str">
        <f t="shared" si="10"/>
        <v/>
      </c>
    </row>
    <row r="673" spans="1:7" x14ac:dyDescent="0.3">
      <c r="A673" s="16"/>
      <c r="B673" s="16"/>
      <c r="C673" s="16"/>
      <c r="D673" s="14" t="str">
        <f>IF(A673="","",IF(LangIdx=2,C673&amp;"",B673&amp;""))</f>
        <v/>
      </c>
      <c r="E673" s="16"/>
      <c r="F673" s="16"/>
      <c r="G673" s="14" t="str">
        <f t="shared" si="10"/>
        <v/>
      </c>
    </row>
    <row r="674" spans="1:7" x14ac:dyDescent="0.3">
      <c r="A674" s="16"/>
      <c r="B674" s="16"/>
      <c r="C674" s="16"/>
      <c r="D674" s="14" t="str">
        <f>IF(A674="","",IF(LangIdx=2,C674&amp;"",B674&amp;""))</f>
        <v/>
      </c>
      <c r="E674" s="16"/>
      <c r="F674" s="16"/>
      <c r="G674" s="14" t="str">
        <f t="shared" si="10"/>
        <v/>
      </c>
    </row>
    <row r="675" spans="1:7" x14ac:dyDescent="0.3">
      <c r="A675" s="16"/>
      <c r="B675" s="16"/>
      <c r="C675" s="16"/>
      <c r="D675" s="14" t="str">
        <f>IF(A675="","",IF(LangIdx=2,C675&amp;"",B675&amp;""))</f>
        <v/>
      </c>
      <c r="E675" s="16"/>
      <c r="F675" s="16"/>
      <c r="G675" s="14" t="str">
        <f t="shared" si="10"/>
        <v/>
      </c>
    </row>
    <row r="676" spans="1:7" x14ac:dyDescent="0.3">
      <c r="A676" s="16"/>
      <c r="B676" s="16"/>
      <c r="C676" s="16"/>
      <c r="D676" s="14" t="str">
        <f>IF(A676="","",IF(LangIdx=2,C676&amp;"",B676&amp;""))</f>
        <v/>
      </c>
      <c r="E676" s="16"/>
      <c r="F676" s="16"/>
      <c r="G676" s="14" t="str">
        <f t="shared" si="10"/>
        <v/>
      </c>
    </row>
    <row r="677" spans="1:7" x14ac:dyDescent="0.3">
      <c r="A677" s="16"/>
      <c r="B677" s="16"/>
      <c r="C677" s="16"/>
      <c r="D677" s="14" t="str">
        <f>IF(A677="","",IF(LangIdx=2,C677&amp;"",B677&amp;""))</f>
        <v/>
      </c>
      <c r="E677" s="16"/>
      <c r="F677" s="16"/>
      <c r="G677" s="14" t="str">
        <f t="shared" si="10"/>
        <v/>
      </c>
    </row>
    <row r="678" spans="1:7" x14ac:dyDescent="0.3">
      <c r="A678" s="16"/>
      <c r="B678" s="16"/>
      <c r="C678" s="16"/>
      <c r="D678" s="14" t="str">
        <f>IF(A678="","",IF(LangIdx=2,C678&amp;"",B678&amp;""))</f>
        <v/>
      </c>
      <c r="E678" s="16"/>
      <c r="F678" s="16"/>
      <c r="G678" s="14" t="str">
        <f t="shared" si="10"/>
        <v/>
      </c>
    </row>
    <row r="679" spans="1:7" x14ac:dyDescent="0.3">
      <c r="A679" s="16"/>
      <c r="B679" s="16"/>
      <c r="C679" s="16"/>
      <c r="D679" s="14" t="str">
        <f>IF(A679="","",IF(LangIdx=2,C679&amp;"",B679&amp;""))</f>
        <v/>
      </c>
      <c r="E679" s="16"/>
      <c r="F679" s="16"/>
      <c r="G679" s="14" t="str">
        <f t="shared" si="10"/>
        <v/>
      </c>
    </row>
    <row r="680" spans="1:7" x14ac:dyDescent="0.3">
      <c r="A680" s="16"/>
      <c r="B680" s="16"/>
      <c r="C680" s="16"/>
      <c r="D680" s="14" t="str">
        <f>IF(A680="","",IF(LangIdx=2,C680&amp;"",B680&amp;""))</f>
        <v/>
      </c>
      <c r="E680" s="16"/>
      <c r="F680" s="16"/>
      <c r="G680" s="14" t="str">
        <f t="shared" si="10"/>
        <v/>
      </c>
    </row>
    <row r="681" spans="1:7" x14ac:dyDescent="0.3">
      <c r="A681" s="16"/>
      <c r="B681" s="16"/>
      <c r="C681" s="16"/>
      <c r="D681" s="14" t="str">
        <f>IF(A681="","",IF(LangIdx=2,C681&amp;"",B681&amp;""))</f>
        <v/>
      </c>
      <c r="E681" s="16"/>
      <c r="F681" s="16"/>
      <c r="G681" s="14" t="str">
        <f t="shared" si="10"/>
        <v/>
      </c>
    </row>
    <row r="682" spans="1:7" x14ac:dyDescent="0.3">
      <c r="A682" s="16"/>
      <c r="B682" s="16"/>
      <c r="C682" s="16"/>
      <c r="D682" s="14" t="str">
        <f>IF(A682="","",IF(LangIdx=2,C682&amp;"",B682&amp;""))</f>
        <v/>
      </c>
      <c r="E682" s="16"/>
      <c r="F682" s="16"/>
      <c r="G682" s="14" t="str">
        <f t="shared" si="10"/>
        <v/>
      </c>
    </row>
    <row r="683" spans="1:7" x14ac:dyDescent="0.3">
      <c r="A683" s="16"/>
      <c r="B683" s="16"/>
      <c r="C683" s="16"/>
      <c r="D683" s="14" t="str">
        <f>IF(A683="","",IF(LangIdx=2,C683&amp;"",B683&amp;""))</f>
        <v/>
      </c>
      <c r="E683" s="16"/>
      <c r="F683" s="16"/>
      <c r="G683" s="14" t="str">
        <f t="shared" si="10"/>
        <v/>
      </c>
    </row>
    <row r="684" spans="1:7" x14ac:dyDescent="0.3">
      <c r="A684" s="16"/>
      <c r="B684" s="16"/>
      <c r="C684" s="16"/>
      <c r="D684" s="14" t="str">
        <f>IF(A684="","",IF(LangIdx=2,C684&amp;"",B684&amp;""))</f>
        <v/>
      </c>
      <c r="E684" s="16"/>
      <c r="F684" s="16"/>
      <c r="G684" s="14" t="str">
        <f t="shared" si="10"/>
        <v/>
      </c>
    </row>
    <row r="685" spans="1:7" x14ac:dyDescent="0.3">
      <c r="A685" s="16"/>
      <c r="B685" s="16"/>
      <c r="C685" s="16"/>
      <c r="D685" s="14" t="str">
        <f>IF(A685="","",IF(LangIdx=2,C685&amp;"",B685&amp;""))</f>
        <v/>
      </c>
      <c r="E685" s="16"/>
      <c r="F685" s="16"/>
      <c r="G685" s="14" t="str">
        <f t="shared" si="10"/>
        <v/>
      </c>
    </row>
    <row r="686" spans="1:7" x14ac:dyDescent="0.3">
      <c r="A686" s="16"/>
      <c r="B686" s="16"/>
      <c r="C686" s="16"/>
      <c r="D686" s="14" t="str">
        <f>IF(A686="","",IF(LangIdx=2,C686&amp;"",B686&amp;""))</f>
        <v/>
      </c>
      <c r="E686" s="16"/>
      <c r="F686" s="16"/>
      <c r="G686" s="14" t="str">
        <f t="shared" si="10"/>
        <v/>
      </c>
    </row>
    <row r="687" spans="1:7" x14ac:dyDescent="0.3">
      <c r="A687" s="16"/>
      <c r="B687" s="16"/>
      <c r="C687" s="16"/>
      <c r="D687" s="14" t="str">
        <f>IF(A687="","",IF(LangIdx=2,C687&amp;"",B687&amp;""))</f>
        <v/>
      </c>
      <c r="E687" s="16"/>
      <c r="F687" s="16"/>
      <c r="G687" s="14" t="str">
        <f t="shared" ref="G687:G750" si="11">IF(A687="","",IF(COUNTIF(DICT_KEY,A687)&gt;1,"DUP",""))</f>
        <v/>
      </c>
    </row>
    <row r="688" spans="1:7" x14ac:dyDescent="0.3">
      <c r="A688" s="16"/>
      <c r="B688" s="16"/>
      <c r="C688" s="16"/>
      <c r="D688" s="14" t="str">
        <f>IF(A688="","",IF(LangIdx=2,C688&amp;"",B688&amp;""))</f>
        <v/>
      </c>
      <c r="E688" s="16"/>
      <c r="F688" s="16"/>
      <c r="G688" s="14" t="str">
        <f t="shared" si="11"/>
        <v/>
      </c>
    </row>
    <row r="689" spans="1:7" x14ac:dyDescent="0.3">
      <c r="A689" s="16"/>
      <c r="B689" s="16"/>
      <c r="C689" s="16"/>
      <c r="D689" s="14" t="str">
        <f>IF(A689="","",IF(LangIdx=2,C689&amp;"",B689&amp;""))</f>
        <v/>
      </c>
      <c r="E689" s="16"/>
      <c r="F689" s="16"/>
      <c r="G689" s="14" t="str">
        <f t="shared" si="11"/>
        <v/>
      </c>
    </row>
    <row r="690" spans="1:7" x14ac:dyDescent="0.3">
      <c r="A690" s="16"/>
      <c r="B690" s="16"/>
      <c r="C690" s="16"/>
      <c r="D690" s="14" t="str">
        <f>IF(A690="","",IF(LangIdx=2,C690&amp;"",B690&amp;""))</f>
        <v/>
      </c>
      <c r="E690" s="16"/>
      <c r="F690" s="16"/>
      <c r="G690" s="14" t="str">
        <f t="shared" si="11"/>
        <v/>
      </c>
    </row>
    <row r="691" spans="1:7" x14ac:dyDescent="0.3">
      <c r="A691" s="16"/>
      <c r="B691" s="16"/>
      <c r="C691" s="16"/>
      <c r="D691" s="14" t="str">
        <f>IF(A691="","",IF(LangIdx=2,C691&amp;"",B691&amp;""))</f>
        <v/>
      </c>
      <c r="E691" s="16"/>
      <c r="F691" s="16"/>
      <c r="G691" s="14" t="str">
        <f t="shared" si="11"/>
        <v/>
      </c>
    </row>
    <row r="692" spans="1:7" x14ac:dyDescent="0.3">
      <c r="A692" s="16"/>
      <c r="B692" s="16"/>
      <c r="C692" s="16"/>
      <c r="D692" s="14" t="str">
        <f>IF(A692="","",IF(LangIdx=2,C692&amp;"",B692&amp;""))</f>
        <v/>
      </c>
      <c r="E692" s="16"/>
      <c r="F692" s="16"/>
      <c r="G692" s="14" t="str">
        <f t="shared" si="11"/>
        <v/>
      </c>
    </row>
    <row r="693" spans="1:7" x14ac:dyDescent="0.3">
      <c r="A693" s="16"/>
      <c r="B693" s="16"/>
      <c r="C693" s="16"/>
      <c r="D693" s="14" t="str">
        <f>IF(A693="","",IF(LangIdx=2,C693&amp;"",B693&amp;""))</f>
        <v/>
      </c>
      <c r="E693" s="16"/>
      <c r="F693" s="16"/>
      <c r="G693" s="14" t="str">
        <f t="shared" si="11"/>
        <v/>
      </c>
    </row>
    <row r="694" spans="1:7" x14ac:dyDescent="0.3">
      <c r="A694" s="16"/>
      <c r="B694" s="16"/>
      <c r="C694" s="16"/>
      <c r="D694" s="14" t="str">
        <f>IF(A694="","",IF(LangIdx=2,C694&amp;"",B694&amp;""))</f>
        <v/>
      </c>
      <c r="E694" s="16"/>
      <c r="F694" s="16"/>
      <c r="G694" s="14" t="str">
        <f t="shared" si="11"/>
        <v/>
      </c>
    </row>
    <row r="695" spans="1:7" x14ac:dyDescent="0.3">
      <c r="A695" s="16"/>
      <c r="B695" s="16"/>
      <c r="C695" s="16"/>
      <c r="D695" s="14" t="str">
        <f>IF(A695="","",IF(LangIdx=2,C695&amp;"",B695&amp;""))</f>
        <v/>
      </c>
      <c r="E695" s="16"/>
      <c r="F695" s="16"/>
      <c r="G695" s="14" t="str">
        <f t="shared" si="11"/>
        <v/>
      </c>
    </row>
    <row r="696" spans="1:7" x14ac:dyDescent="0.3">
      <c r="A696" s="16"/>
      <c r="B696" s="16"/>
      <c r="C696" s="16"/>
      <c r="D696" s="14" t="str">
        <f>IF(A696="","",IF(LangIdx=2,C696&amp;"",B696&amp;""))</f>
        <v/>
      </c>
      <c r="E696" s="16"/>
      <c r="F696" s="16"/>
      <c r="G696" s="14" t="str">
        <f t="shared" si="11"/>
        <v/>
      </c>
    </row>
    <row r="697" spans="1:7" x14ac:dyDescent="0.3">
      <c r="A697" s="16"/>
      <c r="B697" s="16"/>
      <c r="C697" s="16"/>
      <c r="D697" s="14" t="str">
        <f>IF(A697="","",IF(LangIdx=2,C697&amp;"",B697&amp;""))</f>
        <v/>
      </c>
      <c r="E697" s="16"/>
      <c r="F697" s="16"/>
      <c r="G697" s="14" t="str">
        <f t="shared" si="11"/>
        <v/>
      </c>
    </row>
    <row r="698" spans="1:7" x14ac:dyDescent="0.3">
      <c r="A698" s="16"/>
      <c r="B698" s="16"/>
      <c r="C698" s="16"/>
      <c r="D698" s="14" t="str">
        <f>IF(A698="","",IF(LangIdx=2,C698&amp;"",B698&amp;""))</f>
        <v/>
      </c>
      <c r="E698" s="16"/>
      <c r="F698" s="16"/>
      <c r="G698" s="14" t="str">
        <f t="shared" si="11"/>
        <v/>
      </c>
    </row>
    <row r="699" spans="1:7" x14ac:dyDescent="0.3">
      <c r="A699" s="16"/>
      <c r="B699" s="16"/>
      <c r="C699" s="16"/>
      <c r="D699" s="14" t="str">
        <f>IF(A699="","",IF(LangIdx=2,C699&amp;"",B699&amp;""))</f>
        <v/>
      </c>
      <c r="E699" s="16"/>
      <c r="F699" s="16"/>
      <c r="G699" s="14" t="str">
        <f t="shared" si="11"/>
        <v/>
      </c>
    </row>
    <row r="700" spans="1:7" x14ac:dyDescent="0.3">
      <c r="A700" s="16"/>
      <c r="B700" s="16"/>
      <c r="C700" s="16"/>
      <c r="D700" s="14" t="str">
        <f>IF(A700="","",IF(LangIdx=2,C700&amp;"",B700&amp;""))</f>
        <v/>
      </c>
      <c r="E700" s="16"/>
      <c r="F700" s="16"/>
      <c r="G700" s="14" t="str">
        <f t="shared" si="11"/>
        <v/>
      </c>
    </row>
    <row r="701" spans="1:7" x14ac:dyDescent="0.3">
      <c r="A701" s="16"/>
      <c r="B701" s="16"/>
      <c r="C701" s="16"/>
      <c r="D701" s="14" t="str">
        <f>IF(A701="","",IF(LangIdx=2,C701&amp;"",B701&amp;""))</f>
        <v/>
      </c>
      <c r="E701" s="16"/>
      <c r="F701" s="16"/>
      <c r="G701" s="14" t="str">
        <f t="shared" si="11"/>
        <v/>
      </c>
    </row>
    <row r="702" spans="1:7" x14ac:dyDescent="0.3">
      <c r="A702" s="16"/>
      <c r="B702" s="16"/>
      <c r="C702" s="16"/>
      <c r="D702" s="14" t="str">
        <f>IF(A702="","",IF(LangIdx=2,C702&amp;"",B702&amp;""))</f>
        <v/>
      </c>
      <c r="E702" s="16"/>
      <c r="F702" s="16"/>
      <c r="G702" s="14" t="str">
        <f t="shared" si="11"/>
        <v/>
      </c>
    </row>
    <row r="703" spans="1:7" x14ac:dyDescent="0.3">
      <c r="A703" s="16"/>
      <c r="B703" s="16"/>
      <c r="C703" s="16"/>
      <c r="D703" s="14" t="str">
        <f>IF(A703="","",IF(LangIdx=2,C703&amp;"",B703&amp;""))</f>
        <v/>
      </c>
      <c r="E703" s="16"/>
      <c r="F703" s="16"/>
      <c r="G703" s="14" t="str">
        <f t="shared" si="11"/>
        <v/>
      </c>
    </row>
    <row r="704" spans="1:7" x14ac:dyDescent="0.3">
      <c r="A704" s="16"/>
      <c r="B704" s="16"/>
      <c r="C704" s="16"/>
      <c r="D704" s="14" t="str">
        <f>IF(A704="","",IF(LangIdx=2,C704&amp;"",B704&amp;""))</f>
        <v/>
      </c>
      <c r="E704" s="16"/>
      <c r="F704" s="16"/>
      <c r="G704" s="14" t="str">
        <f t="shared" si="11"/>
        <v/>
      </c>
    </row>
    <row r="705" spans="1:7" x14ac:dyDescent="0.3">
      <c r="A705" s="16"/>
      <c r="B705" s="16"/>
      <c r="C705" s="16"/>
      <c r="D705" s="14" t="str">
        <f>IF(A705="","",IF(LangIdx=2,C705&amp;"",B705&amp;""))</f>
        <v/>
      </c>
      <c r="E705" s="16"/>
      <c r="F705" s="16"/>
      <c r="G705" s="14" t="str">
        <f t="shared" si="11"/>
        <v/>
      </c>
    </row>
    <row r="706" spans="1:7" x14ac:dyDescent="0.3">
      <c r="A706" s="16"/>
      <c r="B706" s="16"/>
      <c r="C706" s="16"/>
      <c r="D706" s="14" t="str">
        <f>IF(A706="","",IF(LangIdx=2,C706&amp;"",B706&amp;""))</f>
        <v/>
      </c>
      <c r="E706" s="16"/>
      <c r="F706" s="16"/>
      <c r="G706" s="14" t="str">
        <f t="shared" si="11"/>
        <v/>
      </c>
    </row>
    <row r="707" spans="1:7" x14ac:dyDescent="0.3">
      <c r="A707" s="16"/>
      <c r="B707" s="16"/>
      <c r="C707" s="16"/>
      <c r="D707" s="14" t="str">
        <f>IF(A707="","",IF(LangIdx=2,C707&amp;"",B707&amp;""))</f>
        <v/>
      </c>
      <c r="E707" s="16"/>
      <c r="F707" s="16"/>
      <c r="G707" s="14" t="str">
        <f t="shared" si="11"/>
        <v/>
      </c>
    </row>
    <row r="708" spans="1:7" x14ac:dyDescent="0.3">
      <c r="A708" s="16"/>
      <c r="B708" s="16"/>
      <c r="C708" s="16"/>
      <c r="D708" s="14" t="str">
        <f>IF(A708="","",IF(LangIdx=2,C708&amp;"",B708&amp;""))</f>
        <v/>
      </c>
      <c r="E708" s="16"/>
      <c r="F708" s="16"/>
      <c r="G708" s="14" t="str">
        <f t="shared" si="11"/>
        <v/>
      </c>
    </row>
    <row r="709" spans="1:7" x14ac:dyDescent="0.3">
      <c r="A709" s="16"/>
      <c r="B709" s="16"/>
      <c r="C709" s="16"/>
      <c r="D709" s="14" t="str">
        <f>IF(A709="","",IF(LangIdx=2,C709&amp;"",B709&amp;""))</f>
        <v/>
      </c>
      <c r="E709" s="16"/>
      <c r="F709" s="16"/>
      <c r="G709" s="14" t="str">
        <f t="shared" si="11"/>
        <v/>
      </c>
    </row>
    <row r="710" spans="1:7" x14ac:dyDescent="0.3">
      <c r="A710" s="16"/>
      <c r="B710" s="16"/>
      <c r="C710" s="16"/>
      <c r="D710" s="14" t="str">
        <f>IF(A710="","",IF(LangIdx=2,C710&amp;"",B710&amp;""))</f>
        <v/>
      </c>
      <c r="E710" s="16"/>
      <c r="F710" s="16"/>
      <c r="G710" s="14" t="str">
        <f t="shared" si="11"/>
        <v/>
      </c>
    </row>
    <row r="711" spans="1:7" x14ac:dyDescent="0.3">
      <c r="A711" s="16"/>
      <c r="B711" s="16"/>
      <c r="C711" s="16"/>
      <c r="D711" s="14" t="str">
        <f>IF(A711="","",IF(LangIdx=2,C711&amp;"",B711&amp;""))</f>
        <v/>
      </c>
      <c r="E711" s="16"/>
      <c r="F711" s="16"/>
      <c r="G711" s="14" t="str">
        <f t="shared" si="11"/>
        <v/>
      </c>
    </row>
    <row r="712" spans="1:7" x14ac:dyDescent="0.3">
      <c r="A712" s="16"/>
      <c r="B712" s="16"/>
      <c r="C712" s="16"/>
      <c r="D712" s="14" t="str">
        <f>IF(A712="","",IF(LangIdx=2,C712&amp;"",B712&amp;""))</f>
        <v/>
      </c>
      <c r="E712" s="16"/>
      <c r="F712" s="16"/>
      <c r="G712" s="14" t="str">
        <f t="shared" si="11"/>
        <v/>
      </c>
    </row>
    <row r="713" spans="1:7" x14ac:dyDescent="0.3">
      <c r="A713" s="16"/>
      <c r="B713" s="16"/>
      <c r="C713" s="16"/>
      <c r="D713" s="14" t="str">
        <f>IF(A713="","",IF(LangIdx=2,C713&amp;"",B713&amp;""))</f>
        <v/>
      </c>
      <c r="E713" s="16"/>
      <c r="F713" s="16"/>
      <c r="G713" s="14" t="str">
        <f t="shared" si="11"/>
        <v/>
      </c>
    </row>
    <row r="714" spans="1:7" x14ac:dyDescent="0.3">
      <c r="A714" s="16"/>
      <c r="B714" s="16"/>
      <c r="C714" s="16"/>
      <c r="D714" s="14" t="str">
        <f>IF(A714="","",IF(LangIdx=2,C714&amp;"",B714&amp;""))</f>
        <v/>
      </c>
      <c r="E714" s="16"/>
      <c r="F714" s="16"/>
      <c r="G714" s="14" t="str">
        <f t="shared" si="11"/>
        <v/>
      </c>
    </row>
    <row r="715" spans="1:7" x14ac:dyDescent="0.3">
      <c r="A715" s="16"/>
      <c r="B715" s="16"/>
      <c r="C715" s="16"/>
      <c r="D715" s="14" t="str">
        <f>IF(A715="","",IF(LangIdx=2,C715&amp;"",B715&amp;""))</f>
        <v/>
      </c>
      <c r="E715" s="16"/>
      <c r="F715" s="16"/>
      <c r="G715" s="14" t="str">
        <f t="shared" si="11"/>
        <v/>
      </c>
    </row>
    <row r="716" spans="1:7" x14ac:dyDescent="0.3">
      <c r="A716" s="16"/>
      <c r="B716" s="16"/>
      <c r="C716" s="16"/>
      <c r="D716" s="14" t="str">
        <f>IF(A716="","",IF(LangIdx=2,C716&amp;"",B716&amp;""))</f>
        <v/>
      </c>
      <c r="E716" s="16"/>
      <c r="F716" s="16"/>
      <c r="G716" s="14" t="str">
        <f t="shared" si="11"/>
        <v/>
      </c>
    </row>
    <row r="717" spans="1:7" x14ac:dyDescent="0.3">
      <c r="A717" s="16"/>
      <c r="B717" s="16"/>
      <c r="C717" s="16"/>
      <c r="D717" s="14" t="str">
        <f>IF(A717="","",IF(LangIdx=2,C717&amp;"",B717&amp;""))</f>
        <v/>
      </c>
      <c r="E717" s="16"/>
      <c r="F717" s="16"/>
      <c r="G717" s="14" t="str">
        <f t="shared" si="11"/>
        <v/>
      </c>
    </row>
    <row r="718" spans="1:7" x14ac:dyDescent="0.3">
      <c r="A718" s="16"/>
      <c r="B718" s="16"/>
      <c r="C718" s="16"/>
      <c r="D718" s="14" t="str">
        <f>IF(A718="","",IF(LangIdx=2,C718&amp;"",B718&amp;""))</f>
        <v/>
      </c>
      <c r="E718" s="16"/>
      <c r="F718" s="16"/>
      <c r="G718" s="14" t="str">
        <f t="shared" si="11"/>
        <v/>
      </c>
    </row>
    <row r="719" spans="1:7" x14ac:dyDescent="0.3">
      <c r="A719" s="16"/>
      <c r="B719" s="16"/>
      <c r="C719" s="16"/>
      <c r="D719" s="14" t="str">
        <f>IF(A719="","",IF(LangIdx=2,C719&amp;"",B719&amp;""))</f>
        <v/>
      </c>
      <c r="E719" s="16"/>
      <c r="F719" s="16"/>
      <c r="G719" s="14" t="str">
        <f t="shared" si="11"/>
        <v/>
      </c>
    </row>
    <row r="720" spans="1:7" x14ac:dyDescent="0.3">
      <c r="A720" s="16"/>
      <c r="B720" s="16"/>
      <c r="C720" s="16"/>
      <c r="D720" s="14" t="str">
        <f>IF(A720="","",IF(LangIdx=2,C720&amp;"",B720&amp;""))</f>
        <v/>
      </c>
      <c r="E720" s="16"/>
      <c r="F720" s="16"/>
      <c r="G720" s="14" t="str">
        <f t="shared" si="11"/>
        <v/>
      </c>
    </row>
    <row r="721" spans="1:7" x14ac:dyDescent="0.3">
      <c r="A721" s="16"/>
      <c r="B721" s="16"/>
      <c r="C721" s="16"/>
      <c r="D721" s="14" t="str">
        <f>IF(A721="","",IF(LangIdx=2,C721&amp;"",B721&amp;""))</f>
        <v/>
      </c>
      <c r="E721" s="16"/>
      <c r="F721" s="16"/>
      <c r="G721" s="14" t="str">
        <f t="shared" si="11"/>
        <v/>
      </c>
    </row>
    <row r="722" spans="1:7" x14ac:dyDescent="0.3">
      <c r="A722" s="16"/>
      <c r="B722" s="16"/>
      <c r="C722" s="16"/>
      <c r="D722" s="14" t="str">
        <f>IF(A722="","",IF(LangIdx=2,C722&amp;"",B722&amp;""))</f>
        <v/>
      </c>
      <c r="E722" s="16"/>
      <c r="F722" s="16"/>
      <c r="G722" s="14" t="str">
        <f t="shared" si="11"/>
        <v/>
      </c>
    </row>
    <row r="723" spans="1:7" x14ac:dyDescent="0.3">
      <c r="A723" s="16"/>
      <c r="B723" s="16"/>
      <c r="C723" s="16"/>
      <c r="D723" s="14" t="str">
        <f>IF(A723="","",IF(LangIdx=2,C723&amp;"",B723&amp;""))</f>
        <v/>
      </c>
      <c r="E723" s="16"/>
      <c r="F723" s="16"/>
      <c r="G723" s="14" t="str">
        <f t="shared" si="11"/>
        <v/>
      </c>
    </row>
    <row r="724" spans="1:7" x14ac:dyDescent="0.3">
      <c r="A724" s="16"/>
      <c r="B724" s="16"/>
      <c r="C724" s="16"/>
      <c r="D724" s="14" t="str">
        <f>IF(A724="","",IF(LangIdx=2,C724&amp;"",B724&amp;""))</f>
        <v/>
      </c>
      <c r="E724" s="16"/>
      <c r="F724" s="16"/>
      <c r="G724" s="14" t="str">
        <f t="shared" si="11"/>
        <v/>
      </c>
    </row>
    <row r="725" spans="1:7" x14ac:dyDescent="0.3">
      <c r="A725" s="16"/>
      <c r="B725" s="16"/>
      <c r="C725" s="16"/>
      <c r="D725" s="14" t="str">
        <f>IF(A725="","",IF(LangIdx=2,C725&amp;"",B725&amp;""))</f>
        <v/>
      </c>
      <c r="E725" s="16"/>
      <c r="F725" s="16"/>
      <c r="G725" s="14" t="str">
        <f t="shared" si="11"/>
        <v/>
      </c>
    </row>
    <row r="726" spans="1:7" x14ac:dyDescent="0.3">
      <c r="A726" s="16"/>
      <c r="B726" s="16"/>
      <c r="C726" s="16"/>
      <c r="D726" s="14" t="str">
        <f>IF(A726="","",IF(LangIdx=2,C726&amp;"",B726&amp;""))</f>
        <v/>
      </c>
      <c r="E726" s="16"/>
      <c r="F726" s="16"/>
      <c r="G726" s="14" t="str">
        <f t="shared" si="11"/>
        <v/>
      </c>
    </row>
    <row r="727" spans="1:7" x14ac:dyDescent="0.3">
      <c r="A727" s="16"/>
      <c r="B727" s="16"/>
      <c r="C727" s="16"/>
      <c r="D727" s="14" t="str">
        <f>IF(A727="","",IF(LangIdx=2,C727&amp;"",B727&amp;""))</f>
        <v/>
      </c>
      <c r="E727" s="16"/>
      <c r="F727" s="16"/>
      <c r="G727" s="14" t="str">
        <f t="shared" si="11"/>
        <v/>
      </c>
    </row>
    <row r="728" spans="1:7" x14ac:dyDescent="0.3">
      <c r="A728" s="16"/>
      <c r="B728" s="16"/>
      <c r="C728" s="16"/>
      <c r="D728" s="14" t="str">
        <f>IF(A728="","",IF(LangIdx=2,C728&amp;"",B728&amp;""))</f>
        <v/>
      </c>
      <c r="E728" s="16"/>
      <c r="F728" s="16"/>
      <c r="G728" s="14" t="str">
        <f t="shared" si="11"/>
        <v/>
      </c>
    </row>
    <row r="729" spans="1:7" x14ac:dyDescent="0.3">
      <c r="A729" s="16"/>
      <c r="B729" s="16"/>
      <c r="C729" s="16"/>
      <c r="D729" s="14" t="str">
        <f>IF(A729="","",IF(LangIdx=2,C729&amp;"",B729&amp;""))</f>
        <v/>
      </c>
      <c r="E729" s="16"/>
      <c r="F729" s="16"/>
      <c r="G729" s="14" t="str">
        <f t="shared" si="11"/>
        <v/>
      </c>
    </row>
    <row r="730" spans="1:7" x14ac:dyDescent="0.3">
      <c r="A730" s="16"/>
      <c r="B730" s="16"/>
      <c r="C730" s="16"/>
      <c r="D730" s="14" t="str">
        <f>IF(A730="","",IF(LangIdx=2,C730&amp;"",B730&amp;""))</f>
        <v/>
      </c>
      <c r="E730" s="16"/>
      <c r="F730" s="16"/>
      <c r="G730" s="14" t="str">
        <f t="shared" si="11"/>
        <v/>
      </c>
    </row>
    <row r="731" spans="1:7" x14ac:dyDescent="0.3">
      <c r="A731" s="16"/>
      <c r="B731" s="16"/>
      <c r="C731" s="16"/>
      <c r="D731" s="14" t="str">
        <f>IF(A731="","",IF(LangIdx=2,C731&amp;"",B731&amp;""))</f>
        <v/>
      </c>
      <c r="E731" s="16"/>
      <c r="F731" s="16"/>
      <c r="G731" s="14" t="str">
        <f t="shared" si="11"/>
        <v/>
      </c>
    </row>
    <row r="732" spans="1:7" x14ac:dyDescent="0.3">
      <c r="A732" s="16"/>
      <c r="B732" s="16"/>
      <c r="C732" s="16"/>
      <c r="D732" s="14" t="str">
        <f>IF(A732="","",IF(LangIdx=2,C732&amp;"",B732&amp;""))</f>
        <v/>
      </c>
      <c r="E732" s="16"/>
      <c r="F732" s="16"/>
      <c r="G732" s="14" t="str">
        <f t="shared" si="11"/>
        <v/>
      </c>
    </row>
    <row r="733" spans="1:7" x14ac:dyDescent="0.3">
      <c r="A733" s="16"/>
      <c r="B733" s="16"/>
      <c r="C733" s="16"/>
      <c r="D733" s="14" t="str">
        <f>IF(A733="","",IF(LangIdx=2,C733&amp;"",B733&amp;""))</f>
        <v/>
      </c>
      <c r="E733" s="16"/>
      <c r="F733" s="16"/>
      <c r="G733" s="14" t="str">
        <f t="shared" si="11"/>
        <v/>
      </c>
    </row>
    <row r="734" spans="1:7" x14ac:dyDescent="0.3">
      <c r="A734" s="16"/>
      <c r="B734" s="16"/>
      <c r="C734" s="16"/>
      <c r="D734" s="14" t="str">
        <f>IF(A734="","",IF(LangIdx=2,C734&amp;"",B734&amp;""))</f>
        <v/>
      </c>
      <c r="E734" s="16"/>
      <c r="F734" s="16"/>
      <c r="G734" s="14" t="str">
        <f t="shared" si="11"/>
        <v/>
      </c>
    </row>
    <row r="735" spans="1:7" x14ac:dyDescent="0.3">
      <c r="A735" s="16"/>
      <c r="B735" s="16"/>
      <c r="C735" s="16"/>
      <c r="D735" s="14" t="str">
        <f>IF(A735="","",IF(LangIdx=2,C735&amp;"",B735&amp;""))</f>
        <v/>
      </c>
      <c r="E735" s="16"/>
      <c r="F735" s="16"/>
      <c r="G735" s="14" t="str">
        <f t="shared" si="11"/>
        <v/>
      </c>
    </row>
    <row r="736" spans="1:7" x14ac:dyDescent="0.3">
      <c r="A736" s="16"/>
      <c r="B736" s="16"/>
      <c r="C736" s="16"/>
      <c r="D736" s="14" t="str">
        <f>IF(A736="","",IF(LangIdx=2,C736&amp;"",B736&amp;""))</f>
        <v/>
      </c>
      <c r="E736" s="16"/>
      <c r="F736" s="16"/>
      <c r="G736" s="14" t="str">
        <f t="shared" si="11"/>
        <v/>
      </c>
    </row>
    <row r="737" spans="1:7" x14ac:dyDescent="0.3">
      <c r="A737" s="16"/>
      <c r="B737" s="16"/>
      <c r="C737" s="16"/>
      <c r="D737" s="14" t="str">
        <f>IF(A737="","",IF(LangIdx=2,C737&amp;"",B737&amp;""))</f>
        <v/>
      </c>
      <c r="E737" s="16"/>
      <c r="F737" s="16"/>
      <c r="G737" s="14" t="str">
        <f t="shared" si="11"/>
        <v/>
      </c>
    </row>
    <row r="738" spans="1:7" x14ac:dyDescent="0.3">
      <c r="A738" s="16"/>
      <c r="B738" s="16"/>
      <c r="C738" s="16"/>
      <c r="D738" s="14" t="str">
        <f>IF(A738="","",IF(LangIdx=2,C738&amp;"",B738&amp;""))</f>
        <v/>
      </c>
      <c r="E738" s="16"/>
      <c r="F738" s="16"/>
      <c r="G738" s="14" t="str">
        <f t="shared" si="11"/>
        <v/>
      </c>
    </row>
    <row r="739" spans="1:7" x14ac:dyDescent="0.3">
      <c r="A739" s="16"/>
      <c r="B739" s="16"/>
      <c r="C739" s="16"/>
      <c r="D739" s="14" t="str">
        <f>IF(A739="","",IF(LangIdx=2,C739&amp;"",B739&amp;""))</f>
        <v/>
      </c>
      <c r="E739" s="16"/>
      <c r="F739" s="16"/>
      <c r="G739" s="14" t="str">
        <f t="shared" si="11"/>
        <v/>
      </c>
    </row>
    <row r="740" spans="1:7" x14ac:dyDescent="0.3">
      <c r="A740" s="16"/>
      <c r="B740" s="16"/>
      <c r="C740" s="16"/>
      <c r="D740" s="14" t="str">
        <f>IF(A740="","",IF(LangIdx=2,C740&amp;"",B740&amp;""))</f>
        <v/>
      </c>
      <c r="E740" s="16"/>
      <c r="F740" s="16"/>
      <c r="G740" s="14" t="str">
        <f t="shared" si="11"/>
        <v/>
      </c>
    </row>
    <row r="741" spans="1:7" x14ac:dyDescent="0.3">
      <c r="A741" s="16"/>
      <c r="B741" s="16"/>
      <c r="C741" s="16"/>
      <c r="D741" s="14" t="str">
        <f>IF(A741="","",IF(LangIdx=2,C741&amp;"",B741&amp;""))</f>
        <v/>
      </c>
      <c r="E741" s="16"/>
      <c r="F741" s="16"/>
      <c r="G741" s="14" t="str">
        <f t="shared" si="11"/>
        <v/>
      </c>
    </row>
    <row r="742" spans="1:7" x14ac:dyDescent="0.3">
      <c r="A742" s="16"/>
      <c r="B742" s="16"/>
      <c r="C742" s="16"/>
      <c r="D742" s="14" t="str">
        <f>IF(A742="","",IF(LangIdx=2,C742&amp;"",B742&amp;""))</f>
        <v/>
      </c>
      <c r="E742" s="16"/>
      <c r="F742" s="16"/>
      <c r="G742" s="14" t="str">
        <f t="shared" si="11"/>
        <v/>
      </c>
    </row>
    <row r="743" spans="1:7" x14ac:dyDescent="0.3">
      <c r="A743" s="16"/>
      <c r="B743" s="16"/>
      <c r="C743" s="16"/>
      <c r="D743" s="14" t="str">
        <f>IF(A743="","",IF(LangIdx=2,C743&amp;"",B743&amp;""))</f>
        <v/>
      </c>
      <c r="E743" s="16"/>
      <c r="F743" s="16"/>
      <c r="G743" s="14" t="str">
        <f t="shared" si="11"/>
        <v/>
      </c>
    </row>
    <row r="744" spans="1:7" x14ac:dyDescent="0.3">
      <c r="A744" s="16"/>
      <c r="B744" s="16"/>
      <c r="C744" s="16"/>
      <c r="D744" s="14" t="str">
        <f>IF(A744="","",IF(LangIdx=2,C744&amp;"",B744&amp;""))</f>
        <v/>
      </c>
      <c r="E744" s="16"/>
      <c r="F744" s="16"/>
      <c r="G744" s="14" t="str">
        <f t="shared" si="11"/>
        <v/>
      </c>
    </row>
    <row r="745" spans="1:7" x14ac:dyDescent="0.3">
      <c r="A745" s="16"/>
      <c r="B745" s="16"/>
      <c r="C745" s="16"/>
      <c r="D745" s="14" t="str">
        <f>IF(A745="","",IF(LangIdx=2,C745&amp;"",B745&amp;""))</f>
        <v/>
      </c>
      <c r="E745" s="16"/>
      <c r="F745" s="16"/>
      <c r="G745" s="14" t="str">
        <f t="shared" si="11"/>
        <v/>
      </c>
    </row>
    <row r="746" spans="1:7" x14ac:dyDescent="0.3">
      <c r="A746" s="16"/>
      <c r="B746" s="16"/>
      <c r="C746" s="16"/>
      <c r="D746" s="14" t="str">
        <f>IF(A746="","",IF(LangIdx=2,C746&amp;"",B746&amp;""))</f>
        <v/>
      </c>
      <c r="E746" s="16"/>
      <c r="F746" s="16"/>
      <c r="G746" s="14" t="str">
        <f t="shared" si="11"/>
        <v/>
      </c>
    </row>
    <row r="747" spans="1:7" x14ac:dyDescent="0.3">
      <c r="A747" s="16"/>
      <c r="B747" s="16"/>
      <c r="C747" s="16"/>
      <c r="D747" s="14" t="str">
        <f>IF(A747="","",IF(LangIdx=2,C747&amp;"",B747&amp;""))</f>
        <v/>
      </c>
      <c r="E747" s="16"/>
      <c r="F747" s="16"/>
      <c r="G747" s="14" t="str">
        <f t="shared" si="11"/>
        <v/>
      </c>
    </row>
    <row r="748" spans="1:7" x14ac:dyDescent="0.3">
      <c r="A748" s="16"/>
      <c r="B748" s="16"/>
      <c r="C748" s="16"/>
      <c r="D748" s="14" t="str">
        <f>IF(A748="","",IF(LangIdx=2,C748&amp;"",B748&amp;""))</f>
        <v/>
      </c>
      <c r="E748" s="16"/>
      <c r="F748" s="16"/>
      <c r="G748" s="14" t="str">
        <f t="shared" si="11"/>
        <v/>
      </c>
    </row>
    <row r="749" spans="1:7" x14ac:dyDescent="0.3">
      <c r="A749" s="16"/>
      <c r="B749" s="16"/>
      <c r="C749" s="16"/>
      <c r="D749" s="14" t="str">
        <f>IF(A749="","",IF(LangIdx=2,C749&amp;"",B749&amp;""))</f>
        <v/>
      </c>
      <c r="E749" s="16"/>
      <c r="F749" s="16"/>
      <c r="G749" s="14" t="str">
        <f t="shared" si="11"/>
        <v/>
      </c>
    </row>
    <row r="750" spans="1:7" x14ac:dyDescent="0.3">
      <c r="A750" s="16"/>
      <c r="B750" s="16"/>
      <c r="C750" s="16"/>
      <c r="D750" s="14" t="str">
        <f>IF(A750="","",IF(LangIdx=2,C750&amp;"",B750&amp;""))</f>
        <v/>
      </c>
      <c r="E750" s="16"/>
      <c r="F750" s="16"/>
      <c r="G750" s="14" t="str">
        <f t="shared" si="11"/>
        <v/>
      </c>
    </row>
    <row r="751" spans="1:7" x14ac:dyDescent="0.3">
      <c r="A751" s="16"/>
      <c r="B751" s="16"/>
      <c r="C751" s="16"/>
      <c r="D751" s="14" t="str">
        <f>IF(A751="","",IF(LangIdx=2,C751&amp;"",B751&amp;""))</f>
        <v/>
      </c>
      <c r="E751" s="16"/>
      <c r="F751" s="16"/>
      <c r="G751" s="14" t="str">
        <f t="shared" ref="G751:G814" si="12">IF(A751="","",IF(COUNTIF(DICT_KEY,A751)&gt;1,"DUP",""))</f>
        <v/>
      </c>
    </row>
    <row r="752" spans="1:7" x14ac:dyDescent="0.3">
      <c r="A752" s="16"/>
      <c r="B752" s="16"/>
      <c r="C752" s="16"/>
      <c r="D752" s="14" t="str">
        <f>IF(A752="","",IF(LangIdx=2,C752&amp;"",B752&amp;""))</f>
        <v/>
      </c>
      <c r="E752" s="16"/>
      <c r="F752" s="16"/>
      <c r="G752" s="14" t="str">
        <f t="shared" si="12"/>
        <v/>
      </c>
    </row>
    <row r="753" spans="1:7" x14ac:dyDescent="0.3">
      <c r="A753" s="16"/>
      <c r="B753" s="16"/>
      <c r="C753" s="16"/>
      <c r="D753" s="14" t="str">
        <f>IF(A753="","",IF(LangIdx=2,C753&amp;"",B753&amp;""))</f>
        <v/>
      </c>
      <c r="E753" s="16"/>
      <c r="F753" s="16"/>
      <c r="G753" s="14" t="str">
        <f t="shared" si="12"/>
        <v/>
      </c>
    </row>
    <row r="754" spans="1:7" x14ac:dyDescent="0.3">
      <c r="A754" s="16"/>
      <c r="B754" s="16"/>
      <c r="C754" s="16"/>
      <c r="D754" s="14" t="str">
        <f>IF(A754="","",IF(LangIdx=2,C754&amp;"",B754&amp;""))</f>
        <v/>
      </c>
      <c r="E754" s="16"/>
      <c r="F754" s="16"/>
      <c r="G754" s="14" t="str">
        <f t="shared" si="12"/>
        <v/>
      </c>
    </row>
    <row r="755" spans="1:7" x14ac:dyDescent="0.3">
      <c r="A755" s="16"/>
      <c r="B755" s="16"/>
      <c r="C755" s="16"/>
      <c r="D755" s="14" t="str">
        <f>IF(A755="","",IF(LangIdx=2,C755&amp;"",B755&amp;""))</f>
        <v/>
      </c>
      <c r="E755" s="16"/>
      <c r="F755" s="16"/>
      <c r="G755" s="14" t="str">
        <f t="shared" si="12"/>
        <v/>
      </c>
    </row>
    <row r="756" spans="1:7" x14ac:dyDescent="0.3">
      <c r="A756" s="16"/>
      <c r="B756" s="16"/>
      <c r="C756" s="16"/>
      <c r="D756" s="14" t="str">
        <f>IF(A756="","",IF(LangIdx=2,C756&amp;"",B756&amp;""))</f>
        <v/>
      </c>
      <c r="E756" s="16"/>
      <c r="F756" s="16"/>
      <c r="G756" s="14" t="str">
        <f t="shared" si="12"/>
        <v/>
      </c>
    </row>
    <row r="757" spans="1:7" x14ac:dyDescent="0.3">
      <c r="A757" s="16"/>
      <c r="B757" s="16"/>
      <c r="C757" s="16"/>
      <c r="D757" s="14" t="str">
        <f>IF(A757="","",IF(LangIdx=2,C757&amp;"",B757&amp;""))</f>
        <v/>
      </c>
      <c r="E757" s="16"/>
      <c r="F757" s="16"/>
      <c r="G757" s="14" t="str">
        <f t="shared" si="12"/>
        <v/>
      </c>
    </row>
    <row r="758" spans="1:7" x14ac:dyDescent="0.3">
      <c r="A758" s="16"/>
      <c r="B758" s="16"/>
      <c r="C758" s="16"/>
      <c r="D758" s="14" t="str">
        <f>IF(A758="","",IF(LangIdx=2,C758&amp;"",B758&amp;""))</f>
        <v/>
      </c>
      <c r="E758" s="16"/>
      <c r="F758" s="16"/>
      <c r="G758" s="14" t="str">
        <f t="shared" si="12"/>
        <v/>
      </c>
    </row>
    <row r="759" spans="1:7" x14ac:dyDescent="0.3">
      <c r="A759" s="16"/>
      <c r="B759" s="16"/>
      <c r="C759" s="16"/>
      <c r="D759" s="14" t="str">
        <f>IF(A759="","",IF(LangIdx=2,C759&amp;"",B759&amp;""))</f>
        <v/>
      </c>
      <c r="E759" s="16"/>
      <c r="F759" s="16"/>
      <c r="G759" s="14" t="str">
        <f t="shared" si="12"/>
        <v/>
      </c>
    </row>
    <row r="760" spans="1:7" x14ac:dyDescent="0.3">
      <c r="A760" s="16"/>
      <c r="B760" s="16"/>
      <c r="C760" s="16"/>
      <c r="D760" s="14" t="str">
        <f>IF(A760="","",IF(LangIdx=2,C760&amp;"",B760&amp;""))</f>
        <v/>
      </c>
      <c r="E760" s="16"/>
      <c r="F760" s="16"/>
      <c r="G760" s="14" t="str">
        <f t="shared" si="12"/>
        <v/>
      </c>
    </row>
    <row r="761" spans="1:7" x14ac:dyDescent="0.3">
      <c r="A761" s="16"/>
      <c r="B761" s="16"/>
      <c r="C761" s="16"/>
      <c r="D761" s="14" t="str">
        <f>IF(A761="","",IF(LangIdx=2,C761&amp;"",B761&amp;""))</f>
        <v/>
      </c>
      <c r="E761" s="16"/>
      <c r="F761" s="16"/>
      <c r="G761" s="14" t="str">
        <f t="shared" si="12"/>
        <v/>
      </c>
    </row>
    <row r="762" spans="1:7" x14ac:dyDescent="0.3">
      <c r="A762" s="16"/>
      <c r="B762" s="16"/>
      <c r="C762" s="16"/>
      <c r="D762" s="14" t="str">
        <f>IF(A762="","",IF(LangIdx=2,C762&amp;"",B762&amp;""))</f>
        <v/>
      </c>
      <c r="E762" s="16"/>
      <c r="F762" s="16"/>
      <c r="G762" s="14" t="str">
        <f t="shared" si="12"/>
        <v/>
      </c>
    </row>
    <row r="763" spans="1:7" x14ac:dyDescent="0.3">
      <c r="A763" s="16"/>
      <c r="B763" s="16"/>
      <c r="C763" s="16"/>
      <c r="D763" s="14" t="str">
        <f>IF(A763="","",IF(LangIdx=2,C763&amp;"",B763&amp;""))</f>
        <v/>
      </c>
      <c r="E763" s="16"/>
      <c r="F763" s="16"/>
      <c r="G763" s="14" t="str">
        <f t="shared" si="12"/>
        <v/>
      </c>
    </row>
    <row r="764" spans="1:7" x14ac:dyDescent="0.3">
      <c r="A764" s="16"/>
      <c r="B764" s="16"/>
      <c r="C764" s="16"/>
      <c r="D764" s="14" t="str">
        <f>IF(A764="","",IF(LangIdx=2,C764&amp;"",B764&amp;""))</f>
        <v/>
      </c>
      <c r="E764" s="16"/>
      <c r="F764" s="16"/>
      <c r="G764" s="14" t="str">
        <f t="shared" si="12"/>
        <v/>
      </c>
    </row>
    <row r="765" spans="1:7" x14ac:dyDescent="0.3">
      <c r="A765" s="16"/>
      <c r="B765" s="16"/>
      <c r="C765" s="16"/>
      <c r="D765" s="14" t="str">
        <f>IF(A765="","",IF(LangIdx=2,C765&amp;"",B765&amp;""))</f>
        <v/>
      </c>
      <c r="E765" s="16"/>
      <c r="F765" s="16"/>
      <c r="G765" s="14" t="str">
        <f t="shared" si="12"/>
        <v/>
      </c>
    </row>
    <row r="766" spans="1:7" x14ac:dyDescent="0.3">
      <c r="A766" s="16"/>
      <c r="B766" s="16"/>
      <c r="C766" s="16"/>
      <c r="D766" s="14" t="str">
        <f>IF(A766="","",IF(LangIdx=2,C766&amp;"",B766&amp;""))</f>
        <v/>
      </c>
      <c r="E766" s="16"/>
      <c r="F766" s="16"/>
      <c r="G766" s="14" t="str">
        <f t="shared" si="12"/>
        <v/>
      </c>
    </row>
    <row r="767" spans="1:7" x14ac:dyDescent="0.3">
      <c r="A767" s="16"/>
      <c r="B767" s="16"/>
      <c r="C767" s="16"/>
      <c r="D767" s="14" t="str">
        <f>IF(A767="","",IF(LangIdx=2,C767&amp;"",B767&amp;""))</f>
        <v/>
      </c>
      <c r="E767" s="16"/>
      <c r="F767" s="16"/>
      <c r="G767" s="14" t="str">
        <f t="shared" si="12"/>
        <v/>
      </c>
    </row>
    <row r="768" spans="1:7" x14ac:dyDescent="0.3">
      <c r="A768" s="16"/>
      <c r="B768" s="16"/>
      <c r="C768" s="16"/>
      <c r="D768" s="14" t="str">
        <f>IF(A768="","",IF(LangIdx=2,C768&amp;"",B768&amp;""))</f>
        <v/>
      </c>
      <c r="E768" s="16"/>
      <c r="F768" s="16"/>
      <c r="G768" s="14" t="str">
        <f t="shared" si="12"/>
        <v/>
      </c>
    </row>
    <row r="769" spans="1:7" x14ac:dyDescent="0.3">
      <c r="A769" s="16"/>
      <c r="B769" s="16"/>
      <c r="C769" s="16"/>
      <c r="D769" s="14" t="str">
        <f>IF(A769="","",IF(LangIdx=2,C769&amp;"",B769&amp;""))</f>
        <v/>
      </c>
      <c r="E769" s="16"/>
      <c r="F769" s="16"/>
      <c r="G769" s="14" t="str">
        <f t="shared" si="12"/>
        <v/>
      </c>
    </row>
    <row r="770" spans="1:7" x14ac:dyDescent="0.3">
      <c r="A770" s="16"/>
      <c r="B770" s="16"/>
      <c r="C770" s="16"/>
      <c r="D770" s="14" t="str">
        <f>IF(A770="","",IF(LangIdx=2,C770&amp;"",B770&amp;""))</f>
        <v/>
      </c>
      <c r="E770" s="16"/>
      <c r="F770" s="16"/>
      <c r="G770" s="14" t="str">
        <f t="shared" si="12"/>
        <v/>
      </c>
    </row>
    <row r="771" spans="1:7" x14ac:dyDescent="0.3">
      <c r="A771" s="16"/>
      <c r="B771" s="16"/>
      <c r="C771" s="16"/>
      <c r="D771" s="14" t="str">
        <f>IF(A771="","",IF(LangIdx=2,C771&amp;"",B771&amp;""))</f>
        <v/>
      </c>
      <c r="E771" s="16"/>
      <c r="F771" s="16"/>
      <c r="G771" s="14" t="str">
        <f t="shared" si="12"/>
        <v/>
      </c>
    </row>
    <row r="772" spans="1:7" x14ac:dyDescent="0.3">
      <c r="A772" s="16"/>
      <c r="B772" s="16"/>
      <c r="C772" s="16"/>
      <c r="D772" s="14" t="str">
        <f>IF(A772="","",IF(LangIdx=2,C772&amp;"",B772&amp;""))</f>
        <v/>
      </c>
      <c r="E772" s="16"/>
      <c r="F772" s="16"/>
      <c r="G772" s="14" t="str">
        <f t="shared" si="12"/>
        <v/>
      </c>
    </row>
    <row r="773" spans="1:7" x14ac:dyDescent="0.3">
      <c r="A773" s="16"/>
      <c r="B773" s="16"/>
      <c r="C773" s="16"/>
      <c r="D773" s="14" t="str">
        <f>IF(A773="","",IF(LangIdx=2,C773&amp;"",B773&amp;""))</f>
        <v/>
      </c>
      <c r="E773" s="16"/>
      <c r="F773" s="16"/>
      <c r="G773" s="14" t="str">
        <f t="shared" si="12"/>
        <v/>
      </c>
    </row>
    <row r="774" spans="1:7" x14ac:dyDescent="0.3">
      <c r="A774" s="16"/>
      <c r="B774" s="16"/>
      <c r="C774" s="16"/>
      <c r="D774" s="14" t="str">
        <f>IF(A774="","",IF(LangIdx=2,C774&amp;"",B774&amp;""))</f>
        <v/>
      </c>
      <c r="E774" s="16"/>
      <c r="F774" s="16"/>
      <c r="G774" s="14" t="str">
        <f t="shared" si="12"/>
        <v/>
      </c>
    </row>
    <row r="775" spans="1:7" x14ac:dyDescent="0.3">
      <c r="A775" s="16"/>
      <c r="B775" s="16"/>
      <c r="C775" s="16"/>
      <c r="D775" s="14" t="str">
        <f>IF(A775="","",IF(LangIdx=2,C775&amp;"",B775&amp;""))</f>
        <v/>
      </c>
      <c r="E775" s="16"/>
      <c r="F775" s="16"/>
      <c r="G775" s="14" t="str">
        <f t="shared" si="12"/>
        <v/>
      </c>
    </row>
    <row r="776" spans="1:7" x14ac:dyDescent="0.3">
      <c r="A776" s="16"/>
      <c r="B776" s="16"/>
      <c r="C776" s="16"/>
      <c r="D776" s="14" t="str">
        <f>IF(A776="","",IF(LangIdx=2,C776&amp;"",B776&amp;""))</f>
        <v/>
      </c>
      <c r="E776" s="16"/>
      <c r="F776" s="16"/>
      <c r="G776" s="14" t="str">
        <f t="shared" si="12"/>
        <v/>
      </c>
    </row>
    <row r="777" spans="1:7" x14ac:dyDescent="0.3">
      <c r="A777" s="16"/>
      <c r="B777" s="16"/>
      <c r="C777" s="16"/>
      <c r="D777" s="14" t="str">
        <f>IF(A777="","",IF(LangIdx=2,C777&amp;"",B777&amp;""))</f>
        <v/>
      </c>
      <c r="E777" s="16"/>
      <c r="F777" s="16"/>
      <c r="G777" s="14" t="str">
        <f t="shared" si="12"/>
        <v/>
      </c>
    </row>
    <row r="778" spans="1:7" x14ac:dyDescent="0.3">
      <c r="A778" s="16"/>
      <c r="B778" s="16"/>
      <c r="C778" s="16"/>
      <c r="D778" s="14" t="str">
        <f>IF(A778="","",IF(LangIdx=2,C778&amp;"",B778&amp;""))</f>
        <v/>
      </c>
      <c r="E778" s="16"/>
      <c r="F778" s="16"/>
      <c r="G778" s="14" t="str">
        <f t="shared" si="12"/>
        <v/>
      </c>
    </row>
    <row r="779" spans="1:7" x14ac:dyDescent="0.3">
      <c r="A779" s="16"/>
      <c r="B779" s="16"/>
      <c r="C779" s="16"/>
      <c r="D779" s="14" t="str">
        <f>IF(A779="","",IF(LangIdx=2,C779&amp;"",B779&amp;""))</f>
        <v/>
      </c>
      <c r="E779" s="16"/>
      <c r="F779" s="16"/>
      <c r="G779" s="14" t="str">
        <f t="shared" si="12"/>
        <v/>
      </c>
    </row>
    <row r="780" spans="1:7" x14ac:dyDescent="0.3">
      <c r="A780" s="16"/>
      <c r="B780" s="16"/>
      <c r="C780" s="16"/>
      <c r="D780" s="14" t="str">
        <f>IF(A780="","",IF(LangIdx=2,C780&amp;"",B780&amp;""))</f>
        <v/>
      </c>
      <c r="E780" s="16"/>
      <c r="F780" s="16"/>
      <c r="G780" s="14" t="str">
        <f t="shared" si="12"/>
        <v/>
      </c>
    </row>
    <row r="781" spans="1:7" x14ac:dyDescent="0.3">
      <c r="A781" s="16"/>
      <c r="B781" s="16"/>
      <c r="C781" s="16"/>
      <c r="D781" s="14" t="str">
        <f>IF(A781="","",IF(LangIdx=2,C781&amp;"",B781&amp;""))</f>
        <v/>
      </c>
      <c r="E781" s="16"/>
      <c r="F781" s="16"/>
      <c r="G781" s="14" t="str">
        <f t="shared" si="12"/>
        <v/>
      </c>
    </row>
    <row r="782" spans="1:7" x14ac:dyDescent="0.3">
      <c r="A782" s="16"/>
      <c r="B782" s="16"/>
      <c r="C782" s="16"/>
      <c r="D782" s="14" t="str">
        <f>IF(A782="","",IF(LangIdx=2,C782&amp;"",B782&amp;""))</f>
        <v/>
      </c>
      <c r="E782" s="16"/>
      <c r="F782" s="16"/>
      <c r="G782" s="14" t="str">
        <f t="shared" si="12"/>
        <v/>
      </c>
    </row>
    <row r="783" spans="1:7" x14ac:dyDescent="0.3">
      <c r="A783" s="16"/>
      <c r="B783" s="16"/>
      <c r="C783" s="16"/>
      <c r="D783" s="14" t="str">
        <f>IF(A783="","",IF(LangIdx=2,C783&amp;"",B783&amp;""))</f>
        <v/>
      </c>
      <c r="E783" s="16"/>
      <c r="F783" s="16"/>
      <c r="G783" s="14" t="str">
        <f t="shared" si="12"/>
        <v/>
      </c>
    </row>
    <row r="784" spans="1:7" x14ac:dyDescent="0.3">
      <c r="A784" s="16"/>
      <c r="B784" s="16"/>
      <c r="C784" s="16"/>
      <c r="D784" s="14" t="str">
        <f>IF(A784="","",IF(LangIdx=2,C784&amp;"",B784&amp;""))</f>
        <v/>
      </c>
      <c r="E784" s="16"/>
      <c r="F784" s="16"/>
      <c r="G784" s="14" t="str">
        <f t="shared" si="12"/>
        <v/>
      </c>
    </row>
    <row r="785" spans="1:7" x14ac:dyDescent="0.3">
      <c r="A785" s="16"/>
      <c r="B785" s="16"/>
      <c r="C785" s="16"/>
      <c r="D785" s="14" t="str">
        <f>IF(A785="","",IF(LangIdx=2,C785&amp;"",B785&amp;""))</f>
        <v/>
      </c>
      <c r="E785" s="16"/>
      <c r="F785" s="16"/>
      <c r="G785" s="14" t="str">
        <f t="shared" si="12"/>
        <v/>
      </c>
    </row>
    <row r="786" spans="1:7" x14ac:dyDescent="0.3">
      <c r="A786" s="16"/>
      <c r="B786" s="16"/>
      <c r="C786" s="16"/>
      <c r="D786" s="14" t="str">
        <f>IF(A786="","",IF(LangIdx=2,C786&amp;"",B786&amp;""))</f>
        <v/>
      </c>
      <c r="E786" s="16"/>
      <c r="F786" s="16"/>
      <c r="G786" s="14" t="str">
        <f t="shared" si="12"/>
        <v/>
      </c>
    </row>
    <row r="787" spans="1:7" x14ac:dyDescent="0.3">
      <c r="A787" s="16"/>
      <c r="B787" s="16"/>
      <c r="C787" s="16"/>
      <c r="D787" s="14" t="str">
        <f>IF(A787="","",IF(LangIdx=2,C787&amp;"",B787&amp;""))</f>
        <v/>
      </c>
      <c r="E787" s="16"/>
      <c r="F787" s="16"/>
      <c r="G787" s="14" t="str">
        <f t="shared" si="12"/>
        <v/>
      </c>
    </row>
    <row r="788" spans="1:7" x14ac:dyDescent="0.3">
      <c r="A788" s="16"/>
      <c r="B788" s="16"/>
      <c r="C788" s="16"/>
      <c r="D788" s="14" t="str">
        <f>IF(A788="","",IF(LangIdx=2,C788&amp;"",B788&amp;""))</f>
        <v/>
      </c>
      <c r="E788" s="16"/>
      <c r="F788" s="16"/>
      <c r="G788" s="14" t="str">
        <f t="shared" si="12"/>
        <v/>
      </c>
    </row>
    <row r="789" spans="1:7" x14ac:dyDescent="0.3">
      <c r="A789" s="16"/>
      <c r="B789" s="16"/>
      <c r="C789" s="16"/>
      <c r="D789" s="14" t="str">
        <f>IF(A789="","",IF(LangIdx=2,C789&amp;"",B789&amp;""))</f>
        <v/>
      </c>
      <c r="E789" s="16"/>
      <c r="F789" s="16"/>
      <c r="G789" s="14" t="str">
        <f t="shared" si="12"/>
        <v/>
      </c>
    </row>
    <row r="790" spans="1:7" x14ac:dyDescent="0.3">
      <c r="A790" s="16"/>
      <c r="B790" s="16"/>
      <c r="C790" s="16"/>
      <c r="D790" s="14" t="str">
        <f>IF(A790="","",IF(LangIdx=2,C790&amp;"",B790&amp;""))</f>
        <v/>
      </c>
      <c r="E790" s="16"/>
      <c r="F790" s="16"/>
      <c r="G790" s="14" t="str">
        <f t="shared" si="12"/>
        <v/>
      </c>
    </row>
    <row r="791" spans="1:7" x14ac:dyDescent="0.3">
      <c r="A791" s="16"/>
      <c r="B791" s="16"/>
      <c r="C791" s="16"/>
      <c r="D791" s="14" t="str">
        <f>IF(A791="","",IF(LangIdx=2,C791&amp;"",B791&amp;""))</f>
        <v/>
      </c>
      <c r="E791" s="16"/>
      <c r="F791" s="16"/>
      <c r="G791" s="14" t="str">
        <f t="shared" si="12"/>
        <v/>
      </c>
    </row>
    <row r="792" spans="1:7" x14ac:dyDescent="0.3">
      <c r="A792" s="16"/>
      <c r="B792" s="16"/>
      <c r="C792" s="16"/>
      <c r="D792" s="14" t="str">
        <f>IF(A792="","",IF(LangIdx=2,C792&amp;"",B792&amp;""))</f>
        <v/>
      </c>
      <c r="E792" s="16"/>
      <c r="F792" s="16"/>
      <c r="G792" s="14" t="str">
        <f t="shared" si="12"/>
        <v/>
      </c>
    </row>
    <row r="793" spans="1:7" x14ac:dyDescent="0.3">
      <c r="A793" s="16"/>
      <c r="B793" s="16"/>
      <c r="C793" s="16"/>
      <c r="D793" s="14" t="str">
        <f>IF(A793="","",IF(LangIdx=2,C793&amp;"",B793&amp;""))</f>
        <v/>
      </c>
      <c r="E793" s="16"/>
      <c r="F793" s="16"/>
      <c r="G793" s="14" t="str">
        <f t="shared" si="12"/>
        <v/>
      </c>
    </row>
    <row r="794" spans="1:7" x14ac:dyDescent="0.3">
      <c r="A794" s="16"/>
      <c r="B794" s="16"/>
      <c r="C794" s="16"/>
      <c r="D794" s="14" t="str">
        <f>IF(A794="","",IF(LangIdx=2,C794&amp;"",B794&amp;""))</f>
        <v/>
      </c>
      <c r="E794" s="16"/>
      <c r="F794" s="16"/>
      <c r="G794" s="14" t="str">
        <f t="shared" si="12"/>
        <v/>
      </c>
    </row>
    <row r="795" spans="1:7" x14ac:dyDescent="0.3">
      <c r="A795" s="16"/>
      <c r="B795" s="16"/>
      <c r="C795" s="16"/>
      <c r="D795" s="14" t="str">
        <f>IF(A795="","",IF(LangIdx=2,C795&amp;"",B795&amp;""))</f>
        <v/>
      </c>
      <c r="E795" s="16"/>
      <c r="F795" s="16"/>
      <c r="G795" s="14" t="str">
        <f t="shared" si="12"/>
        <v/>
      </c>
    </row>
    <row r="796" spans="1:7" x14ac:dyDescent="0.3">
      <c r="A796" s="16"/>
      <c r="B796" s="16"/>
      <c r="C796" s="16"/>
      <c r="D796" s="14" t="str">
        <f>IF(A796="","",IF(LangIdx=2,C796&amp;"",B796&amp;""))</f>
        <v/>
      </c>
      <c r="E796" s="16"/>
      <c r="F796" s="16"/>
      <c r="G796" s="14" t="str">
        <f t="shared" si="12"/>
        <v/>
      </c>
    </row>
    <row r="797" spans="1:7" x14ac:dyDescent="0.3">
      <c r="A797" s="16"/>
      <c r="B797" s="16"/>
      <c r="C797" s="16"/>
      <c r="D797" s="14" t="str">
        <f>IF(A797="","",IF(LangIdx=2,C797&amp;"",B797&amp;""))</f>
        <v/>
      </c>
      <c r="E797" s="16"/>
      <c r="F797" s="16"/>
      <c r="G797" s="14" t="str">
        <f t="shared" si="12"/>
        <v/>
      </c>
    </row>
    <row r="798" spans="1:7" x14ac:dyDescent="0.3">
      <c r="A798" s="16"/>
      <c r="B798" s="16"/>
      <c r="C798" s="16"/>
      <c r="D798" s="14" t="str">
        <f>IF(A798="","",IF(LangIdx=2,C798&amp;"",B798&amp;""))</f>
        <v/>
      </c>
      <c r="E798" s="16"/>
      <c r="F798" s="16"/>
      <c r="G798" s="14" t="str">
        <f t="shared" si="12"/>
        <v/>
      </c>
    </row>
    <row r="799" spans="1:7" x14ac:dyDescent="0.3">
      <c r="A799" s="16"/>
      <c r="B799" s="16"/>
      <c r="C799" s="16"/>
      <c r="D799" s="14" t="str">
        <f>IF(A799="","",IF(LangIdx=2,C799&amp;"",B799&amp;""))</f>
        <v/>
      </c>
      <c r="E799" s="16"/>
      <c r="F799" s="16"/>
      <c r="G799" s="14" t="str">
        <f t="shared" si="12"/>
        <v/>
      </c>
    </row>
    <row r="800" spans="1:7" x14ac:dyDescent="0.3">
      <c r="A800" s="16"/>
      <c r="B800" s="16"/>
      <c r="C800" s="16"/>
      <c r="D800" s="14" t="str">
        <f>IF(A800="","",IF(LangIdx=2,C800&amp;"",B800&amp;""))</f>
        <v/>
      </c>
      <c r="E800" s="16"/>
      <c r="F800" s="16"/>
      <c r="G800" s="14" t="str">
        <f t="shared" si="12"/>
        <v/>
      </c>
    </row>
    <row r="801" spans="1:7" x14ac:dyDescent="0.3">
      <c r="A801" s="16"/>
      <c r="B801" s="16"/>
      <c r="C801" s="16"/>
      <c r="D801" s="14" t="str">
        <f>IF(A801="","",IF(LangIdx=2,C801&amp;"",B801&amp;""))</f>
        <v/>
      </c>
      <c r="E801" s="16"/>
      <c r="F801" s="16"/>
      <c r="G801" s="14" t="str">
        <f t="shared" si="12"/>
        <v/>
      </c>
    </row>
    <row r="802" spans="1:7" x14ac:dyDescent="0.3">
      <c r="A802" s="16"/>
      <c r="B802" s="16"/>
      <c r="C802" s="16"/>
      <c r="D802" s="14" t="str">
        <f>IF(A802="","",IF(LangIdx=2,C802&amp;"",B802&amp;""))</f>
        <v/>
      </c>
      <c r="E802" s="16"/>
      <c r="F802" s="16"/>
      <c r="G802" s="14" t="str">
        <f t="shared" si="12"/>
        <v/>
      </c>
    </row>
    <row r="803" spans="1:7" x14ac:dyDescent="0.3">
      <c r="A803" s="16"/>
      <c r="B803" s="16"/>
      <c r="C803" s="16"/>
      <c r="D803" s="14" t="str">
        <f>IF(A803="","",IF(LangIdx=2,C803&amp;"",B803&amp;""))</f>
        <v/>
      </c>
      <c r="E803" s="16"/>
      <c r="F803" s="16"/>
      <c r="G803" s="14" t="str">
        <f t="shared" si="12"/>
        <v/>
      </c>
    </row>
    <row r="804" spans="1:7" x14ac:dyDescent="0.3">
      <c r="A804" s="16"/>
      <c r="B804" s="16"/>
      <c r="C804" s="16"/>
      <c r="D804" s="14" t="str">
        <f>IF(A804="","",IF(LangIdx=2,C804&amp;"",B804&amp;""))</f>
        <v/>
      </c>
      <c r="E804" s="16"/>
      <c r="F804" s="16"/>
      <c r="G804" s="14" t="str">
        <f t="shared" si="12"/>
        <v/>
      </c>
    </row>
    <row r="805" spans="1:7" x14ac:dyDescent="0.3">
      <c r="A805" s="16"/>
      <c r="B805" s="16"/>
      <c r="C805" s="16"/>
      <c r="D805" s="14" t="str">
        <f>IF(A805="","",IF(LangIdx=2,C805&amp;"",B805&amp;""))</f>
        <v/>
      </c>
      <c r="E805" s="16"/>
      <c r="F805" s="16"/>
      <c r="G805" s="14" t="str">
        <f t="shared" si="12"/>
        <v/>
      </c>
    </row>
    <row r="806" spans="1:7" x14ac:dyDescent="0.3">
      <c r="A806" s="16"/>
      <c r="B806" s="16"/>
      <c r="C806" s="16"/>
      <c r="D806" s="14" t="str">
        <f>IF(A806="","",IF(LangIdx=2,C806&amp;"",B806&amp;""))</f>
        <v/>
      </c>
      <c r="E806" s="16"/>
      <c r="F806" s="16"/>
      <c r="G806" s="14" t="str">
        <f t="shared" si="12"/>
        <v/>
      </c>
    </row>
    <row r="807" spans="1:7" x14ac:dyDescent="0.3">
      <c r="A807" s="16"/>
      <c r="B807" s="16"/>
      <c r="C807" s="16"/>
      <c r="D807" s="14" t="str">
        <f>IF(A807="","",IF(LangIdx=2,C807&amp;"",B807&amp;""))</f>
        <v/>
      </c>
      <c r="E807" s="16"/>
      <c r="F807" s="16"/>
      <c r="G807" s="14" t="str">
        <f t="shared" si="12"/>
        <v/>
      </c>
    </row>
    <row r="808" spans="1:7" x14ac:dyDescent="0.3">
      <c r="A808" s="16"/>
      <c r="B808" s="16"/>
      <c r="C808" s="16"/>
      <c r="D808" s="14" t="str">
        <f>IF(A808="","",IF(LangIdx=2,C808&amp;"",B808&amp;""))</f>
        <v/>
      </c>
      <c r="E808" s="16"/>
      <c r="F808" s="16"/>
      <c r="G808" s="14" t="str">
        <f t="shared" si="12"/>
        <v/>
      </c>
    </row>
    <row r="809" spans="1:7" x14ac:dyDescent="0.3">
      <c r="A809" s="16"/>
      <c r="B809" s="16"/>
      <c r="C809" s="16"/>
      <c r="D809" s="14" t="str">
        <f>IF(A809="","",IF(LangIdx=2,C809&amp;"",B809&amp;""))</f>
        <v/>
      </c>
      <c r="E809" s="16"/>
      <c r="F809" s="16"/>
      <c r="G809" s="14" t="str">
        <f t="shared" si="12"/>
        <v/>
      </c>
    </row>
    <row r="810" spans="1:7" x14ac:dyDescent="0.3">
      <c r="A810" s="16"/>
      <c r="B810" s="16"/>
      <c r="C810" s="16"/>
      <c r="D810" s="14" t="str">
        <f>IF(A810="","",IF(LangIdx=2,C810&amp;"",B810&amp;""))</f>
        <v/>
      </c>
      <c r="E810" s="16"/>
      <c r="F810" s="16"/>
      <c r="G810" s="14" t="str">
        <f t="shared" si="12"/>
        <v/>
      </c>
    </row>
    <row r="811" spans="1:7" x14ac:dyDescent="0.3">
      <c r="A811" s="16"/>
      <c r="B811" s="16"/>
      <c r="C811" s="16"/>
      <c r="D811" s="14" t="str">
        <f>IF(A811="","",IF(LangIdx=2,C811&amp;"",B811&amp;""))</f>
        <v/>
      </c>
      <c r="E811" s="16"/>
      <c r="F811" s="16"/>
      <c r="G811" s="14" t="str">
        <f t="shared" si="12"/>
        <v/>
      </c>
    </row>
    <row r="812" spans="1:7" x14ac:dyDescent="0.3">
      <c r="A812" s="16"/>
      <c r="B812" s="16"/>
      <c r="C812" s="16"/>
      <c r="D812" s="14" t="str">
        <f>IF(A812="","",IF(LangIdx=2,C812&amp;"",B812&amp;""))</f>
        <v/>
      </c>
      <c r="E812" s="16"/>
      <c r="F812" s="16"/>
      <c r="G812" s="14" t="str">
        <f t="shared" si="12"/>
        <v/>
      </c>
    </row>
    <row r="813" spans="1:7" x14ac:dyDescent="0.3">
      <c r="A813" s="16"/>
      <c r="B813" s="16"/>
      <c r="C813" s="16"/>
      <c r="D813" s="14" t="str">
        <f>IF(A813="","",IF(LangIdx=2,C813&amp;"",B813&amp;""))</f>
        <v/>
      </c>
      <c r="E813" s="16"/>
      <c r="F813" s="16"/>
      <c r="G813" s="14" t="str">
        <f t="shared" si="12"/>
        <v/>
      </c>
    </row>
    <row r="814" spans="1:7" x14ac:dyDescent="0.3">
      <c r="A814" s="16"/>
      <c r="B814" s="16"/>
      <c r="C814" s="16"/>
      <c r="D814" s="14" t="str">
        <f>IF(A814="","",IF(LangIdx=2,C814&amp;"",B814&amp;""))</f>
        <v/>
      </c>
      <c r="E814" s="16"/>
      <c r="F814" s="16"/>
      <c r="G814" s="14" t="str">
        <f t="shared" si="12"/>
        <v/>
      </c>
    </row>
    <row r="815" spans="1:7" x14ac:dyDescent="0.3">
      <c r="A815" s="16"/>
      <c r="B815" s="16"/>
      <c r="C815" s="16"/>
      <c r="D815" s="14" t="str">
        <f>IF(A815="","",IF(LangIdx=2,C815&amp;"",B815&amp;""))</f>
        <v/>
      </c>
      <c r="E815" s="16"/>
      <c r="F815" s="16"/>
      <c r="G815" s="14" t="str">
        <f t="shared" ref="G815:G878" si="13">IF(A815="","",IF(COUNTIF(DICT_KEY,A815)&gt;1,"DUP",""))</f>
        <v/>
      </c>
    </row>
    <row r="816" spans="1:7" x14ac:dyDescent="0.3">
      <c r="A816" s="16"/>
      <c r="B816" s="16"/>
      <c r="C816" s="16"/>
      <c r="D816" s="14" t="str">
        <f>IF(A816="","",IF(LangIdx=2,C816&amp;"",B816&amp;""))</f>
        <v/>
      </c>
      <c r="E816" s="16"/>
      <c r="F816" s="16"/>
      <c r="G816" s="14" t="str">
        <f t="shared" si="13"/>
        <v/>
      </c>
    </row>
    <row r="817" spans="1:7" x14ac:dyDescent="0.3">
      <c r="A817" s="16"/>
      <c r="B817" s="16"/>
      <c r="C817" s="16"/>
      <c r="D817" s="14" t="str">
        <f>IF(A817="","",IF(LangIdx=2,C817&amp;"",B817&amp;""))</f>
        <v/>
      </c>
      <c r="E817" s="16"/>
      <c r="F817" s="16"/>
      <c r="G817" s="14" t="str">
        <f t="shared" si="13"/>
        <v/>
      </c>
    </row>
    <row r="818" spans="1:7" x14ac:dyDescent="0.3">
      <c r="A818" s="16"/>
      <c r="B818" s="16"/>
      <c r="C818" s="16"/>
      <c r="D818" s="14" t="str">
        <f>IF(A818="","",IF(LangIdx=2,C818&amp;"",B818&amp;""))</f>
        <v/>
      </c>
      <c r="E818" s="16"/>
      <c r="F818" s="16"/>
      <c r="G818" s="14" t="str">
        <f t="shared" si="13"/>
        <v/>
      </c>
    </row>
    <row r="819" spans="1:7" x14ac:dyDescent="0.3">
      <c r="A819" s="16"/>
      <c r="B819" s="16"/>
      <c r="C819" s="16"/>
      <c r="D819" s="14" t="str">
        <f>IF(A819="","",IF(LangIdx=2,C819&amp;"",B819&amp;""))</f>
        <v/>
      </c>
      <c r="E819" s="16"/>
      <c r="F819" s="16"/>
      <c r="G819" s="14" t="str">
        <f t="shared" si="13"/>
        <v/>
      </c>
    </row>
    <row r="820" spans="1:7" x14ac:dyDescent="0.3">
      <c r="A820" s="16"/>
      <c r="B820" s="16"/>
      <c r="C820" s="16"/>
      <c r="D820" s="14" t="str">
        <f>IF(A820="","",IF(LangIdx=2,C820&amp;"",B820&amp;""))</f>
        <v/>
      </c>
      <c r="E820" s="16"/>
      <c r="F820" s="16"/>
      <c r="G820" s="14" t="str">
        <f t="shared" si="13"/>
        <v/>
      </c>
    </row>
    <row r="821" spans="1:7" x14ac:dyDescent="0.3">
      <c r="A821" s="16"/>
      <c r="B821" s="16"/>
      <c r="C821" s="16"/>
      <c r="D821" s="14" t="str">
        <f>IF(A821="","",IF(LangIdx=2,C821&amp;"",B821&amp;""))</f>
        <v/>
      </c>
      <c r="E821" s="16"/>
      <c r="F821" s="16"/>
      <c r="G821" s="14" t="str">
        <f t="shared" si="13"/>
        <v/>
      </c>
    </row>
    <row r="822" spans="1:7" x14ac:dyDescent="0.3">
      <c r="A822" s="16"/>
      <c r="B822" s="16"/>
      <c r="C822" s="16"/>
      <c r="D822" s="14" t="str">
        <f>IF(A822="","",IF(LangIdx=2,C822&amp;"",B822&amp;""))</f>
        <v/>
      </c>
      <c r="E822" s="16"/>
      <c r="F822" s="16"/>
      <c r="G822" s="14" t="str">
        <f t="shared" si="13"/>
        <v/>
      </c>
    </row>
    <row r="823" spans="1:7" x14ac:dyDescent="0.3">
      <c r="A823" s="16"/>
      <c r="B823" s="16"/>
      <c r="C823" s="16"/>
      <c r="D823" s="14" t="str">
        <f>IF(A823="","",IF(LangIdx=2,C823&amp;"",B823&amp;""))</f>
        <v/>
      </c>
      <c r="E823" s="16"/>
      <c r="F823" s="16"/>
      <c r="G823" s="14" t="str">
        <f t="shared" si="13"/>
        <v/>
      </c>
    </row>
    <row r="824" spans="1:7" x14ac:dyDescent="0.3">
      <c r="A824" s="16"/>
      <c r="B824" s="16"/>
      <c r="C824" s="16"/>
      <c r="D824" s="14" t="str">
        <f>IF(A824="","",IF(LangIdx=2,C824&amp;"",B824&amp;""))</f>
        <v/>
      </c>
      <c r="E824" s="16"/>
      <c r="F824" s="16"/>
      <c r="G824" s="14" t="str">
        <f t="shared" si="13"/>
        <v/>
      </c>
    </row>
    <row r="825" spans="1:7" x14ac:dyDescent="0.3">
      <c r="A825" s="16"/>
      <c r="B825" s="16"/>
      <c r="C825" s="16"/>
      <c r="D825" s="14" t="str">
        <f>IF(A825="","",IF(LangIdx=2,C825&amp;"",B825&amp;""))</f>
        <v/>
      </c>
      <c r="E825" s="16"/>
      <c r="F825" s="16"/>
      <c r="G825" s="14" t="str">
        <f t="shared" si="13"/>
        <v/>
      </c>
    </row>
    <row r="826" spans="1:7" x14ac:dyDescent="0.3">
      <c r="A826" s="16"/>
      <c r="B826" s="16"/>
      <c r="C826" s="16"/>
      <c r="D826" s="14" t="str">
        <f>IF(A826="","",IF(LangIdx=2,C826&amp;"",B826&amp;""))</f>
        <v/>
      </c>
      <c r="E826" s="16"/>
      <c r="F826" s="16"/>
      <c r="G826" s="14" t="str">
        <f t="shared" si="13"/>
        <v/>
      </c>
    </row>
    <row r="827" spans="1:7" x14ac:dyDescent="0.3">
      <c r="A827" s="16"/>
      <c r="B827" s="16"/>
      <c r="C827" s="16"/>
      <c r="D827" s="14" t="str">
        <f>IF(A827="","",IF(LangIdx=2,C827&amp;"",B827&amp;""))</f>
        <v/>
      </c>
      <c r="E827" s="16"/>
      <c r="F827" s="16"/>
      <c r="G827" s="14" t="str">
        <f t="shared" si="13"/>
        <v/>
      </c>
    </row>
    <row r="828" spans="1:7" x14ac:dyDescent="0.3">
      <c r="A828" s="16"/>
      <c r="B828" s="16"/>
      <c r="C828" s="16"/>
      <c r="D828" s="14" t="str">
        <f>IF(A828="","",IF(LangIdx=2,C828&amp;"",B828&amp;""))</f>
        <v/>
      </c>
      <c r="E828" s="16"/>
      <c r="F828" s="16"/>
      <c r="G828" s="14" t="str">
        <f t="shared" si="13"/>
        <v/>
      </c>
    </row>
    <row r="829" spans="1:7" x14ac:dyDescent="0.3">
      <c r="A829" s="16"/>
      <c r="B829" s="16"/>
      <c r="C829" s="16"/>
      <c r="D829" s="14" t="str">
        <f>IF(A829="","",IF(LangIdx=2,C829&amp;"",B829&amp;""))</f>
        <v/>
      </c>
      <c r="E829" s="16"/>
      <c r="F829" s="16"/>
      <c r="G829" s="14" t="str">
        <f t="shared" si="13"/>
        <v/>
      </c>
    </row>
    <row r="830" spans="1:7" x14ac:dyDescent="0.3">
      <c r="A830" s="16"/>
      <c r="B830" s="16"/>
      <c r="C830" s="16"/>
      <c r="D830" s="14" t="str">
        <f>IF(A830="","",IF(LangIdx=2,C830&amp;"",B830&amp;""))</f>
        <v/>
      </c>
      <c r="E830" s="16"/>
      <c r="F830" s="16"/>
      <c r="G830" s="14" t="str">
        <f t="shared" si="13"/>
        <v/>
      </c>
    </row>
    <row r="831" spans="1:7" x14ac:dyDescent="0.3">
      <c r="A831" s="16"/>
      <c r="B831" s="16"/>
      <c r="C831" s="16"/>
      <c r="D831" s="14" t="str">
        <f>IF(A831="","",IF(LangIdx=2,C831&amp;"",B831&amp;""))</f>
        <v/>
      </c>
      <c r="E831" s="16"/>
      <c r="F831" s="16"/>
      <c r="G831" s="14" t="str">
        <f t="shared" si="13"/>
        <v/>
      </c>
    </row>
    <row r="832" spans="1:7" x14ac:dyDescent="0.3">
      <c r="A832" s="16"/>
      <c r="B832" s="16"/>
      <c r="C832" s="16"/>
      <c r="D832" s="14" t="str">
        <f>IF(A832="","",IF(LangIdx=2,C832&amp;"",B832&amp;""))</f>
        <v/>
      </c>
      <c r="E832" s="16"/>
      <c r="F832" s="16"/>
      <c r="G832" s="14" t="str">
        <f t="shared" si="13"/>
        <v/>
      </c>
    </row>
    <row r="833" spans="1:7" x14ac:dyDescent="0.3">
      <c r="A833" s="16"/>
      <c r="B833" s="16"/>
      <c r="C833" s="16"/>
      <c r="D833" s="14" t="str">
        <f>IF(A833="","",IF(LangIdx=2,C833&amp;"",B833&amp;""))</f>
        <v/>
      </c>
      <c r="E833" s="16"/>
      <c r="F833" s="16"/>
      <c r="G833" s="14" t="str">
        <f t="shared" si="13"/>
        <v/>
      </c>
    </row>
    <row r="834" spans="1:7" x14ac:dyDescent="0.3">
      <c r="A834" s="16"/>
      <c r="B834" s="16"/>
      <c r="C834" s="16"/>
      <c r="D834" s="14" t="str">
        <f>IF(A834="","",IF(LangIdx=2,C834&amp;"",B834&amp;""))</f>
        <v/>
      </c>
      <c r="E834" s="16"/>
      <c r="F834" s="16"/>
      <c r="G834" s="14" t="str">
        <f t="shared" si="13"/>
        <v/>
      </c>
    </row>
    <row r="835" spans="1:7" x14ac:dyDescent="0.3">
      <c r="A835" s="16"/>
      <c r="B835" s="16"/>
      <c r="C835" s="16"/>
      <c r="D835" s="14" t="str">
        <f>IF(A835="","",IF(LangIdx=2,C835&amp;"",B835&amp;""))</f>
        <v/>
      </c>
      <c r="E835" s="16"/>
      <c r="F835" s="16"/>
      <c r="G835" s="14" t="str">
        <f t="shared" si="13"/>
        <v/>
      </c>
    </row>
    <row r="836" spans="1:7" x14ac:dyDescent="0.3">
      <c r="A836" s="16"/>
      <c r="B836" s="16"/>
      <c r="C836" s="16"/>
      <c r="D836" s="14" t="str">
        <f>IF(A836="","",IF(LangIdx=2,C836&amp;"",B836&amp;""))</f>
        <v/>
      </c>
      <c r="E836" s="16"/>
      <c r="F836" s="16"/>
      <c r="G836" s="14" t="str">
        <f t="shared" si="13"/>
        <v/>
      </c>
    </row>
    <row r="837" spans="1:7" x14ac:dyDescent="0.3">
      <c r="A837" s="16"/>
      <c r="B837" s="16"/>
      <c r="C837" s="16"/>
      <c r="D837" s="14" t="str">
        <f>IF(A837="","",IF(LangIdx=2,C837&amp;"",B837&amp;""))</f>
        <v/>
      </c>
      <c r="E837" s="16"/>
      <c r="F837" s="16"/>
      <c r="G837" s="14" t="str">
        <f t="shared" si="13"/>
        <v/>
      </c>
    </row>
    <row r="838" spans="1:7" x14ac:dyDescent="0.3">
      <c r="A838" s="16"/>
      <c r="B838" s="16"/>
      <c r="C838" s="16"/>
      <c r="D838" s="14" t="str">
        <f>IF(A838="","",IF(LangIdx=2,C838&amp;"",B838&amp;""))</f>
        <v/>
      </c>
      <c r="E838" s="16"/>
      <c r="F838" s="16"/>
      <c r="G838" s="14" t="str">
        <f t="shared" si="13"/>
        <v/>
      </c>
    </row>
    <row r="839" spans="1:7" x14ac:dyDescent="0.3">
      <c r="A839" s="16"/>
      <c r="B839" s="16"/>
      <c r="C839" s="16"/>
      <c r="D839" s="14" t="str">
        <f>IF(A839="","",IF(LangIdx=2,C839&amp;"",B839&amp;""))</f>
        <v/>
      </c>
      <c r="E839" s="16"/>
      <c r="F839" s="16"/>
      <c r="G839" s="14" t="str">
        <f t="shared" si="13"/>
        <v/>
      </c>
    </row>
    <row r="840" spans="1:7" x14ac:dyDescent="0.3">
      <c r="A840" s="16"/>
      <c r="B840" s="16"/>
      <c r="C840" s="16"/>
      <c r="D840" s="14" t="str">
        <f>IF(A840="","",IF(LangIdx=2,C840&amp;"",B840&amp;""))</f>
        <v/>
      </c>
      <c r="E840" s="16"/>
      <c r="F840" s="16"/>
      <c r="G840" s="14" t="str">
        <f t="shared" si="13"/>
        <v/>
      </c>
    </row>
    <row r="841" spans="1:7" x14ac:dyDescent="0.3">
      <c r="A841" s="16"/>
      <c r="B841" s="16"/>
      <c r="C841" s="16"/>
      <c r="D841" s="14" t="str">
        <f>IF(A841="","",IF(LangIdx=2,C841&amp;"",B841&amp;""))</f>
        <v/>
      </c>
      <c r="E841" s="16"/>
      <c r="F841" s="16"/>
      <c r="G841" s="14" t="str">
        <f t="shared" si="13"/>
        <v/>
      </c>
    </row>
    <row r="842" spans="1:7" x14ac:dyDescent="0.3">
      <c r="A842" s="16"/>
      <c r="B842" s="16"/>
      <c r="C842" s="16"/>
      <c r="D842" s="14" t="str">
        <f>IF(A842="","",IF(LangIdx=2,C842&amp;"",B842&amp;""))</f>
        <v/>
      </c>
      <c r="E842" s="16"/>
      <c r="F842" s="16"/>
      <c r="G842" s="14" t="str">
        <f t="shared" si="13"/>
        <v/>
      </c>
    </row>
    <row r="843" spans="1:7" x14ac:dyDescent="0.3">
      <c r="A843" s="16"/>
      <c r="B843" s="16"/>
      <c r="C843" s="16"/>
      <c r="D843" s="14" t="str">
        <f>IF(A843="","",IF(LangIdx=2,C843&amp;"",B843&amp;""))</f>
        <v/>
      </c>
      <c r="E843" s="16"/>
      <c r="F843" s="16"/>
      <c r="G843" s="14" t="str">
        <f t="shared" si="13"/>
        <v/>
      </c>
    </row>
    <row r="844" spans="1:7" x14ac:dyDescent="0.3">
      <c r="A844" s="16"/>
      <c r="B844" s="16"/>
      <c r="C844" s="16"/>
      <c r="D844" s="14" t="str">
        <f>IF(A844="","",IF(LangIdx=2,C844&amp;"",B844&amp;""))</f>
        <v/>
      </c>
      <c r="E844" s="16"/>
      <c r="F844" s="16"/>
      <c r="G844" s="14" t="str">
        <f t="shared" si="13"/>
        <v/>
      </c>
    </row>
    <row r="845" spans="1:7" x14ac:dyDescent="0.3">
      <c r="A845" s="16"/>
      <c r="B845" s="16"/>
      <c r="C845" s="16"/>
      <c r="D845" s="14" t="str">
        <f>IF(A845="","",IF(LangIdx=2,C845&amp;"",B845&amp;""))</f>
        <v/>
      </c>
      <c r="E845" s="16"/>
      <c r="F845" s="16"/>
      <c r="G845" s="14" t="str">
        <f t="shared" si="13"/>
        <v/>
      </c>
    </row>
    <row r="846" spans="1:7" x14ac:dyDescent="0.3">
      <c r="A846" s="16"/>
      <c r="B846" s="16"/>
      <c r="C846" s="16"/>
      <c r="D846" s="14" t="str">
        <f>IF(A846="","",IF(LangIdx=2,C846&amp;"",B846&amp;""))</f>
        <v/>
      </c>
      <c r="E846" s="16"/>
      <c r="F846" s="16"/>
      <c r="G846" s="14" t="str">
        <f t="shared" si="13"/>
        <v/>
      </c>
    </row>
    <row r="847" spans="1:7" x14ac:dyDescent="0.3">
      <c r="A847" s="16"/>
      <c r="B847" s="16"/>
      <c r="C847" s="16"/>
      <c r="D847" s="14" t="str">
        <f>IF(A847="","",IF(LangIdx=2,C847&amp;"",B847&amp;""))</f>
        <v/>
      </c>
      <c r="E847" s="16"/>
      <c r="F847" s="16"/>
      <c r="G847" s="14" t="str">
        <f t="shared" si="13"/>
        <v/>
      </c>
    </row>
    <row r="848" spans="1:7" x14ac:dyDescent="0.3">
      <c r="A848" s="16"/>
      <c r="B848" s="16"/>
      <c r="C848" s="16"/>
      <c r="D848" s="14" t="str">
        <f>IF(A848="","",IF(LangIdx=2,C848&amp;"",B848&amp;""))</f>
        <v/>
      </c>
      <c r="E848" s="16"/>
      <c r="F848" s="16"/>
      <c r="G848" s="14" t="str">
        <f t="shared" si="13"/>
        <v/>
      </c>
    </row>
    <row r="849" spans="1:7" x14ac:dyDescent="0.3">
      <c r="A849" s="16"/>
      <c r="B849" s="16"/>
      <c r="C849" s="16"/>
      <c r="D849" s="14" t="str">
        <f>IF(A849="","",IF(LangIdx=2,C849&amp;"",B849&amp;""))</f>
        <v/>
      </c>
      <c r="E849" s="16"/>
      <c r="F849" s="16"/>
      <c r="G849" s="14" t="str">
        <f t="shared" si="13"/>
        <v/>
      </c>
    </row>
    <row r="850" spans="1:7" x14ac:dyDescent="0.3">
      <c r="A850" s="16"/>
      <c r="B850" s="16"/>
      <c r="C850" s="16"/>
      <c r="D850" s="14" t="str">
        <f>IF(A850="","",IF(LangIdx=2,C850&amp;"",B850&amp;""))</f>
        <v/>
      </c>
      <c r="E850" s="16"/>
      <c r="F850" s="16"/>
      <c r="G850" s="14" t="str">
        <f t="shared" si="13"/>
        <v/>
      </c>
    </row>
    <row r="851" spans="1:7" x14ac:dyDescent="0.3">
      <c r="A851" s="16"/>
      <c r="B851" s="16"/>
      <c r="C851" s="16"/>
      <c r="D851" s="14" t="str">
        <f>IF(A851="","",IF(LangIdx=2,C851&amp;"",B851&amp;""))</f>
        <v/>
      </c>
      <c r="E851" s="16"/>
      <c r="F851" s="16"/>
      <c r="G851" s="14" t="str">
        <f t="shared" si="13"/>
        <v/>
      </c>
    </row>
    <row r="852" spans="1:7" x14ac:dyDescent="0.3">
      <c r="A852" s="16"/>
      <c r="B852" s="16"/>
      <c r="C852" s="16"/>
      <c r="D852" s="14" t="str">
        <f>IF(A852="","",IF(LangIdx=2,C852&amp;"",B852&amp;""))</f>
        <v/>
      </c>
      <c r="E852" s="16"/>
      <c r="F852" s="16"/>
      <c r="G852" s="14" t="str">
        <f t="shared" si="13"/>
        <v/>
      </c>
    </row>
    <row r="853" spans="1:7" x14ac:dyDescent="0.3">
      <c r="A853" s="16"/>
      <c r="B853" s="16"/>
      <c r="C853" s="16"/>
      <c r="D853" s="14" t="str">
        <f>IF(A853="","",IF(LangIdx=2,C853&amp;"",B853&amp;""))</f>
        <v/>
      </c>
      <c r="E853" s="16"/>
      <c r="F853" s="16"/>
      <c r="G853" s="14" t="str">
        <f t="shared" si="13"/>
        <v/>
      </c>
    </row>
    <row r="854" spans="1:7" x14ac:dyDescent="0.3">
      <c r="A854" s="16"/>
      <c r="B854" s="16"/>
      <c r="C854" s="16"/>
      <c r="D854" s="14" t="str">
        <f>IF(A854="","",IF(LangIdx=2,C854&amp;"",B854&amp;""))</f>
        <v/>
      </c>
      <c r="E854" s="16"/>
      <c r="F854" s="16"/>
      <c r="G854" s="14" t="str">
        <f t="shared" si="13"/>
        <v/>
      </c>
    </row>
    <row r="855" spans="1:7" x14ac:dyDescent="0.3">
      <c r="A855" s="16"/>
      <c r="B855" s="16"/>
      <c r="C855" s="16"/>
      <c r="D855" s="14" t="str">
        <f>IF(A855="","",IF(LangIdx=2,C855&amp;"",B855&amp;""))</f>
        <v/>
      </c>
      <c r="E855" s="16"/>
      <c r="F855" s="16"/>
      <c r="G855" s="14" t="str">
        <f t="shared" si="13"/>
        <v/>
      </c>
    </row>
    <row r="856" spans="1:7" x14ac:dyDescent="0.3">
      <c r="A856" s="16"/>
      <c r="B856" s="16"/>
      <c r="C856" s="16"/>
      <c r="D856" s="14" t="str">
        <f>IF(A856="","",IF(LangIdx=2,C856&amp;"",B856&amp;""))</f>
        <v/>
      </c>
      <c r="E856" s="16"/>
      <c r="F856" s="16"/>
      <c r="G856" s="14" t="str">
        <f t="shared" si="13"/>
        <v/>
      </c>
    </row>
    <row r="857" spans="1:7" x14ac:dyDescent="0.3">
      <c r="A857" s="16"/>
      <c r="B857" s="16"/>
      <c r="C857" s="16"/>
      <c r="D857" s="14" t="str">
        <f>IF(A857="","",IF(LangIdx=2,C857&amp;"",B857&amp;""))</f>
        <v/>
      </c>
      <c r="E857" s="16"/>
      <c r="F857" s="16"/>
      <c r="G857" s="14" t="str">
        <f t="shared" si="13"/>
        <v/>
      </c>
    </row>
    <row r="858" spans="1:7" x14ac:dyDescent="0.3">
      <c r="A858" s="16"/>
      <c r="B858" s="16"/>
      <c r="C858" s="16"/>
      <c r="D858" s="14" t="str">
        <f>IF(A858="","",IF(LangIdx=2,C858&amp;"",B858&amp;""))</f>
        <v/>
      </c>
      <c r="E858" s="16"/>
      <c r="F858" s="16"/>
      <c r="G858" s="14" t="str">
        <f t="shared" si="13"/>
        <v/>
      </c>
    </row>
    <row r="859" spans="1:7" x14ac:dyDescent="0.3">
      <c r="A859" s="16"/>
      <c r="B859" s="16"/>
      <c r="C859" s="16"/>
      <c r="D859" s="14" t="str">
        <f>IF(A859="","",IF(LangIdx=2,C859&amp;"",B859&amp;""))</f>
        <v/>
      </c>
      <c r="E859" s="16"/>
      <c r="F859" s="16"/>
      <c r="G859" s="14" t="str">
        <f t="shared" si="13"/>
        <v/>
      </c>
    </row>
    <row r="860" spans="1:7" x14ac:dyDescent="0.3">
      <c r="A860" s="16"/>
      <c r="B860" s="16"/>
      <c r="C860" s="16"/>
      <c r="D860" s="14" t="str">
        <f>IF(A860="","",IF(LangIdx=2,C860&amp;"",B860&amp;""))</f>
        <v/>
      </c>
      <c r="E860" s="16"/>
      <c r="F860" s="16"/>
      <c r="G860" s="14" t="str">
        <f t="shared" si="13"/>
        <v/>
      </c>
    </row>
    <row r="861" spans="1:7" x14ac:dyDescent="0.3">
      <c r="A861" s="16"/>
      <c r="B861" s="16"/>
      <c r="C861" s="16"/>
      <c r="D861" s="14" t="str">
        <f>IF(A861="","",IF(LangIdx=2,C861&amp;"",B861&amp;""))</f>
        <v/>
      </c>
      <c r="E861" s="16"/>
      <c r="F861" s="16"/>
      <c r="G861" s="14" t="str">
        <f t="shared" si="13"/>
        <v/>
      </c>
    </row>
    <row r="862" spans="1:7" x14ac:dyDescent="0.3">
      <c r="A862" s="16"/>
      <c r="B862" s="16"/>
      <c r="C862" s="16"/>
      <c r="D862" s="14" t="str">
        <f>IF(A862="","",IF(LangIdx=2,C862&amp;"",B862&amp;""))</f>
        <v/>
      </c>
      <c r="E862" s="16"/>
      <c r="F862" s="16"/>
      <c r="G862" s="14" t="str">
        <f t="shared" si="13"/>
        <v/>
      </c>
    </row>
    <row r="863" spans="1:7" x14ac:dyDescent="0.3">
      <c r="A863" s="16"/>
      <c r="B863" s="16"/>
      <c r="C863" s="16"/>
      <c r="D863" s="14" t="str">
        <f>IF(A863="","",IF(LangIdx=2,C863&amp;"",B863&amp;""))</f>
        <v/>
      </c>
      <c r="E863" s="16"/>
      <c r="F863" s="16"/>
      <c r="G863" s="14" t="str">
        <f t="shared" si="13"/>
        <v/>
      </c>
    </row>
    <row r="864" spans="1:7" x14ac:dyDescent="0.3">
      <c r="A864" s="16"/>
      <c r="B864" s="16"/>
      <c r="C864" s="16"/>
      <c r="D864" s="14" t="str">
        <f>IF(A864="","",IF(LangIdx=2,C864&amp;"",B864&amp;""))</f>
        <v/>
      </c>
      <c r="E864" s="16"/>
      <c r="F864" s="16"/>
      <c r="G864" s="14" t="str">
        <f t="shared" si="13"/>
        <v/>
      </c>
    </row>
    <row r="865" spans="1:7" x14ac:dyDescent="0.3">
      <c r="A865" s="16"/>
      <c r="B865" s="16"/>
      <c r="C865" s="16"/>
      <c r="D865" s="14" t="str">
        <f>IF(A865="","",IF(LangIdx=2,C865&amp;"",B865&amp;""))</f>
        <v/>
      </c>
      <c r="E865" s="16"/>
      <c r="F865" s="16"/>
      <c r="G865" s="14" t="str">
        <f t="shared" si="13"/>
        <v/>
      </c>
    </row>
    <row r="866" spans="1:7" x14ac:dyDescent="0.3">
      <c r="A866" s="16"/>
      <c r="B866" s="16"/>
      <c r="C866" s="16"/>
      <c r="D866" s="14" t="str">
        <f>IF(A866="","",IF(LangIdx=2,C866&amp;"",B866&amp;""))</f>
        <v/>
      </c>
      <c r="E866" s="16"/>
      <c r="F866" s="16"/>
      <c r="G866" s="14" t="str">
        <f t="shared" si="13"/>
        <v/>
      </c>
    </row>
    <row r="867" spans="1:7" x14ac:dyDescent="0.3">
      <c r="A867" s="16"/>
      <c r="B867" s="16"/>
      <c r="C867" s="16"/>
      <c r="D867" s="14" t="str">
        <f>IF(A867="","",IF(LangIdx=2,C867&amp;"",B867&amp;""))</f>
        <v/>
      </c>
      <c r="E867" s="16"/>
      <c r="F867" s="16"/>
      <c r="G867" s="14" t="str">
        <f t="shared" si="13"/>
        <v/>
      </c>
    </row>
    <row r="868" spans="1:7" x14ac:dyDescent="0.3">
      <c r="A868" s="16"/>
      <c r="B868" s="16"/>
      <c r="C868" s="16"/>
      <c r="D868" s="14" t="str">
        <f>IF(A868="","",IF(LangIdx=2,C868&amp;"",B868&amp;""))</f>
        <v/>
      </c>
      <c r="E868" s="16"/>
      <c r="F868" s="16"/>
      <c r="G868" s="14" t="str">
        <f t="shared" si="13"/>
        <v/>
      </c>
    </row>
    <row r="869" spans="1:7" x14ac:dyDescent="0.3">
      <c r="A869" s="16"/>
      <c r="B869" s="16"/>
      <c r="C869" s="16"/>
      <c r="D869" s="14" t="str">
        <f>IF(A869="","",IF(LangIdx=2,C869&amp;"",B869&amp;""))</f>
        <v/>
      </c>
      <c r="E869" s="16"/>
      <c r="F869" s="16"/>
      <c r="G869" s="14" t="str">
        <f t="shared" si="13"/>
        <v/>
      </c>
    </row>
    <row r="870" spans="1:7" x14ac:dyDescent="0.3">
      <c r="A870" s="16"/>
      <c r="B870" s="16"/>
      <c r="C870" s="16"/>
      <c r="D870" s="14" t="str">
        <f>IF(A870="","",IF(LangIdx=2,C870&amp;"",B870&amp;""))</f>
        <v/>
      </c>
      <c r="E870" s="16"/>
      <c r="F870" s="16"/>
      <c r="G870" s="14" t="str">
        <f t="shared" si="13"/>
        <v/>
      </c>
    </row>
    <row r="871" spans="1:7" x14ac:dyDescent="0.3">
      <c r="A871" s="16"/>
      <c r="B871" s="16"/>
      <c r="C871" s="16"/>
      <c r="D871" s="14" t="str">
        <f>IF(A871="","",IF(LangIdx=2,C871&amp;"",B871&amp;""))</f>
        <v/>
      </c>
      <c r="E871" s="16"/>
      <c r="F871" s="16"/>
      <c r="G871" s="14" t="str">
        <f t="shared" si="13"/>
        <v/>
      </c>
    </row>
    <row r="872" spans="1:7" x14ac:dyDescent="0.3">
      <c r="A872" s="16"/>
      <c r="B872" s="16"/>
      <c r="C872" s="16"/>
      <c r="D872" s="14" t="str">
        <f>IF(A872="","",IF(LangIdx=2,C872&amp;"",B872&amp;""))</f>
        <v/>
      </c>
      <c r="E872" s="16"/>
      <c r="F872" s="16"/>
      <c r="G872" s="14" t="str">
        <f t="shared" si="13"/>
        <v/>
      </c>
    </row>
    <row r="873" spans="1:7" x14ac:dyDescent="0.3">
      <c r="A873" s="16"/>
      <c r="B873" s="16"/>
      <c r="C873" s="16"/>
      <c r="D873" s="14" t="str">
        <f>IF(A873="","",IF(LangIdx=2,C873&amp;"",B873&amp;""))</f>
        <v/>
      </c>
      <c r="E873" s="16"/>
      <c r="F873" s="16"/>
      <c r="G873" s="14" t="str">
        <f t="shared" si="13"/>
        <v/>
      </c>
    </row>
    <row r="874" spans="1:7" x14ac:dyDescent="0.3">
      <c r="A874" s="16"/>
      <c r="B874" s="16"/>
      <c r="C874" s="16"/>
      <c r="D874" s="14" t="str">
        <f>IF(A874="","",IF(LangIdx=2,C874&amp;"",B874&amp;""))</f>
        <v/>
      </c>
      <c r="E874" s="16"/>
      <c r="F874" s="16"/>
      <c r="G874" s="14" t="str">
        <f t="shared" si="13"/>
        <v/>
      </c>
    </row>
    <row r="875" spans="1:7" x14ac:dyDescent="0.3">
      <c r="A875" s="16"/>
      <c r="B875" s="16"/>
      <c r="C875" s="16"/>
      <c r="D875" s="14" t="str">
        <f>IF(A875="","",IF(LangIdx=2,C875&amp;"",B875&amp;""))</f>
        <v/>
      </c>
      <c r="E875" s="16"/>
      <c r="F875" s="16"/>
      <c r="G875" s="14" t="str">
        <f t="shared" si="13"/>
        <v/>
      </c>
    </row>
    <row r="876" spans="1:7" x14ac:dyDescent="0.3">
      <c r="A876" s="16"/>
      <c r="B876" s="16"/>
      <c r="C876" s="16"/>
      <c r="D876" s="14" t="str">
        <f>IF(A876="","",IF(LangIdx=2,C876&amp;"",B876&amp;""))</f>
        <v/>
      </c>
      <c r="E876" s="16"/>
      <c r="F876" s="16"/>
      <c r="G876" s="14" t="str">
        <f t="shared" si="13"/>
        <v/>
      </c>
    </row>
    <row r="877" spans="1:7" x14ac:dyDescent="0.3">
      <c r="A877" s="16"/>
      <c r="B877" s="16"/>
      <c r="C877" s="16"/>
      <c r="D877" s="14" t="str">
        <f>IF(A877="","",IF(LangIdx=2,C877&amp;"",B877&amp;""))</f>
        <v/>
      </c>
      <c r="E877" s="16"/>
      <c r="F877" s="16"/>
      <c r="G877" s="14" t="str">
        <f t="shared" si="13"/>
        <v/>
      </c>
    </row>
    <row r="878" spans="1:7" x14ac:dyDescent="0.3">
      <c r="A878" s="16"/>
      <c r="B878" s="16"/>
      <c r="C878" s="16"/>
      <c r="D878" s="14" t="str">
        <f>IF(A878="","",IF(LangIdx=2,C878&amp;"",B878&amp;""))</f>
        <v/>
      </c>
      <c r="E878" s="16"/>
      <c r="F878" s="16"/>
      <c r="G878" s="14" t="str">
        <f t="shared" si="13"/>
        <v/>
      </c>
    </row>
    <row r="879" spans="1:7" x14ac:dyDescent="0.3">
      <c r="A879" s="16"/>
      <c r="B879" s="16"/>
      <c r="C879" s="16"/>
      <c r="D879" s="14" t="str">
        <f>IF(A879="","",IF(LangIdx=2,C879&amp;"",B879&amp;""))</f>
        <v/>
      </c>
      <c r="E879" s="16"/>
      <c r="F879" s="16"/>
      <c r="G879" s="14" t="str">
        <f t="shared" ref="G879:G942" si="14">IF(A879="","",IF(COUNTIF(DICT_KEY,A879)&gt;1,"DUP",""))</f>
        <v/>
      </c>
    </row>
    <row r="880" spans="1:7" x14ac:dyDescent="0.3">
      <c r="A880" s="16"/>
      <c r="B880" s="16"/>
      <c r="C880" s="16"/>
      <c r="D880" s="14" t="str">
        <f>IF(A880="","",IF(LangIdx=2,C880&amp;"",B880&amp;""))</f>
        <v/>
      </c>
      <c r="E880" s="16"/>
      <c r="F880" s="16"/>
      <c r="G880" s="14" t="str">
        <f t="shared" si="14"/>
        <v/>
      </c>
    </row>
    <row r="881" spans="1:7" x14ac:dyDescent="0.3">
      <c r="A881" s="16"/>
      <c r="B881" s="16"/>
      <c r="C881" s="16"/>
      <c r="D881" s="14" t="str">
        <f>IF(A881="","",IF(LangIdx=2,C881&amp;"",B881&amp;""))</f>
        <v/>
      </c>
      <c r="E881" s="16"/>
      <c r="F881" s="16"/>
      <c r="G881" s="14" t="str">
        <f t="shared" si="14"/>
        <v/>
      </c>
    </row>
    <row r="882" spans="1:7" x14ac:dyDescent="0.3">
      <c r="A882" s="16"/>
      <c r="B882" s="16"/>
      <c r="C882" s="16"/>
      <c r="D882" s="14" t="str">
        <f>IF(A882="","",IF(LangIdx=2,C882&amp;"",B882&amp;""))</f>
        <v/>
      </c>
      <c r="E882" s="16"/>
      <c r="F882" s="16"/>
      <c r="G882" s="14" t="str">
        <f t="shared" si="14"/>
        <v/>
      </c>
    </row>
    <row r="883" spans="1:7" x14ac:dyDescent="0.3">
      <c r="A883" s="16"/>
      <c r="B883" s="16"/>
      <c r="C883" s="16"/>
      <c r="D883" s="14" t="str">
        <f>IF(A883="","",IF(LangIdx=2,C883&amp;"",B883&amp;""))</f>
        <v/>
      </c>
      <c r="E883" s="16"/>
      <c r="F883" s="16"/>
      <c r="G883" s="14" t="str">
        <f t="shared" si="14"/>
        <v/>
      </c>
    </row>
    <row r="884" spans="1:7" x14ac:dyDescent="0.3">
      <c r="A884" s="16"/>
      <c r="B884" s="16"/>
      <c r="C884" s="16"/>
      <c r="D884" s="14" t="str">
        <f>IF(A884="","",IF(LangIdx=2,C884&amp;"",B884&amp;""))</f>
        <v/>
      </c>
      <c r="E884" s="16"/>
      <c r="F884" s="16"/>
      <c r="G884" s="14" t="str">
        <f t="shared" si="14"/>
        <v/>
      </c>
    </row>
    <row r="885" spans="1:7" x14ac:dyDescent="0.3">
      <c r="A885" s="16"/>
      <c r="B885" s="16"/>
      <c r="C885" s="16"/>
      <c r="D885" s="14" t="str">
        <f>IF(A885="","",IF(LangIdx=2,C885&amp;"",B885&amp;""))</f>
        <v/>
      </c>
      <c r="E885" s="16"/>
      <c r="F885" s="16"/>
      <c r="G885" s="14" t="str">
        <f t="shared" si="14"/>
        <v/>
      </c>
    </row>
    <row r="886" spans="1:7" x14ac:dyDescent="0.3">
      <c r="A886" s="16"/>
      <c r="B886" s="16"/>
      <c r="C886" s="16"/>
      <c r="D886" s="14" t="str">
        <f>IF(A886="","",IF(LangIdx=2,C886&amp;"",B886&amp;""))</f>
        <v/>
      </c>
      <c r="E886" s="16"/>
      <c r="F886" s="16"/>
      <c r="G886" s="14" t="str">
        <f t="shared" si="14"/>
        <v/>
      </c>
    </row>
    <row r="887" spans="1:7" x14ac:dyDescent="0.3">
      <c r="A887" s="16"/>
      <c r="B887" s="16"/>
      <c r="C887" s="16"/>
      <c r="D887" s="14" t="str">
        <f>IF(A887="","",IF(LangIdx=2,C887&amp;"",B887&amp;""))</f>
        <v/>
      </c>
      <c r="E887" s="16"/>
      <c r="F887" s="16"/>
      <c r="G887" s="14" t="str">
        <f t="shared" si="14"/>
        <v/>
      </c>
    </row>
    <row r="888" spans="1:7" x14ac:dyDescent="0.3">
      <c r="A888" s="16"/>
      <c r="B888" s="16"/>
      <c r="C888" s="16"/>
      <c r="D888" s="14" t="str">
        <f>IF(A888="","",IF(LangIdx=2,C888&amp;"",B888&amp;""))</f>
        <v/>
      </c>
      <c r="E888" s="16"/>
      <c r="F888" s="16"/>
      <c r="G888" s="14" t="str">
        <f t="shared" si="14"/>
        <v/>
      </c>
    </row>
    <row r="889" spans="1:7" x14ac:dyDescent="0.3">
      <c r="A889" s="16"/>
      <c r="B889" s="16"/>
      <c r="C889" s="16"/>
      <c r="D889" s="14" t="str">
        <f>IF(A889="","",IF(LangIdx=2,C889&amp;"",B889&amp;""))</f>
        <v/>
      </c>
      <c r="E889" s="16"/>
      <c r="F889" s="16"/>
      <c r="G889" s="14" t="str">
        <f t="shared" si="14"/>
        <v/>
      </c>
    </row>
    <row r="890" spans="1:7" x14ac:dyDescent="0.3">
      <c r="A890" s="16"/>
      <c r="B890" s="16"/>
      <c r="C890" s="16"/>
      <c r="D890" s="14" t="str">
        <f>IF(A890="","",IF(LangIdx=2,C890&amp;"",B890&amp;""))</f>
        <v/>
      </c>
      <c r="E890" s="16"/>
      <c r="F890" s="16"/>
      <c r="G890" s="14" t="str">
        <f t="shared" si="14"/>
        <v/>
      </c>
    </row>
    <row r="891" spans="1:7" x14ac:dyDescent="0.3">
      <c r="A891" s="16"/>
      <c r="B891" s="16"/>
      <c r="C891" s="16"/>
      <c r="D891" s="14" t="str">
        <f>IF(A891="","",IF(LangIdx=2,C891&amp;"",B891&amp;""))</f>
        <v/>
      </c>
      <c r="E891" s="16"/>
      <c r="F891" s="16"/>
      <c r="G891" s="14" t="str">
        <f t="shared" si="14"/>
        <v/>
      </c>
    </row>
    <row r="892" spans="1:7" x14ac:dyDescent="0.3">
      <c r="A892" s="16"/>
      <c r="B892" s="16"/>
      <c r="C892" s="16"/>
      <c r="D892" s="14" t="str">
        <f>IF(A892="","",IF(LangIdx=2,C892&amp;"",B892&amp;""))</f>
        <v/>
      </c>
      <c r="E892" s="16"/>
      <c r="F892" s="16"/>
      <c r="G892" s="14" t="str">
        <f t="shared" si="14"/>
        <v/>
      </c>
    </row>
    <row r="893" spans="1:7" x14ac:dyDescent="0.3">
      <c r="A893" s="16"/>
      <c r="B893" s="16"/>
      <c r="C893" s="16"/>
      <c r="D893" s="14" t="str">
        <f>IF(A893="","",IF(LangIdx=2,C893&amp;"",B893&amp;""))</f>
        <v/>
      </c>
      <c r="E893" s="16"/>
      <c r="F893" s="16"/>
      <c r="G893" s="14" t="str">
        <f t="shared" si="14"/>
        <v/>
      </c>
    </row>
    <row r="894" spans="1:7" x14ac:dyDescent="0.3">
      <c r="A894" s="16"/>
      <c r="B894" s="16"/>
      <c r="C894" s="16"/>
      <c r="D894" s="14" t="str">
        <f>IF(A894="","",IF(LangIdx=2,C894&amp;"",B894&amp;""))</f>
        <v/>
      </c>
      <c r="E894" s="16"/>
      <c r="F894" s="16"/>
      <c r="G894" s="14" t="str">
        <f t="shared" si="14"/>
        <v/>
      </c>
    </row>
    <row r="895" spans="1:7" x14ac:dyDescent="0.3">
      <c r="A895" s="16"/>
      <c r="B895" s="16"/>
      <c r="C895" s="16"/>
      <c r="D895" s="14" t="str">
        <f>IF(A895="","",IF(LangIdx=2,C895&amp;"",B895&amp;""))</f>
        <v/>
      </c>
      <c r="E895" s="16"/>
      <c r="F895" s="16"/>
      <c r="G895" s="14" t="str">
        <f t="shared" si="14"/>
        <v/>
      </c>
    </row>
    <row r="896" spans="1:7" x14ac:dyDescent="0.3">
      <c r="A896" s="16"/>
      <c r="B896" s="16"/>
      <c r="C896" s="16"/>
      <c r="D896" s="14" t="str">
        <f>IF(A896="","",IF(LangIdx=2,C896&amp;"",B896&amp;""))</f>
        <v/>
      </c>
      <c r="E896" s="16"/>
      <c r="F896" s="16"/>
      <c r="G896" s="14" t="str">
        <f t="shared" si="14"/>
        <v/>
      </c>
    </row>
    <row r="897" spans="1:7" x14ac:dyDescent="0.3">
      <c r="A897" s="16"/>
      <c r="B897" s="16"/>
      <c r="C897" s="16"/>
      <c r="D897" s="14" t="str">
        <f>IF(A897="","",IF(LangIdx=2,C897&amp;"",B897&amp;""))</f>
        <v/>
      </c>
      <c r="E897" s="16"/>
      <c r="F897" s="16"/>
      <c r="G897" s="14" t="str">
        <f t="shared" si="14"/>
        <v/>
      </c>
    </row>
    <row r="898" spans="1:7" x14ac:dyDescent="0.3">
      <c r="A898" s="16"/>
      <c r="B898" s="16"/>
      <c r="C898" s="16"/>
      <c r="D898" s="14" t="str">
        <f>IF(A898="","",IF(LangIdx=2,C898&amp;"",B898&amp;""))</f>
        <v/>
      </c>
      <c r="E898" s="16"/>
      <c r="F898" s="16"/>
      <c r="G898" s="14" t="str">
        <f t="shared" si="14"/>
        <v/>
      </c>
    </row>
    <row r="899" spans="1:7" x14ac:dyDescent="0.3">
      <c r="A899" s="16"/>
      <c r="B899" s="16"/>
      <c r="C899" s="16"/>
      <c r="D899" s="14" t="str">
        <f>IF(A899="","",IF(LangIdx=2,C899&amp;"",B899&amp;""))</f>
        <v/>
      </c>
      <c r="E899" s="16"/>
      <c r="F899" s="16"/>
      <c r="G899" s="14" t="str">
        <f t="shared" si="14"/>
        <v/>
      </c>
    </row>
    <row r="900" spans="1:7" x14ac:dyDescent="0.3">
      <c r="A900" s="16"/>
      <c r="B900" s="16"/>
      <c r="C900" s="16"/>
      <c r="D900" s="14" t="str">
        <f>IF(A900="","",IF(LangIdx=2,C900&amp;"",B900&amp;""))</f>
        <v/>
      </c>
      <c r="E900" s="16"/>
      <c r="F900" s="16"/>
      <c r="G900" s="14" t="str">
        <f t="shared" si="14"/>
        <v/>
      </c>
    </row>
    <row r="901" spans="1:7" x14ac:dyDescent="0.3">
      <c r="A901" s="16"/>
      <c r="B901" s="16"/>
      <c r="C901" s="16"/>
      <c r="D901" s="14" t="str">
        <f>IF(A901="","",IF(LangIdx=2,C901&amp;"",B901&amp;""))</f>
        <v/>
      </c>
      <c r="E901" s="16"/>
      <c r="F901" s="16"/>
      <c r="G901" s="14" t="str">
        <f t="shared" si="14"/>
        <v/>
      </c>
    </row>
    <row r="902" spans="1:7" x14ac:dyDescent="0.3">
      <c r="A902" s="16"/>
      <c r="B902" s="16"/>
      <c r="C902" s="16"/>
      <c r="D902" s="14" t="str">
        <f>IF(A902="","",IF(LangIdx=2,C902&amp;"",B902&amp;""))</f>
        <v/>
      </c>
      <c r="E902" s="16"/>
      <c r="F902" s="16"/>
      <c r="G902" s="14" t="str">
        <f t="shared" si="14"/>
        <v/>
      </c>
    </row>
    <row r="903" spans="1:7" x14ac:dyDescent="0.3">
      <c r="A903" s="16"/>
      <c r="B903" s="16"/>
      <c r="C903" s="16"/>
      <c r="D903" s="14" t="str">
        <f>IF(A903="","",IF(LangIdx=2,C903&amp;"",B903&amp;""))</f>
        <v/>
      </c>
      <c r="E903" s="16"/>
      <c r="F903" s="16"/>
      <c r="G903" s="14" t="str">
        <f t="shared" si="14"/>
        <v/>
      </c>
    </row>
    <row r="904" spans="1:7" x14ac:dyDescent="0.3">
      <c r="A904" s="16"/>
      <c r="B904" s="16"/>
      <c r="C904" s="16"/>
      <c r="D904" s="14" t="str">
        <f>IF(A904="","",IF(LangIdx=2,C904&amp;"",B904&amp;""))</f>
        <v/>
      </c>
      <c r="E904" s="16"/>
      <c r="F904" s="16"/>
      <c r="G904" s="14" t="str">
        <f t="shared" si="14"/>
        <v/>
      </c>
    </row>
    <row r="905" spans="1:7" x14ac:dyDescent="0.3">
      <c r="A905" s="16"/>
      <c r="B905" s="16"/>
      <c r="C905" s="16"/>
      <c r="D905" s="14" t="str">
        <f>IF(A905="","",IF(LangIdx=2,C905&amp;"",B905&amp;""))</f>
        <v/>
      </c>
      <c r="E905" s="16"/>
      <c r="F905" s="16"/>
      <c r="G905" s="14" t="str">
        <f t="shared" si="14"/>
        <v/>
      </c>
    </row>
    <row r="906" spans="1:7" x14ac:dyDescent="0.3">
      <c r="A906" s="16"/>
      <c r="B906" s="16"/>
      <c r="C906" s="16"/>
      <c r="D906" s="14" t="str">
        <f>IF(A906="","",IF(LangIdx=2,C906&amp;"",B906&amp;""))</f>
        <v/>
      </c>
      <c r="E906" s="16"/>
      <c r="F906" s="16"/>
      <c r="G906" s="14" t="str">
        <f t="shared" si="14"/>
        <v/>
      </c>
    </row>
    <row r="907" spans="1:7" x14ac:dyDescent="0.3">
      <c r="A907" s="16"/>
      <c r="B907" s="16"/>
      <c r="C907" s="16"/>
      <c r="D907" s="14" t="str">
        <f>IF(A907="","",IF(LangIdx=2,C907&amp;"",B907&amp;""))</f>
        <v/>
      </c>
      <c r="E907" s="16"/>
      <c r="F907" s="16"/>
      <c r="G907" s="14" t="str">
        <f t="shared" si="14"/>
        <v/>
      </c>
    </row>
    <row r="908" spans="1:7" x14ac:dyDescent="0.3">
      <c r="A908" s="16"/>
      <c r="B908" s="16"/>
      <c r="C908" s="16"/>
      <c r="D908" s="14" t="str">
        <f>IF(A908="","",IF(LangIdx=2,C908&amp;"",B908&amp;""))</f>
        <v/>
      </c>
      <c r="E908" s="16"/>
      <c r="F908" s="16"/>
      <c r="G908" s="14" t="str">
        <f t="shared" si="14"/>
        <v/>
      </c>
    </row>
    <row r="909" spans="1:7" x14ac:dyDescent="0.3">
      <c r="A909" s="16"/>
      <c r="B909" s="16"/>
      <c r="C909" s="16"/>
      <c r="D909" s="14" t="str">
        <f>IF(A909="","",IF(LangIdx=2,C909&amp;"",B909&amp;""))</f>
        <v/>
      </c>
      <c r="E909" s="16"/>
      <c r="F909" s="16"/>
      <c r="G909" s="14" t="str">
        <f t="shared" si="14"/>
        <v/>
      </c>
    </row>
    <row r="910" spans="1:7" x14ac:dyDescent="0.3">
      <c r="A910" s="16"/>
      <c r="B910" s="16"/>
      <c r="C910" s="16"/>
      <c r="D910" s="14" t="str">
        <f>IF(A910="","",IF(LangIdx=2,C910&amp;"",B910&amp;""))</f>
        <v/>
      </c>
      <c r="E910" s="16"/>
      <c r="F910" s="16"/>
      <c r="G910" s="14" t="str">
        <f t="shared" si="14"/>
        <v/>
      </c>
    </row>
    <row r="911" spans="1:7" x14ac:dyDescent="0.3">
      <c r="A911" s="16"/>
      <c r="B911" s="16"/>
      <c r="C911" s="16"/>
      <c r="D911" s="14" t="str">
        <f>IF(A911="","",IF(LangIdx=2,C911&amp;"",B911&amp;""))</f>
        <v/>
      </c>
      <c r="E911" s="16"/>
      <c r="F911" s="16"/>
      <c r="G911" s="14" t="str">
        <f t="shared" si="14"/>
        <v/>
      </c>
    </row>
    <row r="912" spans="1:7" x14ac:dyDescent="0.3">
      <c r="A912" s="16"/>
      <c r="B912" s="16"/>
      <c r="C912" s="16"/>
      <c r="D912" s="14" t="str">
        <f>IF(A912="","",IF(LangIdx=2,C912&amp;"",B912&amp;""))</f>
        <v/>
      </c>
      <c r="E912" s="16"/>
      <c r="F912" s="16"/>
      <c r="G912" s="14" t="str">
        <f t="shared" si="14"/>
        <v/>
      </c>
    </row>
    <row r="913" spans="1:7" x14ac:dyDescent="0.3">
      <c r="A913" s="16"/>
      <c r="B913" s="16"/>
      <c r="C913" s="16"/>
      <c r="D913" s="14" t="str">
        <f>IF(A913="","",IF(LangIdx=2,C913&amp;"",B913&amp;""))</f>
        <v/>
      </c>
      <c r="E913" s="16"/>
      <c r="F913" s="16"/>
      <c r="G913" s="14" t="str">
        <f t="shared" si="14"/>
        <v/>
      </c>
    </row>
    <row r="914" spans="1:7" x14ac:dyDescent="0.3">
      <c r="A914" s="16"/>
      <c r="B914" s="16"/>
      <c r="C914" s="16"/>
      <c r="D914" s="14" t="str">
        <f>IF(A914="","",IF(LangIdx=2,C914&amp;"",B914&amp;""))</f>
        <v/>
      </c>
      <c r="E914" s="16"/>
      <c r="F914" s="16"/>
      <c r="G914" s="14" t="str">
        <f t="shared" si="14"/>
        <v/>
      </c>
    </row>
    <row r="915" spans="1:7" x14ac:dyDescent="0.3">
      <c r="A915" s="16"/>
      <c r="B915" s="16"/>
      <c r="C915" s="16"/>
      <c r="D915" s="14" t="str">
        <f>IF(A915="","",IF(LangIdx=2,C915&amp;"",B915&amp;""))</f>
        <v/>
      </c>
      <c r="E915" s="16"/>
      <c r="F915" s="16"/>
      <c r="G915" s="14" t="str">
        <f t="shared" si="14"/>
        <v/>
      </c>
    </row>
    <row r="916" spans="1:7" x14ac:dyDescent="0.3">
      <c r="A916" s="16"/>
      <c r="B916" s="16"/>
      <c r="C916" s="16"/>
      <c r="D916" s="14" t="str">
        <f>IF(A916="","",IF(LangIdx=2,C916&amp;"",B916&amp;""))</f>
        <v/>
      </c>
      <c r="E916" s="16"/>
      <c r="F916" s="16"/>
      <c r="G916" s="14" t="str">
        <f t="shared" si="14"/>
        <v/>
      </c>
    </row>
    <row r="917" spans="1:7" x14ac:dyDescent="0.3">
      <c r="A917" s="16"/>
      <c r="B917" s="16"/>
      <c r="C917" s="16"/>
      <c r="D917" s="14" t="str">
        <f>IF(A917="","",IF(LangIdx=2,C917&amp;"",B917&amp;""))</f>
        <v/>
      </c>
      <c r="E917" s="16"/>
      <c r="F917" s="16"/>
      <c r="G917" s="14" t="str">
        <f t="shared" si="14"/>
        <v/>
      </c>
    </row>
    <row r="918" spans="1:7" x14ac:dyDescent="0.3">
      <c r="A918" s="16"/>
      <c r="B918" s="16"/>
      <c r="C918" s="16"/>
      <c r="D918" s="14" t="str">
        <f>IF(A918="","",IF(LangIdx=2,C918&amp;"",B918&amp;""))</f>
        <v/>
      </c>
      <c r="E918" s="16"/>
      <c r="F918" s="16"/>
      <c r="G918" s="14" t="str">
        <f t="shared" si="14"/>
        <v/>
      </c>
    </row>
    <row r="919" spans="1:7" x14ac:dyDescent="0.3">
      <c r="A919" s="16"/>
      <c r="B919" s="16"/>
      <c r="C919" s="16"/>
      <c r="D919" s="14" t="str">
        <f>IF(A919="","",IF(LangIdx=2,C919&amp;"",B919&amp;""))</f>
        <v/>
      </c>
      <c r="E919" s="16"/>
      <c r="F919" s="16"/>
      <c r="G919" s="14" t="str">
        <f t="shared" si="14"/>
        <v/>
      </c>
    </row>
    <row r="920" spans="1:7" x14ac:dyDescent="0.3">
      <c r="A920" s="16"/>
      <c r="B920" s="16"/>
      <c r="C920" s="16"/>
      <c r="D920" s="14" t="str">
        <f>IF(A920="","",IF(LangIdx=2,C920&amp;"",B920&amp;""))</f>
        <v/>
      </c>
      <c r="E920" s="16"/>
      <c r="F920" s="16"/>
      <c r="G920" s="14" t="str">
        <f t="shared" si="14"/>
        <v/>
      </c>
    </row>
    <row r="921" spans="1:7" x14ac:dyDescent="0.3">
      <c r="A921" s="16"/>
      <c r="B921" s="16"/>
      <c r="C921" s="16"/>
      <c r="D921" s="14" t="str">
        <f>IF(A921="","",IF(LangIdx=2,C921&amp;"",B921&amp;""))</f>
        <v/>
      </c>
      <c r="E921" s="16"/>
      <c r="F921" s="16"/>
      <c r="G921" s="14" t="str">
        <f t="shared" si="14"/>
        <v/>
      </c>
    </row>
    <row r="922" spans="1:7" x14ac:dyDescent="0.3">
      <c r="A922" s="16"/>
      <c r="B922" s="16"/>
      <c r="C922" s="16"/>
      <c r="D922" s="14" t="str">
        <f>IF(A922="","",IF(LangIdx=2,C922&amp;"",B922&amp;""))</f>
        <v/>
      </c>
      <c r="E922" s="16"/>
      <c r="F922" s="16"/>
      <c r="G922" s="14" t="str">
        <f t="shared" si="14"/>
        <v/>
      </c>
    </row>
    <row r="923" spans="1:7" x14ac:dyDescent="0.3">
      <c r="A923" s="16"/>
      <c r="B923" s="16"/>
      <c r="C923" s="16"/>
      <c r="D923" s="14" t="str">
        <f>IF(A923="","",IF(LangIdx=2,C923&amp;"",B923&amp;""))</f>
        <v/>
      </c>
      <c r="E923" s="16"/>
      <c r="F923" s="16"/>
      <c r="G923" s="14" t="str">
        <f t="shared" si="14"/>
        <v/>
      </c>
    </row>
    <row r="924" spans="1:7" x14ac:dyDescent="0.3">
      <c r="A924" s="16"/>
      <c r="B924" s="16"/>
      <c r="C924" s="16"/>
      <c r="D924" s="14" t="str">
        <f>IF(A924="","",IF(LangIdx=2,C924&amp;"",B924&amp;""))</f>
        <v/>
      </c>
      <c r="E924" s="16"/>
      <c r="F924" s="16"/>
      <c r="G924" s="14" t="str">
        <f t="shared" si="14"/>
        <v/>
      </c>
    </row>
    <row r="925" spans="1:7" x14ac:dyDescent="0.3">
      <c r="A925" s="16"/>
      <c r="B925" s="16"/>
      <c r="C925" s="16"/>
      <c r="D925" s="14" t="str">
        <f>IF(A925="","",IF(LangIdx=2,C925&amp;"",B925&amp;""))</f>
        <v/>
      </c>
      <c r="E925" s="16"/>
      <c r="F925" s="16"/>
      <c r="G925" s="14" t="str">
        <f t="shared" si="14"/>
        <v/>
      </c>
    </row>
    <row r="926" spans="1:7" x14ac:dyDescent="0.3">
      <c r="A926" s="16"/>
      <c r="B926" s="16"/>
      <c r="C926" s="16"/>
      <c r="D926" s="14" t="str">
        <f>IF(A926="","",IF(LangIdx=2,C926&amp;"",B926&amp;""))</f>
        <v/>
      </c>
      <c r="E926" s="16"/>
      <c r="F926" s="16"/>
      <c r="G926" s="14" t="str">
        <f t="shared" si="14"/>
        <v/>
      </c>
    </row>
    <row r="927" spans="1:7" x14ac:dyDescent="0.3">
      <c r="A927" s="16"/>
      <c r="B927" s="16"/>
      <c r="C927" s="16"/>
      <c r="D927" s="14" t="str">
        <f>IF(A927="","",IF(LangIdx=2,C927&amp;"",B927&amp;""))</f>
        <v/>
      </c>
      <c r="E927" s="16"/>
      <c r="F927" s="16"/>
      <c r="G927" s="14" t="str">
        <f t="shared" si="14"/>
        <v/>
      </c>
    </row>
    <row r="928" spans="1:7" x14ac:dyDescent="0.3">
      <c r="A928" s="16"/>
      <c r="B928" s="16"/>
      <c r="C928" s="16"/>
      <c r="D928" s="14" t="str">
        <f>IF(A928="","",IF(LangIdx=2,C928&amp;"",B928&amp;""))</f>
        <v/>
      </c>
      <c r="E928" s="16"/>
      <c r="F928" s="16"/>
      <c r="G928" s="14" t="str">
        <f t="shared" si="14"/>
        <v/>
      </c>
    </row>
    <row r="929" spans="1:7" x14ac:dyDescent="0.3">
      <c r="A929" s="16"/>
      <c r="B929" s="16"/>
      <c r="C929" s="16"/>
      <c r="D929" s="14" t="str">
        <f>IF(A929="","",IF(LangIdx=2,C929&amp;"",B929&amp;""))</f>
        <v/>
      </c>
      <c r="E929" s="16"/>
      <c r="F929" s="16"/>
      <c r="G929" s="14" t="str">
        <f t="shared" si="14"/>
        <v/>
      </c>
    </row>
    <row r="930" spans="1:7" x14ac:dyDescent="0.3">
      <c r="A930" s="16"/>
      <c r="B930" s="16"/>
      <c r="C930" s="16"/>
      <c r="D930" s="14" t="str">
        <f>IF(A930="","",IF(LangIdx=2,C930&amp;"",B930&amp;""))</f>
        <v/>
      </c>
      <c r="E930" s="16"/>
      <c r="F930" s="16"/>
      <c r="G930" s="14" t="str">
        <f t="shared" si="14"/>
        <v/>
      </c>
    </row>
    <row r="931" spans="1:7" x14ac:dyDescent="0.3">
      <c r="A931" s="16"/>
      <c r="B931" s="16"/>
      <c r="C931" s="16"/>
      <c r="D931" s="14" t="str">
        <f>IF(A931="","",IF(LangIdx=2,C931&amp;"",B931&amp;""))</f>
        <v/>
      </c>
      <c r="E931" s="16"/>
      <c r="F931" s="16"/>
      <c r="G931" s="14" t="str">
        <f t="shared" si="14"/>
        <v/>
      </c>
    </row>
    <row r="932" spans="1:7" x14ac:dyDescent="0.3">
      <c r="A932" s="16"/>
      <c r="B932" s="16"/>
      <c r="C932" s="16"/>
      <c r="D932" s="14" t="str">
        <f>IF(A932="","",IF(LangIdx=2,C932&amp;"",B932&amp;""))</f>
        <v/>
      </c>
      <c r="E932" s="16"/>
      <c r="F932" s="16"/>
      <c r="G932" s="14" t="str">
        <f t="shared" si="14"/>
        <v/>
      </c>
    </row>
    <row r="933" spans="1:7" x14ac:dyDescent="0.3">
      <c r="A933" s="16"/>
      <c r="B933" s="16"/>
      <c r="C933" s="16"/>
      <c r="D933" s="14" t="str">
        <f>IF(A933="","",IF(LangIdx=2,C933&amp;"",B933&amp;""))</f>
        <v/>
      </c>
      <c r="E933" s="16"/>
      <c r="F933" s="16"/>
      <c r="G933" s="14" t="str">
        <f t="shared" si="14"/>
        <v/>
      </c>
    </row>
    <row r="934" spans="1:7" x14ac:dyDescent="0.3">
      <c r="A934" s="16"/>
      <c r="B934" s="16"/>
      <c r="C934" s="16"/>
      <c r="D934" s="14" t="str">
        <f>IF(A934="","",IF(LangIdx=2,C934&amp;"",B934&amp;""))</f>
        <v/>
      </c>
      <c r="E934" s="16"/>
      <c r="F934" s="16"/>
      <c r="G934" s="14" t="str">
        <f t="shared" si="14"/>
        <v/>
      </c>
    </row>
    <row r="935" spans="1:7" x14ac:dyDescent="0.3">
      <c r="A935" s="16"/>
      <c r="B935" s="16"/>
      <c r="C935" s="16"/>
      <c r="D935" s="14" t="str">
        <f>IF(A935="","",IF(LangIdx=2,C935&amp;"",B935&amp;""))</f>
        <v/>
      </c>
      <c r="E935" s="16"/>
      <c r="F935" s="16"/>
      <c r="G935" s="14" t="str">
        <f t="shared" si="14"/>
        <v/>
      </c>
    </row>
    <row r="936" spans="1:7" x14ac:dyDescent="0.3">
      <c r="A936" s="16"/>
      <c r="B936" s="16"/>
      <c r="C936" s="16"/>
      <c r="D936" s="14" t="str">
        <f>IF(A936="","",IF(LangIdx=2,C936&amp;"",B936&amp;""))</f>
        <v/>
      </c>
      <c r="E936" s="16"/>
      <c r="F936" s="16"/>
      <c r="G936" s="14" t="str">
        <f t="shared" si="14"/>
        <v/>
      </c>
    </row>
    <row r="937" spans="1:7" x14ac:dyDescent="0.3">
      <c r="A937" s="16"/>
      <c r="B937" s="16"/>
      <c r="C937" s="16"/>
      <c r="D937" s="14" t="str">
        <f>IF(A937="","",IF(LangIdx=2,C937&amp;"",B937&amp;""))</f>
        <v/>
      </c>
      <c r="E937" s="16"/>
      <c r="F937" s="16"/>
      <c r="G937" s="14" t="str">
        <f t="shared" si="14"/>
        <v/>
      </c>
    </row>
    <row r="938" spans="1:7" x14ac:dyDescent="0.3">
      <c r="A938" s="16"/>
      <c r="B938" s="16"/>
      <c r="C938" s="16"/>
      <c r="D938" s="14" t="str">
        <f>IF(A938="","",IF(LangIdx=2,C938&amp;"",B938&amp;""))</f>
        <v/>
      </c>
      <c r="E938" s="16"/>
      <c r="F938" s="16"/>
      <c r="G938" s="14" t="str">
        <f t="shared" si="14"/>
        <v/>
      </c>
    </row>
    <row r="939" spans="1:7" x14ac:dyDescent="0.3">
      <c r="A939" s="16"/>
      <c r="B939" s="16"/>
      <c r="C939" s="16"/>
      <c r="D939" s="14" t="str">
        <f>IF(A939="","",IF(LangIdx=2,C939&amp;"",B939&amp;""))</f>
        <v/>
      </c>
      <c r="E939" s="16"/>
      <c r="F939" s="16"/>
      <c r="G939" s="14" t="str">
        <f t="shared" si="14"/>
        <v/>
      </c>
    </row>
    <row r="940" spans="1:7" x14ac:dyDescent="0.3">
      <c r="A940" s="16"/>
      <c r="B940" s="16"/>
      <c r="C940" s="16"/>
      <c r="D940" s="14" t="str">
        <f>IF(A940="","",IF(LangIdx=2,C940&amp;"",B940&amp;""))</f>
        <v/>
      </c>
      <c r="E940" s="16"/>
      <c r="F940" s="16"/>
      <c r="G940" s="14" t="str">
        <f t="shared" si="14"/>
        <v/>
      </c>
    </row>
    <row r="941" spans="1:7" x14ac:dyDescent="0.3">
      <c r="A941" s="16"/>
      <c r="B941" s="16"/>
      <c r="C941" s="16"/>
      <c r="D941" s="14" t="str">
        <f>IF(A941="","",IF(LangIdx=2,C941&amp;"",B941&amp;""))</f>
        <v/>
      </c>
      <c r="E941" s="16"/>
      <c r="F941" s="16"/>
      <c r="G941" s="14" t="str">
        <f t="shared" si="14"/>
        <v/>
      </c>
    </row>
    <row r="942" spans="1:7" x14ac:dyDescent="0.3">
      <c r="A942" s="16"/>
      <c r="B942" s="16"/>
      <c r="C942" s="16"/>
      <c r="D942" s="14" t="str">
        <f>IF(A942="","",IF(LangIdx=2,C942&amp;"",B942&amp;""))</f>
        <v/>
      </c>
      <c r="E942" s="16"/>
      <c r="F942" s="16"/>
      <c r="G942" s="14" t="str">
        <f t="shared" si="14"/>
        <v/>
      </c>
    </row>
    <row r="943" spans="1:7" x14ac:dyDescent="0.3">
      <c r="A943" s="16"/>
      <c r="B943" s="16"/>
      <c r="C943" s="16"/>
      <c r="D943" s="14" t="str">
        <f>IF(A943="","",IF(LangIdx=2,C943&amp;"",B943&amp;""))</f>
        <v/>
      </c>
      <c r="E943" s="16"/>
      <c r="F943" s="16"/>
      <c r="G943" s="14" t="str">
        <f t="shared" ref="G943:G1000" si="15">IF(A943="","",IF(COUNTIF(DICT_KEY,A943)&gt;1,"DUP",""))</f>
        <v/>
      </c>
    </row>
    <row r="944" spans="1:7" x14ac:dyDescent="0.3">
      <c r="A944" s="16"/>
      <c r="B944" s="16"/>
      <c r="C944" s="16"/>
      <c r="D944" s="14" t="str">
        <f>IF(A944="","",IF(LangIdx=2,C944&amp;"",B944&amp;""))</f>
        <v/>
      </c>
      <c r="E944" s="16"/>
      <c r="F944" s="16"/>
      <c r="G944" s="14" t="str">
        <f t="shared" si="15"/>
        <v/>
      </c>
    </row>
    <row r="945" spans="1:7" x14ac:dyDescent="0.3">
      <c r="A945" s="16"/>
      <c r="B945" s="16"/>
      <c r="C945" s="16"/>
      <c r="D945" s="14" t="str">
        <f>IF(A945="","",IF(LangIdx=2,C945&amp;"",B945&amp;""))</f>
        <v/>
      </c>
      <c r="E945" s="16"/>
      <c r="F945" s="16"/>
      <c r="G945" s="14" t="str">
        <f t="shared" si="15"/>
        <v/>
      </c>
    </row>
    <row r="946" spans="1:7" x14ac:dyDescent="0.3">
      <c r="A946" s="16"/>
      <c r="B946" s="16"/>
      <c r="C946" s="16"/>
      <c r="D946" s="14" t="str">
        <f>IF(A946="","",IF(LangIdx=2,C946&amp;"",B946&amp;""))</f>
        <v/>
      </c>
      <c r="E946" s="16"/>
      <c r="F946" s="16"/>
      <c r="G946" s="14" t="str">
        <f t="shared" si="15"/>
        <v/>
      </c>
    </row>
    <row r="947" spans="1:7" x14ac:dyDescent="0.3">
      <c r="A947" s="16"/>
      <c r="B947" s="16"/>
      <c r="C947" s="16"/>
      <c r="D947" s="14" t="str">
        <f>IF(A947="","",IF(LangIdx=2,C947&amp;"",B947&amp;""))</f>
        <v/>
      </c>
      <c r="E947" s="16"/>
      <c r="F947" s="16"/>
      <c r="G947" s="14" t="str">
        <f t="shared" si="15"/>
        <v/>
      </c>
    </row>
    <row r="948" spans="1:7" x14ac:dyDescent="0.3">
      <c r="A948" s="16"/>
      <c r="B948" s="16"/>
      <c r="C948" s="16"/>
      <c r="D948" s="14" t="str">
        <f>IF(A948="","",IF(LangIdx=2,C948&amp;"",B948&amp;""))</f>
        <v/>
      </c>
      <c r="E948" s="16"/>
      <c r="F948" s="16"/>
      <c r="G948" s="14" t="str">
        <f t="shared" si="15"/>
        <v/>
      </c>
    </row>
    <row r="949" spans="1:7" x14ac:dyDescent="0.3">
      <c r="A949" s="16"/>
      <c r="B949" s="16"/>
      <c r="C949" s="16"/>
      <c r="D949" s="14" t="str">
        <f>IF(A949="","",IF(LangIdx=2,C949&amp;"",B949&amp;""))</f>
        <v/>
      </c>
      <c r="E949" s="16"/>
      <c r="F949" s="16"/>
      <c r="G949" s="14" t="str">
        <f t="shared" si="15"/>
        <v/>
      </c>
    </row>
    <row r="950" spans="1:7" x14ac:dyDescent="0.3">
      <c r="A950" s="16"/>
      <c r="B950" s="16"/>
      <c r="C950" s="16"/>
      <c r="D950" s="14" t="str">
        <f>IF(A950="","",IF(LangIdx=2,C950&amp;"",B950&amp;""))</f>
        <v/>
      </c>
      <c r="E950" s="16"/>
      <c r="F950" s="16"/>
      <c r="G950" s="14" t="str">
        <f t="shared" si="15"/>
        <v/>
      </c>
    </row>
    <row r="951" spans="1:7" x14ac:dyDescent="0.3">
      <c r="A951" s="16"/>
      <c r="B951" s="16"/>
      <c r="C951" s="16"/>
      <c r="D951" s="14" t="str">
        <f>IF(A951="","",IF(LangIdx=2,C951&amp;"",B951&amp;""))</f>
        <v/>
      </c>
      <c r="E951" s="16"/>
      <c r="F951" s="16"/>
      <c r="G951" s="14" t="str">
        <f t="shared" si="15"/>
        <v/>
      </c>
    </row>
    <row r="952" spans="1:7" x14ac:dyDescent="0.3">
      <c r="A952" s="16"/>
      <c r="B952" s="16"/>
      <c r="C952" s="16"/>
      <c r="D952" s="14" t="str">
        <f>IF(A952="","",IF(LangIdx=2,C952&amp;"",B952&amp;""))</f>
        <v/>
      </c>
      <c r="E952" s="16"/>
      <c r="F952" s="16"/>
      <c r="G952" s="14" t="str">
        <f t="shared" si="15"/>
        <v/>
      </c>
    </row>
    <row r="953" spans="1:7" x14ac:dyDescent="0.3">
      <c r="A953" s="16"/>
      <c r="B953" s="16"/>
      <c r="C953" s="16"/>
      <c r="D953" s="14" t="str">
        <f>IF(A953="","",IF(LangIdx=2,C953&amp;"",B953&amp;""))</f>
        <v/>
      </c>
      <c r="E953" s="16"/>
      <c r="F953" s="16"/>
      <c r="G953" s="14" t="str">
        <f t="shared" si="15"/>
        <v/>
      </c>
    </row>
    <row r="954" spans="1:7" x14ac:dyDescent="0.3">
      <c r="A954" s="16"/>
      <c r="B954" s="16"/>
      <c r="C954" s="16"/>
      <c r="D954" s="14" t="str">
        <f>IF(A954="","",IF(LangIdx=2,C954&amp;"",B954&amp;""))</f>
        <v/>
      </c>
      <c r="E954" s="16"/>
      <c r="F954" s="16"/>
      <c r="G954" s="14" t="str">
        <f t="shared" si="15"/>
        <v/>
      </c>
    </row>
    <row r="955" spans="1:7" x14ac:dyDescent="0.3">
      <c r="A955" s="16"/>
      <c r="B955" s="16"/>
      <c r="C955" s="16"/>
      <c r="D955" s="14" t="str">
        <f>IF(A955="","",IF(LangIdx=2,C955&amp;"",B955&amp;""))</f>
        <v/>
      </c>
      <c r="E955" s="16"/>
      <c r="F955" s="16"/>
      <c r="G955" s="14" t="str">
        <f t="shared" si="15"/>
        <v/>
      </c>
    </row>
    <row r="956" spans="1:7" x14ac:dyDescent="0.3">
      <c r="A956" s="16"/>
      <c r="B956" s="16"/>
      <c r="C956" s="16"/>
      <c r="D956" s="14" t="str">
        <f>IF(A956="","",IF(LangIdx=2,C956&amp;"",B956&amp;""))</f>
        <v/>
      </c>
      <c r="E956" s="16"/>
      <c r="F956" s="16"/>
      <c r="G956" s="14" t="str">
        <f t="shared" si="15"/>
        <v/>
      </c>
    </row>
    <row r="957" spans="1:7" x14ac:dyDescent="0.3">
      <c r="A957" s="16"/>
      <c r="B957" s="16"/>
      <c r="C957" s="16"/>
      <c r="D957" s="14" t="str">
        <f>IF(A957="","",IF(LangIdx=2,C957&amp;"",B957&amp;""))</f>
        <v/>
      </c>
      <c r="E957" s="16"/>
      <c r="F957" s="16"/>
      <c r="G957" s="14" t="str">
        <f t="shared" si="15"/>
        <v/>
      </c>
    </row>
    <row r="958" spans="1:7" x14ac:dyDescent="0.3">
      <c r="A958" s="16"/>
      <c r="B958" s="16"/>
      <c r="C958" s="16"/>
      <c r="D958" s="14" t="str">
        <f>IF(A958="","",IF(LangIdx=2,C958&amp;"",B958&amp;""))</f>
        <v/>
      </c>
      <c r="E958" s="16"/>
      <c r="F958" s="16"/>
      <c r="G958" s="14" t="str">
        <f t="shared" si="15"/>
        <v/>
      </c>
    </row>
    <row r="959" spans="1:7" x14ac:dyDescent="0.3">
      <c r="A959" s="16"/>
      <c r="B959" s="16"/>
      <c r="C959" s="16"/>
      <c r="D959" s="14" t="str">
        <f>IF(A959="","",IF(LangIdx=2,C959&amp;"",B959&amp;""))</f>
        <v/>
      </c>
      <c r="E959" s="16"/>
      <c r="F959" s="16"/>
      <c r="G959" s="14" t="str">
        <f t="shared" si="15"/>
        <v/>
      </c>
    </row>
    <row r="960" spans="1:7" x14ac:dyDescent="0.3">
      <c r="A960" s="16"/>
      <c r="B960" s="16"/>
      <c r="C960" s="16"/>
      <c r="D960" s="14" t="str">
        <f>IF(A960="","",IF(LangIdx=2,C960&amp;"",B960&amp;""))</f>
        <v/>
      </c>
      <c r="E960" s="16"/>
      <c r="F960" s="16"/>
      <c r="G960" s="14" t="str">
        <f t="shared" si="15"/>
        <v/>
      </c>
    </row>
    <row r="961" spans="1:7" x14ac:dyDescent="0.3">
      <c r="A961" s="16"/>
      <c r="B961" s="16"/>
      <c r="C961" s="16"/>
      <c r="D961" s="14" t="str">
        <f>IF(A961="","",IF(LangIdx=2,C961&amp;"",B961&amp;""))</f>
        <v/>
      </c>
      <c r="E961" s="16"/>
      <c r="F961" s="16"/>
      <c r="G961" s="14" t="str">
        <f t="shared" si="15"/>
        <v/>
      </c>
    </row>
    <row r="962" spans="1:7" x14ac:dyDescent="0.3">
      <c r="A962" s="16"/>
      <c r="B962" s="16"/>
      <c r="C962" s="16"/>
      <c r="D962" s="14" t="str">
        <f>IF(A962="","",IF(LangIdx=2,C962&amp;"",B962&amp;""))</f>
        <v/>
      </c>
      <c r="E962" s="16"/>
      <c r="F962" s="16"/>
      <c r="G962" s="14" t="str">
        <f t="shared" si="15"/>
        <v/>
      </c>
    </row>
    <row r="963" spans="1:7" x14ac:dyDescent="0.3">
      <c r="A963" s="16"/>
      <c r="B963" s="16"/>
      <c r="C963" s="16"/>
      <c r="D963" s="14" t="str">
        <f>IF(A963="","",IF(LangIdx=2,C963&amp;"",B963&amp;""))</f>
        <v/>
      </c>
      <c r="E963" s="16"/>
      <c r="F963" s="16"/>
      <c r="G963" s="14" t="str">
        <f t="shared" si="15"/>
        <v/>
      </c>
    </row>
    <row r="964" spans="1:7" x14ac:dyDescent="0.3">
      <c r="A964" s="16"/>
      <c r="B964" s="16"/>
      <c r="C964" s="16"/>
      <c r="D964" s="14" t="str">
        <f>IF(A964="","",IF(LangIdx=2,C964&amp;"",B964&amp;""))</f>
        <v/>
      </c>
      <c r="E964" s="16"/>
      <c r="F964" s="16"/>
      <c r="G964" s="14" t="str">
        <f t="shared" si="15"/>
        <v/>
      </c>
    </row>
    <row r="965" spans="1:7" x14ac:dyDescent="0.3">
      <c r="A965" s="16"/>
      <c r="B965" s="16"/>
      <c r="C965" s="16"/>
      <c r="D965" s="14" t="str">
        <f>IF(A965="","",IF(LangIdx=2,C965&amp;"",B965&amp;""))</f>
        <v/>
      </c>
      <c r="E965" s="16"/>
      <c r="F965" s="16"/>
      <c r="G965" s="14" t="str">
        <f t="shared" si="15"/>
        <v/>
      </c>
    </row>
    <row r="966" spans="1:7" x14ac:dyDescent="0.3">
      <c r="A966" s="16"/>
      <c r="B966" s="16"/>
      <c r="C966" s="16"/>
      <c r="D966" s="14" t="str">
        <f>IF(A966="","",IF(LangIdx=2,C966&amp;"",B966&amp;""))</f>
        <v/>
      </c>
      <c r="E966" s="16"/>
      <c r="F966" s="16"/>
      <c r="G966" s="14" t="str">
        <f t="shared" si="15"/>
        <v/>
      </c>
    </row>
    <row r="967" spans="1:7" x14ac:dyDescent="0.3">
      <c r="A967" s="16"/>
      <c r="B967" s="16"/>
      <c r="C967" s="16"/>
      <c r="D967" s="14" t="str">
        <f>IF(A967="","",IF(LangIdx=2,C967&amp;"",B967&amp;""))</f>
        <v/>
      </c>
      <c r="E967" s="16"/>
      <c r="F967" s="16"/>
      <c r="G967" s="14" t="str">
        <f t="shared" si="15"/>
        <v/>
      </c>
    </row>
    <row r="968" spans="1:7" x14ac:dyDescent="0.3">
      <c r="A968" s="16"/>
      <c r="B968" s="16"/>
      <c r="C968" s="16"/>
      <c r="D968" s="14" t="str">
        <f>IF(A968="","",IF(LangIdx=2,C968&amp;"",B968&amp;""))</f>
        <v/>
      </c>
      <c r="E968" s="16"/>
      <c r="F968" s="16"/>
      <c r="G968" s="14" t="str">
        <f t="shared" si="15"/>
        <v/>
      </c>
    </row>
    <row r="969" spans="1:7" x14ac:dyDescent="0.3">
      <c r="A969" s="16"/>
      <c r="B969" s="16"/>
      <c r="C969" s="16"/>
      <c r="D969" s="14" t="str">
        <f>IF(A969="","",IF(LangIdx=2,C969&amp;"",B969&amp;""))</f>
        <v/>
      </c>
      <c r="E969" s="16"/>
      <c r="F969" s="16"/>
      <c r="G969" s="14" t="str">
        <f t="shared" si="15"/>
        <v/>
      </c>
    </row>
    <row r="970" spans="1:7" x14ac:dyDescent="0.3">
      <c r="A970" s="16"/>
      <c r="B970" s="16"/>
      <c r="C970" s="16"/>
      <c r="D970" s="14" t="str">
        <f>IF(A970="","",IF(LangIdx=2,C970&amp;"",B970&amp;""))</f>
        <v/>
      </c>
      <c r="E970" s="16"/>
      <c r="F970" s="16"/>
      <c r="G970" s="14" t="str">
        <f t="shared" si="15"/>
        <v/>
      </c>
    </row>
    <row r="971" spans="1:7" x14ac:dyDescent="0.3">
      <c r="A971" s="16"/>
      <c r="B971" s="16"/>
      <c r="C971" s="16"/>
      <c r="D971" s="14" t="str">
        <f>IF(A971="","",IF(LangIdx=2,C971&amp;"",B971&amp;""))</f>
        <v/>
      </c>
      <c r="E971" s="16"/>
      <c r="F971" s="16"/>
      <c r="G971" s="14" t="str">
        <f t="shared" si="15"/>
        <v/>
      </c>
    </row>
    <row r="972" spans="1:7" x14ac:dyDescent="0.3">
      <c r="A972" s="16"/>
      <c r="B972" s="16"/>
      <c r="C972" s="16"/>
      <c r="D972" s="14" t="str">
        <f>IF(A972="","",IF(LangIdx=2,C972&amp;"",B972&amp;""))</f>
        <v/>
      </c>
      <c r="E972" s="16"/>
      <c r="F972" s="16"/>
      <c r="G972" s="14" t="str">
        <f t="shared" si="15"/>
        <v/>
      </c>
    </row>
    <row r="973" spans="1:7" x14ac:dyDescent="0.3">
      <c r="A973" s="16"/>
      <c r="B973" s="16"/>
      <c r="C973" s="16"/>
      <c r="D973" s="14" t="str">
        <f>IF(A973="","",IF(LangIdx=2,C973&amp;"",B973&amp;""))</f>
        <v/>
      </c>
      <c r="E973" s="16"/>
      <c r="F973" s="16"/>
      <c r="G973" s="14" t="str">
        <f t="shared" si="15"/>
        <v/>
      </c>
    </row>
    <row r="974" spans="1:7" x14ac:dyDescent="0.3">
      <c r="A974" s="16"/>
      <c r="B974" s="16"/>
      <c r="C974" s="16"/>
      <c r="D974" s="14" t="str">
        <f>IF(A974="","",IF(LangIdx=2,C974&amp;"",B974&amp;""))</f>
        <v/>
      </c>
      <c r="E974" s="16"/>
      <c r="F974" s="16"/>
      <c r="G974" s="14" t="str">
        <f t="shared" si="15"/>
        <v/>
      </c>
    </row>
    <row r="975" spans="1:7" x14ac:dyDescent="0.3">
      <c r="A975" s="16"/>
      <c r="B975" s="16"/>
      <c r="C975" s="16"/>
      <c r="D975" s="14" t="str">
        <f>IF(A975="","",IF(LangIdx=2,C975&amp;"",B975&amp;""))</f>
        <v/>
      </c>
      <c r="E975" s="16"/>
      <c r="F975" s="16"/>
      <c r="G975" s="14" t="str">
        <f t="shared" si="15"/>
        <v/>
      </c>
    </row>
    <row r="976" spans="1:7" x14ac:dyDescent="0.3">
      <c r="A976" s="16"/>
      <c r="B976" s="16"/>
      <c r="C976" s="16"/>
      <c r="D976" s="14" t="str">
        <f>IF(A976="","",IF(LangIdx=2,C976&amp;"",B976&amp;""))</f>
        <v/>
      </c>
      <c r="E976" s="16"/>
      <c r="F976" s="16"/>
      <c r="G976" s="14" t="str">
        <f t="shared" si="15"/>
        <v/>
      </c>
    </row>
    <row r="977" spans="1:7" x14ac:dyDescent="0.3">
      <c r="A977" s="16"/>
      <c r="B977" s="16"/>
      <c r="C977" s="16"/>
      <c r="D977" s="14" t="str">
        <f>IF(A977="","",IF(LangIdx=2,C977&amp;"",B977&amp;""))</f>
        <v/>
      </c>
      <c r="E977" s="16"/>
      <c r="F977" s="16"/>
      <c r="G977" s="14" t="str">
        <f t="shared" si="15"/>
        <v/>
      </c>
    </row>
    <row r="978" spans="1:7" x14ac:dyDescent="0.3">
      <c r="A978" s="16"/>
      <c r="B978" s="16"/>
      <c r="C978" s="16"/>
      <c r="D978" s="14" t="str">
        <f>IF(A978="","",IF(LangIdx=2,C978&amp;"",B978&amp;""))</f>
        <v/>
      </c>
      <c r="E978" s="16"/>
      <c r="F978" s="16"/>
      <c r="G978" s="14" t="str">
        <f t="shared" si="15"/>
        <v/>
      </c>
    </row>
    <row r="979" spans="1:7" x14ac:dyDescent="0.3">
      <c r="A979" s="16"/>
      <c r="B979" s="16"/>
      <c r="C979" s="16"/>
      <c r="D979" s="14" t="str">
        <f>IF(A979="","",IF(LangIdx=2,C979&amp;"",B979&amp;""))</f>
        <v/>
      </c>
      <c r="E979" s="16"/>
      <c r="F979" s="16"/>
      <c r="G979" s="14" t="str">
        <f t="shared" si="15"/>
        <v/>
      </c>
    </row>
    <row r="980" spans="1:7" x14ac:dyDescent="0.3">
      <c r="A980" s="16"/>
      <c r="B980" s="16"/>
      <c r="C980" s="16"/>
      <c r="D980" s="14" t="str">
        <f>IF(A980="","",IF(LangIdx=2,C980&amp;"",B980&amp;""))</f>
        <v/>
      </c>
      <c r="E980" s="16"/>
      <c r="F980" s="16"/>
      <c r="G980" s="14" t="str">
        <f t="shared" si="15"/>
        <v/>
      </c>
    </row>
    <row r="981" spans="1:7" x14ac:dyDescent="0.3">
      <c r="A981" s="16"/>
      <c r="B981" s="16"/>
      <c r="C981" s="16"/>
      <c r="D981" s="14" t="str">
        <f>IF(A981="","",IF(LangIdx=2,C981&amp;"",B981&amp;""))</f>
        <v/>
      </c>
      <c r="E981" s="16"/>
      <c r="F981" s="16"/>
      <c r="G981" s="14" t="str">
        <f t="shared" si="15"/>
        <v/>
      </c>
    </row>
    <row r="982" spans="1:7" x14ac:dyDescent="0.3">
      <c r="A982" s="16"/>
      <c r="B982" s="16"/>
      <c r="C982" s="16"/>
      <c r="D982" s="14" t="str">
        <f>IF(A982="","",IF(LangIdx=2,C982&amp;"",B982&amp;""))</f>
        <v/>
      </c>
      <c r="E982" s="16"/>
      <c r="F982" s="16"/>
      <c r="G982" s="14" t="str">
        <f t="shared" si="15"/>
        <v/>
      </c>
    </row>
    <row r="983" spans="1:7" x14ac:dyDescent="0.3">
      <c r="A983" s="16"/>
      <c r="B983" s="16"/>
      <c r="C983" s="16"/>
      <c r="D983" s="14" t="str">
        <f>IF(A983="","",IF(LangIdx=2,C983&amp;"",B983&amp;""))</f>
        <v/>
      </c>
      <c r="E983" s="16"/>
      <c r="F983" s="16"/>
      <c r="G983" s="14" t="str">
        <f t="shared" si="15"/>
        <v/>
      </c>
    </row>
    <row r="984" spans="1:7" x14ac:dyDescent="0.3">
      <c r="A984" s="16"/>
      <c r="B984" s="16"/>
      <c r="C984" s="16"/>
      <c r="D984" s="14" t="str">
        <f>IF(A984="","",IF(LangIdx=2,C984&amp;"",B984&amp;""))</f>
        <v/>
      </c>
      <c r="E984" s="16"/>
      <c r="F984" s="16"/>
      <c r="G984" s="14" t="str">
        <f t="shared" si="15"/>
        <v/>
      </c>
    </row>
    <row r="985" spans="1:7" x14ac:dyDescent="0.3">
      <c r="A985" s="16"/>
      <c r="B985" s="16"/>
      <c r="C985" s="16"/>
      <c r="D985" s="14" t="str">
        <f>IF(A985="","",IF(LangIdx=2,C985&amp;"",B985&amp;""))</f>
        <v/>
      </c>
      <c r="E985" s="16"/>
      <c r="F985" s="16"/>
      <c r="G985" s="14" t="str">
        <f t="shared" si="15"/>
        <v/>
      </c>
    </row>
    <row r="986" spans="1:7" x14ac:dyDescent="0.3">
      <c r="A986" s="16"/>
      <c r="B986" s="16"/>
      <c r="C986" s="16"/>
      <c r="D986" s="14" t="str">
        <f>IF(A986="","",IF(LangIdx=2,C986&amp;"",B986&amp;""))</f>
        <v/>
      </c>
      <c r="E986" s="16"/>
      <c r="F986" s="16"/>
      <c r="G986" s="14" t="str">
        <f t="shared" si="15"/>
        <v/>
      </c>
    </row>
    <row r="987" spans="1:7" x14ac:dyDescent="0.3">
      <c r="A987" s="16"/>
      <c r="B987" s="16"/>
      <c r="C987" s="16"/>
      <c r="D987" s="14" t="str">
        <f>IF(A987="","",IF(LangIdx=2,C987&amp;"",B987&amp;""))</f>
        <v/>
      </c>
      <c r="E987" s="16"/>
      <c r="F987" s="16"/>
      <c r="G987" s="14" t="str">
        <f t="shared" si="15"/>
        <v/>
      </c>
    </row>
    <row r="988" spans="1:7" x14ac:dyDescent="0.3">
      <c r="A988" s="16"/>
      <c r="B988" s="16"/>
      <c r="C988" s="16"/>
      <c r="D988" s="14" t="str">
        <f>IF(A988="","",IF(LangIdx=2,C988&amp;"",B988&amp;""))</f>
        <v/>
      </c>
      <c r="E988" s="16"/>
      <c r="F988" s="16"/>
      <c r="G988" s="14" t="str">
        <f t="shared" si="15"/>
        <v/>
      </c>
    </row>
    <row r="989" spans="1:7" x14ac:dyDescent="0.3">
      <c r="A989" s="16"/>
      <c r="B989" s="16"/>
      <c r="C989" s="16"/>
      <c r="D989" s="14" t="str">
        <f>IF(A989="","",IF(LangIdx=2,C989&amp;"",B989&amp;""))</f>
        <v/>
      </c>
      <c r="E989" s="16"/>
      <c r="F989" s="16"/>
      <c r="G989" s="14" t="str">
        <f t="shared" si="15"/>
        <v/>
      </c>
    </row>
    <row r="990" spans="1:7" x14ac:dyDescent="0.3">
      <c r="A990" s="16"/>
      <c r="B990" s="16"/>
      <c r="C990" s="16"/>
      <c r="D990" s="14" t="str">
        <f>IF(A990="","",IF(LangIdx=2,C990&amp;"",B990&amp;""))</f>
        <v/>
      </c>
      <c r="E990" s="16"/>
      <c r="F990" s="16"/>
      <c r="G990" s="14" t="str">
        <f t="shared" si="15"/>
        <v/>
      </c>
    </row>
    <row r="991" spans="1:7" x14ac:dyDescent="0.3">
      <c r="A991" s="16"/>
      <c r="B991" s="16"/>
      <c r="C991" s="16"/>
      <c r="D991" s="14" t="str">
        <f>IF(A991="","",IF(LangIdx=2,C991&amp;"",B991&amp;""))</f>
        <v/>
      </c>
      <c r="E991" s="16"/>
      <c r="F991" s="16"/>
      <c r="G991" s="14" t="str">
        <f t="shared" si="15"/>
        <v/>
      </c>
    </row>
    <row r="992" spans="1:7" x14ac:dyDescent="0.3">
      <c r="A992" s="16"/>
      <c r="B992" s="16"/>
      <c r="C992" s="16"/>
      <c r="D992" s="14" t="str">
        <f>IF(A992="","",IF(LangIdx=2,C992&amp;"",B992&amp;""))</f>
        <v/>
      </c>
      <c r="E992" s="16"/>
      <c r="F992" s="16"/>
      <c r="G992" s="14" t="str">
        <f t="shared" si="15"/>
        <v/>
      </c>
    </row>
    <row r="993" spans="1:7" x14ac:dyDescent="0.3">
      <c r="A993" s="16"/>
      <c r="B993" s="16"/>
      <c r="C993" s="16"/>
      <c r="D993" s="14" t="str">
        <f>IF(A993="","",IF(LangIdx=2,C993&amp;"",B993&amp;""))</f>
        <v/>
      </c>
      <c r="E993" s="16"/>
      <c r="F993" s="16"/>
      <c r="G993" s="14" t="str">
        <f t="shared" si="15"/>
        <v/>
      </c>
    </row>
    <row r="994" spans="1:7" x14ac:dyDescent="0.3">
      <c r="A994" s="16"/>
      <c r="B994" s="16"/>
      <c r="C994" s="16"/>
      <c r="D994" s="14" t="str">
        <f>IF(A994="","",IF(LangIdx=2,C994&amp;"",B994&amp;""))</f>
        <v/>
      </c>
      <c r="E994" s="16"/>
      <c r="F994" s="16"/>
      <c r="G994" s="14" t="str">
        <f t="shared" si="15"/>
        <v/>
      </c>
    </row>
    <row r="995" spans="1:7" x14ac:dyDescent="0.3">
      <c r="A995" s="16"/>
      <c r="B995" s="16"/>
      <c r="C995" s="16"/>
      <c r="D995" s="14" t="str">
        <f>IF(A995="","",IF(LangIdx=2,C995&amp;"",B995&amp;""))</f>
        <v/>
      </c>
      <c r="E995" s="16"/>
      <c r="F995" s="16"/>
      <c r="G995" s="14" t="str">
        <f t="shared" si="15"/>
        <v/>
      </c>
    </row>
    <row r="996" spans="1:7" x14ac:dyDescent="0.3">
      <c r="A996" s="16"/>
      <c r="B996" s="16"/>
      <c r="C996" s="16"/>
      <c r="D996" s="14" t="str">
        <f>IF(A996="","",IF(LangIdx=2,C996&amp;"",B996&amp;""))</f>
        <v/>
      </c>
      <c r="E996" s="16"/>
      <c r="F996" s="16"/>
      <c r="G996" s="14" t="str">
        <f t="shared" si="15"/>
        <v/>
      </c>
    </row>
    <row r="997" spans="1:7" x14ac:dyDescent="0.3">
      <c r="A997" s="16"/>
      <c r="B997" s="16"/>
      <c r="C997" s="16"/>
      <c r="D997" s="14" t="str">
        <f>IF(A997="","",IF(LangIdx=2,C997&amp;"",B997&amp;""))</f>
        <v/>
      </c>
      <c r="E997" s="16"/>
      <c r="F997" s="16"/>
      <c r="G997" s="14" t="str">
        <f t="shared" si="15"/>
        <v/>
      </c>
    </row>
    <row r="998" spans="1:7" x14ac:dyDescent="0.3">
      <c r="A998" s="16"/>
      <c r="B998" s="16"/>
      <c r="C998" s="16"/>
      <c r="D998" s="14" t="str">
        <f>IF(A998="","",IF(LangIdx=2,C998&amp;"",B998&amp;""))</f>
        <v/>
      </c>
      <c r="E998" s="16"/>
      <c r="F998" s="16"/>
      <c r="G998" s="14" t="str">
        <f t="shared" si="15"/>
        <v/>
      </c>
    </row>
    <row r="999" spans="1:7" x14ac:dyDescent="0.3">
      <c r="A999" s="16"/>
      <c r="B999" s="16"/>
      <c r="C999" s="16"/>
      <c r="D999" s="14" t="str">
        <f>IF(A999="","",IF(LangIdx=2,C999&amp;"",B999&amp;""))</f>
        <v/>
      </c>
      <c r="E999" s="16"/>
      <c r="F999" s="16"/>
      <c r="G999" s="14" t="str">
        <f t="shared" si="15"/>
        <v/>
      </c>
    </row>
    <row r="1000" spans="1:7" x14ac:dyDescent="0.3">
      <c r="A1000" s="16"/>
      <c r="B1000" s="16"/>
      <c r="C1000" s="16"/>
      <c r="D1000" s="14" t="str">
        <f>IF(A1000="","",IF(LangIdx=2,C1000&amp;"",B1000&amp;""))</f>
        <v/>
      </c>
      <c r="E1000" s="16"/>
      <c r="F1000" s="16"/>
      <c r="G1000" s="14" t="str">
        <f t="shared" si="15"/>
        <v/>
      </c>
    </row>
  </sheetData>
  <sheetProtection algorithmName="SHA-512" hashValue="DqLFgSEmvgcYPyH4NYIn+9nmlRu/GpRg1Ddve3BT+ZgGzUoklDvw4d75Ta7vRPgB1mNjt0AHDZZeN/cLiHvgxw==" saltValue="XtyObeJJWeeo7sZ48q8wow==" spinCount="100000" sheet="1" objects="1" scenarios="1" formatCells="0" autoFilter="0" pivotTables="0"/>
  <autoFilter ref="A3:G430" xr:uid="{00000000-0009-0000-0000-000001000000}"/>
  <conditionalFormatting sqref="G4:G1000">
    <cfRule type="expression" dxfId="21" priority="1">
      <formula>G4="DUP"</formula>
    </cfRule>
  </conditionalFormatting>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unka3"/>
  <dimension ref="A1:V300"/>
  <sheetViews>
    <sheetView showGridLines="0" workbookViewId="0">
      <pane xSplit="2" ySplit="3" topLeftCell="C4" activePane="bottomRight" state="frozen"/>
      <selection pane="topRight"/>
      <selection pane="bottomLeft"/>
      <selection pane="bottomRight" activeCell="C1" sqref="C1"/>
    </sheetView>
  </sheetViews>
  <sheetFormatPr defaultRowHeight="14.4" x14ac:dyDescent="0.3"/>
  <cols>
    <col min="1" max="1" width="10" customWidth="1"/>
    <col min="2" max="2" width="44" customWidth="1"/>
    <col min="3" max="3" width="30" customWidth="1"/>
    <col min="4" max="4" width="13" hidden="1" customWidth="1"/>
    <col min="5" max="6" width="20" customWidth="1"/>
    <col min="7" max="7" width="22" customWidth="1"/>
    <col min="8" max="8" width="24" customWidth="1"/>
    <col min="9" max="9" width="13" hidden="1" customWidth="1"/>
    <col min="10" max="10" width="30" customWidth="1"/>
    <col min="11" max="11" width="13" hidden="1" customWidth="1"/>
    <col min="12" max="12" width="10" customWidth="1"/>
    <col min="13" max="13" width="20" customWidth="1"/>
    <col min="14" max="15" width="10" customWidth="1"/>
    <col min="16" max="16" width="36" customWidth="1"/>
    <col min="17" max="17" width="13" hidden="1" customWidth="1"/>
    <col min="18" max="18" width="20" customWidth="1"/>
    <col min="19" max="19" width="13" hidden="1" customWidth="1"/>
    <col min="20" max="20" width="12" customWidth="1"/>
    <col min="21" max="21" width="13" hidden="1" customWidth="1"/>
    <col min="22" max="22" width="40" customWidth="1"/>
  </cols>
  <sheetData>
    <row r="1" spans="1:22" ht="17.399999999999999" x14ac:dyDescent="0.3">
      <c r="A1" s="1" t="str">
        <f>IFERROR(INDEX(DICT_ACTIVE,MATCH("UI.SHEET.COA",DICT_KEY,0))&amp;"","??UI.SHEET.COA")</f>
        <v>Chart of accounts and mapping</v>
      </c>
    </row>
    <row r="2" spans="1:22" x14ac:dyDescent="0.3">
      <c r="A2" s="2" t="str">
        <f>IFERROR(INDEX(DICT_ACTIVE,MATCH("COA.EXAMPLE",DICT_KEY,0))&amp;"","??COA.EXAMPLE")</f>
        <v>Example mapping (Hungarian account classes 1-9, IFRS adjusted). Replace with your own chart of accounts. FX parent must be a P&amp;L account of the same underlying item.</v>
      </c>
    </row>
    <row r="3" spans="1:22" x14ac:dyDescent="0.3">
      <c r="A3" s="3" t="str">
        <f>IFERROR(INDEX(DICT_ACTIVE,MATCH("COA.ACCT",DICT_KEY,0))&amp;"","??COA.ACCT")</f>
        <v>Account</v>
      </c>
      <c r="B3" s="3" t="str">
        <f>IFERROR(INDEX(DICT_ACTIVE,MATCH("COA.NAME",DICT_KEY,0))&amp;"","??COA.NAME")</f>
        <v>Account name</v>
      </c>
      <c r="C3" s="3" t="str">
        <f>IFERROR(INDEX(DICT_ACTIVE,MATCH("COA.STMT",DICT_KEY,0))&amp;"","??COA.STMT")</f>
        <v>Statement</v>
      </c>
      <c r="D3" s="3" t="str">
        <f>IFERROR(INDEX(DICT_ACTIVE,MATCH("UI.CODE",DICT_KEY,0))&amp;"","??UI.CODE")</f>
        <v>code</v>
      </c>
      <c r="E3" s="3" t="str">
        <f>IFERROR(INDEX(DICT_ACTIVE,MATCH("COA.LINE",DICT_KEY,0))&amp;"","??COA.LINE")</f>
        <v>Line key</v>
      </c>
      <c r="F3" s="3" t="str">
        <f>IFERROR(INDEX(DICT_ACTIVE,MATCH("COA.LINE.F",DICT_KEY,0))&amp;"","??COA.LINE.F")</f>
        <v>Line key - by function</v>
      </c>
      <c r="G3" s="3" t="str">
        <f>IFERROR(INDEX(DICT_ACTIVE,MATCH("COA.LINE.N",DICT_KEY,0))&amp;"","??COA.LINE.N")</f>
        <v>Line key - by nature</v>
      </c>
      <c r="H3" s="3" t="str">
        <f>IFERROR(INDEX(DICT_ACTIVE,MATCH("COA.CAT",DICT_KEY,0))&amp;"","??COA.CAT")</f>
        <v>IFRS 18 category</v>
      </c>
      <c r="I3" s="3" t="str">
        <f>IFERROR(INDEX(DICT_ACTIVE,MATCH("UI.CODE",DICT_KEY,0))&amp;"","??UI.CODE")</f>
        <v>code</v>
      </c>
      <c r="J3" s="3" t="str">
        <f>IFERROR(INDEX(DICT_ACTIVE,MATCH("COA.MBA",DICT_KEY,0))&amp;"","??COA.MBA")</f>
        <v>Main business activity sensitivity</v>
      </c>
      <c r="K3" s="3" t="str">
        <f>IFERROR(INDEX(DICT_ACTIVE,MATCH("UI.CODE",DICT_KEY,0))&amp;"","??UI.CODE")</f>
        <v>code</v>
      </c>
      <c r="L3" s="3" t="str">
        <f>IFERROR(INDEX(DICT_ACTIVE,MATCH("COA.CAT.EFF",DICT_KEY,0))&amp;"","??COA.CAT.EFF")</f>
        <v>Effective category</v>
      </c>
      <c r="M3" s="3" t="str">
        <f>IFERROR(INDEX(DICT_ACTIVE,MATCH("COA.LINE.EFF",DICT_KEY,0))&amp;"","??COA.LINE.EFF")</f>
        <v>Effective line key</v>
      </c>
      <c r="N3" s="3" t="str">
        <f>IFERROR(INDEX(DICT_ACTIVE,MATCH("COA.FXPARENT",DICT_KEY,0))&amp;"","??COA.FXPARENT")</f>
        <v>FX parent account</v>
      </c>
      <c r="O3" s="3" t="str">
        <f>IFERROR(INDEX(DICT_ACTIVE,MATCH("COA.CAT.FX",DICT_KEY,0))&amp;"","??COA.CAT.FX")</f>
        <v>Final category</v>
      </c>
      <c r="P3" s="3" t="str">
        <f>IFERROR(INDEX(DICT_ACTIVE,MATCH("COA.CF",DICT_KEY,0))&amp;"","??COA.CF")</f>
        <v>Cash flow tag</v>
      </c>
      <c r="Q3" s="3" t="str">
        <f>IFERROR(INDEX(DICT_ACTIVE,MATCH("UI.CODE",DICT_KEY,0))&amp;"","??UI.CODE")</f>
        <v>code</v>
      </c>
      <c r="R3" s="3" t="str">
        <f>IFERROR(INDEX(DICT_ACTIVE,MATCH("COA.SCE",DICT_KEY,0))&amp;"","??COA.SCE")</f>
        <v>Equity component</v>
      </c>
      <c r="S3" s="3" t="str">
        <f>IFERROR(INDEX(DICT_ACTIVE,MATCH("UI.CODE",DICT_KEY,0))&amp;"","??UI.CODE")</f>
        <v>code</v>
      </c>
      <c r="T3" s="3" t="str">
        <f>IFERROR(INDEX(DICT_ACTIVE,MATCH("COA.OTHER",DICT_KEY,0))&amp;"","??COA.OTHER")</f>
        <v>'Other' line?</v>
      </c>
      <c r="U3" s="3" t="str">
        <f>IFERROR(INDEX(DICT_ACTIVE,MATCH("UI.CODE",DICT_KEY,0))&amp;"","??UI.CODE")</f>
        <v>code</v>
      </c>
      <c r="V3" s="3" t="str">
        <f>IFERROR(INDEX(DICT_ACTIVE,MATCH("COA.CHK",DICT_KEY,0))&amp;"","??COA.CHK")</f>
        <v>Check</v>
      </c>
    </row>
    <row r="4" spans="1:22" x14ac:dyDescent="0.3">
      <c r="A4" s="5" t="s">
        <v>1267</v>
      </c>
      <c r="B4" s="5" t="s">
        <v>1268</v>
      </c>
      <c r="C4" s="5" t="s">
        <v>351</v>
      </c>
      <c r="D4" s="10" t="str">
        <f t="shared" ref="D4:D67" si="0">IF(A4="","",IFERROR(INDEX(LIST_STMT_CODE,MATCH(C4,LIST_STMT_EN,0)),IFERROR(INDEX(LIST_STMT_CODE,MATCH(C4,LIST_STMT_HU,0)),"")))</f>
        <v>SFP</v>
      </c>
      <c r="E4" s="5" t="s">
        <v>370</v>
      </c>
      <c r="F4" s="5"/>
      <c r="G4" s="5"/>
      <c r="H4" s="5"/>
      <c r="I4" s="10" t="str">
        <f t="shared" ref="I4:I67" si="1">IF(A4="","",IFERROR(INDEX(LIST_CAT_CODE,MATCH(H4,LIST_CAT_EN,0)),IFERROR(INDEX(LIST_CAT_CODE,MATCH(H4,LIST_CAT_HU,0)),"")))</f>
        <v/>
      </c>
      <c r="J4" s="5" t="s">
        <v>1269</v>
      </c>
      <c r="K4" s="10" t="str">
        <f t="shared" ref="K4:K67" si="2">IF(A4="","",IFERROR(INDEX(LIST_MBA_CODE,MATCH(J4,LIST_MBA_EN,0)),IFERROR(INDEX(LIST_MBA_CODE,MATCH(J4,LIST_MBA_HU,0)),"-")))</f>
        <v>-</v>
      </c>
      <c r="L4" s="4" t="str">
        <f t="shared" ref="L4:L67" si="3">IF(OR(A4="",D4&lt;&gt;"PL"),"",IF(AND(K4="INV",MbaInvest="Yes"),"OP",IF(AND(K4="FIN",MbaFinance="Yes"),"OP",I4)))</f>
        <v/>
      </c>
      <c r="M4" s="4" t="str">
        <f t="shared" ref="M4:M67" si="4">IF(A4="","",IF(AND(D4="PL",L4="OP",F4&lt;&gt;""),IF(ExpIsFunction,F4,G4),E4))</f>
        <v>SFP.NCA.INTANG</v>
      </c>
      <c r="N4" s="5"/>
      <c r="O4" s="4" t="str">
        <f t="shared" ref="O4:O67" si="5">IF(A4="","",IF(N4="",L4,IFERROR(INDEX(COA_CAT_EFF,MATCH(N4,COA_ACCT,0)),L4)))</f>
        <v/>
      </c>
      <c r="P4" s="5" t="s">
        <v>1270</v>
      </c>
      <c r="Q4" s="10" t="str">
        <f t="shared" ref="Q4:Q67" si="6">IF(A4="","",IFERROR(INDEX(LIST_CF_CODE,MATCH(P4,LIST_CF_EN,0)),IFERROR(INDEX(LIST_CF_CODE,MATCH(P4,LIST_CF_HU,0)),"-")))</f>
        <v>INV.INTANG</v>
      </c>
      <c r="R4" s="5"/>
      <c r="S4" s="10" t="str">
        <f t="shared" ref="S4:S67" si="7">IF(A4="","",IFERROR(INDEX(LIST_SCE_CODE,MATCH(R4,LIST_SCE_EN,0)),IFERROR(INDEX(LIST_SCE_CODE,MATCH(R4,LIST_SCE_HU,0)),"")))</f>
        <v/>
      </c>
      <c r="T4" s="5" t="s">
        <v>4</v>
      </c>
      <c r="U4" s="10" t="str">
        <f t="shared" ref="U4:U67" si="8">IF(A4="","",IFERROR(INDEX(LIST_YN_CODE,MATCH(T4,LIST_YN_EN,0)),IFERROR(INDEX(LIST_YN_CODE,MATCH(T4,LIST_YN_HU,0)),"No")))</f>
        <v>No</v>
      </c>
      <c r="V4" s="4" t="str">
        <f t="shared" ref="V4:V67" si="9">IF(A4="","",TRIM(IF(D4="",IFERROR(INDEX(DICT_ACTIVE,MATCH("COA.ERR.NOSTMT",DICT_KEY,0)),"")&amp;" ","")&amp;IF(OR(M4="",ISNA(MATCH(M4,ENG_KEY,0))),IFERROR(INDEX(DICT_ACTIVE,MATCH("COA.ERR.NOKEY",DICT_KEY,0)),"")&amp;" ","")&amp;IF(AND(D4="PL",I4=""),IFERROR(INDEX(DICT_ACTIVE,MATCH("COA.ERR.NOCAT",DICT_KEY,0)),"")&amp;" ","")&amp;IF(AND(D4="PL",L4="OP",E4="",OR(F4="",G4="")),IFERROR(INDEX(DICT_ACTIVE,MATCH("COA.ERR.NOFN",DICT_KEY,0)),"")&amp;" ","")&amp;IF(AND(M4&lt;&gt;"",NOT(ISNA(MATCH(M4,ENG_KEY,0))),D4&lt;&gt;""),IF(INDEX(ENG_STMT,MATCH(M4,ENG_KEY,0))&lt;&gt;D4,IFERROR(INDEX(DICT_ACTIVE,MATCH("COA.ERR.STMT",DICT_KEY,0)),"")&amp;" ",""),"")))</f>
        <v/>
      </c>
    </row>
    <row r="5" spans="1:22" x14ac:dyDescent="0.3">
      <c r="A5" s="5" t="s">
        <v>1271</v>
      </c>
      <c r="B5" s="5" t="s">
        <v>1272</v>
      </c>
      <c r="C5" s="5" t="s">
        <v>351</v>
      </c>
      <c r="D5" s="10" t="str">
        <f t="shared" si="0"/>
        <v>SFP</v>
      </c>
      <c r="E5" s="5" t="s">
        <v>370</v>
      </c>
      <c r="F5" s="5"/>
      <c r="G5" s="5"/>
      <c r="H5" s="5"/>
      <c r="I5" s="10" t="str">
        <f t="shared" si="1"/>
        <v/>
      </c>
      <c r="J5" s="5" t="s">
        <v>1269</v>
      </c>
      <c r="K5" s="10" t="str">
        <f t="shared" si="2"/>
        <v>-</v>
      </c>
      <c r="L5" s="4" t="str">
        <f t="shared" si="3"/>
        <v/>
      </c>
      <c r="M5" s="4" t="str">
        <f t="shared" si="4"/>
        <v>SFP.NCA.INTANG</v>
      </c>
      <c r="N5" s="5"/>
      <c r="O5" s="4" t="str">
        <f t="shared" si="5"/>
        <v/>
      </c>
      <c r="P5" s="5" t="s">
        <v>1270</v>
      </c>
      <c r="Q5" s="10" t="str">
        <f t="shared" si="6"/>
        <v>INV.INTANG</v>
      </c>
      <c r="R5" s="5"/>
      <c r="S5" s="10" t="str">
        <f t="shared" si="7"/>
        <v/>
      </c>
      <c r="T5" s="5" t="s">
        <v>4</v>
      </c>
      <c r="U5" s="10" t="str">
        <f t="shared" si="8"/>
        <v>No</v>
      </c>
      <c r="V5" s="4" t="str">
        <f t="shared" si="9"/>
        <v/>
      </c>
    </row>
    <row r="6" spans="1:22" x14ac:dyDescent="0.3">
      <c r="A6" s="5" t="s">
        <v>1273</v>
      </c>
      <c r="B6" s="5" t="s">
        <v>1274</v>
      </c>
      <c r="C6" s="5" t="s">
        <v>351</v>
      </c>
      <c r="D6" s="10" t="str">
        <f t="shared" si="0"/>
        <v>SFP</v>
      </c>
      <c r="E6" s="5" t="s">
        <v>361</v>
      </c>
      <c r="F6" s="5"/>
      <c r="G6" s="5"/>
      <c r="H6" s="5"/>
      <c r="I6" s="10" t="str">
        <f t="shared" si="1"/>
        <v/>
      </c>
      <c r="J6" s="5" t="s">
        <v>1269</v>
      </c>
      <c r="K6" s="10" t="str">
        <f t="shared" si="2"/>
        <v>-</v>
      </c>
      <c r="L6" s="4" t="str">
        <f t="shared" si="3"/>
        <v/>
      </c>
      <c r="M6" s="4" t="str">
        <f t="shared" si="4"/>
        <v>SFP.NCA.PPE</v>
      </c>
      <c r="N6" s="5"/>
      <c r="O6" s="4" t="str">
        <f t="shared" si="5"/>
        <v/>
      </c>
      <c r="P6" s="5" t="s">
        <v>1275</v>
      </c>
      <c r="Q6" s="10" t="str">
        <f t="shared" si="6"/>
        <v>INV.PPE</v>
      </c>
      <c r="R6" s="5"/>
      <c r="S6" s="10" t="str">
        <f t="shared" si="7"/>
        <v/>
      </c>
      <c r="T6" s="5" t="s">
        <v>4</v>
      </c>
      <c r="U6" s="10" t="str">
        <f t="shared" si="8"/>
        <v>No</v>
      </c>
      <c r="V6" s="4" t="str">
        <f t="shared" si="9"/>
        <v/>
      </c>
    </row>
    <row r="7" spans="1:22" x14ac:dyDescent="0.3">
      <c r="A7" s="5" t="s">
        <v>1276</v>
      </c>
      <c r="B7" s="5" t="s">
        <v>1277</v>
      </c>
      <c r="C7" s="5" t="s">
        <v>351</v>
      </c>
      <c r="D7" s="10" t="str">
        <f t="shared" si="0"/>
        <v>SFP</v>
      </c>
      <c r="E7" s="5" t="s">
        <v>361</v>
      </c>
      <c r="F7" s="5"/>
      <c r="G7" s="5"/>
      <c r="H7" s="5"/>
      <c r="I7" s="10" t="str">
        <f t="shared" si="1"/>
        <v/>
      </c>
      <c r="J7" s="5" t="s">
        <v>1269</v>
      </c>
      <c r="K7" s="10" t="str">
        <f t="shared" si="2"/>
        <v>-</v>
      </c>
      <c r="L7" s="4" t="str">
        <f t="shared" si="3"/>
        <v/>
      </c>
      <c r="M7" s="4" t="str">
        <f t="shared" si="4"/>
        <v>SFP.NCA.PPE</v>
      </c>
      <c r="N7" s="5"/>
      <c r="O7" s="4" t="str">
        <f t="shared" si="5"/>
        <v/>
      </c>
      <c r="P7" s="5" t="s">
        <v>1275</v>
      </c>
      <c r="Q7" s="10" t="str">
        <f t="shared" si="6"/>
        <v>INV.PPE</v>
      </c>
      <c r="R7" s="5"/>
      <c r="S7" s="10" t="str">
        <f t="shared" si="7"/>
        <v/>
      </c>
      <c r="T7" s="5" t="s">
        <v>4</v>
      </c>
      <c r="U7" s="10" t="str">
        <f t="shared" si="8"/>
        <v>No</v>
      </c>
      <c r="V7" s="4" t="str">
        <f t="shared" si="9"/>
        <v/>
      </c>
    </row>
    <row r="8" spans="1:22" x14ac:dyDescent="0.3">
      <c r="A8" s="5" t="s">
        <v>1278</v>
      </c>
      <c r="B8" s="5" t="s">
        <v>1279</v>
      </c>
      <c r="C8" s="5" t="s">
        <v>351</v>
      </c>
      <c r="D8" s="10" t="str">
        <f t="shared" si="0"/>
        <v>SFP</v>
      </c>
      <c r="E8" s="5" t="s">
        <v>364</v>
      </c>
      <c r="F8" s="5"/>
      <c r="G8" s="5"/>
      <c r="H8" s="5"/>
      <c r="I8" s="10" t="str">
        <f t="shared" si="1"/>
        <v/>
      </c>
      <c r="J8" s="5" t="s">
        <v>1269</v>
      </c>
      <c r="K8" s="10" t="str">
        <f t="shared" si="2"/>
        <v>-</v>
      </c>
      <c r="L8" s="4" t="str">
        <f t="shared" si="3"/>
        <v/>
      </c>
      <c r="M8" s="4" t="str">
        <f t="shared" si="4"/>
        <v>SFP.NCA.ROU</v>
      </c>
      <c r="N8" s="5"/>
      <c r="O8" s="4" t="str">
        <f t="shared" si="5"/>
        <v/>
      </c>
      <c r="P8" s="5" t="s">
        <v>1275</v>
      </c>
      <c r="Q8" s="10" t="str">
        <f t="shared" si="6"/>
        <v>INV.PPE</v>
      </c>
      <c r="R8" s="5"/>
      <c r="S8" s="10" t="str">
        <f t="shared" si="7"/>
        <v/>
      </c>
      <c r="T8" s="5" t="s">
        <v>4</v>
      </c>
      <c r="U8" s="10" t="str">
        <f t="shared" si="8"/>
        <v>No</v>
      </c>
      <c r="V8" s="4" t="str">
        <f t="shared" si="9"/>
        <v/>
      </c>
    </row>
    <row r="9" spans="1:22" x14ac:dyDescent="0.3">
      <c r="A9" s="5" t="s">
        <v>1280</v>
      </c>
      <c r="B9" s="5" t="s">
        <v>1281</v>
      </c>
      <c r="C9" s="5" t="s">
        <v>351</v>
      </c>
      <c r="D9" s="10" t="str">
        <f t="shared" si="0"/>
        <v>SFP</v>
      </c>
      <c r="E9" s="5" t="s">
        <v>375</v>
      </c>
      <c r="F9" s="5"/>
      <c r="G9" s="5"/>
      <c r="H9" s="5"/>
      <c r="I9" s="10" t="str">
        <f t="shared" si="1"/>
        <v/>
      </c>
      <c r="J9" s="5" t="s">
        <v>1269</v>
      </c>
      <c r="K9" s="10" t="str">
        <f t="shared" si="2"/>
        <v>-</v>
      </c>
      <c r="L9" s="4" t="str">
        <f t="shared" si="3"/>
        <v/>
      </c>
      <c r="M9" s="4" t="str">
        <f t="shared" si="4"/>
        <v>SFP.NCA.ASSOC</v>
      </c>
      <c r="N9" s="5"/>
      <c r="O9" s="4" t="str">
        <f t="shared" si="5"/>
        <v/>
      </c>
      <c r="P9" s="5" t="s">
        <v>1282</v>
      </c>
      <c r="Q9" s="10" t="str">
        <f t="shared" si="6"/>
        <v>INV.ASSOC</v>
      </c>
      <c r="R9" s="5"/>
      <c r="S9" s="10" t="str">
        <f t="shared" si="7"/>
        <v/>
      </c>
      <c r="T9" s="5" t="s">
        <v>4</v>
      </c>
      <c r="U9" s="10" t="str">
        <f t="shared" si="8"/>
        <v>No</v>
      </c>
      <c r="V9" s="4" t="str">
        <f t="shared" si="9"/>
        <v/>
      </c>
    </row>
    <row r="10" spans="1:22" x14ac:dyDescent="0.3">
      <c r="A10" s="5" t="s">
        <v>1283</v>
      </c>
      <c r="B10" s="5" t="s">
        <v>1284</v>
      </c>
      <c r="C10" s="5" t="s">
        <v>351</v>
      </c>
      <c r="D10" s="10" t="str">
        <f t="shared" si="0"/>
        <v>SFP</v>
      </c>
      <c r="E10" s="5" t="s">
        <v>381</v>
      </c>
      <c r="F10" s="5"/>
      <c r="G10" s="5"/>
      <c r="H10" s="5"/>
      <c r="I10" s="10" t="str">
        <f t="shared" si="1"/>
        <v/>
      </c>
      <c r="J10" s="5" t="s">
        <v>1269</v>
      </c>
      <c r="K10" s="10" t="str">
        <f t="shared" si="2"/>
        <v>-</v>
      </c>
      <c r="L10" s="4" t="str">
        <f t="shared" si="3"/>
        <v/>
      </c>
      <c r="M10" s="4" t="str">
        <f t="shared" si="4"/>
        <v>SFP.NCA.DTA</v>
      </c>
      <c r="N10" s="5"/>
      <c r="O10" s="4" t="str">
        <f t="shared" si="5"/>
        <v/>
      </c>
      <c r="P10" s="5" t="s">
        <v>1285</v>
      </c>
      <c r="Q10" s="10" t="str">
        <f t="shared" si="6"/>
        <v>TAXDEF</v>
      </c>
      <c r="R10" s="5"/>
      <c r="S10" s="10" t="str">
        <f t="shared" si="7"/>
        <v/>
      </c>
      <c r="T10" s="5" t="s">
        <v>4</v>
      </c>
      <c r="U10" s="10" t="str">
        <f t="shared" si="8"/>
        <v>No</v>
      </c>
      <c r="V10" s="4" t="str">
        <f t="shared" si="9"/>
        <v/>
      </c>
    </row>
    <row r="11" spans="1:22" x14ac:dyDescent="0.3">
      <c r="A11" s="5" t="s">
        <v>1286</v>
      </c>
      <c r="B11" s="5" t="s">
        <v>398</v>
      </c>
      <c r="C11" s="5" t="s">
        <v>351</v>
      </c>
      <c r="D11" s="10" t="str">
        <f t="shared" si="0"/>
        <v>SFP</v>
      </c>
      <c r="E11" s="5" t="s">
        <v>396</v>
      </c>
      <c r="F11" s="5"/>
      <c r="G11" s="5"/>
      <c r="H11" s="5"/>
      <c r="I11" s="10" t="str">
        <f t="shared" si="1"/>
        <v/>
      </c>
      <c r="J11" s="5" t="s">
        <v>1269</v>
      </c>
      <c r="K11" s="10" t="str">
        <f t="shared" si="2"/>
        <v>-</v>
      </c>
      <c r="L11" s="4" t="str">
        <f t="shared" si="3"/>
        <v/>
      </c>
      <c r="M11" s="4" t="str">
        <f t="shared" si="4"/>
        <v>SFP.CA.INVENT</v>
      </c>
      <c r="N11" s="5"/>
      <c r="O11" s="4" t="str">
        <f t="shared" si="5"/>
        <v/>
      </c>
      <c r="P11" s="5" t="s">
        <v>1287</v>
      </c>
      <c r="Q11" s="10" t="str">
        <f t="shared" si="6"/>
        <v>WC.INVENT</v>
      </c>
      <c r="R11" s="5"/>
      <c r="S11" s="10" t="str">
        <f t="shared" si="7"/>
        <v/>
      </c>
      <c r="T11" s="5" t="s">
        <v>4</v>
      </c>
      <c r="U11" s="10" t="str">
        <f t="shared" si="8"/>
        <v>No</v>
      </c>
      <c r="V11" s="4" t="str">
        <f t="shared" si="9"/>
        <v/>
      </c>
    </row>
    <row r="12" spans="1:22" x14ac:dyDescent="0.3">
      <c r="A12" s="5" t="s">
        <v>1288</v>
      </c>
      <c r="B12" s="5" t="s">
        <v>401</v>
      </c>
      <c r="C12" s="5" t="s">
        <v>351</v>
      </c>
      <c r="D12" s="10" t="str">
        <f t="shared" si="0"/>
        <v>SFP</v>
      </c>
      <c r="E12" s="5" t="s">
        <v>399</v>
      </c>
      <c r="F12" s="5"/>
      <c r="G12" s="5"/>
      <c r="H12" s="5"/>
      <c r="I12" s="10" t="str">
        <f t="shared" si="1"/>
        <v/>
      </c>
      <c r="J12" s="5" t="s">
        <v>1269</v>
      </c>
      <c r="K12" s="10" t="str">
        <f t="shared" si="2"/>
        <v>-</v>
      </c>
      <c r="L12" s="4" t="str">
        <f t="shared" si="3"/>
        <v/>
      </c>
      <c r="M12" s="4" t="str">
        <f t="shared" si="4"/>
        <v>SFP.CA.TRADEREC</v>
      </c>
      <c r="N12" s="5"/>
      <c r="O12" s="4" t="str">
        <f t="shared" si="5"/>
        <v/>
      </c>
      <c r="P12" s="5" t="s">
        <v>1289</v>
      </c>
      <c r="Q12" s="10" t="str">
        <f t="shared" si="6"/>
        <v>WC.TRADEREC</v>
      </c>
      <c r="R12" s="5"/>
      <c r="S12" s="10" t="str">
        <f t="shared" si="7"/>
        <v/>
      </c>
      <c r="T12" s="5" t="s">
        <v>4</v>
      </c>
      <c r="U12" s="10" t="str">
        <f t="shared" si="8"/>
        <v>No</v>
      </c>
      <c r="V12" s="4" t="str">
        <f t="shared" si="9"/>
        <v/>
      </c>
    </row>
    <row r="13" spans="1:22" x14ac:dyDescent="0.3">
      <c r="A13" s="5" t="s">
        <v>1290</v>
      </c>
      <c r="B13" s="5" t="s">
        <v>892</v>
      </c>
      <c r="C13" s="5" t="s">
        <v>351</v>
      </c>
      <c r="D13" s="10" t="str">
        <f t="shared" si="0"/>
        <v>SFP</v>
      </c>
      <c r="E13" s="5" t="s">
        <v>399</v>
      </c>
      <c r="F13" s="5"/>
      <c r="G13" s="5"/>
      <c r="H13" s="5"/>
      <c r="I13" s="10" t="str">
        <f t="shared" si="1"/>
        <v/>
      </c>
      <c r="J13" s="5" t="s">
        <v>1269</v>
      </c>
      <c r="K13" s="10" t="str">
        <f t="shared" si="2"/>
        <v>-</v>
      </c>
      <c r="L13" s="4" t="str">
        <f t="shared" si="3"/>
        <v/>
      </c>
      <c r="M13" s="4" t="str">
        <f t="shared" si="4"/>
        <v>SFP.CA.TRADEREC</v>
      </c>
      <c r="N13" s="5"/>
      <c r="O13" s="4" t="str">
        <f t="shared" si="5"/>
        <v/>
      </c>
      <c r="P13" s="5" t="s">
        <v>1291</v>
      </c>
      <c r="Q13" s="10" t="str">
        <f t="shared" si="6"/>
        <v>WC.TRADEREC.ALLOW</v>
      </c>
      <c r="R13" s="5"/>
      <c r="S13" s="10" t="str">
        <f t="shared" si="7"/>
        <v/>
      </c>
      <c r="T13" s="5" t="s">
        <v>4</v>
      </c>
      <c r="U13" s="10" t="str">
        <f t="shared" si="8"/>
        <v>No</v>
      </c>
      <c r="V13" s="4" t="str">
        <f t="shared" si="9"/>
        <v/>
      </c>
    </row>
    <row r="14" spans="1:22" x14ac:dyDescent="0.3">
      <c r="A14" s="5" t="s">
        <v>1292</v>
      </c>
      <c r="B14" s="5" t="s">
        <v>1293</v>
      </c>
      <c r="C14" s="5" t="s">
        <v>351</v>
      </c>
      <c r="D14" s="10" t="str">
        <f t="shared" si="0"/>
        <v>SFP</v>
      </c>
      <c r="E14" s="5" t="s">
        <v>408</v>
      </c>
      <c r="F14" s="5"/>
      <c r="G14" s="5"/>
      <c r="H14" s="5"/>
      <c r="I14" s="10" t="str">
        <f t="shared" si="1"/>
        <v/>
      </c>
      <c r="J14" s="5" t="s">
        <v>1269</v>
      </c>
      <c r="K14" s="10" t="str">
        <f t="shared" si="2"/>
        <v>-</v>
      </c>
      <c r="L14" s="4" t="str">
        <f t="shared" si="3"/>
        <v/>
      </c>
      <c r="M14" s="4" t="str">
        <f t="shared" si="4"/>
        <v>SFP.CA.CURTAX</v>
      </c>
      <c r="N14" s="5"/>
      <c r="O14" s="4" t="str">
        <f t="shared" si="5"/>
        <v/>
      </c>
      <c r="P14" s="5" t="s">
        <v>1294</v>
      </c>
      <c r="Q14" s="10" t="str">
        <f t="shared" si="6"/>
        <v>TAXCUR</v>
      </c>
      <c r="R14" s="5"/>
      <c r="S14" s="10" t="str">
        <f t="shared" si="7"/>
        <v/>
      </c>
      <c r="T14" s="5" t="s">
        <v>4</v>
      </c>
      <c r="U14" s="10" t="str">
        <f t="shared" si="8"/>
        <v>No</v>
      </c>
      <c r="V14" s="4" t="str">
        <f t="shared" si="9"/>
        <v/>
      </c>
    </row>
    <row r="15" spans="1:22" x14ac:dyDescent="0.3">
      <c r="A15" s="5" t="s">
        <v>1295</v>
      </c>
      <c r="B15" s="5" t="s">
        <v>1296</v>
      </c>
      <c r="C15" s="5" t="s">
        <v>351</v>
      </c>
      <c r="D15" s="10" t="str">
        <f t="shared" si="0"/>
        <v>SFP</v>
      </c>
      <c r="E15" s="5" t="s">
        <v>405</v>
      </c>
      <c r="F15" s="5"/>
      <c r="G15" s="5"/>
      <c r="H15" s="5"/>
      <c r="I15" s="10" t="str">
        <f t="shared" si="1"/>
        <v/>
      </c>
      <c r="J15" s="5" t="s">
        <v>1269</v>
      </c>
      <c r="K15" s="10" t="str">
        <f t="shared" si="2"/>
        <v>-</v>
      </c>
      <c r="L15" s="4" t="str">
        <f t="shared" si="3"/>
        <v/>
      </c>
      <c r="M15" s="4" t="str">
        <f t="shared" si="4"/>
        <v>SFP.CA.OTHERREC</v>
      </c>
      <c r="N15" s="5"/>
      <c r="O15" s="4" t="str">
        <f t="shared" si="5"/>
        <v/>
      </c>
      <c r="P15" s="5" t="s">
        <v>1297</v>
      </c>
      <c r="Q15" s="10" t="str">
        <f t="shared" si="6"/>
        <v>WC.OTHERREC</v>
      </c>
      <c r="R15" s="5"/>
      <c r="S15" s="10" t="str">
        <f t="shared" si="7"/>
        <v/>
      </c>
      <c r="T15" s="5" t="s">
        <v>4</v>
      </c>
      <c r="U15" s="10" t="str">
        <f t="shared" si="8"/>
        <v>No</v>
      </c>
      <c r="V15" s="4" t="str">
        <f t="shared" si="9"/>
        <v/>
      </c>
    </row>
    <row r="16" spans="1:22" x14ac:dyDescent="0.3">
      <c r="A16" s="5" t="s">
        <v>1298</v>
      </c>
      <c r="B16" s="5" t="s">
        <v>1299</v>
      </c>
      <c r="C16" s="5" t="s">
        <v>351</v>
      </c>
      <c r="D16" s="10" t="str">
        <f t="shared" si="0"/>
        <v>SFP</v>
      </c>
      <c r="E16" s="5" t="s">
        <v>405</v>
      </c>
      <c r="F16" s="5"/>
      <c r="G16" s="5"/>
      <c r="H16" s="5"/>
      <c r="I16" s="10" t="str">
        <f t="shared" si="1"/>
        <v/>
      </c>
      <c r="J16" s="5" t="s">
        <v>1269</v>
      </c>
      <c r="K16" s="10" t="str">
        <f t="shared" si="2"/>
        <v>-</v>
      </c>
      <c r="L16" s="4" t="str">
        <f t="shared" si="3"/>
        <v/>
      </c>
      <c r="M16" s="4" t="str">
        <f t="shared" si="4"/>
        <v>SFP.CA.OTHERREC</v>
      </c>
      <c r="N16" s="5"/>
      <c r="O16" s="4" t="str">
        <f t="shared" si="5"/>
        <v/>
      </c>
      <c r="P16" s="5" t="s">
        <v>1297</v>
      </c>
      <c r="Q16" s="10" t="str">
        <f t="shared" si="6"/>
        <v>WC.OTHERREC</v>
      </c>
      <c r="R16" s="5"/>
      <c r="S16" s="10" t="str">
        <f t="shared" si="7"/>
        <v/>
      </c>
      <c r="T16" s="5" t="s">
        <v>4</v>
      </c>
      <c r="U16" s="10" t="str">
        <f t="shared" si="8"/>
        <v>No</v>
      </c>
      <c r="V16" s="4" t="str">
        <f t="shared" si="9"/>
        <v/>
      </c>
    </row>
    <row r="17" spans="1:22" x14ac:dyDescent="0.3">
      <c r="A17" s="5" t="s">
        <v>1300</v>
      </c>
      <c r="B17" s="5" t="s">
        <v>1301</v>
      </c>
      <c r="C17" s="5" t="s">
        <v>351</v>
      </c>
      <c r="D17" s="10" t="str">
        <f t="shared" si="0"/>
        <v>SFP</v>
      </c>
      <c r="E17" s="5" t="s">
        <v>414</v>
      </c>
      <c r="F17" s="5"/>
      <c r="G17" s="5"/>
      <c r="H17" s="5"/>
      <c r="I17" s="10" t="str">
        <f t="shared" si="1"/>
        <v/>
      </c>
      <c r="J17" s="5" t="s">
        <v>1269</v>
      </c>
      <c r="K17" s="10" t="str">
        <f t="shared" si="2"/>
        <v>-</v>
      </c>
      <c r="L17" s="4" t="str">
        <f t="shared" si="3"/>
        <v/>
      </c>
      <c r="M17" s="4" t="str">
        <f t="shared" si="4"/>
        <v>SFP.CA.CASH</v>
      </c>
      <c r="N17" s="5"/>
      <c r="O17" s="4" t="str">
        <f t="shared" si="5"/>
        <v/>
      </c>
      <c r="P17" s="5" t="s">
        <v>415</v>
      </c>
      <c r="Q17" s="10" t="str">
        <f t="shared" si="6"/>
        <v>CASH</v>
      </c>
      <c r="R17" s="5"/>
      <c r="S17" s="10" t="str">
        <f t="shared" si="7"/>
        <v/>
      </c>
      <c r="T17" s="5" t="s">
        <v>4</v>
      </c>
      <c r="U17" s="10" t="str">
        <f t="shared" si="8"/>
        <v>No</v>
      </c>
      <c r="V17" s="4" t="str">
        <f t="shared" si="9"/>
        <v/>
      </c>
    </row>
    <row r="18" spans="1:22" x14ac:dyDescent="0.3">
      <c r="A18" s="5" t="s">
        <v>1302</v>
      </c>
      <c r="B18" s="5" t="s">
        <v>434</v>
      </c>
      <c r="C18" s="5" t="s">
        <v>351</v>
      </c>
      <c r="D18" s="10" t="str">
        <f t="shared" si="0"/>
        <v>SFP</v>
      </c>
      <c r="E18" s="5" t="s">
        <v>432</v>
      </c>
      <c r="F18" s="5"/>
      <c r="G18" s="5"/>
      <c r="H18" s="5"/>
      <c r="I18" s="10" t="str">
        <f t="shared" si="1"/>
        <v/>
      </c>
      <c r="J18" s="5" t="s">
        <v>1269</v>
      </c>
      <c r="K18" s="10" t="str">
        <f t="shared" si="2"/>
        <v>-</v>
      </c>
      <c r="L18" s="4" t="str">
        <f t="shared" si="3"/>
        <v/>
      </c>
      <c r="M18" s="4" t="str">
        <f t="shared" si="4"/>
        <v>SFP.EQ.SC</v>
      </c>
      <c r="N18" s="5"/>
      <c r="O18" s="4" t="str">
        <f t="shared" si="5"/>
        <v/>
      </c>
      <c r="P18" s="5" t="s">
        <v>430</v>
      </c>
      <c r="Q18" s="10" t="str">
        <f t="shared" si="6"/>
        <v>EQ</v>
      </c>
      <c r="R18" s="5" t="s">
        <v>433</v>
      </c>
      <c r="S18" s="10" t="str">
        <f t="shared" si="7"/>
        <v>SC</v>
      </c>
      <c r="T18" s="5" t="s">
        <v>4</v>
      </c>
      <c r="U18" s="10" t="str">
        <f t="shared" si="8"/>
        <v>No</v>
      </c>
      <c r="V18" s="4" t="str">
        <f t="shared" si="9"/>
        <v/>
      </c>
    </row>
    <row r="19" spans="1:22" x14ac:dyDescent="0.3">
      <c r="A19" s="5" t="s">
        <v>1303</v>
      </c>
      <c r="B19" s="5" t="s">
        <v>1304</v>
      </c>
      <c r="C19" s="5" t="s">
        <v>351</v>
      </c>
      <c r="D19" s="10" t="str">
        <f t="shared" si="0"/>
        <v>SFP</v>
      </c>
      <c r="E19" s="5" t="s">
        <v>435</v>
      </c>
      <c r="F19" s="5"/>
      <c r="G19" s="5"/>
      <c r="H19" s="5"/>
      <c r="I19" s="10" t="str">
        <f t="shared" si="1"/>
        <v/>
      </c>
      <c r="J19" s="5" t="s">
        <v>1269</v>
      </c>
      <c r="K19" s="10" t="str">
        <f t="shared" si="2"/>
        <v>-</v>
      </c>
      <c r="L19" s="4" t="str">
        <f t="shared" si="3"/>
        <v/>
      </c>
      <c r="M19" s="4" t="str">
        <f t="shared" si="4"/>
        <v>SFP.EQ.SP</v>
      </c>
      <c r="N19" s="5"/>
      <c r="O19" s="4" t="str">
        <f t="shared" si="5"/>
        <v/>
      </c>
      <c r="P19" s="5" t="s">
        <v>430</v>
      </c>
      <c r="Q19" s="10" t="str">
        <f t="shared" si="6"/>
        <v>EQ</v>
      </c>
      <c r="R19" s="5" t="s">
        <v>436</v>
      </c>
      <c r="S19" s="10" t="str">
        <f t="shared" si="7"/>
        <v>SP</v>
      </c>
      <c r="T19" s="5" t="s">
        <v>4</v>
      </c>
      <c r="U19" s="10" t="str">
        <f t="shared" si="8"/>
        <v>No</v>
      </c>
      <c r="V19" s="4" t="str">
        <f t="shared" si="9"/>
        <v/>
      </c>
    </row>
    <row r="20" spans="1:22" x14ac:dyDescent="0.3">
      <c r="A20" s="5" t="s">
        <v>1305</v>
      </c>
      <c r="B20" s="5" t="s">
        <v>1306</v>
      </c>
      <c r="C20" s="5" t="s">
        <v>351</v>
      </c>
      <c r="D20" s="10" t="str">
        <f t="shared" si="0"/>
        <v>SFP</v>
      </c>
      <c r="E20" s="5" t="s">
        <v>441</v>
      </c>
      <c r="F20" s="5"/>
      <c r="G20" s="5"/>
      <c r="H20" s="5"/>
      <c r="I20" s="10" t="str">
        <f t="shared" si="1"/>
        <v/>
      </c>
      <c r="J20" s="5" t="s">
        <v>1269</v>
      </c>
      <c r="K20" s="10" t="str">
        <f t="shared" si="2"/>
        <v>-</v>
      </c>
      <c r="L20" s="4" t="str">
        <f t="shared" si="3"/>
        <v/>
      </c>
      <c r="M20" s="4" t="str">
        <f t="shared" si="4"/>
        <v>SFP.EQ.RE</v>
      </c>
      <c r="N20" s="5"/>
      <c r="O20" s="4" t="str">
        <f t="shared" si="5"/>
        <v/>
      </c>
      <c r="P20" s="5" t="s">
        <v>430</v>
      </c>
      <c r="Q20" s="10" t="str">
        <f t="shared" si="6"/>
        <v>EQ</v>
      </c>
      <c r="R20" s="5" t="s">
        <v>442</v>
      </c>
      <c r="S20" s="10" t="str">
        <f t="shared" si="7"/>
        <v>RE</v>
      </c>
      <c r="T20" s="5" t="s">
        <v>4</v>
      </c>
      <c r="U20" s="10" t="str">
        <f t="shared" si="8"/>
        <v>No</v>
      </c>
      <c r="V20" s="4" t="str">
        <f t="shared" si="9"/>
        <v/>
      </c>
    </row>
    <row r="21" spans="1:22" x14ac:dyDescent="0.3">
      <c r="A21" s="5" t="s">
        <v>1307</v>
      </c>
      <c r="B21" s="5" t="s">
        <v>1308</v>
      </c>
      <c r="C21" s="5" t="s">
        <v>351</v>
      </c>
      <c r="D21" s="10" t="str">
        <f t="shared" si="0"/>
        <v>SFP</v>
      </c>
      <c r="E21" s="5" t="s">
        <v>438</v>
      </c>
      <c r="F21" s="5"/>
      <c r="G21" s="5"/>
      <c r="H21" s="5"/>
      <c r="I21" s="10" t="str">
        <f t="shared" si="1"/>
        <v/>
      </c>
      <c r="J21" s="5" t="s">
        <v>1269</v>
      </c>
      <c r="K21" s="10" t="str">
        <f t="shared" si="2"/>
        <v>-</v>
      </c>
      <c r="L21" s="4" t="str">
        <f t="shared" si="3"/>
        <v/>
      </c>
      <c r="M21" s="4" t="str">
        <f t="shared" si="4"/>
        <v>SFP.EQ.OR</v>
      </c>
      <c r="N21" s="5"/>
      <c r="O21" s="4" t="str">
        <f t="shared" si="5"/>
        <v/>
      </c>
      <c r="P21" s="5" t="s">
        <v>1309</v>
      </c>
      <c r="Q21" s="10" t="str">
        <f t="shared" si="6"/>
        <v>OCIONLY</v>
      </c>
      <c r="R21" s="5" t="s">
        <v>439</v>
      </c>
      <c r="S21" s="10" t="str">
        <f t="shared" si="7"/>
        <v>OR</v>
      </c>
      <c r="T21" s="5" t="s">
        <v>4</v>
      </c>
      <c r="U21" s="10" t="str">
        <f t="shared" si="8"/>
        <v>No</v>
      </c>
      <c r="V21" s="4" t="str">
        <f t="shared" si="9"/>
        <v/>
      </c>
    </row>
    <row r="22" spans="1:22" x14ac:dyDescent="0.3">
      <c r="A22" s="5" t="s">
        <v>1310</v>
      </c>
      <c r="B22" s="5" t="s">
        <v>1311</v>
      </c>
      <c r="C22" s="5" t="s">
        <v>351</v>
      </c>
      <c r="D22" s="10" t="str">
        <f t="shared" si="0"/>
        <v>SFP</v>
      </c>
      <c r="E22" s="5" t="s">
        <v>456</v>
      </c>
      <c r="F22" s="5"/>
      <c r="G22" s="5"/>
      <c r="H22" s="5"/>
      <c r="I22" s="10" t="str">
        <f t="shared" si="1"/>
        <v/>
      </c>
      <c r="J22" s="5" t="s">
        <v>1269</v>
      </c>
      <c r="K22" s="10" t="str">
        <f t="shared" si="2"/>
        <v>-</v>
      </c>
      <c r="L22" s="4" t="str">
        <f t="shared" si="3"/>
        <v/>
      </c>
      <c r="M22" s="4" t="str">
        <f t="shared" si="4"/>
        <v>SFP.NCL.PROV</v>
      </c>
      <c r="N22" s="5"/>
      <c r="O22" s="4" t="str">
        <f t="shared" si="5"/>
        <v/>
      </c>
      <c r="P22" s="5" t="s">
        <v>1312</v>
      </c>
      <c r="Q22" s="10" t="str">
        <f t="shared" si="6"/>
        <v>PROV</v>
      </c>
      <c r="R22" s="5"/>
      <c r="S22" s="10" t="str">
        <f t="shared" si="7"/>
        <v/>
      </c>
      <c r="T22" s="5" t="s">
        <v>4</v>
      </c>
      <c r="U22" s="10" t="str">
        <f t="shared" si="8"/>
        <v>No</v>
      </c>
      <c r="V22" s="4" t="str">
        <f t="shared" si="9"/>
        <v/>
      </c>
    </row>
    <row r="23" spans="1:22" x14ac:dyDescent="0.3">
      <c r="A23" s="5" t="s">
        <v>1313</v>
      </c>
      <c r="B23" s="5" t="s">
        <v>1314</v>
      </c>
      <c r="C23" s="5" t="s">
        <v>351</v>
      </c>
      <c r="D23" s="10" t="str">
        <f t="shared" si="0"/>
        <v>SFP</v>
      </c>
      <c r="E23" s="5" t="s">
        <v>450</v>
      </c>
      <c r="F23" s="5"/>
      <c r="G23" s="5"/>
      <c r="H23" s="5"/>
      <c r="I23" s="10" t="str">
        <f t="shared" si="1"/>
        <v/>
      </c>
      <c r="J23" s="5" t="s">
        <v>1269</v>
      </c>
      <c r="K23" s="10" t="str">
        <f t="shared" si="2"/>
        <v>-</v>
      </c>
      <c r="L23" s="4" t="str">
        <f t="shared" si="3"/>
        <v/>
      </c>
      <c r="M23" s="4" t="str">
        <f t="shared" si="4"/>
        <v>SFP.NCL.BORROW</v>
      </c>
      <c r="N23" s="5"/>
      <c r="O23" s="4" t="str">
        <f t="shared" si="5"/>
        <v/>
      </c>
      <c r="P23" s="5" t="s">
        <v>1315</v>
      </c>
      <c r="Q23" s="10" t="str">
        <f t="shared" si="6"/>
        <v>FIN.BORROW</v>
      </c>
      <c r="R23" s="5"/>
      <c r="S23" s="10" t="str">
        <f t="shared" si="7"/>
        <v/>
      </c>
      <c r="T23" s="5" t="s">
        <v>4</v>
      </c>
      <c r="U23" s="10" t="str">
        <f t="shared" si="8"/>
        <v>No</v>
      </c>
      <c r="V23" s="4" t="str">
        <f t="shared" si="9"/>
        <v/>
      </c>
    </row>
    <row r="24" spans="1:22" x14ac:dyDescent="0.3">
      <c r="A24" s="5" t="s">
        <v>1316</v>
      </c>
      <c r="B24" s="5" t="s">
        <v>455</v>
      </c>
      <c r="C24" s="5" t="s">
        <v>351</v>
      </c>
      <c r="D24" s="10" t="str">
        <f t="shared" si="0"/>
        <v>SFP</v>
      </c>
      <c r="E24" s="5" t="s">
        <v>453</v>
      </c>
      <c r="F24" s="5"/>
      <c r="G24" s="5"/>
      <c r="H24" s="5"/>
      <c r="I24" s="10" t="str">
        <f t="shared" si="1"/>
        <v/>
      </c>
      <c r="J24" s="5" t="s">
        <v>1269</v>
      </c>
      <c r="K24" s="10" t="str">
        <f t="shared" si="2"/>
        <v>-</v>
      </c>
      <c r="L24" s="4" t="str">
        <f t="shared" si="3"/>
        <v/>
      </c>
      <c r="M24" s="4" t="str">
        <f t="shared" si="4"/>
        <v>SFP.NCL.LEASE</v>
      </c>
      <c r="N24" s="5"/>
      <c r="O24" s="4" t="str">
        <f t="shared" si="5"/>
        <v/>
      </c>
      <c r="P24" s="5" t="s">
        <v>1317</v>
      </c>
      <c r="Q24" s="10" t="str">
        <f t="shared" si="6"/>
        <v>FIN.LEASE</v>
      </c>
      <c r="R24" s="5"/>
      <c r="S24" s="10" t="str">
        <f t="shared" si="7"/>
        <v/>
      </c>
      <c r="T24" s="5" t="s">
        <v>4</v>
      </c>
      <c r="U24" s="10" t="str">
        <f t="shared" si="8"/>
        <v>No</v>
      </c>
      <c r="V24" s="4" t="str">
        <f t="shared" si="9"/>
        <v/>
      </c>
    </row>
    <row r="25" spans="1:22" x14ac:dyDescent="0.3">
      <c r="A25" s="5" t="s">
        <v>1318</v>
      </c>
      <c r="B25" s="5" t="s">
        <v>1319</v>
      </c>
      <c r="C25" s="5" t="s">
        <v>351</v>
      </c>
      <c r="D25" s="10" t="str">
        <f t="shared" si="0"/>
        <v>SFP</v>
      </c>
      <c r="E25" s="5" t="s">
        <v>462</v>
      </c>
      <c r="F25" s="5"/>
      <c r="G25" s="5"/>
      <c r="H25" s="5"/>
      <c r="I25" s="10" t="str">
        <f t="shared" si="1"/>
        <v/>
      </c>
      <c r="J25" s="5" t="s">
        <v>1269</v>
      </c>
      <c r="K25" s="10" t="str">
        <f t="shared" si="2"/>
        <v>-</v>
      </c>
      <c r="L25" s="4" t="str">
        <f t="shared" si="3"/>
        <v/>
      </c>
      <c r="M25" s="4" t="str">
        <f t="shared" si="4"/>
        <v>SFP.NCL.DTL</v>
      </c>
      <c r="N25" s="5"/>
      <c r="O25" s="4" t="str">
        <f t="shared" si="5"/>
        <v/>
      </c>
      <c r="P25" s="5" t="s">
        <v>1285</v>
      </c>
      <c r="Q25" s="10" t="str">
        <f t="shared" si="6"/>
        <v>TAXDEF</v>
      </c>
      <c r="R25" s="5"/>
      <c r="S25" s="10" t="str">
        <f t="shared" si="7"/>
        <v/>
      </c>
      <c r="T25" s="5" t="s">
        <v>4</v>
      </c>
      <c r="U25" s="10" t="str">
        <f t="shared" si="8"/>
        <v>No</v>
      </c>
      <c r="V25" s="4" t="str">
        <f t="shared" si="9"/>
        <v/>
      </c>
    </row>
    <row r="26" spans="1:22" x14ac:dyDescent="0.3">
      <c r="A26" s="5" t="s">
        <v>1320</v>
      </c>
      <c r="B26" s="5" t="s">
        <v>1321</v>
      </c>
      <c r="C26" s="5" t="s">
        <v>351</v>
      </c>
      <c r="D26" s="10" t="str">
        <f t="shared" si="0"/>
        <v>SFP</v>
      </c>
      <c r="E26" s="5" t="s">
        <v>480</v>
      </c>
      <c r="F26" s="5"/>
      <c r="G26" s="5"/>
      <c r="H26" s="5"/>
      <c r="I26" s="10" t="str">
        <f t="shared" si="1"/>
        <v/>
      </c>
      <c r="J26" s="5" t="s">
        <v>1269</v>
      </c>
      <c r="K26" s="10" t="str">
        <f t="shared" si="2"/>
        <v>-</v>
      </c>
      <c r="L26" s="4" t="str">
        <f t="shared" si="3"/>
        <v/>
      </c>
      <c r="M26" s="4" t="str">
        <f t="shared" si="4"/>
        <v>SFP.CL.BORROW</v>
      </c>
      <c r="N26" s="5"/>
      <c r="O26" s="4" t="str">
        <f t="shared" si="5"/>
        <v/>
      </c>
      <c r="P26" s="5" t="s">
        <v>1315</v>
      </c>
      <c r="Q26" s="10" t="str">
        <f t="shared" si="6"/>
        <v>FIN.BORROW</v>
      </c>
      <c r="R26" s="5"/>
      <c r="S26" s="10" t="str">
        <f t="shared" si="7"/>
        <v/>
      </c>
      <c r="T26" s="5" t="s">
        <v>4</v>
      </c>
      <c r="U26" s="10" t="str">
        <f t="shared" si="8"/>
        <v>No</v>
      </c>
      <c r="V26" s="4" t="str">
        <f t="shared" si="9"/>
        <v/>
      </c>
    </row>
    <row r="27" spans="1:22" x14ac:dyDescent="0.3">
      <c r="A27" s="5" t="s">
        <v>1322</v>
      </c>
      <c r="B27" s="5" t="s">
        <v>485</v>
      </c>
      <c r="C27" s="5" t="s">
        <v>351</v>
      </c>
      <c r="D27" s="10" t="str">
        <f t="shared" si="0"/>
        <v>SFP</v>
      </c>
      <c r="E27" s="5" t="s">
        <v>483</v>
      </c>
      <c r="F27" s="5"/>
      <c r="G27" s="5"/>
      <c r="H27" s="5"/>
      <c r="I27" s="10" t="str">
        <f t="shared" si="1"/>
        <v/>
      </c>
      <c r="J27" s="5" t="s">
        <v>1269</v>
      </c>
      <c r="K27" s="10" t="str">
        <f t="shared" si="2"/>
        <v>-</v>
      </c>
      <c r="L27" s="4" t="str">
        <f t="shared" si="3"/>
        <v/>
      </c>
      <c r="M27" s="4" t="str">
        <f t="shared" si="4"/>
        <v>SFP.CL.LEASE</v>
      </c>
      <c r="N27" s="5"/>
      <c r="O27" s="4" t="str">
        <f t="shared" si="5"/>
        <v/>
      </c>
      <c r="P27" s="5" t="s">
        <v>1317</v>
      </c>
      <c r="Q27" s="10" t="str">
        <f t="shared" si="6"/>
        <v>FIN.LEASE</v>
      </c>
      <c r="R27" s="5"/>
      <c r="S27" s="10" t="str">
        <f t="shared" si="7"/>
        <v/>
      </c>
      <c r="T27" s="5" t="s">
        <v>4</v>
      </c>
      <c r="U27" s="10" t="str">
        <f t="shared" si="8"/>
        <v>No</v>
      </c>
      <c r="V27" s="4" t="str">
        <f t="shared" si="9"/>
        <v/>
      </c>
    </row>
    <row r="28" spans="1:22" x14ac:dyDescent="0.3">
      <c r="A28" s="5" t="s">
        <v>1323</v>
      </c>
      <c r="B28" s="5" t="s">
        <v>476</v>
      </c>
      <c r="C28" s="5" t="s">
        <v>351</v>
      </c>
      <c r="D28" s="10" t="str">
        <f t="shared" si="0"/>
        <v>SFP</v>
      </c>
      <c r="E28" s="5" t="s">
        <v>474</v>
      </c>
      <c r="F28" s="5"/>
      <c r="G28" s="5"/>
      <c r="H28" s="5"/>
      <c r="I28" s="10" t="str">
        <f t="shared" si="1"/>
        <v/>
      </c>
      <c r="J28" s="5" t="s">
        <v>1269</v>
      </c>
      <c r="K28" s="10" t="str">
        <f t="shared" si="2"/>
        <v>-</v>
      </c>
      <c r="L28" s="4" t="str">
        <f t="shared" si="3"/>
        <v/>
      </c>
      <c r="M28" s="4" t="str">
        <f t="shared" si="4"/>
        <v>SFP.CL.TRADEPAY</v>
      </c>
      <c r="N28" s="5"/>
      <c r="O28" s="4" t="str">
        <f t="shared" si="5"/>
        <v/>
      </c>
      <c r="P28" s="5" t="s">
        <v>1324</v>
      </c>
      <c r="Q28" s="10" t="str">
        <f t="shared" si="6"/>
        <v>WC.TRADEPAY</v>
      </c>
      <c r="R28" s="5"/>
      <c r="S28" s="10" t="str">
        <f t="shared" si="7"/>
        <v/>
      </c>
      <c r="T28" s="5" t="s">
        <v>4</v>
      </c>
      <c r="U28" s="10" t="str">
        <f t="shared" si="8"/>
        <v>No</v>
      </c>
      <c r="V28" s="4" t="str">
        <f t="shared" si="9"/>
        <v/>
      </c>
    </row>
    <row r="29" spans="1:22" x14ac:dyDescent="0.3">
      <c r="A29" s="5" t="s">
        <v>1325</v>
      </c>
      <c r="B29" s="5" t="s">
        <v>1326</v>
      </c>
      <c r="C29" s="5" t="s">
        <v>351</v>
      </c>
      <c r="D29" s="10" t="str">
        <f t="shared" si="0"/>
        <v>SFP</v>
      </c>
      <c r="E29" s="5" t="s">
        <v>489</v>
      </c>
      <c r="F29" s="5"/>
      <c r="G29" s="5"/>
      <c r="H29" s="5"/>
      <c r="I29" s="10" t="str">
        <f t="shared" si="1"/>
        <v/>
      </c>
      <c r="J29" s="5" t="s">
        <v>1269</v>
      </c>
      <c r="K29" s="10" t="str">
        <f t="shared" si="2"/>
        <v>-</v>
      </c>
      <c r="L29" s="4" t="str">
        <f t="shared" si="3"/>
        <v/>
      </c>
      <c r="M29" s="4" t="str">
        <f t="shared" si="4"/>
        <v>SFP.CL.CURTAX</v>
      </c>
      <c r="N29" s="5"/>
      <c r="O29" s="4" t="str">
        <f t="shared" si="5"/>
        <v/>
      </c>
      <c r="P29" s="5" t="s">
        <v>1294</v>
      </c>
      <c r="Q29" s="10" t="str">
        <f t="shared" si="6"/>
        <v>TAXCUR</v>
      </c>
      <c r="R29" s="5"/>
      <c r="S29" s="10" t="str">
        <f t="shared" si="7"/>
        <v/>
      </c>
      <c r="T29" s="5" t="s">
        <v>4</v>
      </c>
      <c r="U29" s="10" t="str">
        <f t="shared" si="8"/>
        <v>No</v>
      </c>
      <c r="V29" s="4" t="str">
        <f t="shared" si="9"/>
        <v/>
      </c>
    </row>
    <row r="30" spans="1:22" x14ac:dyDescent="0.3">
      <c r="A30" s="5" t="s">
        <v>1327</v>
      </c>
      <c r="B30" s="5" t="s">
        <v>1328</v>
      </c>
      <c r="C30" s="5" t="s">
        <v>351</v>
      </c>
      <c r="D30" s="10" t="str">
        <f t="shared" si="0"/>
        <v>SFP</v>
      </c>
      <c r="E30" s="5" t="s">
        <v>492</v>
      </c>
      <c r="F30" s="5"/>
      <c r="G30" s="5"/>
      <c r="H30" s="5"/>
      <c r="I30" s="10" t="str">
        <f t="shared" si="1"/>
        <v/>
      </c>
      <c r="J30" s="5" t="s">
        <v>1269</v>
      </c>
      <c r="K30" s="10" t="str">
        <f t="shared" si="2"/>
        <v>-</v>
      </c>
      <c r="L30" s="4" t="str">
        <f t="shared" si="3"/>
        <v/>
      </c>
      <c r="M30" s="4" t="str">
        <f t="shared" si="4"/>
        <v>SFP.CL.OTHER</v>
      </c>
      <c r="N30" s="5"/>
      <c r="O30" s="4" t="str">
        <f t="shared" si="5"/>
        <v/>
      </c>
      <c r="P30" s="5" t="s">
        <v>1329</v>
      </c>
      <c r="Q30" s="10" t="str">
        <f t="shared" si="6"/>
        <v>WC.OTHERPAY</v>
      </c>
      <c r="R30" s="5"/>
      <c r="S30" s="10" t="str">
        <f t="shared" si="7"/>
        <v/>
      </c>
      <c r="T30" s="5" t="s">
        <v>1330</v>
      </c>
      <c r="U30" s="10" t="str">
        <f t="shared" si="8"/>
        <v>Yes</v>
      </c>
      <c r="V30" s="4" t="str">
        <f t="shared" si="9"/>
        <v/>
      </c>
    </row>
    <row r="31" spans="1:22" x14ac:dyDescent="0.3">
      <c r="A31" s="5" t="s">
        <v>1331</v>
      </c>
      <c r="B31" s="5" t="s">
        <v>1332</v>
      </c>
      <c r="C31" s="5" t="s">
        <v>351</v>
      </c>
      <c r="D31" s="10" t="str">
        <f t="shared" si="0"/>
        <v>SFP</v>
      </c>
      <c r="E31" s="5" t="s">
        <v>492</v>
      </c>
      <c r="F31" s="5"/>
      <c r="G31" s="5"/>
      <c r="H31" s="5"/>
      <c r="I31" s="10" t="str">
        <f t="shared" si="1"/>
        <v/>
      </c>
      <c r="J31" s="5" t="s">
        <v>1269</v>
      </c>
      <c r="K31" s="10" t="str">
        <f t="shared" si="2"/>
        <v>-</v>
      </c>
      <c r="L31" s="4" t="str">
        <f t="shared" si="3"/>
        <v/>
      </c>
      <c r="M31" s="4" t="str">
        <f t="shared" si="4"/>
        <v>SFP.CL.OTHER</v>
      </c>
      <c r="N31" s="5"/>
      <c r="O31" s="4" t="str">
        <f t="shared" si="5"/>
        <v/>
      </c>
      <c r="P31" s="5" t="s">
        <v>1329</v>
      </c>
      <c r="Q31" s="10" t="str">
        <f t="shared" si="6"/>
        <v>WC.OTHERPAY</v>
      </c>
      <c r="R31" s="5"/>
      <c r="S31" s="10" t="str">
        <f t="shared" si="7"/>
        <v/>
      </c>
      <c r="T31" s="5" t="s">
        <v>1330</v>
      </c>
      <c r="U31" s="10" t="str">
        <f t="shared" si="8"/>
        <v>Yes</v>
      </c>
      <c r="V31" s="4" t="str">
        <f t="shared" si="9"/>
        <v/>
      </c>
    </row>
    <row r="32" spans="1:22" x14ac:dyDescent="0.3">
      <c r="A32" s="5" t="s">
        <v>1333</v>
      </c>
      <c r="B32" s="5" t="s">
        <v>1334</v>
      </c>
      <c r="C32" s="5" t="s">
        <v>1335</v>
      </c>
      <c r="D32" s="10" t="str">
        <f t="shared" si="0"/>
        <v>PL</v>
      </c>
      <c r="E32" s="5" t="s">
        <v>530</v>
      </c>
      <c r="F32" s="5"/>
      <c r="G32" s="5"/>
      <c r="H32" s="5" t="s">
        <v>513</v>
      </c>
      <c r="I32" s="10" t="str">
        <f t="shared" si="1"/>
        <v>OP</v>
      </c>
      <c r="J32" s="5" t="s">
        <v>1269</v>
      </c>
      <c r="K32" s="10" t="str">
        <f t="shared" si="2"/>
        <v>-</v>
      </c>
      <c r="L32" s="4" t="str">
        <f t="shared" si="3"/>
        <v>OP</v>
      </c>
      <c r="M32" s="4" t="str">
        <f t="shared" si="4"/>
        <v>PL.OP.REVENUE</v>
      </c>
      <c r="N32" s="5"/>
      <c r="O32" s="4" t="str">
        <f t="shared" si="5"/>
        <v>OP</v>
      </c>
      <c r="P32" s="5" t="s">
        <v>1336</v>
      </c>
      <c r="Q32" s="10" t="str">
        <f t="shared" si="6"/>
        <v>-</v>
      </c>
      <c r="R32" s="5"/>
      <c r="S32" s="10" t="str">
        <f t="shared" si="7"/>
        <v/>
      </c>
      <c r="T32" s="5" t="s">
        <v>4</v>
      </c>
      <c r="U32" s="10" t="str">
        <f t="shared" si="8"/>
        <v>No</v>
      </c>
      <c r="V32" s="4" t="str">
        <f t="shared" si="9"/>
        <v/>
      </c>
    </row>
    <row r="33" spans="1:22" x14ac:dyDescent="0.3">
      <c r="A33" s="5" t="s">
        <v>1337</v>
      </c>
      <c r="B33" s="5" t="s">
        <v>1338</v>
      </c>
      <c r="C33" s="5" t="s">
        <v>1335</v>
      </c>
      <c r="D33" s="10" t="str">
        <f t="shared" si="0"/>
        <v>PL</v>
      </c>
      <c r="E33" s="5" t="s">
        <v>530</v>
      </c>
      <c r="F33" s="5"/>
      <c r="G33" s="5"/>
      <c r="H33" s="5" t="s">
        <v>513</v>
      </c>
      <c r="I33" s="10" t="str">
        <f t="shared" si="1"/>
        <v>OP</v>
      </c>
      <c r="J33" s="5" t="s">
        <v>1269</v>
      </c>
      <c r="K33" s="10" t="str">
        <f t="shared" si="2"/>
        <v>-</v>
      </c>
      <c r="L33" s="4" t="str">
        <f t="shared" si="3"/>
        <v>OP</v>
      </c>
      <c r="M33" s="4" t="str">
        <f t="shared" si="4"/>
        <v>PL.OP.REVENUE</v>
      </c>
      <c r="N33" s="5"/>
      <c r="O33" s="4" t="str">
        <f t="shared" si="5"/>
        <v>OP</v>
      </c>
      <c r="P33" s="5" t="s">
        <v>1336</v>
      </c>
      <c r="Q33" s="10" t="str">
        <f t="shared" si="6"/>
        <v>-</v>
      </c>
      <c r="R33" s="5"/>
      <c r="S33" s="10" t="str">
        <f t="shared" si="7"/>
        <v/>
      </c>
      <c r="T33" s="5" t="s">
        <v>4</v>
      </c>
      <c r="U33" s="10" t="str">
        <f t="shared" si="8"/>
        <v>No</v>
      </c>
      <c r="V33" s="4" t="str">
        <f t="shared" si="9"/>
        <v/>
      </c>
    </row>
    <row r="34" spans="1:22" x14ac:dyDescent="0.3">
      <c r="A34" s="5" t="s">
        <v>1339</v>
      </c>
      <c r="B34" s="5" t="s">
        <v>1340</v>
      </c>
      <c r="C34" s="5" t="s">
        <v>1335</v>
      </c>
      <c r="D34" s="10" t="str">
        <f t="shared" si="0"/>
        <v>PL</v>
      </c>
      <c r="E34" s="5" t="s">
        <v>533</v>
      </c>
      <c r="F34" s="5"/>
      <c r="G34" s="5"/>
      <c r="H34" s="5" t="s">
        <v>513</v>
      </c>
      <c r="I34" s="10" t="str">
        <f t="shared" si="1"/>
        <v>OP</v>
      </c>
      <c r="J34" s="5" t="s">
        <v>1269</v>
      </c>
      <c r="K34" s="10" t="str">
        <f t="shared" si="2"/>
        <v>-</v>
      </c>
      <c r="L34" s="4" t="str">
        <f t="shared" si="3"/>
        <v>OP</v>
      </c>
      <c r="M34" s="4" t="str">
        <f t="shared" si="4"/>
        <v>PL.OP.OTHERINC</v>
      </c>
      <c r="N34" s="5"/>
      <c r="O34" s="4" t="str">
        <f t="shared" si="5"/>
        <v>OP</v>
      </c>
      <c r="P34" s="5" t="s">
        <v>1336</v>
      </c>
      <c r="Q34" s="10" t="str">
        <f t="shared" si="6"/>
        <v>-</v>
      </c>
      <c r="R34" s="5"/>
      <c r="S34" s="10" t="str">
        <f t="shared" si="7"/>
        <v/>
      </c>
      <c r="T34" s="5" t="s">
        <v>1330</v>
      </c>
      <c r="U34" s="10" t="str">
        <f t="shared" si="8"/>
        <v>Yes</v>
      </c>
      <c r="V34" s="4" t="str">
        <f t="shared" si="9"/>
        <v/>
      </c>
    </row>
    <row r="35" spans="1:22" x14ac:dyDescent="0.3">
      <c r="A35" s="5" t="s">
        <v>1341</v>
      </c>
      <c r="B35" s="5" t="s">
        <v>1342</v>
      </c>
      <c r="C35" s="5" t="s">
        <v>1335</v>
      </c>
      <c r="D35" s="10" t="str">
        <f t="shared" si="0"/>
        <v>PL</v>
      </c>
      <c r="E35" s="5" t="s">
        <v>533</v>
      </c>
      <c r="F35" s="5"/>
      <c r="G35" s="5"/>
      <c r="H35" s="5" t="s">
        <v>513</v>
      </c>
      <c r="I35" s="10" t="str">
        <f t="shared" si="1"/>
        <v>OP</v>
      </c>
      <c r="J35" s="5" t="s">
        <v>1269</v>
      </c>
      <c r="K35" s="10" t="str">
        <f t="shared" si="2"/>
        <v>-</v>
      </c>
      <c r="L35" s="4" t="str">
        <f t="shared" si="3"/>
        <v>OP</v>
      </c>
      <c r="M35" s="4" t="str">
        <f t="shared" si="4"/>
        <v>PL.OP.OTHERINC</v>
      </c>
      <c r="N35" s="5"/>
      <c r="O35" s="4" t="str">
        <f t="shared" si="5"/>
        <v>OP</v>
      </c>
      <c r="P35" s="5" t="s">
        <v>1343</v>
      </c>
      <c r="Q35" s="10" t="str">
        <f t="shared" si="6"/>
        <v>NC.DISPGAIN</v>
      </c>
      <c r="R35" s="5"/>
      <c r="S35" s="10" t="str">
        <f t="shared" si="7"/>
        <v/>
      </c>
      <c r="T35" s="5" t="s">
        <v>4</v>
      </c>
      <c r="U35" s="10" t="str">
        <f t="shared" si="8"/>
        <v>No</v>
      </c>
      <c r="V35" s="4" t="str">
        <f t="shared" si="9"/>
        <v/>
      </c>
    </row>
    <row r="36" spans="1:22" x14ac:dyDescent="0.3">
      <c r="A36" s="5" t="s">
        <v>1344</v>
      </c>
      <c r="B36" s="5" t="s">
        <v>1345</v>
      </c>
      <c r="C36" s="5" t="s">
        <v>1335</v>
      </c>
      <c r="D36" s="10" t="str">
        <f t="shared" si="0"/>
        <v>PL</v>
      </c>
      <c r="E36" s="5"/>
      <c r="F36" s="5" t="s">
        <v>536</v>
      </c>
      <c r="G36" s="5" t="s">
        <v>551</v>
      </c>
      <c r="H36" s="5" t="s">
        <v>513</v>
      </c>
      <c r="I36" s="10" t="str">
        <f t="shared" si="1"/>
        <v>OP</v>
      </c>
      <c r="J36" s="5" t="s">
        <v>1269</v>
      </c>
      <c r="K36" s="10" t="str">
        <f t="shared" si="2"/>
        <v>-</v>
      </c>
      <c r="L36" s="4" t="str">
        <f t="shared" si="3"/>
        <v>OP</v>
      </c>
      <c r="M36" s="4" t="str">
        <f t="shared" si="4"/>
        <v>PL.OP.N.MATERIALS</v>
      </c>
      <c r="N36" s="5"/>
      <c r="O36" s="4" t="str">
        <f t="shared" si="5"/>
        <v>OP</v>
      </c>
      <c r="P36" s="5" t="s">
        <v>1336</v>
      </c>
      <c r="Q36" s="10" t="str">
        <f t="shared" si="6"/>
        <v>-</v>
      </c>
      <c r="R36" s="5"/>
      <c r="S36" s="10" t="str">
        <f t="shared" si="7"/>
        <v/>
      </c>
      <c r="T36" s="5" t="s">
        <v>4</v>
      </c>
      <c r="U36" s="10" t="str">
        <f t="shared" si="8"/>
        <v>No</v>
      </c>
      <c r="V36" s="4" t="str">
        <f t="shared" si="9"/>
        <v/>
      </c>
    </row>
    <row r="37" spans="1:22" x14ac:dyDescent="0.3">
      <c r="A37" s="5" t="s">
        <v>1346</v>
      </c>
      <c r="B37" s="5" t="s">
        <v>1347</v>
      </c>
      <c r="C37" s="5" t="s">
        <v>1335</v>
      </c>
      <c r="D37" s="10" t="str">
        <f t="shared" si="0"/>
        <v>PL</v>
      </c>
      <c r="E37" s="5"/>
      <c r="F37" s="5" t="s">
        <v>536</v>
      </c>
      <c r="G37" s="5" t="s">
        <v>551</v>
      </c>
      <c r="H37" s="5" t="s">
        <v>513</v>
      </c>
      <c r="I37" s="10" t="str">
        <f t="shared" si="1"/>
        <v>OP</v>
      </c>
      <c r="J37" s="5" t="s">
        <v>1269</v>
      </c>
      <c r="K37" s="10" t="str">
        <f t="shared" si="2"/>
        <v>-</v>
      </c>
      <c r="L37" s="4" t="str">
        <f t="shared" si="3"/>
        <v>OP</v>
      </c>
      <c r="M37" s="4" t="str">
        <f t="shared" si="4"/>
        <v>PL.OP.N.MATERIALS</v>
      </c>
      <c r="N37" s="5"/>
      <c r="O37" s="4" t="str">
        <f t="shared" si="5"/>
        <v>OP</v>
      </c>
      <c r="P37" s="5" t="s">
        <v>1336</v>
      </c>
      <c r="Q37" s="10" t="str">
        <f t="shared" si="6"/>
        <v>-</v>
      </c>
      <c r="R37" s="5"/>
      <c r="S37" s="10" t="str">
        <f t="shared" si="7"/>
        <v/>
      </c>
      <c r="T37" s="5" t="s">
        <v>4</v>
      </c>
      <c r="U37" s="10" t="str">
        <f t="shared" si="8"/>
        <v>No</v>
      </c>
      <c r="V37" s="4" t="str">
        <f t="shared" si="9"/>
        <v/>
      </c>
    </row>
    <row r="38" spans="1:22" x14ac:dyDescent="0.3">
      <c r="A38" s="5" t="s">
        <v>1348</v>
      </c>
      <c r="B38" s="5" t="s">
        <v>1349</v>
      </c>
      <c r="C38" s="5" t="s">
        <v>1335</v>
      </c>
      <c r="D38" s="10" t="str">
        <f t="shared" si="0"/>
        <v>PL</v>
      </c>
      <c r="E38" s="5"/>
      <c r="F38" s="5" t="s">
        <v>542</v>
      </c>
      <c r="G38" s="5" t="s">
        <v>569</v>
      </c>
      <c r="H38" s="5" t="s">
        <v>513</v>
      </c>
      <c r="I38" s="10" t="str">
        <f t="shared" si="1"/>
        <v>OP</v>
      </c>
      <c r="J38" s="5" t="s">
        <v>1269</v>
      </c>
      <c r="K38" s="10" t="str">
        <f t="shared" si="2"/>
        <v>-</v>
      </c>
      <c r="L38" s="4" t="str">
        <f t="shared" si="3"/>
        <v>OP</v>
      </c>
      <c r="M38" s="4" t="str">
        <f t="shared" si="4"/>
        <v>PL.OP.N.OTHER</v>
      </c>
      <c r="N38" s="5"/>
      <c r="O38" s="4" t="str">
        <f t="shared" si="5"/>
        <v>OP</v>
      </c>
      <c r="P38" s="5" t="s">
        <v>1336</v>
      </c>
      <c r="Q38" s="10" t="str">
        <f t="shared" si="6"/>
        <v>-</v>
      </c>
      <c r="R38" s="5"/>
      <c r="S38" s="10" t="str">
        <f t="shared" si="7"/>
        <v/>
      </c>
      <c r="T38" s="5" t="s">
        <v>4</v>
      </c>
      <c r="U38" s="10" t="str">
        <f t="shared" si="8"/>
        <v>No</v>
      </c>
      <c r="V38" s="4" t="str">
        <f t="shared" si="9"/>
        <v/>
      </c>
    </row>
    <row r="39" spans="1:22" x14ac:dyDescent="0.3">
      <c r="A39" s="5" t="s">
        <v>1350</v>
      </c>
      <c r="B39" s="5" t="s">
        <v>1351</v>
      </c>
      <c r="C39" s="5" t="s">
        <v>1335</v>
      </c>
      <c r="D39" s="10" t="str">
        <f t="shared" si="0"/>
        <v>PL</v>
      </c>
      <c r="E39" s="5"/>
      <c r="F39" s="5" t="s">
        <v>542</v>
      </c>
      <c r="G39" s="5" t="s">
        <v>554</v>
      </c>
      <c r="H39" s="5" t="s">
        <v>513</v>
      </c>
      <c r="I39" s="10" t="str">
        <f t="shared" si="1"/>
        <v>OP</v>
      </c>
      <c r="J39" s="5" t="s">
        <v>1269</v>
      </c>
      <c r="K39" s="10" t="str">
        <f t="shared" si="2"/>
        <v>-</v>
      </c>
      <c r="L39" s="4" t="str">
        <f t="shared" si="3"/>
        <v>OP</v>
      </c>
      <c r="M39" s="4" t="str">
        <f t="shared" si="4"/>
        <v>PL.OP.N.EMPLOYEE</v>
      </c>
      <c r="N39" s="5"/>
      <c r="O39" s="4" t="str">
        <f t="shared" si="5"/>
        <v>OP</v>
      </c>
      <c r="P39" s="5" t="s">
        <v>1336</v>
      </c>
      <c r="Q39" s="10" t="str">
        <f t="shared" si="6"/>
        <v>-</v>
      </c>
      <c r="R39" s="5"/>
      <c r="S39" s="10" t="str">
        <f t="shared" si="7"/>
        <v/>
      </c>
      <c r="T39" s="5" t="s">
        <v>4</v>
      </c>
      <c r="U39" s="10" t="str">
        <f t="shared" si="8"/>
        <v>No</v>
      </c>
      <c r="V39" s="4" t="str">
        <f t="shared" si="9"/>
        <v/>
      </c>
    </row>
    <row r="40" spans="1:22" x14ac:dyDescent="0.3">
      <c r="A40" s="5" t="s">
        <v>1352</v>
      </c>
      <c r="B40" s="5" t="s">
        <v>1353</v>
      </c>
      <c r="C40" s="5" t="s">
        <v>1335</v>
      </c>
      <c r="D40" s="10" t="str">
        <f t="shared" si="0"/>
        <v>PL</v>
      </c>
      <c r="E40" s="5"/>
      <c r="F40" s="5" t="s">
        <v>542</v>
      </c>
      <c r="G40" s="5" t="s">
        <v>554</v>
      </c>
      <c r="H40" s="5" t="s">
        <v>513</v>
      </c>
      <c r="I40" s="10" t="str">
        <f t="shared" si="1"/>
        <v>OP</v>
      </c>
      <c r="J40" s="5" t="s">
        <v>1269</v>
      </c>
      <c r="K40" s="10" t="str">
        <f t="shared" si="2"/>
        <v>-</v>
      </c>
      <c r="L40" s="4" t="str">
        <f t="shared" si="3"/>
        <v>OP</v>
      </c>
      <c r="M40" s="4" t="str">
        <f t="shared" si="4"/>
        <v>PL.OP.N.EMPLOYEE</v>
      </c>
      <c r="N40" s="5"/>
      <c r="O40" s="4" t="str">
        <f t="shared" si="5"/>
        <v>OP</v>
      </c>
      <c r="P40" s="5" t="s">
        <v>1336</v>
      </c>
      <c r="Q40" s="10" t="str">
        <f t="shared" si="6"/>
        <v>-</v>
      </c>
      <c r="R40" s="5"/>
      <c r="S40" s="10" t="str">
        <f t="shared" si="7"/>
        <v/>
      </c>
      <c r="T40" s="5" t="s">
        <v>4</v>
      </c>
      <c r="U40" s="10" t="str">
        <f t="shared" si="8"/>
        <v>No</v>
      </c>
      <c r="V40" s="4" t="str">
        <f t="shared" si="9"/>
        <v/>
      </c>
    </row>
    <row r="41" spans="1:22" x14ac:dyDescent="0.3">
      <c r="A41" s="5" t="s">
        <v>1354</v>
      </c>
      <c r="B41" s="5" t="s">
        <v>1355</v>
      </c>
      <c r="C41" s="5" t="s">
        <v>1335</v>
      </c>
      <c r="D41" s="10" t="str">
        <f t="shared" si="0"/>
        <v>PL</v>
      </c>
      <c r="E41" s="5"/>
      <c r="F41" s="5" t="s">
        <v>536</v>
      </c>
      <c r="G41" s="5" t="s">
        <v>557</v>
      </c>
      <c r="H41" s="5" t="s">
        <v>513</v>
      </c>
      <c r="I41" s="10" t="str">
        <f t="shared" si="1"/>
        <v>OP</v>
      </c>
      <c r="J41" s="5" t="s">
        <v>1269</v>
      </c>
      <c r="K41" s="10" t="str">
        <f t="shared" si="2"/>
        <v>-</v>
      </c>
      <c r="L41" s="4" t="str">
        <f t="shared" si="3"/>
        <v>OP</v>
      </c>
      <c r="M41" s="4" t="str">
        <f t="shared" si="4"/>
        <v>PL.OP.N.DEP</v>
      </c>
      <c r="N41" s="5"/>
      <c r="O41" s="4" t="str">
        <f t="shared" si="5"/>
        <v>OP</v>
      </c>
      <c r="P41" s="5" t="s">
        <v>1356</v>
      </c>
      <c r="Q41" s="10" t="str">
        <f t="shared" si="6"/>
        <v>NC.DEP.PPE</v>
      </c>
      <c r="R41" s="5"/>
      <c r="S41" s="10" t="str">
        <f t="shared" si="7"/>
        <v/>
      </c>
      <c r="T41" s="5" t="s">
        <v>4</v>
      </c>
      <c r="U41" s="10" t="str">
        <f t="shared" si="8"/>
        <v>No</v>
      </c>
      <c r="V41" s="4" t="str">
        <f t="shared" si="9"/>
        <v/>
      </c>
    </row>
    <row r="42" spans="1:22" x14ac:dyDescent="0.3">
      <c r="A42" s="5" t="s">
        <v>1357</v>
      </c>
      <c r="B42" s="5" t="s">
        <v>1358</v>
      </c>
      <c r="C42" s="5" t="s">
        <v>1335</v>
      </c>
      <c r="D42" s="10" t="str">
        <f t="shared" si="0"/>
        <v>PL</v>
      </c>
      <c r="E42" s="5"/>
      <c r="F42" s="5" t="s">
        <v>536</v>
      </c>
      <c r="G42" s="5" t="s">
        <v>557</v>
      </c>
      <c r="H42" s="5" t="s">
        <v>513</v>
      </c>
      <c r="I42" s="10" t="str">
        <f t="shared" si="1"/>
        <v>OP</v>
      </c>
      <c r="J42" s="5" t="s">
        <v>1269</v>
      </c>
      <c r="K42" s="10" t="str">
        <f t="shared" si="2"/>
        <v>-</v>
      </c>
      <c r="L42" s="4" t="str">
        <f t="shared" si="3"/>
        <v>OP</v>
      </c>
      <c r="M42" s="4" t="str">
        <f t="shared" si="4"/>
        <v>PL.OP.N.DEP</v>
      </c>
      <c r="N42" s="5"/>
      <c r="O42" s="4" t="str">
        <f t="shared" si="5"/>
        <v>OP</v>
      </c>
      <c r="P42" s="5" t="s">
        <v>1359</v>
      </c>
      <c r="Q42" s="10" t="str">
        <f t="shared" si="6"/>
        <v>NC.DEP.ROU</v>
      </c>
      <c r="R42" s="5"/>
      <c r="S42" s="10" t="str">
        <f t="shared" si="7"/>
        <v/>
      </c>
      <c r="T42" s="5" t="s">
        <v>4</v>
      </c>
      <c r="U42" s="10" t="str">
        <f t="shared" si="8"/>
        <v>No</v>
      </c>
      <c r="V42" s="4" t="str">
        <f t="shared" si="9"/>
        <v/>
      </c>
    </row>
    <row r="43" spans="1:22" x14ac:dyDescent="0.3">
      <c r="A43" s="5" t="s">
        <v>1360</v>
      </c>
      <c r="B43" s="5" t="s">
        <v>1361</v>
      </c>
      <c r="C43" s="5" t="s">
        <v>1335</v>
      </c>
      <c r="D43" s="10" t="str">
        <f t="shared" si="0"/>
        <v>PL</v>
      </c>
      <c r="E43" s="5"/>
      <c r="F43" s="5" t="s">
        <v>542</v>
      </c>
      <c r="G43" s="5" t="s">
        <v>560</v>
      </c>
      <c r="H43" s="5" t="s">
        <v>513</v>
      </c>
      <c r="I43" s="10" t="str">
        <f t="shared" si="1"/>
        <v>OP</v>
      </c>
      <c r="J43" s="5" t="s">
        <v>1269</v>
      </c>
      <c r="K43" s="10" t="str">
        <f t="shared" si="2"/>
        <v>-</v>
      </c>
      <c r="L43" s="4" t="str">
        <f t="shared" si="3"/>
        <v>OP</v>
      </c>
      <c r="M43" s="4" t="str">
        <f t="shared" si="4"/>
        <v>PL.OP.N.AMORT</v>
      </c>
      <c r="N43" s="5"/>
      <c r="O43" s="4" t="str">
        <f t="shared" si="5"/>
        <v>OP</v>
      </c>
      <c r="P43" s="5" t="s">
        <v>1362</v>
      </c>
      <c r="Q43" s="10" t="str">
        <f t="shared" si="6"/>
        <v>NC.AMORT.INTANG</v>
      </c>
      <c r="R43" s="5"/>
      <c r="S43" s="10" t="str">
        <f t="shared" si="7"/>
        <v/>
      </c>
      <c r="T43" s="5" t="s">
        <v>4</v>
      </c>
      <c r="U43" s="10" t="str">
        <f t="shared" si="8"/>
        <v>No</v>
      </c>
      <c r="V43" s="4" t="str">
        <f t="shared" si="9"/>
        <v/>
      </c>
    </row>
    <row r="44" spans="1:22" x14ac:dyDescent="0.3">
      <c r="A44" s="5" t="s">
        <v>1363</v>
      </c>
      <c r="B44" s="5" t="s">
        <v>1364</v>
      </c>
      <c r="C44" s="5" t="s">
        <v>1335</v>
      </c>
      <c r="D44" s="10" t="str">
        <f t="shared" si="0"/>
        <v>PL</v>
      </c>
      <c r="E44" s="5"/>
      <c r="F44" s="5" t="s">
        <v>536</v>
      </c>
      <c r="G44" s="5" t="s">
        <v>566</v>
      </c>
      <c r="H44" s="5" t="s">
        <v>513</v>
      </c>
      <c r="I44" s="10" t="str">
        <f t="shared" si="1"/>
        <v>OP</v>
      </c>
      <c r="J44" s="5" t="s">
        <v>1269</v>
      </c>
      <c r="K44" s="10" t="str">
        <f t="shared" si="2"/>
        <v>-</v>
      </c>
      <c r="L44" s="4" t="str">
        <f t="shared" si="3"/>
        <v>OP</v>
      </c>
      <c r="M44" s="4" t="str">
        <f t="shared" si="4"/>
        <v>PL.OP.N.INVWRITE</v>
      </c>
      <c r="N44" s="5"/>
      <c r="O44" s="4" t="str">
        <f t="shared" si="5"/>
        <v>OP</v>
      </c>
      <c r="P44" s="5" t="s">
        <v>1365</v>
      </c>
      <c r="Q44" s="10" t="str">
        <f t="shared" si="6"/>
        <v>NC.INVWRITE</v>
      </c>
      <c r="R44" s="5"/>
      <c r="S44" s="10" t="str">
        <f t="shared" si="7"/>
        <v/>
      </c>
      <c r="T44" s="5" t="s">
        <v>4</v>
      </c>
      <c r="U44" s="10" t="str">
        <f t="shared" si="8"/>
        <v>No</v>
      </c>
      <c r="V44" s="4" t="str">
        <f t="shared" si="9"/>
        <v/>
      </c>
    </row>
    <row r="45" spans="1:22" x14ac:dyDescent="0.3">
      <c r="A45" s="5" t="s">
        <v>1366</v>
      </c>
      <c r="B45" s="5" t="s">
        <v>892</v>
      </c>
      <c r="C45" s="5" t="s">
        <v>1335</v>
      </c>
      <c r="D45" s="10" t="str">
        <f t="shared" si="0"/>
        <v>PL</v>
      </c>
      <c r="E45" s="5"/>
      <c r="F45" s="5" t="s">
        <v>539</v>
      </c>
      <c r="G45" s="5" t="s">
        <v>563</v>
      </c>
      <c r="H45" s="5" t="s">
        <v>513</v>
      </c>
      <c r="I45" s="10" t="str">
        <f t="shared" si="1"/>
        <v>OP</v>
      </c>
      <c r="J45" s="5" t="s">
        <v>1269</v>
      </c>
      <c r="K45" s="10" t="str">
        <f t="shared" si="2"/>
        <v>-</v>
      </c>
      <c r="L45" s="4" t="str">
        <f t="shared" si="3"/>
        <v>OP</v>
      </c>
      <c r="M45" s="4" t="str">
        <f t="shared" si="4"/>
        <v>PL.OP.N.IMPAIR</v>
      </c>
      <c r="N45" s="5"/>
      <c r="O45" s="4" t="str">
        <f t="shared" si="5"/>
        <v>OP</v>
      </c>
      <c r="P45" s="5" t="s">
        <v>1367</v>
      </c>
      <c r="Q45" s="10" t="str">
        <f t="shared" si="6"/>
        <v>NC.IMPAIR.RECEIV</v>
      </c>
      <c r="R45" s="5"/>
      <c r="S45" s="10" t="str">
        <f t="shared" si="7"/>
        <v/>
      </c>
      <c r="T45" s="5" t="s">
        <v>4</v>
      </c>
      <c r="U45" s="10" t="str">
        <f t="shared" si="8"/>
        <v>No</v>
      </c>
      <c r="V45" s="4" t="str">
        <f t="shared" si="9"/>
        <v/>
      </c>
    </row>
    <row r="46" spans="1:22" x14ac:dyDescent="0.3">
      <c r="A46" s="5" t="s">
        <v>1368</v>
      </c>
      <c r="B46" s="5" t="s">
        <v>1369</v>
      </c>
      <c r="C46" s="5" t="s">
        <v>1335</v>
      </c>
      <c r="D46" s="10" t="str">
        <f t="shared" si="0"/>
        <v>PL</v>
      </c>
      <c r="E46" s="5" t="s">
        <v>575</v>
      </c>
      <c r="F46" s="5"/>
      <c r="G46" s="5"/>
      <c r="H46" s="5" t="s">
        <v>513</v>
      </c>
      <c r="I46" s="10" t="str">
        <f t="shared" si="1"/>
        <v>OP</v>
      </c>
      <c r="J46" s="5" t="s">
        <v>1269</v>
      </c>
      <c r="K46" s="10" t="str">
        <f t="shared" si="2"/>
        <v>-</v>
      </c>
      <c r="L46" s="4" t="str">
        <f t="shared" si="3"/>
        <v>OP</v>
      </c>
      <c r="M46" s="4" t="str">
        <f t="shared" si="4"/>
        <v>PL.OP.OTHEREXP</v>
      </c>
      <c r="N46" s="5"/>
      <c r="O46" s="4" t="str">
        <f t="shared" si="5"/>
        <v>OP</v>
      </c>
      <c r="P46" s="5" t="s">
        <v>1336</v>
      </c>
      <c r="Q46" s="10" t="str">
        <f t="shared" si="6"/>
        <v>-</v>
      </c>
      <c r="R46" s="5"/>
      <c r="S46" s="10" t="str">
        <f t="shared" si="7"/>
        <v/>
      </c>
      <c r="T46" s="5" t="s">
        <v>1330</v>
      </c>
      <c r="U46" s="10" t="str">
        <f t="shared" si="8"/>
        <v>Yes</v>
      </c>
      <c r="V46" s="4" t="str">
        <f t="shared" si="9"/>
        <v/>
      </c>
    </row>
    <row r="47" spans="1:22" x14ac:dyDescent="0.3">
      <c r="A47" s="5" t="s">
        <v>1370</v>
      </c>
      <c r="B47" s="5" t="s">
        <v>1371</v>
      </c>
      <c r="C47" s="5" t="s">
        <v>1335</v>
      </c>
      <c r="D47" s="10" t="str">
        <f t="shared" si="0"/>
        <v>PL</v>
      </c>
      <c r="E47" s="5" t="s">
        <v>572</v>
      </c>
      <c r="F47" s="5"/>
      <c r="G47" s="5"/>
      <c r="H47" s="5" t="s">
        <v>513</v>
      </c>
      <c r="I47" s="10" t="str">
        <f t="shared" si="1"/>
        <v>OP</v>
      </c>
      <c r="J47" s="5" t="s">
        <v>1269</v>
      </c>
      <c r="K47" s="10" t="str">
        <f t="shared" si="2"/>
        <v>-</v>
      </c>
      <c r="L47" s="4" t="str">
        <f t="shared" si="3"/>
        <v>OP</v>
      </c>
      <c r="M47" s="4" t="str">
        <f t="shared" si="4"/>
        <v>PL.OP.FX</v>
      </c>
      <c r="N47" s="5"/>
      <c r="O47" s="4" t="str">
        <f t="shared" si="5"/>
        <v>OP</v>
      </c>
      <c r="P47" s="5" t="s">
        <v>1336</v>
      </c>
      <c r="Q47" s="10" t="str">
        <f t="shared" si="6"/>
        <v>-</v>
      </c>
      <c r="R47" s="5"/>
      <c r="S47" s="10" t="str">
        <f t="shared" si="7"/>
        <v/>
      </c>
      <c r="T47" s="5" t="s">
        <v>4</v>
      </c>
      <c r="U47" s="10" t="str">
        <f t="shared" si="8"/>
        <v>No</v>
      </c>
      <c r="V47" s="4" t="str">
        <f t="shared" si="9"/>
        <v/>
      </c>
    </row>
    <row r="48" spans="1:22" x14ac:dyDescent="0.3">
      <c r="A48" s="5" t="s">
        <v>1372</v>
      </c>
      <c r="B48" s="5" t="s">
        <v>1373</v>
      </c>
      <c r="C48" s="5" t="s">
        <v>1335</v>
      </c>
      <c r="D48" s="10" t="str">
        <f t="shared" si="0"/>
        <v>PL</v>
      </c>
      <c r="E48" s="5" t="s">
        <v>584</v>
      </c>
      <c r="F48" s="5"/>
      <c r="G48" s="5"/>
      <c r="H48" s="5" t="s">
        <v>516</v>
      </c>
      <c r="I48" s="10" t="str">
        <f t="shared" si="1"/>
        <v>INV</v>
      </c>
      <c r="J48" s="5" t="s">
        <v>1269</v>
      </c>
      <c r="K48" s="10" t="str">
        <f t="shared" si="2"/>
        <v>-</v>
      </c>
      <c r="L48" s="4" t="str">
        <f t="shared" si="3"/>
        <v>INV</v>
      </c>
      <c r="M48" s="4" t="str">
        <f t="shared" si="4"/>
        <v>PL.INV.INTCASH</v>
      </c>
      <c r="N48" s="5"/>
      <c r="O48" s="4" t="str">
        <f t="shared" si="5"/>
        <v>INV</v>
      </c>
      <c r="P48" s="5" t="s">
        <v>801</v>
      </c>
      <c r="Q48" s="10" t="str">
        <f t="shared" si="6"/>
        <v>INT.REC</v>
      </c>
      <c r="R48" s="5"/>
      <c r="S48" s="10" t="str">
        <f t="shared" si="7"/>
        <v/>
      </c>
      <c r="T48" s="5" t="s">
        <v>4</v>
      </c>
      <c r="U48" s="10" t="str">
        <f t="shared" si="8"/>
        <v>No</v>
      </c>
      <c r="V48" s="4" t="str">
        <f t="shared" si="9"/>
        <v/>
      </c>
    </row>
    <row r="49" spans="1:22" x14ac:dyDescent="0.3">
      <c r="A49" s="5" t="s">
        <v>1374</v>
      </c>
      <c r="B49" s="5" t="s">
        <v>1375</v>
      </c>
      <c r="C49" s="5" t="s">
        <v>1335</v>
      </c>
      <c r="D49" s="10" t="str">
        <f t="shared" si="0"/>
        <v>PL</v>
      </c>
      <c r="E49" s="5" t="s">
        <v>581</v>
      </c>
      <c r="F49" s="5"/>
      <c r="G49" s="5"/>
      <c r="H49" s="5" t="s">
        <v>516</v>
      </c>
      <c r="I49" s="10" t="str">
        <f t="shared" si="1"/>
        <v>INV</v>
      </c>
      <c r="J49" s="5" t="s">
        <v>1376</v>
      </c>
      <c r="K49" s="10" t="str">
        <f t="shared" si="2"/>
        <v>INV</v>
      </c>
      <c r="L49" s="4" t="str">
        <f t="shared" si="3"/>
        <v>INV</v>
      </c>
      <c r="M49" s="4" t="str">
        <f t="shared" si="4"/>
        <v>PL.INV.ASSOC</v>
      </c>
      <c r="N49" s="5"/>
      <c r="O49" s="4" t="str">
        <f t="shared" si="5"/>
        <v>INV</v>
      </c>
      <c r="P49" s="5" t="s">
        <v>1336</v>
      </c>
      <c r="Q49" s="10" t="str">
        <f t="shared" si="6"/>
        <v>-</v>
      </c>
      <c r="R49" s="5"/>
      <c r="S49" s="10" t="str">
        <f t="shared" si="7"/>
        <v/>
      </c>
      <c r="T49" s="5" t="s">
        <v>4</v>
      </c>
      <c r="U49" s="10" t="str">
        <f t="shared" si="8"/>
        <v>No</v>
      </c>
      <c r="V49" s="4" t="str">
        <f t="shared" si="9"/>
        <v/>
      </c>
    </row>
    <row r="50" spans="1:22" x14ac:dyDescent="0.3">
      <c r="A50" s="5" t="s">
        <v>1377</v>
      </c>
      <c r="B50" s="5" t="s">
        <v>1378</v>
      </c>
      <c r="C50" s="5" t="s">
        <v>1335</v>
      </c>
      <c r="D50" s="10" t="str">
        <f t="shared" si="0"/>
        <v>PL</v>
      </c>
      <c r="E50" s="5" t="s">
        <v>599</v>
      </c>
      <c r="F50" s="5"/>
      <c r="G50" s="5"/>
      <c r="H50" s="5" t="s">
        <v>519</v>
      </c>
      <c r="I50" s="10" t="str">
        <f t="shared" si="1"/>
        <v>FIN</v>
      </c>
      <c r="J50" s="5" t="s">
        <v>1379</v>
      </c>
      <c r="K50" s="10" t="str">
        <f t="shared" si="2"/>
        <v>FIN</v>
      </c>
      <c r="L50" s="4" t="str">
        <f t="shared" si="3"/>
        <v>FIN</v>
      </c>
      <c r="M50" s="4" t="str">
        <f t="shared" si="4"/>
        <v>PL.FIN.INTBORROW</v>
      </c>
      <c r="N50" s="5"/>
      <c r="O50" s="4" t="str">
        <f t="shared" si="5"/>
        <v>FIN</v>
      </c>
      <c r="P50" s="5" t="s">
        <v>819</v>
      </c>
      <c r="Q50" s="10" t="str">
        <f t="shared" si="6"/>
        <v>INT.PAID</v>
      </c>
      <c r="R50" s="5"/>
      <c r="S50" s="10" t="str">
        <f t="shared" si="7"/>
        <v/>
      </c>
      <c r="T50" s="5" t="s">
        <v>4</v>
      </c>
      <c r="U50" s="10" t="str">
        <f t="shared" si="8"/>
        <v>No</v>
      </c>
      <c r="V50" s="4" t="str">
        <f t="shared" si="9"/>
        <v/>
      </c>
    </row>
    <row r="51" spans="1:22" x14ac:dyDescent="0.3">
      <c r="A51" s="5" t="s">
        <v>1380</v>
      </c>
      <c r="B51" s="5" t="s">
        <v>604</v>
      </c>
      <c r="C51" s="5" t="s">
        <v>1335</v>
      </c>
      <c r="D51" s="10" t="str">
        <f t="shared" si="0"/>
        <v>PL</v>
      </c>
      <c r="E51" s="5" t="s">
        <v>602</v>
      </c>
      <c r="F51" s="5"/>
      <c r="G51" s="5"/>
      <c r="H51" s="5" t="s">
        <v>519</v>
      </c>
      <c r="I51" s="10" t="str">
        <f t="shared" si="1"/>
        <v>FIN</v>
      </c>
      <c r="J51" s="5" t="s">
        <v>1269</v>
      </c>
      <c r="K51" s="10" t="str">
        <f t="shared" si="2"/>
        <v>-</v>
      </c>
      <c r="L51" s="4" t="str">
        <f t="shared" si="3"/>
        <v>FIN</v>
      </c>
      <c r="M51" s="4" t="str">
        <f t="shared" si="4"/>
        <v>PL.FIN.INTLEASE</v>
      </c>
      <c r="N51" s="5"/>
      <c r="O51" s="4" t="str">
        <f t="shared" si="5"/>
        <v>FIN</v>
      </c>
      <c r="P51" s="5" t="s">
        <v>819</v>
      </c>
      <c r="Q51" s="10" t="str">
        <f t="shared" si="6"/>
        <v>INT.PAID</v>
      </c>
      <c r="R51" s="5"/>
      <c r="S51" s="10" t="str">
        <f t="shared" si="7"/>
        <v/>
      </c>
      <c r="T51" s="5" t="s">
        <v>4</v>
      </c>
      <c r="U51" s="10" t="str">
        <f t="shared" si="8"/>
        <v>No</v>
      </c>
      <c r="V51" s="4" t="str">
        <f t="shared" si="9"/>
        <v/>
      </c>
    </row>
    <row r="52" spans="1:22" x14ac:dyDescent="0.3">
      <c r="A52" s="5" t="s">
        <v>1381</v>
      </c>
      <c r="B52" s="5" t="s">
        <v>1382</v>
      </c>
      <c r="C52" s="5" t="s">
        <v>1335</v>
      </c>
      <c r="D52" s="10" t="str">
        <f t="shared" si="0"/>
        <v>PL</v>
      </c>
      <c r="E52" s="5" t="s">
        <v>611</v>
      </c>
      <c r="F52" s="5"/>
      <c r="G52" s="5"/>
      <c r="H52" s="5" t="s">
        <v>519</v>
      </c>
      <c r="I52" s="10" t="str">
        <f t="shared" si="1"/>
        <v>FIN</v>
      </c>
      <c r="J52" s="5" t="s">
        <v>1269</v>
      </c>
      <c r="K52" s="10" t="str">
        <f t="shared" si="2"/>
        <v>-</v>
      </c>
      <c r="L52" s="4" t="str">
        <f t="shared" si="3"/>
        <v>FIN</v>
      </c>
      <c r="M52" s="4" t="str">
        <f t="shared" si="4"/>
        <v>PL.FIN.FX</v>
      </c>
      <c r="N52" s="5" t="s">
        <v>1377</v>
      </c>
      <c r="O52" s="4" t="str">
        <f t="shared" si="5"/>
        <v>FIN</v>
      </c>
      <c r="P52" s="5" t="s">
        <v>1336</v>
      </c>
      <c r="Q52" s="10" t="str">
        <f t="shared" si="6"/>
        <v>-</v>
      </c>
      <c r="R52" s="5"/>
      <c r="S52" s="10" t="str">
        <f t="shared" si="7"/>
        <v/>
      </c>
      <c r="T52" s="5" t="s">
        <v>4</v>
      </c>
      <c r="U52" s="10" t="str">
        <f t="shared" si="8"/>
        <v>No</v>
      </c>
      <c r="V52" s="4" t="str">
        <f t="shared" si="9"/>
        <v/>
      </c>
    </row>
    <row r="53" spans="1:22" x14ac:dyDescent="0.3">
      <c r="A53" s="5" t="s">
        <v>1383</v>
      </c>
      <c r="B53" s="5" t="s">
        <v>1384</v>
      </c>
      <c r="C53" s="5" t="s">
        <v>1335</v>
      </c>
      <c r="D53" s="10" t="str">
        <f t="shared" si="0"/>
        <v>PL</v>
      </c>
      <c r="E53" s="5" t="s">
        <v>620</v>
      </c>
      <c r="F53" s="5"/>
      <c r="G53" s="5"/>
      <c r="H53" s="5" t="s">
        <v>522</v>
      </c>
      <c r="I53" s="10" t="str">
        <f t="shared" si="1"/>
        <v>TAX</v>
      </c>
      <c r="J53" s="5" t="s">
        <v>1269</v>
      </c>
      <c r="K53" s="10" t="str">
        <f t="shared" si="2"/>
        <v>-</v>
      </c>
      <c r="L53" s="4" t="str">
        <f t="shared" si="3"/>
        <v>TAX</v>
      </c>
      <c r="M53" s="4" t="str">
        <f t="shared" si="4"/>
        <v>PL.TAX.CURRENT</v>
      </c>
      <c r="N53" s="5"/>
      <c r="O53" s="4" t="str">
        <f t="shared" si="5"/>
        <v>TAX</v>
      </c>
      <c r="P53" s="5" t="s">
        <v>1336</v>
      </c>
      <c r="Q53" s="10" t="str">
        <f t="shared" si="6"/>
        <v>-</v>
      </c>
      <c r="R53" s="5"/>
      <c r="S53" s="10" t="str">
        <f t="shared" si="7"/>
        <v/>
      </c>
      <c r="T53" s="5" t="s">
        <v>4</v>
      </c>
      <c r="U53" s="10" t="str">
        <f t="shared" si="8"/>
        <v>No</v>
      </c>
      <c r="V53" s="4" t="str">
        <f t="shared" si="9"/>
        <v/>
      </c>
    </row>
    <row r="54" spans="1:22" x14ac:dyDescent="0.3">
      <c r="A54" s="5" t="s">
        <v>1385</v>
      </c>
      <c r="B54" s="5" t="s">
        <v>625</v>
      </c>
      <c r="C54" s="5" t="s">
        <v>1335</v>
      </c>
      <c r="D54" s="10" t="str">
        <f t="shared" si="0"/>
        <v>PL</v>
      </c>
      <c r="E54" s="5" t="s">
        <v>623</v>
      </c>
      <c r="F54" s="5"/>
      <c r="G54" s="5"/>
      <c r="H54" s="5" t="s">
        <v>522</v>
      </c>
      <c r="I54" s="10" t="str">
        <f t="shared" si="1"/>
        <v>TAX</v>
      </c>
      <c r="J54" s="5" t="s">
        <v>1269</v>
      </c>
      <c r="K54" s="10" t="str">
        <f t="shared" si="2"/>
        <v>-</v>
      </c>
      <c r="L54" s="4" t="str">
        <f t="shared" si="3"/>
        <v>TAX</v>
      </c>
      <c r="M54" s="4" t="str">
        <f t="shared" si="4"/>
        <v>PL.TAX.DEFERRED</v>
      </c>
      <c r="N54" s="5"/>
      <c r="O54" s="4" t="str">
        <f t="shared" si="5"/>
        <v>TAX</v>
      </c>
      <c r="P54" s="5" t="s">
        <v>1336</v>
      </c>
      <c r="Q54" s="10" t="str">
        <f t="shared" si="6"/>
        <v>-</v>
      </c>
      <c r="R54" s="5"/>
      <c r="S54" s="10" t="str">
        <f t="shared" si="7"/>
        <v/>
      </c>
      <c r="T54" s="5" t="s">
        <v>4</v>
      </c>
      <c r="U54" s="10" t="str">
        <f t="shared" si="8"/>
        <v>No</v>
      </c>
      <c r="V54" s="4" t="str">
        <f t="shared" si="9"/>
        <v/>
      </c>
    </row>
    <row r="55" spans="1:22" x14ac:dyDescent="0.3">
      <c r="A55" s="5" t="s">
        <v>1386</v>
      </c>
      <c r="B55" s="5" t="s">
        <v>1387</v>
      </c>
      <c r="C55" s="5" t="s">
        <v>693</v>
      </c>
      <c r="D55" s="10" t="str">
        <f t="shared" si="0"/>
        <v>OCI</v>
      </c>
      <c r="E55" s="5" t="s">
        <v>650</v>
      </c>
      <c r="F55" s="5"/>
      <c r="G55" s="5"/>
      <c r="H55" s="5"/>
      <c r="I55" s="10" t="str">
        <f t="shared" si="1"/>
        <v/>
      </c>
      <c r="J55" s="5" t="s">
        <v>1269</v>
      </c>
      <c r="K55" s="10" t="str">
        <f t="shared" si="2"/>
        <v>-</v>
      </c>
      <c r="L55" s="4" t="str">
        <f t="shared" si="3"/>
        <v/>
      </c>
      <c r="M55" s="4" t="str">
        <f t="shared" si="4"/>
        <v>OCI.NR.REVAL</v>
      </c>
      <c r="N55" s="5"/>
      <c r="O55" s="4" t="str">
        <f t="shared" si="5"/>
        <v/>
      </c>
      <c r="P55" s="5" t="s">
        <v>1309</v>
      </c>
      <c r="Q55" s="10" t="str">
        <f t="shared" si="6"/>
        <v>OCIONLY</v>
      </c>
      <c r="R55" s="5"/>
      <c r="S55" s="10" t="str">
        <f t="shared" si="7"/>
        <v/>
      </c>
      <c r="T55" s="5" t="s">
        <v>4</v>
      </c>
      <c r="U55" s="10" t="str">
        <f t="shared" si="8"/>
        <v>No</v>
      </c>
      <c r="V55" s="4" t="str">
        <f t="shared" si="9"/>
        <v/>
      </c>
    </row>
    <row r="56" spans="1:22" x14ac:dyDescent="0.3">
      <c r="A56" s="5"/>
      <c r="B56" s="5"/>
      <c r="C56" s="5"/>
      <c r="D56" s="10" t="str">
        <f t="shared" si="0"/>
        <v/>
      </c>
      <c r="E56" s="5"/>
      <c r="F56" s="5"/>
      <c r="G56" s="5"/>
      <c r="H56" s="5"/>
      <c r="I56" s="10" t="str">
        <f t="shared" si="1"/>
        <v/>
      </c>
      <c r="J56" s="5"/>
      <c r="K56" s="10" t="str">
        <f t="shared" si="2"/>
        <v/>
      </c>
      <c r="L56" s="4" t="str">
        <f t="shared" si="3"/>
        <v/>
      </c>
      <c r="M56" s="4" t="str">
        <f t="shared" si="4"/>
        <v/>
      </c>
      <c r="N56" s="5"/>
      <c r="O56" s="4" t="str">
        <f t="shared" si="5"/>
        <v/>
      </c>
      <c r="P56" s="5"/>
      <c r="Q56" s="10" t="str">
        <f t="shared" si="6"/>
        <v/>
      </c>
      <c r="R56" s="5"/>
      <c r="S56" s="10" t="str">
        <f t="shared" si="7"/>
        <v/>
      </c>
      <c r="T56" s="5"/>
      <c r="U56" s="10" t="str">
        <f t="shared" si="8"/>
        <v/>
      </c>
      <c r="V56" s="4" t="str">
        <f t="shared" si="9"/>
        <v/>
      </c>
    </row>
    <row r="57" spans="1:22" x14ac:dyDescent="0.3">
      <c r="A57" s="5"/>
      <c r="B57" s="5"/>
      <c r="C57" s="5"/>
      <c r="D57" s="10" t="str">
        <f t="shared" si="0"/>
        <v/>
      </c>
      <c r="E57" s="5"/>
      <c r="F57" s="5"/>
      <c r="G57" s="5"/>
      <c r="H57" s="5"/>
      <c r="I57" s="10" t="str">
        <f t="shared" si="1"/>
        <v/>
      </c>
      <c r="J57" s="5"/>
      <c r="K57" s="10" t="str">
        <f t="shared" si="2"/>
        <v/>
      </c>
      <c r="L57" s="4" t="str">
        <f t="shared" si="3"/>
        <v/>
      </c>
      <c r="M57" s="4" t="str">
        <f t="shared" si="4"/>
        <v/>
      </c>
      <c r="N57" s="5"/>
      <c r="O57" s="4" t="str">
        <f t="shared" si="5"/>
        <v/>
      </c>
      <c r="P57" s="5"/>
      <c r="Q57" s="10" t="str">
        <f t="shared" si="6"/>
        <v/>
      </c>
      <c r="R57" s="5"/>
      <c r="S57" s="10" t="str">
        <f t="shared" si="7"/>
        <v/>
      </c>
      <c r="T57" s="5"/>
      <c r="U57" s="10" t="str">
        <f t="shared" si="8"/>
        <v/>
      </c>
      <c r="V57" s="4" t="str">
        <f t="shared" si="9"/>
        <v/>
      </c>
    </row>
    <row r="58" spans="1:22" x14ac:dyDescent="0.3">
      <c r="A58" s="5"/>
      <c r="B58" s="5"/>
      <c r="C58" s="5"/>
      <c r="D58" s="10" t="str">
        <f t="shared" si="0"/>
        <v/>
      </c>
      <c r="E58" s="5"/>
      <c r="F58" s="5"/>
      <c r="G58" s="5"/>
      <c r="H58" s="5"/>
      <c r="I58" s="10" t="str">
        <f t="shared" si="1"/>
        <v/>
      </c>
      <c r="J58" s="5"/>
      <c r="K58" s="10" t="str">
        <f t="shared" si="2"/>
        <v/>
      </c>
      <c r="L58" s="4" t="str">
        <f t="shared" si="3"/>
        <v/>
      </c>
      <c r="M58" s="4" t="str">
        <f t="shared" si="4"/>
        <v/>
      </c>
      <c r="N58" s="5"/>
      <c r="O58" s="4" t="str">
        <f t="shared" si="5"/>
        <v/>
      </c>
      <c r="P58" s="5"/>
      <c r="Q58" s="10" t="str">
        <f t="shared" si="6"/>
        <v/>
      </c>
      <c r="R58" s="5"/>
      <c r="S58" s="10" t="str">
        <f t="shared" si="7"/>
        <v/>
      </c>
      <c r="T58" s="5"/>
      <c r="U58" s="10" t="str">
        <f t="shared" si="8"/>
        <v/>
      </c>
      <c r="V58" s="4" t="str">
        <f t="shared" si="9"/>
        <v/>
      </c>
    </row>
    <row r="59" spans="1:22" x14ac:dyDescent="0.3">
      <c r="A59" s="5"/>
      <c r="B59" s="5"/>
      <c r="C59" s="5"/>
      <c r="D59" s="10" t="str">
        <f t="shared" si="0"/>
        <v/>
      </c>
      <c r="E59" s="5"/>
      <c r="F59" s="5"/>
      <c r="G59" s="5"/>
      <c r="H59" s="5"/>
      <c r="I59" s="10" t="str">
        <f t="shared" si="1"/>
        <v/>
      </c>
      <c r="J59" s="5"/>
      <c r="K59" s="10" t="str">
        <f t="shared" si="2"/>
        <v/>
      </c>
      <c r="L59" s="4" t="str">
        <f t="shared" si="3"/>
        <v/>
      </c>
      <c r="M59" s="4" t="str">
        <f t="shared" si="4"/>
        <v/>
      </c>
      <c r="N59" s="5"/>
      <c r="O59" s="4" t="str">
        <f t="shared" si="5"/>
        <v/>
      </c>
      <c r="P59" s="5"/>
      <c r="Q59" s="10" t="str">
        <f t="shared" si="6"/>
        <v/>
      </c>
      <c r="R59" s="5"/>
      <c r="S59" s="10" t="str">
        <f t="shared" si="7"/>
        <v/>
      </c>
      <c r="T59" s="5"/>
      <c r="U59" s="10" t="str">
        <f t="shared" si="8"/>
        <v/>
      </c>
      <c r="V59" s="4" t="str">
        <f t="shared" si="9"/>
        <v/>
      </c>
    </row>
    <row r="60" spans="1:22" x14ac:dyDescent="0.3">
      <c r="A60" s="5"/>
      <c r="B60" s="5"/>
      <c r="C60" s="5"/>
      <c r="D60" s="10" t="str">
        <f t="shared" si="0"/>
        <v/>
      </c>
      <c r="E60" s="5"/>
      <c r="F60" s="5"/>
      <c r="G60" s="5"/>
      <c r="H60" s="5"/>
      <c r="I60" s="10" t="str">
        <f t="shared" si="1"/>
        <v/>
      </c>
      <c r="J60" s="5"/>
      <c r="K60" s="10" t="str">
        <f t="shared" si="2"/>
        <v/>
      </c>
      <c r="L60" s="4" t="str">
        <f t="shared" si="3"/>
        <v/>
      </c>
      <c r="M60" s="4" t="str">
        <f t="shared" si="4"/>
        <v/>
      </c>
      <c r="N60" s="5"/>
      <c r="O60" s="4" t="str">
        <f t="shared" si="5"/>
        <v/>
      </c>
      <c r="P60" s="5"/>
      <c r="Q60" s="10" t="str">
        <f t="shared" si="6"/>
        <v/>
      </c>
      <c r="R60" s="5"/>
      <c r="S60" s="10" t="str">
        <f t="shared" si="7"/>
        <v/>
      </c>
      <c r="T60" s="5"/>
      <c r="U60" s="10" t="str">
        <f t="shared" si="8"/>
        <v/>
      </c>
      <c r="V60" s="4" t="str">
        <f t="shared" si="9"/>
        <v/>
      </c>
    </row>
    <row r="61" spans="1:22" x14ac:dyDescent="0.3">
      <c r="A61" s="5"/>
      <c r="B61" s="5"/>
      <c r="C61" s="5"/>
      <c r="D61" s="10" t="str">
        <f t="shared" si="0"/>
        <v/>
      </c>
      <c r="E61" s="5"/>
      <c r="F61" s="5"/>
      <c r="G61" s="5"/>
      <c r="H61" s="5"/>
      <c r="I61" s="10" t="str">
        <f t="shared" si="1"/>
        <v/>
      </c>
      <c r="J61" s="5"/>
      <c r="K61" s="10" t="str">
        <f t="shared" si="2"/>
        <v/>
      </c>
      <c r="L61" s="4" t="str">
        <f t="shared" si="3"/>
        <v/>
      </c>
      <c r="M61" s="4" t="str">
        <f t="shared" si="4"/>
        <v/>
      </c>
      <c r="N61" s="5"/>
      <c r="O61" s="4" t="str">
        <f t="shared" si="5"/>
        <v/>
      </c>
      <c r="P61" s="5"/>
      <c r="Q61" s="10" t="str">
        <f t="shared" si="6"/>
        <v/>
      </c>
      <c r="R61" s="5"/>
      <c r="S61" s="10" t="str">
        <f t="shared" si="7"/>
        <v/>
      </c>
      <c r="T61" s="5"/>
      <c r="U61" s="10" t="str">
        <f t="shared" si="8"/>
        <v/>
      </c>
      <c r="V61" s="4" t="str">
        <f t="shared" si="9"/>
        <v/>
      </c>
    </row>
    <row r="62" spans="1:22" x14ac:dyDescent="0.3">
      <c r="A62" s="5"/>
      <c r="B62" s="5"/>
      <c r="C62" s="5"/>
      <c r="D62" s="10" t="str">
        <f t="shared" si="0"/>
        <v/>
      </c>
      <c r="E62" s="5"/>
      <c r="F62" s="5"/>
      <c r="G62" s="5"/>
      <c r="H62" s="5"/>
      <c r="I62" s="10" t="str">
        <f t="shared" si="1"/>
        <v/>
      </c>
      <c r="J62" s="5"/>
      <c r="K62" s="10" t="str">
        <f t="shared" si="2"/>
        <v/>
      </c>
      <c r="L62" s="4" t="str">
        <f t="shared" si="3"/>
        <v/>
      </c>
      <c r="M62" s="4" t="str">
        <f t="shared" si="4"/>
        <v/>
      </c>
      <c r="N62" s="5"/>
      <c r="O62" s="4" t="str">
        <f t="shared" si="5"/>
        <v/>
      </c>
      <c r="P62" s="5"/>
      <c r="Q62" s="10" t="str">
        <f t="shared" si="6"/>
        <v/>
      </c>
      <c r="R62" s="5"/>
      <c r="S62" s="10" t="str">
        <f t="shared" si="7"/>
        <v/>
      </c>
      <c r="T62" s="5"/>
      <c r="U62" s="10" t="str">
        <f t="shared" si="8"/>
        <v/>
      </c>
      <c r="V62" s="4" t="str">
        <f t="shared" si="9"/>
        <v/>
      </c>
    </row>
    <row r="63" spans="1:22" x14ac:dyDescent="0.3">
      <c r="A63" s="5"/>
      <c r="B63" s="5"/>
      <c r="C63" s="5"/>
      <c r="D63" s="10" t="str">
        <f t="shared" si="0"/>
        <v/>
      </c>
      <c r="E63" s="5"/>
      <c r="F63" s="5"/>
      <c r="G63" s="5"/>
      <c r="H63" s="5"/>
      <c r="I63" s="10" t="str">
        <f t="shared" si="1"/>
        <v/>
      </c>
      <c r="J63" s="5"/>
      <c r="K63" s="10" t="str">
        <f t="shared" si="2"/>
        <v/>
      </c>
      <c r="L63" s="4" t="str">
        <f t="shared" si="3"/>
        <v/>
      </c>
      <c r="M63" s="4" t="str">
        <f t="shared" si="4"/>
        <v/>
      </c>
      <c r="N63" s="5"/>
      <c r="O63" s="4" t="str">
        <f t="shared" si="5"/>
        <v/>
      </c>
      <c r="P63" s="5"/>
      <c r="Q63" s="10" t="str">
        <f t="shared" si="6"/>
        <v/>
      </c>
      <c r="R63" s="5"/>
      <c r="S63" s="10" t="str">
        <f t="shared" si="7"/>
        <v/>
      </c>
      <c r="T63" s="5"/>
      <c r="U63" s="10" t="str">
        <f t="shared" si="8"/>
        <v/>
      </c>
      <c r="V63" s="4" t="str">
        <f t="shared" si="9"/>
        <v/>
      </c>
    </row>
    <row r="64" spans="1:22" x14ac:dyDescent="0.3">
      <c r="A64" s="5"/>
      <c r="B64" s="5"/>
      <c r="C64" s="5"/>
      <c r="D64" s="10" t="str">
        <f t="shared" si="0"/>
        <v/>
      </c>
      <c r="E64" s="5"/>
      <c r="F64" s="5"/>
      <c r="G64" s="5"/>
      <c r="H64" s="5"/>
      <c r="I64" s="10" t="str">
        <f t="shared" si="1"/>
        <v/>
      </c>
      <c r="J64" s="5"/>
      <c r="K64" s="10" t="str">
        <f t="shared" si="2"/>
        <v/>
      </c>
      <c r="L64" s="4" t="str">
        <f t="shared" si="3"/>
        <v/>
      </c>
      <c r="M64" s="4" t="str">
        <f t="shared" si="4"/>
        <v/>
      </c>
      <c r="N64" s="5"/>
      <c r="O64" s="4" t="str">
        <f t="shared" si="5"/>
        <v/>
      </c>
      <c r="P64" s="5"/>
      <c r="Q64" s="10" t="str">
        <f t="shared" si="6"/>
        <v/>
      </c>
      <c r="R64" s="5"/>
      <c r="S64" s="10" t="str">
        <f t="shared" si="7"/>
        <v/>
      </c>
      <c r="T64" s="5"/>
      <c r="U64" s="10" t="str">
        <f t="shared" si="8"/>
        <v/>
      </c>
      <c r="V64" s="4" t="str">
        <f t="shared" si="9"/>
        <v/>
      </c>
    </row>
    <row r="65" spans="1:22" x14ac:dyDescent="0.3">
      <c r="A65" s="5"/>
      <c r="B65" s="5"/>
      <c r="C65" s="5"/>
      <c r="D65" s="10" t="str">
        <f t="shared" si="0"/>
        <v/>
      </c>
      <c r="E65" s="5"/>
      <c r="F65" s="5"/>
      <c r="G65" s="5"/>
      <c r="H65" s="5"/>
      <c r="I65" s="10" t="str">
        <f t="shared" si="1"/>
        <v/>
      </c>
      <c r="J65" s="5"/>
      <c r="K65" s="10" t="str">
        <f t="shared" si="2"/>
        <v/>
      </c>
      <c r="L65" s="4" t="str">
        <f t="shared" si="3"/>
        <v/>
      </c>
      <c r="M65" s="4" t="str">
        <f t="shared" si="4"/>
        <v/>
      </c>
      <c r="N65" s="5"/>
      <c r="O65" s="4" t="str">
        <f t="shared" si="5"/>
        <v/>
      </c>
      <c r="P65" s="5"/>
      <c r="Q65" s="10" t="str">
        <f t="shared" si="6"/>
        <v/>
      </c>
      <c r="R65" s="5"/>
      <c r="S65" s="10" t="str">
        <f t="shared" si="7"/>
        <v/>
      </c>
      <c r="T65" s="5"/>
      <c r="U65" s="10" t="str">
        <f t="shared" si="8"/>
        <v/>
      </c>
      <c r="V65" s="4" t="str">
        <f t="shared" si="9"/>
        <v/>
      </c>
    </row>
    <row r="66" spans="1:22" x14ac:dyDescent="0.3">
      <c r="A66" s="5"/>
      <c r="B66" s="5"/>
      <c r="C66" s="5"/>
      <c r="D66" s="10" t="str">
        <f t="shared" si="0"/>
        <v/>
      </c>
      <c r="E66" s="5"/>
      <c r="F66" s="5"/>
      <c r="G66" s="5"/>
      <c r="H66" s="5"/>
      <c r="I66" s="10" t="str">
        <f t="shared" si="1"/>
        <v/>
      </c>
      <c r="J66" s="5"/>
      <c r="K66" s="10" t="str">
        <f t="shared" si="2"/>
        <v/>
      </c>
      <c r="L66" s="4" t="str">
        <f t="shared" si="3"/>
        <v/>
      </c>
      <c r="M66" s="4" t="str">
        <f t="shared" si="4"/>
        <v/>
      </c>
      <c r="N66" s="5"/>
      <c r="O66" s="4" t="str">
        <f t="shared" si="5"/>
        <v/>
      </c>
      <c r="P66" s="5"/>
      <c r="Q66" s="10" t="str">
        <f t="shared" si="6"/>
        <v/>
      </c>
      <c r="R66" s="5"/>
      <c r="S66" s="10" t="str">
        <f t="shared" si="7"/>
        <v/>
      </c>
      <c r="T66" s="5"/>
      <c r="U66" s="10" t="str">
        <f t="shared" si="8"/>
        <v/>
      </c>
      <c r="V66" s="4" t="str">
        <f t="shared" si="9"/>
        <v/>
      </c>
    </row>
    <row r="67" spans="1:22" x14ac:dyDescent="0.3">
      <c r="A67" s="5"/>
      <c r="B67" s="5"/>
      <c r="C67" s="5"/>
      <c r="D67" s="10" t="str">
        <f t="shared" si="0"/>
        <v/>
      </c>
      <c r="E67" s="5"/>
      <c r="F67" s="5"/>
      <c r="G67" s="5"/>
      <c r="H67" s="5"/>
      <c r="I67" s="10" t="str">
        <f t="shared" si="1"/>
        <v/>
      </c>
      <c r="J67" s="5"/>
      <c r="K67" s="10" t="str">
        <f t="shared" si="2"/>
        <v/>
      </c>
      <c r="L67" s="4" t="str">
        <f t="shared" si="3"/>
        <v/>
      </c>
      <c r="M67" s="4" t="str">
        <f t="shared" si="4"/>
        <v/>
      </c>
      <c r="N67" s="5"/>
      <c r="O67" s="4" t="str">
        <f t="shared" si="5"/>
        <v/>
      </c>
      <c r="P67" s="5"/>
      <c r="Q67" s="10" t="str">
        <f t="shared" si="6"/>
        <v/>
      </c>
      <c r="R67" s="5"/>
      <c r="S67" s="10" t="str">
        <f t="shared" si="7"/>
        <v/>
      </c>
      <c r="T67" s="5"/>
      <c r="U67" s="10" t="str">
        <f t="shared" si="8"/>
        <v/>
      </c>
      <c r="V67" s="4" t="str">
        <f t="shared" si="9"/>
        <v/>
      </c>
    </row>
    <row r="68" spans="1:22" x14ac:dyDescent="0.3">
      <c r="A68" s="5"/>
      <c r="B68" s="5"/>
      <c r="C68" s="5"/>
      <c r="D68" s="10" t="str">
        <f t="shared" ref="D68:D131" si="10">IF(A68="","",IFERROR(INDEX(LIST_STMT_CODE,MATCH(C68,LIST_STMT_EN,0)),IFERROR(INDEX(LIST_STMT_CODE,MATCH(C68,LIST_STMT_HU,0)),"")))</f>
        <v/>
      </c>
      <c r="E68" s="5"/>
      <c r="F68" s="5"/>
      <c r="G68" s="5"/>
      <c r="H68" s="5"/>
      <c r="I68" s="10" t="str">
        <f t="shared" ref="I68:I131" si="11">IF(A68="","",IFERROR(INDEX(LIST_CAT_CODE,MATCH(H68,LIST_CAT_EN,0)),IFERROR(INDEX(LIST_CAT_CODE,MATCH(H68,LIST_CAT_HU,0)),"")))</f>
        <v/>
      </c>
      <c r="J68" s="5"/>
      <c r="K68" s="10" t="str">
        <f t="shared" ref="K68:K131" si="12">IF(A68="","",IFERROR(INDEX(LIST_MBA_CODE,MATCH(J68,LIST_MBA_EN,0)),IFERROR(INDEX(LIST_MBA_CODE,MATCH(J68,LIST_MBA_HU,0)),"-")))</f>
        <v/>
      </c>
      <c r="L68" s="4" t="str">
        <f t="shared" ref="L68:L131" si="13">IF(OR(A68="",D68&lt;&gt;"PL"),"",IF(AND(K68="INV",MbaInvest="Yes"),"OP",IF(AND(K68="FIN",MbaFinance="Yes"),"OP",I68)))</f>
        <v/>
      </c>
      <c r="M68" s="4" t="str">
        <f t="shared" ref="M68:M131" si="14">IF(A68="","",IF(AND(D68="PL",L68="OP",F68&lt;&gt;""),IF(ExpIsFunction,F68,G68),E68))</f>
        <v/>
      </c>
      <c r="N68" s="5"/>
      <c r="O68" s="4" t="str">
        <f t="shared" ref="O68:O131" si="15">IF(A68="","",IF(N68="",L68,IFERROR(INDEX(COA_CAT_EFF,MATCH(N68,COA_ACCT,0)),L68)))</f>
        <v/>
      </c>
      <c r="P68" s="5"/>
      <c r="Q68" s="10" t="str">
        <f t="shared" ref="Q68:Q131" si="16">IF(A68="","",IFERROR(INDEX(LIST_CF_CODE,MATCH(P68,LIST_CF_EN,0)),IFERROR(INDEX(LIST_CF_CODE,MATCH(P68,LIST_CF_HU,0)),"-")))</f>
        <v/>
      </c>
      <c r="R68" s="5"/>
      <c r="S68" s="10" t="str">
        <f t="shared" ref="S68:S131" si="17">IF(A68="","",IFERROR(INDEX(LIST_SCE_CODE,MATCH(R68,LIST_SCE_EN,0)),IFERROR(INDEX(LIST_SCE_CODE,MATCH(R68,LIST_SCE_HU,0)),"")))</f>
        <v/>
      </c>
      <c r="T68" s="5"/>
      <c r="U68" s="10" t="str">
        <f t="shared" ref="U68:U131" si="18">IF(A68="","",IFERROR(INDEX(LIST_YN_CODE,MATCH(T68,LIST_YN_EN,0)),IFERROR(INDEX(LIST_YN_CODE,MATCH(T68,LIST_YN_HU,0)),"No")))</f>
        <v/>
      </c>
      <c r="V68" s="4" t="str">
        <f t="shared" ref="V68:V131" si="19">IF(A68="","",TRIM(IF(D68="",IFERROR(INDEX(DICT_ACTIVE,MATCH("COA.ERR.NOSTMT",DICT_KEY,0)),"")&amp;" ","")&amp;IF(OR(M68="",ISNA(MATCH(M68,ENG_KEY,0))),IFERROR(INDEX(DICT_ACTIVE,MATCH("COA.ERR.NOKEY",DICT_KEY,0)),"")&amp;" ","")&amp;IF(AND(D68="PL",I68=""),IFERROR(INDEX(DICT_ACTIVE,MATCH("COA.ERR.NOCAT",DICT_KEY,0)),"")&amp;" ","")&amp;IF(AND(D68="PL",L68="OP",E68="",OR(F68="",G68="")),IFERROR(INDEX(DICT_ACTIVE,MATCH("COA.ERR.NOFN",DICT_KEY,0)),"")&amp;" ","")&amp;IF(AND(M68&lt;&gt;"",NOT(ISNA(MATCH(M68,ENG_KEY,0))),D68&lt;&gt;""),IF(INDEX(ENG_STMT,MATCH(M68,ENG_KEY,0))&lt;&gt;D68,IFERROR(INDEX(DICT_ACTIVE,MATCH("COA.ERR.STMT",DICT_KEY,0)),"")&amp;" ",""),"")))</f>
        <v/>
      </c>
    </row>
    <row r="69" spans="1:22" x14ac:dyDescent="0.3">
      <c r="A69" s="5"/>
      <c r="B69" s="5"/>
      <c r="C69" s="5"/>
      <c r="D69" s="10" t="str">
        <f t="shared" si="10"/>
        <v/>
      </c>
      <c r="E69" s="5"/>
      <c r="F69" s="5"/>
      <c r="G69" s="5"/>
      <c r="H69" s="5"/>
      <c r="I69" s="10" t="str">
        <f t="shared" si="11"/>
        <v/>
      </c>
      <c r="J69" s="5"/>
      <c r="K69" s="10" t="str">
        <f t="shared" si="12"/>
        <v/>
      </c>
      <c r="L69" s="4" t="str">
        <f t="shared" si="13"/>
        <v/>
      </c>
      <c r="M69" s="4" t="str">
        <f t="shared" si="14"/>
        <v/>
      </c>
      <c r="N69" s="5"/>
      <c r="O69" s="4" t="str">
        <f t="shared" si="15"/>
        <v/>
      </c>
      <c r="P69" s="5"/>
      <c r="Q69" s="10" t="str">
        <f t="shared" si="16"/>
        <v/>
      </c>
      <c r="R69" s="5"/>
      <c r="S69" s="10" t="str">
        <f t="shared" si="17"/>
        <v/>
      </c>
      <c r="T69" s="5"/>
      <c r="U69" s="10" t="str">
        <f t="shared" si="18"/>
        <v/>
      </c>
      <c r="V69" s="4" t="str">
        <f t="shared" si="19"/>
        <v/>
      </c>
    </row>
    <row r="70" spans="1:22" x14ac:dyDescent="0.3">
      <c r="A70" s="5"/>
      <c r="B70" s="5"/>
      <c r="C70" s="5"/>
      <c r="D70" s="10" t="str">
        <f t="shared" si="10"/>
        <v/>
      </c>
      <c r="E70" s="5"/>
      <c r="F70" s="5"/>
      <c r="G70" s="5"/>
      <c r="H70" s="5"/>
      <c r="I70" s="10" t="str">
        <f t="shared" si="11"/>
        <v/>
      </c>
      <c r="J70" s="5"/>
      <c r="K70" s="10" t="str">
        <f t="shared" si="12"/>
        <v/>
      </c>
      <c r="L70" s="4" t="str">
        <f t="shared" si="13"/>
        <v/>
      </c>
      <c r="M70" s="4" t="str">
        <f t="shared" si="14"/>
        <v/>
      </c>
      <c r="N70" s="5"/>
      <c r="O70" s="4" t="str">
        <f t="shared" si="15"/>
        <v/>
      </c>
      <c r="P70" s="5"/>
      <c r="Q70" s="10" t="str">
        <f t="shared" si="16"/>
        <v/>
      </c>
      <c r="R70" s="5"/>
      <c r="S70" s="10" t="str">
        <f t="shared" si="17"/>
        <v/>
      </c>
      <c r="T70" s="5"/>
      <c r="U70" s="10" t="str">
        <f t="shared" si="18"/>
        <v/>
      </c>
      <c r="V70" s="4" t="str">
        <f t="shared" si="19"/>
        <v/>
      </c>
    </row>
    <row r="71" spans="1:22" x14ac:dyDescent="0.3">
      <c r="A71" s="5"/>
      <c r="B71" s="5"/>
      <c r="C71" s="5"/>
      <c r="D71" s="10" t="str">
        <f t="shared" si="10"/>
        <v/>
      </c>
      <c r="E71" s="5"/>
      <c r="F71" s="5"/>
      <c r="G71" s="5"/>
      <c r="H71" s="5"/>
      <c r="I71" s="10" t="str">
        <f t="shared" si="11"/>
        <v/>
      </c>
      <c r="J71" s="5"/>
      <c r="K71" s="10" t="str">
        <f t="shared" si="12"/>
        <v/>
      </c>
      <c r="L71" s="4" t="str">
        <f t="shared" si="13"/>
        <v/>
      </c>
      <c r="M71" s="4" t="str">
        <f t="shared" si="14"/>
        <v/>
      </c>
      <c r="N71" s="5"/>
      <c r="O71" s="4" t="str">
        <f t="shared" si="15"/>
        <v/>
      </c>
      <c r="P71" s="5"/>
      <c r="Q71" s="10" t="str">
        <f t="shared" si="16"/>
        <v/>
      </c>
      <c r="R71" s="5"/>
      <c r="S71" s="10" t="str">
        <f t="shared" si="17"/>
        <v/>
      </c>
      <c r="T71" s="5"/>
      <c r="U71" s="10" t="str">
        <f t="shared" si="18"/>
        <v/>
      </c>
      <c r="V71" s="4" t="str">
        <f t="shared" si="19"/>
        <v/>
      </c>
    </row>
    <row r="72" spans="1:22" x14ac:dyDescent="0.3">
      <c r="A72" s="5"/>
      <c r="B72" s="5"/>
      <c r="C72" s="5"/>
      <c r="D72" s="10" t="str">
        <f t="shared" si="10"/>
        <v/>
      </c>
      <c r="E72" s="5"/>
      <c r="F72" s="5"/>
      <c r="G72" s="5"/>
      <c r="H72" s="5"/>
      <c r="I72" s="10" t="str">
        <f t="shared" si="11"/>
        <v/>
      </c>
      <c r="J72" s="5"/>
      <c r="K72" s="10" t="str">
        <f t="shared" si="12"/>
        <v/>
      </c>
      <c r="L72" s="4" t="str">
        <f t="shared" si="13"/>
        <v/>
      </c>
      <c r="M72" s="4" t="str">
        <f t="shared" si="14"/>
        <v/>
      </c>
      <c r="N72" s="5"/>
      <c r="O72" s="4" t="str">
        <f t="shared" si="15"/>
        <v/>
      </c>
      <c r="P72" s="5"/>
      <c r="Q72" s="10" t="str">
        <f t="shared" si="16"/>
        <v/>
      </c>
      <c r="R72" s="5"/>
      <c r="S72" s="10" t="str">
        <f t="shared" si="17"/>
        <v/>
      </c>
      <c r="T72" s="5"/>
      <c r="U72" s="10" t="str">
        <f t="shared" si="18"/>
        <v/>
      </c>
      <c r="V72" s="4" t="str">
        <f t="shared" si="19"/>
        <v/>
      </c>
    </row>
    <row r="73" spans="1:22" x14ac:dyDescent="0.3">
      <c r="A73" s="5"/>
      <c r="B73" s="5"/>
      <c r="C73" s="5"/>
      <c r="D73" s="10" t="str">
        <f t="shared" si="10"/>
        <v/>
      </c>
      <c r="E73" s="5"/>
      <c r="F73" s="5"/>
      <c r="G73" s="5"/>
      <c r="H73" s="5"/>
      <c r="I73" s="10" t="str">
        <f t="shared" si="11"/>
        <v/>
      </c>
      <c r="J73" s="5"/>
      <c r="K73" s="10" t="str">
        <f t="shared" si="12"/>
        <v/>
      </c>
      <c r="L73" s="4" t="str">
        <f t="shared" si="13"/>
        <v/>
      </c>
      <c r="M73" s="4" t="str">
        <f t="shared" si="14"/>
        <v/>
      </c>
      <c r="N73" s="5"/>
      <c r="O73" s="4" t="str">
        <f t="shared" si="15"/>
        <v/>
      </c>
      <c r="P73" s="5"/>
      <c r="Q73" s="10" t="str">
        <f t="shared" si="16"/>
        <v/>
      </c>
      <c r="R73" s="5"/>
      <c r="S73" s="10" t="str">
        <f t="shared" si="17"/>
        <v/>
      </c>
      <c r="T73" s="5"/>
      <c r="U73" s="10" t="str">
        <f t="shared" si="18"/>
        <v/>
      </c>
      <c r="V73" s="4" t="str">
        <f t="shared" si="19"/>
        <v/>
      </c>
    </row>
    <row r="74" spans="1:22" x14ac:dyDescent="0.3">
      <c r="A74" s="5"/>
      <c r="B74" s="5"/>
      <c r="C74" s="5"/>
      <c r="D74" s="10" t="str">
        <f t="shared" si="10"/>
        <v/>
      </c>
      <c r="E74" s="5"/>
      <c r="F74" s="5"/>
      <c r="G74" s="5"/>
      <c r="H74" s="5"/>
      <c r="I74" s="10" t="str">
        <f t="shared" si="11"/>
        <v/>
      </c>
      <c r="J74" s="5"/>
      <c r="K74" s="10" t="str">
        <f t="shared" si="12"/>
        <v/>
      </c>
      <c r="L74" s="4" t="str">
        <f t="shared" si="13"/>
        <v/>
      </c>
      <c r="M74" s="4" t="str">
        <f t="shared" si="14"/>
        <v/>
      </c>
      <c r="N74" s="5"/>
      <c r="O74" s="4" t="str">
        <f t="shared" si="15"/>
        <v/>
      </c>
      <c r="P74" s="5"/>
      <c r="Q74" s="10" t="str">
        <f t="shared" si="16"/>
        <v/>
      </c>
      <c r="R74" s="5"/>
      <c r="S74" s="10" t="str">
        <f t="shared" si="17"/>
        <v/>
      </c>
      <c r="T74" s="5"/>
      <c r="U74" s="10" t="str">
        <f t="shared" si="18"/>
        <v/>
      </c>
      <c r="V74" s="4" t="str">
        <f t="shared" si="19"/>
        <v/>
      </c>
    </row>
    <row r="75" spans="1:22" x14ac:dyDescent="0.3">
      <c r="A75" s="5"/>
      <c r="B75" s="5"/>
      <c r="C75" s="5"/>
      <c r="D75" s="10" t="str">
        <f t="shared" si="10"/>
        <v/>
      </c>
      <c r="E75" s="5"/>
      <c r="F75" s="5"/>
      <c r="G75" s="5"/>
      <c r="H75" s="5"/>
      <c r="I75" s="10" t="str">
        <f t="shared" si="11"/>
        <v/>
      </c>
      <c r="J75" s="5"/>
      <c r="K75" s="10" t="str">
        <f t="shared" si="12"/>
        <v/>
      </c>
      <c r="L75" s="4" t="str">
        <f t="shared" si="13"/>
        <v/>
      </c>
      <c r="M75" s="4" t="str">
        <f t="shared" si="14"/>
        <v/>
      </c>
      <c r="N75" s="5"/>
      <c r="O75" s="4" t="str">
        <f t="shared" si="15"/>
        <v/>
      </c>
      <c r="P75" s="5"/>
      <c r="Q75" s="10" t="str">
        <f t="shared" si="16"/>
        <v/>
      </c>
      <c r="R75" s="5"/>
      <c r="S75" s="10" t="str">
        <f t="shared" si="17"/>
        <v/>
      </c>
      <c r="T75" s="5"/>
      <c r="U75" s="10" t="str">
        <f t="shared" si="18"/>
        <v/>
      </c>
      <c r="V75" s="4" t="str">
        <f t="shared" si="19"/>
        <v/>
      </c>
    </row>
    <row r="76" spans="1:22" x14ac:dyDescent="0.3">
      <c r="A76" s="5"/>
      <c r="B76" s="5"/>
      <c r="C76" s="5"/>
      <c r="D76" s="10" t="str">
        <f t="shared" si="10"/>
        <v/>
      </c>
      <c r="E76" s="5"/>
      <c r="F76" s="5"/>
      <c r="G76" s="5"/>
      <c r="H76" s="5"/>
      <c r="I76" s="10" t="str">
        <f t="shared" si="11"/>
        <v/>
      </c>
      <c r="J76" s="5"/>
      <c r="K76" s="10" t="str">
        <f t="shared" si="12"/>
        <v/>
      </c>
      <c r="L76" s="4" t="str">
        <f t="shared" si="13"/>
        <v/>
      </c>
      <c r="M76" s="4" t="str">
        <f t="shared" si="14"/>
        <v/>
      </c>
      <c r="N76" s="5"/>
      <c r="O76" s="4" t="str">
        <f t="shared" si="15"/>
        <v/>
      </c>
      <c r="P76" s="5"/>
      <c r="Q76" s="10" t="str">
        <f t="shared" si="16"/>
        <v/>
      </c>
      <c r="R76" s="5"/>
      <c r="S76" s="10" t="str">
        <f t="shared" si="17"/>
        <v/>
      </c>
      <c r="T76" s="5"/>
      <c r="U76" s="10" t="str">
        <f t="shared" si="18"/>
        <v/>
      </c>
      <c r="V76" s="4" t="str">
        <f t="shared" si="19"/>
        <v/>
      </c>
    </row>
    <row r="77" spans="1:22" x14ac:dyDescent="0.3">
      <c r="A77" s="5"/>
      <c r="B77" s="5"/>
      <c r="C77" s="5"/>
      <c r="D77" s="10" t="str">
        <f t="shared" si="10"/>
        <v/>
      </c>
      <c r="E77" s="5"/>
      <c r="F77" s="5"/>
      <c r="G77" s="5"/>
      <c r="H77" s="5"/>
      <c r="I77" s="10" t="str">
        <f t="shared" si="11"/>
        <v/>
      </c>
      <c r="J77" s="5"/>
      <c r="K77" s="10" t="str">
        <f t="shared" si="12"/>
        <v/>
      </c>
      <c r="L77" s="4" t="str">
        <f t="shared" si="13"/>
        <v/>
      </c>
      <c r="M77" s="4" t="str">
        <f t="shared" si="14"/>
        <v/>
      </c>
      <c r="N77" s="5"/>
      <c r="O77" s="4" t="str">
        <f t="shared" si="15"/>
        <v/>
      </c>
      <c r="P77" s="5"/>
      <c r="Q77" s="10" t="str">
        <f t="shared" si="16"/>
        <v/>
      </c>
      <c r="R77" s="5"/>
      <c r="S77" s="10" t="str">
        <f t="shared" si="17"/>
        <v/>
      </c>
      <c r="T77" s="5"/>
      <c r="U77" s="10" t="str">
        <f t="shared" si="18"/>
        <v/>
      </c>
      <c r="V77" s="4" t="str">
        <f t="shared" si="19"/>
        <v/>
      </c>
    </row>
    <row r="78" spans="1:22" x14ac:dyDescent="0.3">
      <c r="A78" s="5"/>
      <c r="B78" s="5"/>
      <c r="C78" s="5"/>
      <c r="D78" s="10" t="str">
        <f t="shared" si="10"/>
        <v/>
      </c>
      <c r="E78" s="5"/>
      <c r="F78" s="5"/>
      <c r="G78" s="5"/>
      <c r="H78" s="5"/>
      <c r="I78" s="10" t="str">
        <f t="shared" si="11"/>
        <v/>
      </c>
      <c r="J78" s="5"/>
      <c r="K78" s="10" t="str">
        <f t="shared" si="12"/>
        <v/>
      </c>
      <c r="L78" s="4" t="str">
        <f t="shared" si="13"/>
        <v/>
      </c>
      <c r="M78" s="4" t="str">
        <f t="shared" si="14"/>
        <v/>
      </c>
      <c r="N78" s="5"/>
      <c r="O78" s="4" t="str">
        <f t="shared" si="15"/>
        <v/>
      </c>
      <c r="P78" s="5"/>
      <c r="Q78" s="10" t="str">
        <f t="shared" si="16"/>
        <v/>
      </c>
      <c r="R78" s="5"/>
      <c r="S78" s="10" t="str">
        <f t="shared" si="17"/>
        <v/>
      </c>
      <c r="T78" s="5"/>
      <c r="U78" s="10" t="str">
        <f t="shared" si="18"/>
        <v/>
      </c>
      <c r="V78" s="4" t="str">
        <f t="shared" si="19"/>
        <v/>
      </c>
    </row>
    <row r="79" spans="1:22" x14ac:dyDescent="0.3">
      <c r="A79" s="5"/>
      <c r="B79" s="5"/>
      <c r="C79" s="5"/>
      <c r="D79" s="10" t="str">
        <f t="shared" si="10"/>
        <v/>
      </c>
      <c r="E79" s="5"/>
      <c r="F79" s="5"/>
      <c r="G79" s="5"/>
      <c r="H79" s="5"/>
      <c r="I79" s="10" t="str">
        <f t="shared" si="11"/>
        <v/>
      </c>
      <c r="J79" s="5"/>
      <c r="K79" s="10" t="str">
        <f t="shared" si="12"/>
        <v/>
      </c>
      <c r="L79" s="4" t="str">
        <f t="shared" si="13"/>
        <v/>
      </c>
      <c r="M79" s="4" t="str">
        <f t="shared" si="14"/>
        <v/>
      </c>
      <c r="N79" s="5"/>
      <c r="O79" s="4" t="str">
        <f t="shared" si="15"/>
        <v/>
      </c>
      <c r="P79" s="5"/>
      <c r="Q79" s="10" t="str">
        <f t="shared" si="16"/>
        <v/>
      </c>
      <c r="R79" s="5"/>
      <c r="S79" s="10" t="str">
        <f t="shared" si="17"/>
        <v/>
      </c>
      <c r="T79" s="5"/>
      <c r="U79" s="10" t="str">
        <f t="shared" si="18"/>
        <v/>
      </c>
      <c r="V79" s="4" t="str">
        <f t="shared" si="19"/>
        <v/>
      </c>
    </row>
    <row r="80" spans="1:22" x14ac:dyDescent="0.3">
      <c r="A80" s="5"/>
      <c r="B80" s="5"/>
      <c r="C80" s="5"/>
      <c r="D80" s="10" t="str">
        <f t="shared" si="10"/>
        <v/>
      </c>
      <c r="E80" s="5"/>
      <c r="F80" s="5"/>
      <c r="G80" s="5"/>
      <c r="H80" s="5"/>
      <c r="I80" s="10" t="str">
        <f t="shared" si="11"/>
        <v/>
      </c>
      <c r="J80" s="5"/>
      <c r="K80" s="10" t="str">
        <f t="shared" si="12"/>
        <v/>
      </c>
      <c r="L80" s="4" t="str">
        <f t="shared" si="13"/>
        <v/>
      </c>
      <c r="M80" s="4" t="str">
        <f t="shared" si="14"/>
        <v/>
      </c>
      <c r="N80" s="5"/>
      <c r="O80" s="4" t="str">
        <f t="shared" si="15"/>
        <v/>
      </c>
      <c r="P80" s="5"/>
      <c r="Q80" s="10" t="str">
        <f t="shared" si="16"/>
        <v/>
      </c>
      <c r="R80" s="5"/>
      <c r="S80" s="10" t="str">
        <f t="shared" si="17"/>
        <v/>
      </c>
      <c r="T80" s="5"/>
      <c r="U80" s="10" t="str">
        <f t="shared" si="18"/>
        <v/>
      </c>
      <c r="V80" s="4" t="str">
        <f t="shared" si="19"/>
        <v/>
      </c>
    </row>
    <row r="81" spans="1:22" x14ac:dyDescent="0.3">
      <c r="A81" s="5"/>
      <c r="B81" s="5"/>
      <c r="C81" s="5"/>
      <c r="D81" s="10" t="str">
        <f t="shared" si="10"/>
        <v/>
      </c>
      <c r="E81" s="5"/>
      <c r="F81" s="5"/>
      <c r="G81" s="5"/>
      <c r="H81" s="5"/>
      <c r="I81" s="10" t="str">
        <f t="shared" si="11"/>
        <v/>
      </c>
      <c r="J81" s="5"/>
      <c r="K81" s="10" t="str">
        <f t="shared" si="12"/>
        <v/>
      </c>
      <c r="L81" s="4" t="str">
        <f t="shared" si="13"/>
        <v/>
      </c>
      <c r="M81" s="4" t="str">
        <f t="shared" si="14"/>
        <v/>
      </c>
      <c r="N81" s="5"/>
      <c r="O81" s="4" t="str">
        <f t="shared" si="15"/>
        <v/>
      </c>
      <c r="P81" s="5"/>
      <c r="Q81" s="10" t="str">
        <f t="shared" si="16"/>
        <v/>
      </c>
      <c r="R81" s="5"/>
      <c r="S81" s="10" t="str">
        <f t="shared" si="17"/>
        <v/>
      </c>
      <c r="T81" s="5"/>
      <c r="U81" s="10" t="str">
        <f t="shared" si="18"/>
        <v/>
      </c>
      <c r="V81" s="4" t="str">
        <f t="shared" si="19"/>
        <v/>
      </c>
    </row>
    <row r="82" spans="1:22" x14ac:dyDescent="0.3">
      <c r="A82" s="5"/>
      <c r="B82" s="5"/>
      <c r="C82" s="5"/>
      <c r="D82" s="10" t="str">
        <f t="shared" si="10"/>
        <v/>
      </c>
      <c r="E82" s="5"/>
      <c r="F82" s="5"/>
      <c r="G82" s="5"/>
      <c r="H82" s="5"/>
      <c r="I82" s="10" t="str">
        <f t="shared" si="11"/>
        <v/>
      </c>
      <c r="J82" s="5"/>
      <c r="K82" s="10" t="str">
        <f t="shared" si="12"/>
        <v/>
      </c>
      <c r="L82" s="4" t="str">
        <f t="shared" si="13"/>
        <v/>
      </c>
      <c r="M82" s="4" t="str">
        <f t="shared" si="14"/>
        <v/>
      </c>
      <c r="N82" s="5"/>
      <c r="O82" s="4" t="str">
        <f t="shared" si="15"/>
        <v/>
      </c>
      <c r="P82" s="5"/>
      <c r="Q82" s="10" t="str">
        <f t="shared" si="16"/>
        <v/>
      </c>
      <c r="R82" s="5"/>
      <c r="S82" s="10" t="str">
        <f t="shared" si="17"/>
        <v/>
      </c>
      <c r="T82" s="5"/>
      <c r="U82" s="10" t="str">
        <f t="shared" si="18"/>
        <v/>
      </c>
      <c r="V82" s="4" t="str">
        <f t="shared" si="19"/>
        <v/>
      </c>
    </row>
    <row r="83" spans="1:22" x14ac:dyDescent="0.3">
      <c r="A83" s="5"/>
      <c r="B83" s="5"/>
      <c r="C83" s="5"/>
      <c r="D83" s="10" t="str">
        <f t="shared" si="10"/>
        <v/>
      </c>
      <c r="E83" s="5"/>
      <c r="F83" s="5"/>
      <c r="G83" s="5"/>
      <c r="H83" s="5"/>
      <c r="I83" s="10" t="str">
        <f t="shared" si="11"/>
        <v/>
      </c>
      <c r="J83" s="5"/>
      <c r="K83" s="10" t="str">
        <f t="shared" si="12"/>
        <v/>
      </c>
      <c r="L83" s="4" t="str">
        <f t="shared" si="13"/>
        <v/>
      </c>
      <c r="M83" s="4" t="str">
        <f t="shared" si="14"/>
        <v/>
      </c>
      <c r="N83" s="5"/>
      <c r="O83" s="4" t="str">
        <f t="shared" si="15"/>
        <v/>
      </c>
      <c r="P83" s="5"/>
      <c r="Q83" s="10" t="str">
        <f t="shared" si="16"/>
        <v/>
      </c>
      <c r="R83" s="5"/>
      <c r="S83" s="10" t="str">
        <f t="shared" si="17"/>
        <v/>
      </c>
      <c r="T83" s="5"/>
      <c r="U83" s="10" t="str">
        <f t="shared" si="18"/>
        <v/>
      </c>
      <c r="V83" s="4" t="str">
        <f t="shared" si="19"/>
        <v/>
      </c>
    </row>
    <row r="84" spans="1:22" x14ac:dyDescent="0.3">
      <c r="A84" s="5"/>
      <c r="B84" s="5"/>
      <c r="C84" s="5"/>
      <c r="D84" s="10" t="str">
        <f t="shared" si="10"/>
        <v/>
      </c>
      <c r="E84" s="5"/>
      <c r="F84" s="5"/>
      <c r="G84" s="5"/>
      <c r="H84" s="5"/>
      <c r="I84" s="10" t="str">
        <f t="shared" si="11"/>
        <v/>
      </c>
      <c r="J84" s="5"/>
      <c r="K84" s="10" t="str">
        <f t="shared" si="12"/>
        <v/>
      </c>
      <c r="L84" s="4" t="str">
        <f t="shared" si="13"/>
        <v/>
      </c>
      <c r="M84" s="4" t="str">
        <f t="shared" si="14"/>
        <v/>
      </c>
      <c r="N84" s="5"/>
      <c r="O84" s="4" t="str">
        <f t="shared" si="15"/>
        <v/>
      </c>
      <c r="P84" s="5"/>
      <c r="Q84" s="10" t="str">
        <f t="shared" si="16"/>
        <v/>
      </c>
      <c r="R84" s="5"/>
      <c r="S84" s="10" t="str">
        <f t="shared" si="17"/>
        <v/>
      </c>
      <c r="T84" s="5"/>
      <c r="U84" s="10" t="str">
        <f t="shared" si="18"/>
        <v/>
      </c>
      <c r="V84" s="4" t="str">
        <f t="shared" si="19"/>
        <v/>
      </c>
    </row>
    <row r="85" spans="1:22" x14ac:dyDescent="0.3">
      <c r="A85" s="5"/>
      <c r="B85" s="5"/>
      <c r="C85" s="5"/>
      <c r="D85" s="10" t="str">
        <f t="shared" si="10"/>
        <v/>
      </c>
      <c r="E85" s="5"/>
      <c r="F85" s="5"/>
      <c r="G85" s="5"/>
      <c r="H85" s="5"/>
      <c r="I85" s="10" t="str">
        <f t="shared" si="11"/>
        <v/>
      </c>
      <c r="J85" s="5"/>
      <c r="K85" s="10" t="str">
        <f t="shared" si="12"/>
        <v/>
      </c>
      <c r="L85" s="4" t="str">
        <f t="shared" si="13"/>
        <v/>
      </c>
      <c r="M85" s="4" t="str">
        <f t="shared" si="14"/>
        <v/>
      </c>
      <c r="N85" s="5"/>
      <c r="O85" s="4" t="str">
        <f t="shared" si="15"/>
        <v/>
      </c>
      <c r="P85" s="5"/>
      <c r="Q85" s="10" t="str">
        <f t="shared" si="16"/>
        <v/>
      </c>
      <c r="R85" s="5"/>
      <c r="S85" s="10" t="str">
        <f t="shared" si="17"/>
        <v/>
      </c>
      <c r="T85" s="5"/>
      <c r="U85" s="10" t="str">
        <f t="shared" si="18"/>
        <v/>
      </c>
      <c r="V85" s="4" t="str">
        <f t="shared" si="19"/>
        <v/>
      </c>
    </row>
    <row r="86" spans="1:22" x14ac:dyDescent="0.3">
      <c r="A86" s="5"/>
      <c r="B86" s="5"/>
      <c r="C86" s="5"/>
      <c r="D86" s="10" t="str">
        <f t="shared" si="10"/>
        <v/>
      </c>
      <c r="E86" s="5"/>
      <c r="F86" s="5"/>
      <c r="G86" s="5"/>
      <c r="H86" s="5"/>
      <c r="I86" s="10" t="str">
        <f t="shared" si="11"/>
        <v/>
      </c>
      <c r="J86" s="5"/>
      <c r="K86" s="10" t="str">
        <f t="shared" si="12"/>
        <v/>
      </c>
      <c r="L86" s="4" t="str">
        <f t="shared" si="13"/>
        <v/>
      </c>
      <c r="M86" s="4" t="str">
        <f t="shared" si="14"/>
        <v/>
      </c>
      <c r="N86" s="5"/>
      <c r="O86" s="4" t="str">
        <f t="shared" si="15"/>
        <v/>
      </c>
      <c r="P86" s="5"/>
      <c r="Q86" s="10" t="str">
        <f t="shared" si="16"/>
        <v/>
      </c>
      <c r="R86" s="5"/>
      <c r="S86" s="10" t="str">
        <f t="shared" si="17"/>
        <v/>
      </c>
      <c r="T86" s="5"/>
      <c r="U86" s="10" t="str">
        <f t="shared" si="18"/>
        <v/>
      </c>
      <c r="V86" s="4" t="str">
        <f t="shared" si="19"/>
        <v/>
      </c>
    </row>
    <row r="87" spans="1:22" x14ac:dyDescent="0.3">
      <c r="A87" s="5"/>
      <c r="B87" s="5"/>
      <c r="C87" s="5"/>
      <c r="D87" s="10" t="str">
        <f t="shared" si="10"/>
        <v/>
      </c>
      <c r="E87" s="5"/>
      <c r="F87" s="5"/>
      <c r="G87" s="5"/>
      <c r="H87" s="5"/>
      <c r="I87" s="10" t="str">
        <f t="shared" si="11"/>
        <v/>
      </c>
      <c r="J87" s="5"/>
      <c r="K87" s="10" t="str">
        <f t="shared" si="12"/>
        <v/>
      </c>
      <c r="L87" s="4" t="str">
        <f t="shared" si="13"/>
        <v/>
      </c>
      <c r="M87" s="4" t="str">
        <f t="shared" si="14"/>
        <v/>
      </c>
      <c r="N87" s="5"/>
      <c r="O87" s="4" t="str">
        <f t="shared" si="15"/>
        <v/>
      </c>
      <c r="P87" s="5"/>
      <c r="Q87" s="10" t="str">
        <f t="shared" si="16"/>
        <v/>
      </c>
      <c r="R87" s="5"/>
      <c r="S87" s="10" t="str">
        <f t="shared" si="17"/>
        <v/>
      </c>
      <c r="T87" s="5"/>
      <c r="U87" s="10" t="str">
        <f t="shared" si="18"/>
        <v/>
      </c>
      <c r="V87" s="4" t="str">
        <f t="shared" si="19"/>
        <v/>
      </c>
    </row>
    <row r="88" spans="1:22" x14ac:dyDescent="0.3">
      <c r="A88" s="5"/>
      <c r="B88" s="5"/>
      <c r="C88" s="5"/>
      <c r="D88" s="10" t="str">
        <f t="shared" si="10"/>
        <v/>
      </c>
      <c r="E88" s="5"/>
      <c r="F88" s="5"/>
      <c r="G88" s="5"/>
      <c r="H88" s="5"/>
      <c r="I88" s="10" t="str">
        <f t="shared" si="11"/>
        <v/>
      </c>
      <c r="J88" s="5"/>
      <c r="K88" s="10" t="str">
        <f t="shared" si="12"/>
        <v/>
      </c>
      <c r="L88" s="4" t="str">
        <f t="shared" si="13"/>
        <v/>
      </c>
      <c r="M88" s="4" t="str">
        <f t="shared" si="14"/>
        <v/>
      </c>
      <c r="N88" s="5"/>
      <c r="O88" s="4" t="str">
        <f t="shared" si="15"/>
        <v/>
      </c>
      <c r="P88" s="5"/>
      <c r="Q88" s="10" t="str">
        <f t="shared" si="16"/>
        <v/>
      </c>
      <c r="R88" s="5"/>
      <c r="S88" s="10" t="str">
        <f t="shared" si="17"/>
        <v/>
      </c>
      <c r="T88" s="5"/>
      <c r="U88" s="10" t="str">
        <f t="shared" si="18"/>
        <v/>
      </c>
      <c r="V88" s="4" t="str">
        <f t="shared" si="19"/>
        <v/>
      </c>
    </row>
    <row r="89" spans="1:22" x14ac:dyDescent="0.3">
      <c r="A89" s="5"/>
      <c r="B89" s="5"/>
      <c r="C89" s="5"/>
      <c r="D89" s="10" t="str">
        <f t="shared" si="10"/>
        <v/>
      </c>
      <c r="E89" s="5"/>
      <c r="F89" s="5"/>
      <c r="G89" s="5"/>
      <c r="H89" s="5"/>
      <c r="I89" s="10" t="str">
        <f t="shared" si="11"/>
        <v/>
      </c>
      <c r="J89" s="5"/>
      <c r="K89" s="10" t="str">
        <f t="shared" si="12"/>
        <v/>
      </c>
      <c r="L89" s="4" t="str">
        <f t="shared" si="13"/>
        <v/>
      </c>
      <c r="M89" s="4" t="str">
        <f t="shared" si="14"/>
        <v/>
      </c>
      <c r="N89" s="5"/>
      <c r="O89" s="4" t="str">
        <f t="shared" si="15"/>
        <v/>
      </c>
      <c r="P89" s="5"/>
      <c r="Q89" s="10" t="str">
        <f t="shared" si="16"/>
        <v/>
      </c>
      <c r="R89" s="5"/>
      <c r="S89" s="10" t="str">
        <f t="shared" si="17"/>
        <v/>
      </c>
      <c r="T89" s="5"/>
      <c r="U89" s="10" t="str">
        <f t="shared" si="18"/>
        <v/>
      </c>
      <c r="V89" s="4" t="str">
        <f t="shared" si="19"/>
        <v/>
      </c>
    </row>
    <row r="90" spans="1:22" x14ac:dyDescent="0.3">
      <c r="A90" s="5"/>
      <c r="B90" s="5"/>
      <c r="C90" s="5"/>
      <c r="D90" s="10" t="str">
        <f t="shared" si="10"/>
        <v/>
      </c>
      <c r="E90" s="5"/>
      <c r="F90" s="5"/>
      <c r="G90" s="5"/>
      <c r="H90" s="5"/>
      <c r="I90" s="10" t="str">
        <f t="shared" si="11"/>
        <v/>
      </c>
      <c r="J90" s="5"/>
      <c r="K90" s="10" t="str">
        <f t="shared" si="12"/>
        <v/>
      </c>
      <c r="L90" s="4" t="str">
        <f t="shared" si="13"/>
        <v/>
      </c>
      <c r="M90" s="4" t="str">
        <f t="shared" si="14"/>
        <v/>
      </c>
      <c r="N90" s="5"/>
      <c r="O90" s="4" t="str">
        <f t="shared" si="15"/>
        <v/>
      </c>
      <c r="P90" s="5"/>
      <c r="Q90" s="10" t="str">
        <f t="shared" si="16"/>
        <v/>
      </c>
      <c r="R90" s="5"/>
      <c r="S90" s="10" t="str">
        <f t="shared" si="17"/>
        <v/>
      </c>
      <c r="T90" s="5"/>
      <c r="U90" s="10" t="str">
        <f t="shared" si="18"/>
        <v/>
      </c>
      <c r="V90" s="4" t="str">
        <f t="shared" si="19"/>
        <v/>
      </c>
    </row>
    <row r="91" spans="1:22" x14ac:dyDescent="0.3">
      <c r="A91" s="5"/>
      <c r="B91" s="5"/>
      <c r="C91" s="5"/>
      <c r="D91" s="10" t="str">
        <f t="shared" si="10"/>
        <v/>
      </c>
      <c r="E91" s="5"/>
      <c r="F91" s="5"/>
      <c r="G91" s="5"/>
      <c r="H91" s="5"/>
      <c r="I91" s="10" t="str">
        <f t="shared" si="11"/>
        <v/>
      </c>
      <c r="J91" s="5"/>
      <c r="K91" s="10" t="str">
        <f t="shared" si="12"/>
        <v/>
      </c>
      <c r="L91" s="4" t="str">
        <f t="shared" si="13"/>
        <v/>
      </c>
      <c r="M91" s="4" t="str">
        <f t="shared" si="14"/>
        <v/>
      </c>
      <c r="N91" s="5"/>
      <c r="O91" s="4" t="str">
        <f t="shared" si="15"/>
        <v/>
      </c>
      <c r="P91" s="5"/>
      <c r="Q91" s="10" t="str">
        <f t="shared" si="16"/>
        <v/>
      </c>
      <c r="R91" s="5"/>
      <c r="S91" s="10" t="str">
        <f t="shared" si="17"/>
        <v/>
      </c>
      <c r="T91" s="5"/>
      <c r="U91" s="10" t="str">
        <f t="shared" si="18"/>
        <v/>
      </c>
      <c r="V91" s="4" t="str">
        <f t="shared" si="19"/>
        <v/>
      </c>
    </row>
    <row r="92" spans="1:22" x14ac:dyDescent="0.3">
      <c r="A92" s="5"/>
      <c r="B92" s="5"/>
      <c r="C92" s="5"/>
      <c r="D92" s="10" t="str">
        <f t="shared" si="10"/>
        <v/>
      </c>
      <c r="E92" s="5"/>
      <c r="F92" s="5"/>
      <c r="G92" s="5"/>
      <c r="H92" s="5"/>
      <c r="I92" s="10" t="str">
        <f t="shared" si="11"/>
        <v/>
      </c>
      <c r="J92" s="5"/>
      <c r="K92" s="10" t="str">
        <f t="shared" si="12"/>
        <v/>
      </c>
      <c r="L92" s="4" t="str">
        <f t="shared" si="13"/>
        <v/>
      </c>
      <c r="M92" s="4" t="str">
        <f t="shared" si="14"/>
        <v/>
      </c>
      <c r="N92" s="5"/>
      <c r="O92" s="4" t="str">
        <f t="shared" si="15"/>
        <v/>
      </c>
      <c r="P92" s="5"/>
      <c r="Q92" s="10" t="str">
        <f t="shared" si="16"/>
        <v/>
      </c>
      <c r="R92" s="5"/>
      <c r="S92" s="10" t="str">
        <f t="shared" si="17"/>
        <v/>
      </c>
      <c r="T92" s="5"/>
      <c r="U92" s="10" t="str">
        <f t="shared" si="18"/>
        <v/>
      </c>
      <c r="V92" s="4" t="str">
        <f t="shared" si="19"/>
        <v/>
      </c>
    </row>
    <row r="93" spans="1:22" x14ac:dyDescent="0.3">
      <c r="A93" s="5"/>
      <c r="B93" s="5"/>
      <c r="C93" s="5"/>
      <c r="D93" s="10" t="str">
        <f t="shared" si="10"/>
        <v/>
      </c>
      <c r="E93" s="5"/>
      <c r="F93" s="5"/>
      <c r="G93" s="5"/>
      <c r="H93" s="5"/>
      <c r="I93" s="10" t="str">
        <f t="shared" si="11"/>
        <v/>
      </c>
      <c r="J93" s="5"/>
      <c r="K93" s="10" t="str">
        <f t="shared" si="12"/>
        <v/>
      </c>
      <c r="L93" s="4" t="str">
        <f t="shared" si="13"/>
        <v/>
      </c>
      <c r="M93" s="4" t="str">
        <f t="shared" si="14"/>
        <v/>
      </c>
      <c r="N93" s="5"/>
      <c r="O93" s="4" t="str">
        <f t="shared" si="15"/>
        <v/>
      </c>
      <c r="P93" s="5"/>
      <c r="Q93" s="10" t="str">
        <f t="shared" si="16"/>
        <v/>
      </c>
      <c r="R93" s="5"/>
      <c r="S93" s="10" t="str">
        <f t="shared" si="17"/>
        <v/>
      </c>
      <c r="T93" s="5"/>
      <c r="U93" s="10" t="str">
        <f t="shared" si="18"/>
        <v/>
      </c>
      <c r="V93" s="4" t="str">
        <f t="shared" si="19"/>
        <v/>
      </c>
    </row>
    <row r="94" spans="1:22" x14ac:dyDescent="0.3">
      <c r="A94" s="5"/>
      <c r="B94" s="5"/>
      <c r="C94" s="5"/>
      <c r="D94" s="10" t="str">
        <f t="shared" si="10"/>
        <v/>
      </c>
      <c r="E94" s="5"/>
      <c r="F94" s="5"/>
      <c r="G94" s="5"/>
      <c r="H94" s="5"/>
      <c r="I94" s="10" t="str">
        <f t="shared" si="11"/>
        <v/>
      </c>
      <c r="J94" s="5"/>
      <c r="K94" s="10" t="str">
        <f t="shared" si="12"/>
        <v/>
      </c>
      <c r="L94" s="4" t="str">
        <f t="shared" si="13"/>
        <v/>
      </c>
      <c r="M94" s="4" t="str">
        <f t="shared" si="14"/>
        <v/>
      </c>
      <c r="N94" s="5"/>
      <c r="O94" s="4" t="str">
        <f t="shared" si="15"/>
        <v/>
      </c>
      <c r="P94" s="5"/>
      <c r="Q94" s="10" t="str">
        <f t="shared" si="16"/>
        <v/>
      </c>
      <c r="R94" s="5"/>
      <c r="S94" s="10" t="str">
        <f t="shared" si="17"/>
        <v/>
      </c>
      <c r="T94" s="5"/>
      <c r="U94" s="10" t="str">
        <f t="shared" si="18"/>
        <v/>
      </c>
      <c r="V94" s="4" t="str">
        <f t="shared" si="19"/>
        <v/>
      </c>
    </row>
    <row r="95" spans="1:22" x14ac:dyDescent="0.3">
      <c r="A95" s="5"/>
      <c r="B95" s="5"/>
      <c r="C95" s="5"/>
      <c r="D95" s="10" t="str">
        <f t="shared" si="10"/>
        <v/>
      </c>
      <c r="E95" s="5"/>
      <c r="F95" s="5"/>
      <c r="G95" s="5"/>
      <c r="H95" s="5"/>
      <c r="I95" s="10" t="str">
        <f t="shared" si="11"/>
        <v/>
      </c>
      <c r="J95" s="5"/>
      <c r="K95" s="10" t="str">
        <f t="shared" si="12"/>
        <v/>
      </c>
      <c r="L95" s="4" t="str">
        <f t="shared" si="13"/>
        <v/>
      </c>
      <c r="M95" s="4" t="str">
        <f t="shared" si="14"/>
        <v/>
      </c>
      <c r="N95" s="5"/>
      <c r="O95" s="4" t="str">
        <f t="shared" si="15"/>
        <v/>
      </c>
      <c r="P95" s="5"/>
      <c r="Q95" s="10" t="str">
        <f t="shared" si="16"/>
        <v/>
      </c>
      <c r="R95" s="5"/>
      <c r="S95" s="10" t="str">
        <f t="shared" si="17"/>
        <v/>
      </c>
      <c r="T95" s="5"/>
      <c r="U95" s="10" t="str">
        <f t="shared" si="18"/>
        <v/>
      </c>
      <c r="V95" s="4" t="str">
        <f t="shared" si="19"/>
        <v/>
      </c>
    </row>
    <row r="96" spans="1:22" x14ac:dyDescent="0.3">
      <c r="A96" s="5"/>
      <c r="B96" s="5"/>
      <c r="C96" s="5"/>
      <c r="D96" s="10" t="str">
        <f t="shared" si="10"/>
        <v/>
      </c>
      <c r="E96" s="5"/>
      <c r="F96" s="5"/>
      <c r="G96" s="5"/>
      <c r="H96" s="5"/>
      <c r="I96" s="10" t="str">
        <f t="shared" si="11"/>
        <v/>
      </c>
      <c r="J96" s="5"/>
      <c r="K96" s="10" t="str">
        <f t="shared" si="12"/>
        <v/>
      </c>
      <c r="L96" s="4" t="str">
        <f t="shared" si="13"/>
        <v/>
      </c>
      <c r="M96" s="4" t="str">
        <f t="shared" si="14"/>
        <v/>
      </c>
      <c r="N96" s="5"/>
      <c r="O96" s="4" t="str">
        <f t="shared" si="15"/>
        <v/>
      </c>
      <c r="P96" s="5"/>
      <c r="Q96" s="10" t="str">
        <f t="shared" si="16"/>
        <v/>
      </c>
      <c r="R96" s="5"/>
      <c r="S96" s="10" t="str">
        <f t="shared" si="17"/>
        <v/>
      </c>
      <c r="T96" s="5"/>
      <c r="U96" s="10" t="str">
        <f t="shared" si="18"/>
        <v/>
      </c>
      <c r="V96" s="4" t="str">
        <f t="shared" si="19"/>
        <v/>
      </c>
    </row>
    <row r="97" spans="1:22" x14ac:dyDescent="0.3">
      <c r="A97" s="5"/>
      <c r="B97" s="5"/>
      <c r="C97" s="5"/>
      <c r="D97" s="10" t="str">
        <f t="shared" si="10"/>
        <v/>
      </c>
      <c r="E97" s="5"/>
      <c r="F97" s="5"/>
      <c r="G97" s="5"/>
      <c r="H97" s="5"/>
      <c r="I97" s="10" t="str">
        <f t="shared" si="11"/>
        <v/>
      </c>
      <c r="J97" s="5"/>
      <c r="K97" s="10" t="str">
        <f t="shared" si="12"/>
        <v/>
      </c>
      <c r="L97" s="4" t="str">
        <f t="shared" si="13"/>
        <v/>
      </c>
      <c r="M97" s="4" t="str">
        <f t="shared" si="14"/>
        <v/>
      </c>
      <c r="N97" s="5"/>
      <c r="O97" s="4" t="str">
        <f t="shared" si="15"/>
        <v/>
      </c>
      <c r="P97" s="5"/>
      <c r="Q97" s="10" t="str">
        <f t="shared" si="16"/>
        <v/>
      </c>
      <c r="R97" s="5"/>
      <c r="S97" s="10" t="str">
        <f t="shared" si="17"/>
        <v/>
      </c>
      <c r="T97" s="5"/>
      <c r="U97" s="10" t="str">
        <f t="shared" si="18"/>
        <v/>
      </c>
      <c r="V97" s="4" t="str">
        <f t="shared" si="19"/>
        <v/>
      </c>
    </row>
    <row r="98" spans="1:22" x14ac:dyDescent="0.3">
      <c r="A98" s="5"/>
      <c r="B98" s="5"/>
      <c r="C98" s="5"/>
      <c r="D98" s="10" t="str">
        <f t="shared" si="10"/>
        <v/>
      </c>
      <c r="E98" s="5"/>
      <c r="F98" s="5"/>
      <c r="G98" s="5"/>
      <c r="H98" s="5"/>
      <c r="I98" s="10" t="str">
        <f t="shared" si="11"/>
        <v/>
      </c>
      <c r="J98" s="5"/>
      <c r="K98" s="10" t="str">
        <f t="shared" si="12"/>
        <v/>
      </c>
      <c r="L98" s="4" t="str">
        <f t="shared" si="13"/>
        <v/>
      </c>
      <c r="M98" s="4" t="str">
        <f t="shared" si="14"/>
        <v/>
      </c>
      <c r="N98" s="5"/>
      <c r="O98" s="4" t="str">
        <f t="shared" si="15"/>
        <v/>
      </c>
      <c r="P98" s="5"/>
      <c r="Q98" s="10" t="str">
        <f t="shared" si="16"/>
        <v/>
      </c>
      <c r="R98" s="5"/>
      <c r="S98" s="10" t="str">
        <f t="shared" si="17"/>
        <v/>
      </c>
      <c r="T98" s="5"/>
      <c r="U98" s="10" t="str">
        <f t="shared" si="18"/>
        <v/>
      </c>
      <c r="V98" s="4" t="str">
        <f t="shared" si="19"/>
        <v/>
      </c>
    </row>
    <row r="99" spans="1:22" x14ac:dyDescent="0.3">
      <c r="A99" s="5"/>
      <c r="B99" s="5"/>
      <c r="C99" s="5"/>
      <c r="D99" s="10" t="str">
        <f t="shared" si="10"/>
        <v/>
      </c>
      <c r="E99" s="5"/>
      <c r="F99" s="5"/>
      <c r="G99" s="5"/>
      <c r="H99" s="5"/>
      <c r="I99" s="10" t="str">
        <f t="shared" si="11"/>
        <v/>
      </c>
      <c r="J99" s="5"/>
      <c r="K99" s="10" t="str">
        <f t="shared" si="12"/>
        <v/>
      </c>
      <c r="L99" s="4" t="str">
        <f t="shared" si="13"/>
        <v/>
      </c>
      <c r="M99" s="4" t="str">
        <f t="shared" si="14"/>
        <v/>
      </c>
      <c r="N99" s="5"/>
      <c r="O99" s="4" t="str">
        <f t="shared" si="15"/>
        <v/>
      </c>
      <c r="P99" s="5"/>
      <c r="Q99" s="10" t="str">
        <f t="shared" si="16"/>
        <v/>
      </c>
      <c r="R99" s="5"/>
      <c r="S99" s="10" t="str">
        <f t="shared" si="17"/>
        <v/>
      </c>
      <c r="T99" s="5"/>
      <c r="U99" s="10" t="str">
        <f t="shared" si="18"/>
        <v/>
      </c>
      <c r="V99" s="4" t="str">
        <f t="shared" si="19"/>
        <v/>
      </c>
    </row>
    <row r="100" spans="1:22" x14ac:dyDescent="0.3">
      <c r="A100" s="5"/>
      <c r="B100" s="5"/>
      <c r="C100" s="5"/>
      <c r="D100" s="10" t="str">
        <f t="shared" si="10"/>
        <v/>
      </c>
      <c r="E100" s="5"/>
      <c r="F100" s="5"/>
      <c r="G100" s="5"/>
      <c r="H100" s="5"/>
      <c r="I100" s="10" t="str">
        <f t="shared" si="11"/>
        <v/>
      </c>
      <c r="J100" s="5"/>
      <c r="K100" s="10" t="str">
        <f t="shared" si="12"/>
        <v/>
      </c>
      <c r="L100" s="4" t="str">
        <f t="shared" si="13"/>
        <v/>
      </c>
      <c r="M100" s="4" t="str">
        <f t="shared" si="14"/>
        <v/>
      </c>
      <c r="N100" s="5"/>
      <c r="O100" s="4" t="str">
        <f t="shared" si="15"/>
        <v/>
      </c>
      <c r="P100" s="5"/>
      <c r="Q100" s="10" t="str">
        <f t="shared" si="16"/>
        <v/>
      </c>
      <c r="R100" s="5"/>
      <c r="S100" s="10" t="str">
        <f t="shared" si="17"/>
        <v/>
      </c>
      <c r="T100" s="5"/>
      <c r="U100" s="10" t="str">
        <f t="shared" si="18"/>
        <v/>
      </c>
      <c r="V100" s="4" t="str">
        <f t="shared" si="19"/>
        <v/>
      </c>
    </row>
    <row r="101" spans="1:22" x14ac:dyDescent="0.3">
      <c r="A101" s="5"/>
      <c r="B101" s="5"/>
      <c r="C101" s="5"/>
      <c r="D101" s="10" t="str">
        <f t="shared" si="10"/>
        <v/>
      </c>
      <c r="E101" s="5"/>
      <c r="F101" s="5"/>
      <c r="G101" s="5"/>
      <c r="H101" s="5"/>
      <c r="I101" s="10" t="str">
        <f t="shared" si="11"/>
        <v/>
      </c>
      <c r="J101" s="5"/>
      <c r="K101" s="10" t="str">
        <f t="shared" si="12"/>
        <v/>
      </c>
      <c r="L101" s="4" t="str">
        <f t="shared" si="13"/>
        <v/>
      </c>
      <c r="M101" s="4" t="str">
        <f t="shared" si="14"/>
        <v/>
      </c>
      <c r="N101" s="5"/>
      <c r="O101" s="4" t="str">
        <f t="shared" si="15"/>
        <v/>
      </c>
      <c r="P101" s="5"/>
      <c r="Q101" s="10" t="str">
        <f t="shared" si="16"/>
        <v/>
      </c>
      <c r="R101" s="5"/>
      <c r="S101" s="10" t="str">
        <f t="shared" si="17"/>
        <v/>
      </c>
      <c r="T101" s="5"/>
      <c r="U101" s="10" t="str">
        <f t="shared" si="18"/>
        <v/>
      </c>
      <c r="V101" s="4" t="str">
        <f t="shared" si="19"/>
        <v/>
      </c>
    </row>
    <row r="102" spans="1:22" x14ac:dyDescent="0.3">
      <c r="A102" s="5"/>
      <c r="B102" s="5"/>
      <c r="C102" s="5"/>
      <c r="D102" s="10" t="str">
        <f t="shared" si="10"/>
        <v/>
      </c>
      <c r="E102" s="5"/>
      <c r="F102" s="5"/>
      <c r="G102" s="5"/>
      <c r="H102" s="5"/>
      <c r="I102" s="10" t="str">
        <f t="shared" si="11"/>
        <v/>
      </c>
      <c r="J102" s="5"/>
      <c r="K102" s="10" t="str">
        <f t="shared" si="12"/>
        <v/>
      </c>
      <c r="L102" s="4" t="str">
        <f t="shared" si="13"/>
        <v/>
      </c>
      <c r="M102" s="4" t="str">
        <f t="shared" si="14"/>
        <v/>
      </c>
      <c r="N102" s="5"/>
      <c r="O102" s="4" t="str">
        <f t="shared" si="15"/>
        <v/>
      </c>
      <c r="P102" s="5"/>
      <c r="Q102" s="10" t="str">
        <f t="shared" si="16"/>
        <v/>
      </c>
      <c r="R102" s="5"/>
      <c r="S102" s="10" t="str">
        <f t="shared" si="17"/>
        <v/>
      </c>
      <c r="T102" s="5"/>
      <c r="U102" s="10" t="str">
        <f t="shared" si="18"/>
        <v/>
      </c>
      <c r="V102" s="4" t="str">
        <f t="shared" si="19"/>
        <v/>
      </c>
    </row>
    <row r="103" spans="1:22" x14ac:dyDescent="0.3">
      <c r="A103" s="5"/>
      <c r="B103" s="5"/>
      <c r="C103" s="5"/>
      <c r="D103" s="10" t="str">
        <f t="shared" si="10"/>
        <v/>
      </c>
      <c r="E103" s="5"/>
      <c r="F103" s="5"/>
      <c r="G103" s="5"/>
      <c r="H103" s="5"/>
      <c r="I103" s="10" t="str">
        <f t="shared" si="11"/>
        <v/>
      </c>
      <c r="J103" s="5"/>
      <c r="K103" s="10" t="str">
        <f t="shared" si="12"/>
        <v/>
      </c>
      <c r="L103" s="4" t="str">
        <f t="shared" si="13"/>
        <v/>
      </c>
      <c r="M103" s="4" t="str">
        <f t="shared" si="14"/>
        <v/>
      </c>
      <c r="N103" s="5"/>
      <c r="O103" s="4" t="str">
        <f t="shared" si="15"/>
        <v/>
      </c>
      <c r="P103" s="5"/>
      <c r="Q103" s="10" t="str">
        <f t="shared" si="16"/>
        <v/>
      </c>
      <c r="R103" s="5"/>
      <c r="S103" s="10" t="str">
        <f t="shared" si="17"/>
        <v/>
      </c>
      <c r="T103" s="5"/>
      <c r="U103" s="10" t="str">
        <f t="shared" si="18"/>
        <v/>
      </c>
      <c r="V103" s="4" t="str">
        <f t="shared" si="19"/>
        <v/>
      </c>
    </row>
    <row r="104" spans="1:22" x14ac:dyDescent="0.3">
      <c r="A104" s="5"/>
      <c r="B104" s="5"/>
      <c r="C104" s="5"/>
      <c r="D104" s="10" t="str">
        <f t="shared" si="10"/>
        <v/>
      </c>
      <c r="E104" s="5"/>
      <c r="F104" s="5"/>
      <c r="G104" s="5"/>
      <c r="H104" s="5"/>
      <c r="I104" s="10" t="str">
        <f t="shared" si="11"/>
        <v/>
      </c>
      <c r="J104" s="5"/>
      <c r="K104" s="10" t="str">
        <f t="shared" si="12"/>
        <v/>
      </c>
      <c r="L104" s="4" t="str">
        <f t="shared" si="13"/>
        <v/>
      </c>
      <c r="M104" s="4" t="str">
        <f t="shared" si="14"/>
        <v/>
      </c>
      <c r="N104" s="5"/>
      <c r="O104" s="4" t="str">
        <f t="shared" si="15"/>
        <v/>
      </c>
      <c r="P104" s="5"/>
      <c r="Q104" s="10" t="str">
        <f t="shared" si="16"/>
        <v/>
      </c>
      <c r="R104" s="5"/>
      <c r="S104" s="10" t="str">
        <f t="shared" si="17"/>
        <v/>
      </c>
      <c r="T104" s="5"/>
      <c r="U104" s="10" t="str">
        <f t="shared" si="18"/>
        <v/>
      </c>
      <c r="V104" s="4" t="str">
        <f t="shared" si="19"/>
        <v/>
      </c>
    </row>
    <row r="105" spans="1:22" x14ac:dyDescent="0.3">
      <c r="A105" s="5"/>
      <c r="B105" s="5"/>
      <c r="C105" s="5"/>
      <c r="D105" s="10" t="str">
        <f t="shared" si="10"/>
        <v/>
      </c>
      <c r="E105" s="5"/>
      <c r="F105" s="5"/>
      <c r="G105" s="5"/>
      <c r="H105" s="5"/>
      <c r="I105" s="10" t="str">
        <f t="shared" si="11"/>
        <v/>
      </c>
      <c r="J105" s="5"/>
      <c r="K105" s="10" t="str">
        <f t="shared" si="12"/>
        <v/>
      </c>
      <c r="L105" s="4" t="str">
        <f t="shared" si="13"/>
        <v/>
      </c>
      <c r="M105" s="4" t="str">
        <f t="shared" si="14"/>
        <v/>
      </c>
      <c r="N105" s="5"/>
      <c r="O105" s="4" t="str">
        <f t="shared" si="15"/>
        <v/>
      </c>
      <c r="P105" s="5"/>
      <c r="Q105" s="10" t="str">
        <f t="shared" si="16"/>
        <v/>
      </c>
      <c r="R105" s="5"/>
      <c r="S105" s="10" t="str">
        <f t="shared" si="17"/>
        <v/>
      </c>
      <c r="T105" s="5"/>
      <c r="U105" s="10" t="str">
        <f t="shared" si="18"/>
        <v/>
      </c>
      <c r="V105" s="4" t="str">
        <f t="shared" si="19"/>
        <v/>
      </c>
    </row>
    <row r="106" spans="1:22" x14ac:dyDescent="0.3">
      <c r="A106" s="5"/>
      <c r="B106" s="5"/>
      <c r="C106" s="5"/>
      <c r="D106" s="10" t="str">
        <f t="shared" si="10"/>
        <v/>
      </c>
      <c r="E106" s="5"/>
      <c r="F106" s="5"/>
      <c r="G106" s="5"/>
      <c r="H106" s="5"/>
      <c r="I106" s="10" t="str">
        <f t="shared" si="11"/>
        <v/>
      </c>
      <c r="J106" s="5"/>
      <c r="K106" s="10" t="str">
        <f t="shared" si="12"/>
        <v/>
      </c>
      <c r="L106" s="4" t="str">
        <f t="shared" si="13"/>
        <v/>
      </c>
      <c r="M106" s="4" t="str">
        <f t="shared" si="14"/>
        <v/>
      </c>
      <c r="N106" s="5"/>
      <c r="O106" s="4" t="str">
        <f t="shared" si="15"/>
        <v/>
      </c>
      <c r="P106" s="5"/>
      <c r="Q106" s="10" t="str">
        <f t="shared" si="16"/>
        <v/>
      </c>
      <c r="R106" s="5"/>
      <c r="S106" s="10" t="str">
        <f t="shared" si="17"/>
        <v/>
      </c>
      <c r="T106" s="5"/>
      <c r="U106" s="10" t="str">
        <f t="shared" si="18"/>
        <v/>
      </c>
      <c r="V106" s="4" t="str">
        <f t="shared" si="19"/>
        <v/>
      </c>
    </row>
    <row r="107" spans="1:22" x14ac:dyDescent="0.3">
      <c r="A107" s="5"/>
      <c r="B107" s="5"/>
      <c r="C107" s="5"/>
      <c r="D107" s="10" t="str">
        <f t="shared" si="10"/>
        <v/>
      </c>
      <c r="E107" s="5"/>
      <c r="F107" s="5"/>
      <c r="G107" s="5"/>
      <c r="H107" s="5"/>
      <c r="I107" s="10" t="str">
        <f t="shared" si="11"/>
        <v/>
      </c>
      <c r="J107" s="5"/>
      <c r="K107" s="10" t="str">
        <f t="shared" si="12"/>
        <v/>
      </c>
      <c r="L107" s="4" t="str">
        <f t="shared" si="13"/>
        <v/>
      </c>
      <c r="M107" s="4" t="str">
        <f t="shared" si="14"/>
        <v/>
      </c>
      <c r="N107" s="5"/>
      <c r="O107" s="4" t="str">
        <f t="shared" si="15"/>
        <v/>
      </c>
      <c r="P107" s="5"/>
      <c r="Q107" s="10" t="str">
        <f t="shared" si="16"/>
        <v/>
      </c>
      <c r="R107" s="5"/>
      <c r="S107" s="10" t="str">
        <f t="shared" si="17"/>
        <v/>
      </c>
      <c r="T107" s="5"/>
      <c r="U107" s="10" t="str">
        <f t="shared" si="18"/>
        <v/>
      </c>
      <c r="V107" s="4" t="str">
        <f t="shared" si="19"/>
        <v/>
      </c>
    </row>
    <row r="108" spans="1:22" x14ac:dyDescent="0.3">
      <c r="A108" s="5"/>
      <c r="B108" s="5"/>
      <c r="C108" s="5"/>
      <c r="D108" s="10" t="str">
        <f t="shared" si="10"/>
        <v/>
      </c>
      <c r="E108" s="5"/>
      <c r="F108" s="5"/>
      <c r="G108" s="5"/>
      <c r="H108" s="5"/>
      <c r="I108" s="10" t="str">
        <f t="shared" si="11"/>
        <v/>
      </c>
      <c r="J108" s="5"/>
      <c r="K108" s="10" t="str">
        <f t="shared" si="12"/>
        <v/>
      </c>
      <c r="L108" s="4" t="str">
        <f t="shared" si="13"/>
        <v/>
      </c>
      <c r="M108" s="4" t="str">
        <f t="shared" si="14"/>
        <v/>
      </c>
      <c r="N108" s="5"/>
      <c r="O108" s="4" t="str">
        <f t="shared" si="15"/>
        <v/>
      </c>
      <c r="P108" s="5"/>
      <c r="Q108" s="10" t="str">
        <f t="shared" si="16"/>
        <v/>
      </c>
      <c r="R108" s="5"/>
      <c r="S108" s="10" t="str">
        <f t="shared" si="17"/>
        <v/>
      </c>
      <c r="T108" s="5"/>
      <c r="U108" s="10" t="str">
        <f t="shared" si="18"/>
        <v/>
      </c>
      <c r="V108" s="4" t="str">
        <f t="shared" si="19"/>
        <v/>
      </c>
    </row>
    <row r="109" spans="1:22" x14ac:dyDescent="0.3">
      <c r="A109" s="5"/>
      <c r="B109" s="5"/>
      <c r="C109" s="5"/>
      <c r="D109" s="10" t="str">
        <f t="shared" si="10"/>
        <v/>
      </c>
      <c r="E109" s="5"/>
      <c r="F109" s="5"/>
      <c r="G109" s="5"/>
      <c r="H109" s="5"/>
      <c r="I109" s="10" t="str">
        <f t="shared" si="11"/>
        <v/>
      </c>
      <c r="J109" s="5"/>
      <c r="K109" s="10" t="str">
        <f t="shared" si="12"/>
        <v/>
      </c>
      <c r="L109" s="4" t="str">
        <f t="shared" si="13"/>
        <v/>
      </c>
      <c r="M109" s="4" t="str">
        <f t="shared" si="14"/>
        <v/>
      </c>
      <c r="N109" s="5"/>
      <c r="O109" s="4" t="str">
        <f t="shared" si="15"/>
        <v/>
      </c>
      <c r="P109" s="5"/>
      <c r="Q109" s="10" t="str">
        <f t="shared" si="16"/>
        <v/>
      </c>
      <c r="R109" s="5"/>
      <c r="S109" s="10" t="str">
        <f t="shared" si="17"/>
        <v/>
      </c>
      <c r="T109" s="5"/>
      <c r="U109" s="10" t="str">
        <f t="shared" si="18"/>
        <v/>
      </c>
      <c r="V109" s="4" t="str">
        <f t="shared" si="19"/>
        <v/>
      </c>
    </row>
    <row r="110" spans="1:22" x14ac:dyDescent="0.3">
      <c r="A110" s="5"/>
      <c r="B110" s="5"/>
      <c r="C110" s="5"/>
      <c r="D110" s="10" t="str">
        <f t="shared" si="10"/>
        <v/>
      </c>
      <c r="E110" s="5"/>
      <c r="F110" s="5"/>
      <c r="G110" s="5"/>
      <c r="H110" s="5"/>
      <c r="I110" s="10" t="str">
        <f t="shared" si="11"/>
        <v/>
      </c>
      <c r="J110" s="5"/>
      <c r="K110" s="10" t="str">
        <f t="shared" si="12"/>
        <v/>
      </c>
      <c r="L110" s="4" t="str">
        <f t="shared" si="13"/>
        <v/>
      </c>
      <c r="M110" s="4" t="str">
        <f t="shared" si="14"/>
        <v/>
      </c>
      <c r="N110" s="5"/>
      <c r="O110" s="4" t="str">
        <f t="shared" si="15"/>
        <v/>
      </c>
      <c r="P110" s="5"/>
      <c r="Q110" s="10" t="str">
        <f t="shared" si="16"/>
        <v/>
      </c>
      <c r="R110" s="5"/>
      <c r="S110" s="10" t="str">
        <f t="shared" si="17"/>
        <v/>
      </c>
      <c r="T110" s="5"/>
      <c r="U110" s="10" t="str">
        <f t="shared" si="18"/>
        <v/>
      </c>
      <c r="V110" s="4" t="str">
        <f t="shared" si="19"/>
        <v/>
      </c>
    </row>
    <row r="111" spans="1:22" x14ac:dyDescent="0.3">
      <c r="A111" s="5"/>
      <c r="B111" s="5"/>
      <c r="C111" s="5"/>
      <c r="D111" s="10" t="str">
        <f t="shared" si="10"/>
        <v/>
      </c>
      <c r="E111" s="5"/>
      <c r="F111" s="5"/>
      <c r="G111" s="5"/>
      <c r="H111" s="5"/>
      <c r="I111" s="10" t="str">
        <f t="shared" si="11"/>
        <v/>
      </c>
      <c r="J111" s="5"/>
      <c r="K111" s="10" t="str">
        <f t="shared" si="12"/>
        <v/>
      </c>
      <c r="L111" s="4" t="str">
        <f t="shared" si="13"/>
        <v/>
      </c>
      <c r="M111" s="4" t="str">
        <f t="shared" si="14"/>
        <v/>
      </c>
      <c r="N111" s="5"/>
      <c r="O111" s="4" t="str">
        <f t="shared" si="15"/>
        <v/>
      </c>
      <c r="P111" s="5"/>
      <c r="Q111" s="10" t="str">
        <f t="shared" si="16"/>
        <v/>
      </c>
      <c r="R111" s="5"/>
      <c r="S111" s="10" t="str">
        <f t="shared" si="17"/>
        <v/>
      </c>
      <c r="T111" s="5"/>
      <c r="U111" s="10" t="str">
        <f t="shared" si="18"/>
        <v/>
      </c>
      <c r="V111" s="4" t="str">
        <f t="shared" si="19"/>
        <v/>
      </c>
    </row>
    <row r="112" spans="1:22" x14ac:dyDescent="0.3">
      <c r="A112" s="5"/>
      <c r="B112" s="5"/>
      <c r="C112" s="5"/>
      <c r="D112" s="10" t="str">
        <f t="shared" si="10"/>
        <v/>
      </c>
      <c r="E112" s="5"/>
      <c r="F112" s="5"/>
      <c r="G112" s="5"/>
      <c r="H112" s="5"/>
      <c r="I112" s="10" t="str">
        <f t="shared" si="11"/>
        <v/>
      </c>
      <c r="J112" s="5"/>
      <c r="K112" s="10" t="str">
        <f t="shared" si="12"/>
        <v/>
      </c>
      <c r="L112" s="4" t="str">
        <f t="shared" si="13"/>
        <v/>
      </c>
      <c r="M112" s="4" t="str">
        <f t="shared" si="14"/>
        <v/>
      </c>
      <c r="N112" s="5"/>
      <c r="O112" s="4" t="str">
        <f t="shared" si="15"/>
        <v/>
      </c>
      <c r="P112" s="5"/>
      <c r="Q112" s="10" t="str">
        <f t="shared" si="16"/>
        <v/>
      </c>
      <c r="R112" s="5"/>
      <c r="S112" s="10" t="str">
        <f t="shared" si="17"/>
        <v/>
      </c>
      <c r="T112" s="5"/>
      <c r="U112" s="10" t="str">
        <f t="shared" si="18"/>
        <v/>
      </c>
      <c r="V112" s="4" t="str">
        <f t="shared" si="19"/>
        <v/>
      </c>
    </row>
    <row r="113" spans="1:22" x14ac:dyDescent="0.3">
      <c r="A113" s="5"/>
      <c r="B113" s="5"/>
      <c r="C113" s="5"/>
      <c r="D113" s="10" t="str">
        <f t="shared" si="10"/>
        <v/>
      </c>
      <c r="E113" s="5"/>
      <c r="F113" s="5"/>
      <c r="G113" s="5"/>
      <c r="H113" s="5"/>
      <c r="I113" s="10" t="str">
        <f t="shared" si="11"/>
        <v/>
      </c>
      <c r="J113" s="5"/>
      <c r="K113" s="10" t="str">
        <f t="shared" si="12"/>
        <v/>
      </c>
      <c r="L113" s="4" t="str">
        <f t="shared" si="13"/>
        <v/>
      </c>
      <c r="M113" s="4" t="str">
        <f t="shared" si="14"/>
        <v/>
      </c>
      <c r="N113" s="5"/>
      <c r="O113" s="4" t="str">
        <f t="shared" si="15"/>
        <v/>
      </c>
      <c r="P113" s="5"/>
      <c r="Q113" s="10" t="str">
        <f t="shared" si="16"/>
        <v/>
      </c>
      <c r="R113" s="5"/>
      <c r="S113" s="10" t="str">
        <f t="shared" si="17"/>
        <v/>
      </c>
      <c r="T113" s="5"/>
      <c r="U113" s="10" t="str">
        <f t="shared" si="18"/>
        <v/>
      </c>
      <c r="V113" s="4" t="str">
        <f t="shared" si="19"/>
        <v/>
      </c>
    </row>
    <row r="114" spans="1:22" x14ac:dyDescent="0.3">
      <c r="A114" s="5"/>
      <c r="B114" s="5"/>
      <c r="C114" s="5"/>
      <c r="D114" s="10" t="str">
        <f t="shared" si="10"/>
        <v/>
      </c>
      <c r="E114" s="5"/>
      <c r="F114" s="5"/>
      <c r="G114" s="5"/>
      <c r="H114" s="5"/>
      <c r="I114" s="10" t="str">
        <f t="shared" si="11"/>
        <v/>
      </c>
      <c r="J114" s="5"/>
      <c r="K114" s="10" t="str">
        <f t="shared" si="12"/>
        <v/>
      </c>
      <c r="L114" s="4" t="str">
        <f t="shared" si="13"/>
        <v/>
      </c>
      <c r="M114" s="4" t="str">
        <f t="shared" si="14"/>
        <v/>
      </c>
      <c r="N114" s="5"/>
      <c r="O114" s="4" t="str">
        <f t="shared" si="15"/>
        <v/>
      </c>
      <c r="P114" s="5"/>
      <c r="Q114" s="10" t="str">
        <f t="shared" si="16"/>
        <v/>
      </c>
      <c r="R114" s="5"/>
      <c r="S114" s="10" t="str">
        <f t="shared" si="17"/>
        <v/>
      </c>
      <c r="T114" s="5"/>
      <c r="U114" s="10" t="str">
        <f t="shared" si="18"/>
        <v/>
      </c>
      <c r="V114" s="4" t="str">
        <f t="shared" si="19"/>
        <v/>
      </c>
    </row>
    <row r="115" spans="1:22" x14ac:dyDescent="0.3">
      <c r="A115" s="5"/>
      <c r="B115" s="5"/>
      <c r="C115" s="5"/>
      <c r="D115" s="10" t="str">
        <f t="shared" si="10"/>
        <v/>
      </c>
      <c r="E115" s="5"/>
      <c r="F115" s="5"/>
      <c r="G115" s="5"/>
      <c r="H115" s="5"/>
      <c r="I115" s="10" t="str">
        <f t="shared" si="11"/>
        <v/>
      </c>
      <c r="J115" s="5"/>
      <c r="K115" s="10" t="str">
        <f t="shared" si="12"/>
        <v/>
      </c>
      <c r="L115" s="4" t="str">
        <f t="shared" si="13"/>
        <v/>
      </c>
      <c r="M115" s="4" t="str">
        <f t="shared" si="14"/>
        <v/>
      </c>
      <c r="N115" s="5"/>
      <c r="O115" s="4" t="str">
        <f t="shared" si="15"/>
        <v/>
      </c>
      <c r="P115" s="5"/>
      <c r="Q115" s="10" t="str">
        <f t="shared" si="16"/>
        <v/>
      </c>
      <c r="R115" s="5"/>
      <c r="S115" s="10" t="str">
        <f t="shared" si="17"/>
        <v/>
      </c>
      <c r="T115" s="5"/>
      <c r="U115" s="10" t="str">
        <f t="shared" si="18"/>
        <v/>
      </c>
      <c r="V115" s="4" t="str">
        <f t="shared" si="19"/>
        <v/>
      </c>
    </row>
    <row r="116" spans="1:22" x14ac:dyDescent="0.3">
      <c r="A116" s="5"/>
      <c r="B116" s="5"/>
      <c r="C116" s="5"/>
      <c r="D116" s="10" t="str">
        <f t="shared" si="10"/>
        <v/>
      </c>
      <c r="E116" s="5"/>
      <c r="F116" s="5"/>
      <c r="G116" s="5"/>
      <c r="H116" s="5"/>
      <c r="I116" s="10" t="str">
        <f t="shared" si="11"/>
        <v/>
      </c>
      <c r="J116" s="5"/>
      <c r="K116" s="10" t="str">
        <f t="shared" si="12"/>
        <v/>
      </c>
      <c r="L116" s="4" t="str">
        <f t="shared" si="13"/>
        <v/>
      </c>
      <c r="M116" s="4" t="str">
        <f t="shared" si="14"/>
        <v/>
      </c>
      <c r="N116" s="5"/>
      <c r="O116" s="4" t="str">
        <f t="shared" si="15"/>
        <v/>
      </c>
      <c r="P116" s="5"/>
      <c r="Q116" s="10" t="str">
        <f t="shared" si="16"/>
        <v/>
      </c>
      <c r="R116" s="5"/>
      <c r="S116" s="10" t="str">
        <f t="shared" si="17"/>
        <v/>
      </c>
      <c r="T116" s="5"/>
      <c r="U116" s="10" t="str">
        <f t="shared" si="18"/>
        <v/>
      </c>
      <c r="V116" s="4" t="str">
        <f t="shared" si="19"/>
        <v/>
      </c>
    </row>
    <row r="117" spans="1:22" x14ac:dyDescent="0.3">
      <c r="A117" s="5"/>
      <c r="B117" s="5"/>
      <c r="C117" s="5"/>
      <c r="D117" s="10" t="str">
        <f t="shared" si="10"/>
        <v/>
      </c>
      <c r="E117" s="5"/>
      <c r="F117" s="5"/>
      <c r="G117" s="5"/>
      <c r="H117" s="5"/>
      <c r="I117" s="10" t="str">
        <f t="shared" si="11"/>
        <v/>
      </c>
      <c r="J117" s="5"/>
      <c r="K117" s="10" t="str">
        <f t="shared" si="12"/>
        <v/>
      </c>
      <c r="L117" s="4" t="str">
        <f t="shared" si="13"/>
        <v/>
      </c>
      <c r="M117" s="4" t="str">
        <f t="shared" si="14"/>
        <v/>
      </c>
      <c r="N117" s="5"/>
      <c r="O117" s="4" t="str">
        <f t="shared" si="15"/>
        <v/>
      </c>
      <c r="P117" s="5"/>
      <c r="Q117" s="10" t="str">
        <f t="shared" si="16"/>
        <v/>
      </c>
      <c r="R117" s="5"/>
      <c r="S117" s="10" t="str">
        <f t="shared" si="17"/>
        <v/>
      </c>
      <c r="T117" s="5"/>
      <c r="U117" s="10" t="str">
        <f t="shared" si="18"/>
        <v/>
      </c>
      <c r="V117" s="4" t="str">
        <f t="shared" si="19"/>
        <v/>
      </c>
    </row>
    <row r="118" spans="1:22" x14ac:dyDescent="0.3">
      <c r="A118" s="5"/>
      <c r="B118" s="5"/>
      <c r="C118" s="5"/>
      <c r="D118" s="10" t="str">
        <f t="shared" si="10"/>
        <v/>
      </c>
      <c r="E118" s="5"/>
      <c r="F118" s="5"/>
      <c r="G118" s="5"/>
      <c r="H118" s="5"/>
      <c r="I118" s="10" t="str">
        <f t="shared" si="11"/>
        <v/>
      </c>
      <c r="J118" s="5"/>
      <c r="K118" s="10" t="str">
        <f t="shared" si="12"/>
        <v/>
      </c>
      <c r="L118" s="4" t="str">
        <f t="shared" si="13"/>
        <v/>
      </c>
      <c r="M118" s="4" t="str">
        <f t="shared" si="14"/>
        <v/>
      </c>
      <c r="N118" s="5"/>
      <c r="O118" s="4" t="str">
        <f t="shared" si="15"/>
        <v/>
      </c>
      <c r="P118" s="5"/>
      <c r="Q118" s="10" t="str">
        <f t="shared" si="16"/>
        <v/>
      </c>
      <c r="R118" s="5"/>
      <c r="S118" s="10" t="str">
        <f t="shared" si="17"/>
        <v/>
      </c>
      <c r="T118" s="5"/>
      <c r="U118" s="10" t="str">
        <f t="shared" si="18"/>
        <v/>
      </c>
      <c r="V118" s="4" t="str">
        <f t="shared" si="19"/>
        <v/>
      </c>
    </row>
    <row r="119" spans="1:22" x14ac:dyDescent="0.3">
      <c r="A119" s="5"/>
      <c r="B119" s="5"/>
      <c r="C119" s="5"/>
      <c r="D119" s="10" t="str">
        <f t="shared" si="10"/>
        <v/>
      </c>
      <c r="E119" s="5"/>
      <c r="F119" s="5"/>
      <c r="G119" s="5"/>
      <c r="H119" s="5"/>
      <c r="I119" s="10" t="str">
        <f t="shared" si="11"/>
        <v/>
      </c>
      <c r="J119" s="5"/>
      <c r="K119" s="10" t="str">
        <f t="shared" si="12"/>
        <v/>
      </c>
      <c r="L119" s="4" t="str">
        <f t="shared" si="13"/>
        <v/>
      </c>
      <c r="M119" s="4" t="str">
        <f t="shared" si="14"/>
        <v/>
      </c>
      <c r="N119" s="5"/>
      <c r="O119" s="4" t="str">
        <f t="shared" si="15"/>
        <v/>
      </c>
      <c r="P119" s="5"/>
      <c r="Q119" s="10" t="str">
        <f t="shared" si="16"/>
        <v/>
      </c>
      <c r="R119" s="5"/>
      <c r="S119" s="10" t="str">
        <f t="shared" si="17"/>
        <v/>
      </c>
      <c r="T119" s="5"/>
      <c r="U119" s="10" t="str">
        <f t="shared" si="18"/>
        <v/>
      </c>
      <c r="V119" s="4" t="str">
        <f t="shared" si="19"/>
        <v/>
      </c>
    </row>
    <row r="120" spans="1:22" x14ac:dyDescent="0.3">
      <c r="A120" s="5"/>
      <c r="B120" s="5"/>
      <c r="C120" s="5"/>
      <c r="D120" s="10" t="str">
        <f t="shared" si="10"/>
        <v/>
      </c>
      <c r="E120" s="5"/>
      <c r="F120" s="5"/>
      <c r="G120" s="5"/>
      <c r="H120" s="5"/>
      <c r="I120" s="10" t="str">
        <f t="shared" si="11"/>
        <v/>
      </c>
      <c r="J120" s="5"/>
      <c r="K120" s="10" t="str">
        <f t="shared" si="12"/>
        <v/>
      </c>
      <c r="L120" s="4" t="str">
        <f t="shared" si="13"/>
        <v/>
      </c>
      <c r="M120" s="4" t="str">
        <f t="shared" si="14"/>
        <v/>
      </c>
      <c r="N120" s="5"/>
      <c r="O120" s="4" t="str">
        <f t="shared" si="15"/>
        <v/>
      </c>
      <c r="P120" s="5"/>
      <c r="Q120" s="10" t="str">
        <f t="shared" si="16"/>
        <v/>
      </c>
      <c r="R120" s="5"/>
      <c r="S120" s="10" t="str">
        <f t="shared" si="17"/>
        <v/>
      </c>
      <c r="T120" s="5"/>
      <c r="U120" s="10" t="str">
        <f t="shared" si="18"/>
        <v/>
      </c>
      <c r="V120" s="4" t="str">
        <f t="shared" si="19"/>
        <v/>
      </c>
    </row>
    <row r="121" spans="1:22" x14ac:dyDescent="0.3">
      <c r="A121" s="5"/>
      <c r="B121" s="5"/>
      <c r="C121" s="5"/>
      <c r="D121" s="10" t="str">
        <f t="shared" si="10"/>
        <v/>
      </c>
      <c r="E121" s="5"/>
      <c r="F121" s="5"/>
      <c r="G121" s="5"/>
      <c r="H121" s="5"/>
      <c r="I121" s="10" t="str">
        <f t="shared" si="11"/>
        <v/>
      </c>
      <c r="J121" s="5"/>
      <c r="K121" s="10" t="str">
        <f t="shared" si="12"/>
        <v/>
      </c>
      <c r="L121" s="4" t="str">
        <f t="shared" si="13"/>
        <v/>
      </c>
      <c r="M121" s="4" t="str">
        <f t="shared" si="14"/>
        <v/>
      </c>
      <c r="N121" s="5"/>
      <c r="O121" s="4" t="str">
        <f t="shared" si="15"/>
        <v/>
      </c>
      <c r="P121" s="5"/>
      <c r="Q121" s="10" t="str">
        <f t="shared" si="16"/>
        <v/>
      </c>
      <c r="R121" s="5"/>
      <c r="S121" s="10" t="str">
        <f t="shared" si="17"/>
        <v/>
      </c>
      <c r="T121" s="5"/>
      <c r="U121" s="10" t="str">
        <f t="shared" si="18"/>
        <v/>
      </c>
      <c r="V121" s="4" t="str">
        <f t="shared" si="19"/>
        <v/>
      </c>
    </row>
    <row r="122" spans="1:22" x14ac:dyDescent="0.3">
      <c r="A122" s="5"/>
      <c r="B122" s="5"/>
      <c r="C122" s="5"/>
      <c r="D122" s="10" t="str">
        <f t="shared" si="10"/>
        <v/>
      </c>
      <c r="E122" s="5"/>
      <c r="F122" s="5"/>
      <c r="G122" s="5"/>
      <c r="H122" s="5"/>
      <c r="I122" s="10" t="str">
        <f t="shared" si="11"/>
        <v/>
      </c>
      <c r="J122" s="5"/>
      <c r="K122" s="10" t="str">
        <f t="shared" si="12"/>
        <v/>
      </c>
      <c r="L122" s="4" t="str">
        <f t="shared" si="13"/>
        <v/>
      </c>
      <c r="M122" s="4" t="str">
        <f t="shared" si="14"/>
        <v/>
      </c>
      <c r="N122" s="5"/>
      <c r="O122" s="4" t="str">
        <f t="shared" si="15"/>
        <v/>
      </c>
      <c r="P122" s="5"/>
      <c r="Q122" s="10" t="str">
        <f t="shared" si="16"/>
        <v/>
      </c>
      <c r="R122" s="5"/>
      <c r="S122" s="10" t="str">
        <f t="shared" si="17"/>
        <v/>
      </c>
      <c r="T122" s="5"/>
      <c r="U122" s="10" t="str">
        <f t="shared" si="18"/>
        <v/>
      </c>
      <c r="V122" s="4" t="str">
        <f t="shared" si="19"/>
        <v/>
      </c>
    </row>
    <row r="123" spans="1:22" x14ac:dyDescent="0.3">
      <c r="A123" s="5"/>
      <c r="B123" s="5"/>
      <c r="C123" s="5"/>
      <c r="D123" s="10" t="str">
        <f t="shared" si="10"/>
        <v/>
      </c>
      <c r="E123" s="5"/>
      <c r="F123" s="5"/>
      <c r="G123" s="5"/>
      <c r="H123" s="5"/>
      <c r="I123" s="10" t="str">
        <f t="shared" si="11"/>
        <v/>
      </c>
      <c r="J123" s="5"/>
      <c r="K123" s="10" t="str">
        <f t="shared" si="12"/>
        <v/>
      </c>
      <c r="L123" s="4" t="str">
        <f t="shared" si="13"/>
        <v/>
      </c>
      <c r="M123" s="4" t="str">
        <f t="shared" si="14"/>
        <v/>
      </c>
      <c r="N123" s="5"/>
      <c r="O123" s="4" t="str">
        <f t="shared" si="15"/>
        <v/>
      </c>
      <c r="P123" s="5"/>
      <c r="Q123" s="10" t="str">
        <f t="shared" si="16"/>
        <v/>
      </c>
      <c r="R123" s="5"/>
      <c r="S123" s="10" t="str">
        <f t="shared" si="17"/>
        <v/>
      </c>
      <c r="T123" s="5"/>
      <c r="U123" s="10" t="str">
        <f t="shared" si="18"/>
        <v/>
      </c>
      <c r="V123" s="4" t="str">
        <f t="shared" si="19"/>
        <v/>
      </c>
    </row>
    <row r="124" spans="1:22" x14ac:dyDescent="0.3">
      <c r="A124" s="5"/>
      <c r="B124" s="5"/>
      <c r="C124" s="5"/>
      <c r="D124" s="10" t="str">
        <f t="shared" si="10"/>
        <v/>
      </c>
      <c r="E124" s="5"/>
      <c r="F124" s="5"/>
      <c r="G124" s="5"/>
      <c r="H124" s="5"/>
      <c r="I124" s="10" t="str">
        <f t="shared" si="11"/>
        <v/>
      </c>
      <c r="J124" s="5"/>
      <c r="K124" s="10" t="str">
        <f t="shared" si="12"/>
        <v/>
      </c>
      <c r="L124" s="4" t="str">
        <f t="shared" si="13"/>
        <v/>
      </c>
      <c r="M124" s="4" t="str">
        <f t="shared" si="14"/>
        <v/>
      </c>
      <c r="N124" s="5"/>
      <c r="O124" s="4" t="str">
        <f t="shared" si="15"/>
        <v/>
      </c>
      <c r="P124" s="5"/>
      <c r="Q124" s="10" t="str">
        <f t="shared" si="16"/>
        <v/>
      </c>
      <c r="R124" s="5"/>
      <c r="S124" s="10" t="str">
        <f t="shared" si="17"/>
        <v/>
      </c>
      <c r="T124" s="5"/>
      <c r="U124" s="10" t="str">
        <f t="shared" si="18"/>
        <v/>
      </c>
      <c r="V124" s="4" t="str">
        <f t="shared" si="19"/>
        <v/>
      </c>
    </row>
    <row r="125" spans="1:22" x14ac:dyDescent="0.3">
      <c r="A125" s="5"/>
      <c r="B125" s="5"/>
      <c r="C125" s="5"/>
      <c r="D125" s="10" t="str">
        <f t="shared" si="10"/>
        <v/>
      </c>
      <c r="E125" s="5"/>
      <c r="F125" s="5"/>
      <c r="G125" s="5"/>
      <c r="H125" s="5"/>
      <c r="I125" s="10" t="str">
        <f t="shared" si="11"/>
        <v/>
      </c>
      <c r="J125" s="5"/>
      <c r="K125" s="10" t="str">
        <f t="shared" si="12"/>
        <v/>
      </c>
      <c r="L125" s="4" t="str">
        <f t="shared" si="13"/>
        <v/>
      </c>
      <c r="M125" s="4" t="str">
        <f t="shared" si="14"/>
        <v/>
      </c>
      <c r="N125" s="5"/>
      <c r="O125" s="4" t="str">
        <f t="shared" si="15"/>
        <v/>
      </c>
      <c r="P125" s="5"/>
      <c r="Q125" s="10" t="str">
        <f t="shared" si="16"/>
        <v/>
      </c>
      <c r="R125" s="5"/>
      <c r="S125" s="10" t="str">
        <f t="shared" si="17"/>
        <v/>
      </c>
      <c r="T125" s="5"/>
      <c r="U125" s="10" t="str">
        <f t="shared" si="18"/>
        <v/>
      </c>
      <c r="V125" s="4" t="str">
        <f t="shared" si="19"/>
        <v/>
      </c>
    </row>
    <row r="126" spans="1:22" x14ac:dyDescent="0.3">
      <c r="A126" s="5"/>
      <c r="B126" s="5"/>
      <c r="C126" s="5"/>
      <c r="D126" s="10" t="str">
        <f t="shared" si="10"/>
        <v/>
      </c>
      <c r="E126" s="5"/>
      <c r="F126" s="5"/>
      <c r="G126" s="5"/>
      <c r="H126" s="5"/>
      <c r="I126" s="10" t="str">
        <f t="shared" si="11"/>
        <v/>
      </c>
      <c r="J126" s="5"/>
      <c r="K126" s="10" t="str">
        <f t="shared" si="12"/>
        <v/>
      </c>
      <c r="L126" s="4" t="str">
        <f t="shared" si="13"/>
        <v/>
      </c>
      <c r="M126" s="4" t="str">
        <f t="shared" si="14"/>
        <v/>
      </c>
      <c r="N126" s="5"/>
      <c r="O126" s="4" t="str">
        <f t="shared" si="15"/>
        <v/>
      </c>
      <c r="P126" s="5"/>
      <c r="Q126" s="10" t="str">
        <f t="shared" si="16"/>
        <v/>
      </c>
      <c r="R126" s="5"/>
      <c r="S126" s="10" t="str">
        <f t="shared" si="17"/>
        <v/>
      </c>
      <c r="T126" s="5"/>
      <c r="U126" s="10" t="str">
        <f t="shared" si="18"/>
        <v/>
      </c>
      <c r="V126" s="4" t="str">
        <f t="shared" si="19"/>
        <v/>
      </c>
    </row>
    <row r="127" spans="1:22" x14ac:dyDescent="0.3">
      <c r="A127" s="5"/>
      <c r="B127" s="5"/>
      <c r="C127" s="5"/>
      <c r="D127" s="10" t="str">
        <f t="shared" si="10"/>
        <v/>
      </c>
      <c r="E127" s="5"/>
      <c r="F127" s="5"/>
      <c r="G127" s="5"/>
      <c r="H127" s="5"/>
      <c r="I127" s="10" t="str">
        <f t="shared" si="11"/>
        <v/>
      </c>
      <c r="J127" s="5"/>
      <c r="K127" s="10" t="str">
        <f t="shared" si="12"/>
        <v/>
      </c>
      <c r="L127" s="4" t="str">
        <f t="shared" si="13"/>
        <v/>
      </c>
      <c r="M127" s="4" t="str">
        <f t="shared" si="14"/>
        <v/>
      </c>
      <c r="N127" s="5"/>
      <c r="O127" s="4" t="str">
        <f t="shared" si="15"/>
        <v/>
      </c>
      <c r="P127" s="5"/>
      <c r="Q127" s="10" t="str">
        <f t="shared" si="16"/>
        <v/>
      </c>
      <c r="R127" s="5"/>
      <c r="S127" s="10" t="str">
        <f t="shared" si="17"/>
        <v/>
      </c>
      <c r="T127" s="5"/>
      <c r="U127" s="10" t="str">
        <f t="shared" si="18"/>
        <v/>
      </c>
      <c r="V127" s="4" t="str">
        <f t="shared" si="19"/>
        <v/>
      </c>
    </row>
    <row r="128" spans="1:22" x14ac:dyDescent="0.3">
      <c r="A128" s="5"/>
      <c r="B128" s="5"/>
      <c r="C128" s="5"/>
      <c r="D128" s="10" t="str">
        <f t="shared" si="10"/>
        <v/>
      </c>
      <c r="E128" s="5"/>
      <c r="F128" s="5"/>
      <c r="G128" s="5"/>
      <c r="H128" s="5"/>
      <c r="I128" s="10" t="str">
        <f t="shared" si="11"/>
        <v/>
      </c>
      <c r="J128" s="5"/>
      <c r="K128" s="10" t="str">
        <f t="shared" si="12"/>
        <v/>
      </c>
      <c r="L128" s="4" t="str">
        <f t="shared" si="13"/>
        <v/>
      </c>
      <c r="M128" s="4" t="str">
        <f t="shared" si="14"/>
        <v/>
      </c>
      <c r="N128" s="5"/>
      <c r="O128" s="4" t="str">
        <f t="shared" si="15"/>
        <v/>
      </c>
      <c r="P128" s="5"/>
      <c r="Q128" s="10" t="str">
        <f t="shared" si="16"/>
        <v/>
      </c>
      <c r="R128" s="5"/>
      <c r="S128" s="10" t="str">
        <f t="shared" si="17"/>
        <v/>
      </c>
      <c r="T128" s="5"/>
      <c r="U128" s="10" t="str">
        <f t="shared" si="18"/>
        <v/>
      </c>
      <c r="V128" s="4" t="str">
        <f t="shared" si="19"/>
        <v/>
      </c>
    </row>
    <row r="129" spans="1:22" x14ac:dyDescent="0.3">
      <c r="A129" s="5"/>
      <c r="B129" s="5"/>
      <c r="C129" s="5"/>
      <c r="D129" s="10" t="str">
        <f t="shared" si="10"/>
        <v/>
      </c>
      <c r="E129" s="5"/>
      <c r="F129" s="5"/>
      <c r="G129" s="5"/>
      <c r="H129" s="5"/>
      <c r="I129" s="10" t="str">
        <f t="shared" si="11"/>
        <v/>
      </c>
      <c r="J129" s="5"/>
      <c r="K129" s="10" t="str">
        <f t="shared" si="12"/>
        <v/>
      </c>
      <c r="L129" s="4" t="str">
        <f t="shared" si="13"/>
        <v/>
      </c>
      <c r="M129" s="4" t="str">
        <f t="shared" si="14"/>
        <v/>
      </c>
      <c r="N129" s="5"/>
      <c r="O129" s="4" t="str">
        <f t="shared" si="15"/>
        <v/>
      </c>
      <c r="P129" s="5"/>
      <c r="Q129" s="10" t="str">
        <f t="shared" si="16"/>
        <v/>
      </c>
      <c r="R129" s="5"/>
      <c r="S129" s="10" t="str">
        <f t="shared" si="17"/>
        <v/>
      </c>
      <c r="T129" s="5"/>
      <c r="U129" s="10" t="str">
        <f t="shared" si="18"/>
        <v/>
      </c>
      <c r="V129" s="4" t="str">
        <f t="shared" si="19"/>
        <v/>
      </c>
    </row>
    <row r="130" spans="1:22" x14ac:dyDescent="0.3">
      <c r="A130" s="5"/>
      <c r="B130" s="5"/>
      <c r="C130" s="5"/>
      <c r="D130" s="10" t="str">
        <f t="shared" si="10"/>
        <v/>
      </c>
      <c r="E130" s="5"/>
      <c r="F130" s="5"/>
      <c r="G130" s="5"/>
      <c r="H130" s="5"/>
      <c r="I130" s="10" t="str">
        <f t="shared" si="11"/>
        <v/>
      </c>
      <c r="J130" s="5"/>
      <c r="K130" s="10" t="str">
        <f t="shared" si="12"/>
        <v/>
      </c>
      <c r="L130" s="4" t="str">
        <f t="shared" si="13"/>
        <v/>
      </c>
      <c r="M130" s="4" t="str">
        <f t="shared" si="14"/>
        <v/>
      </c>
      <c r="N130" s="5"/>
      <c r="O130" s="4" t="str">
        <f t="shared" si="15"/>
        <v/>
      </c>
      <c r="P130" s="5"/>
      <c r="Q130" s="10" t="str">
        <f t="shared" si="16"/>
        <v/>
      </c>
      <c r="R130" s="5"/>
      <c r="S130" s="10" t="str">
        <f t="shared" si="17"/>
        <v/>
      </c>
      <c r="T130" s="5"/>
      <c r="U130" s="10" t="str">
        <f t="shared" si="18"/>
        <v/>
      </c>
      <c r="V130" s="4" t="str">
        <f t="shared" si="19"/>
        <v/>
      </c>
    </row>
    <row r="131" spans="1:22" x14ac:dyDescent="0.3">
      <c r="A131" s="5"/>
      <c r="B131" s="5"/>
      <c r="C131" s="5"/>
      <c r="D131" s="10" t="str">
        <f t="shared" si="10"/>
        <v/>
      </c>
      <c r="E131" s="5"/>
      <c r="F131" s="5"/>
      <c r="G131" s="5"/>
      <c r="H131" s="5"/>
      <c r="I131" s="10" t="str">
        <f t="shared" si="11"/>
        <v/>
      </c>
      <c r="J131" s="5"/>
      <c r="K131" s="10" t="str">
        <f t="shared" si="12"/>
        <v/>
      </c>
      <c r="L131" s="4" t="str">
        <f t="shared" si="13"/>
        <v/>
      </c>
      <c r="M131" s="4" t="str">
        <f t="shared" si="14"/>
        <v/>
      </c>
      <c r="N131" s="5"/>
      <c r="O131" s="4" t="str">
        <f t="shared" si="15"/>
        <v/>
      </c>
      <c r="P131" s="5"/>
      <c r="Q131" s="10" t="str">
        <f t="shared" si="16"/>
        <v/>
      </c>
      <c r="R131" s="5"/>
      <c r="S131" s="10" t="str">
        <f t="shared" si="17"/>
        <v/>
      </c>
      <c r="T131" s="5"/>
      <c r="U131" s="10" t="str">
        <f t="shared" si="18"/>
        <v/>
      </c>
      <c r="V131" s="4" t="str">
        <f t="shared" si="19"/>
        <v/>
      </c>
    </row>
    <row r="132" spans="1:22" x14ac:dyDescent="0.3">
      <c r="A132" s="5"/>
      <c r="B132" s="5"/>
      <c r="C132" s="5"/>
      <c r="D132" s="10" t="str">
        <f t="shared" ref="D132:D195" si="20">IF(A132="","",IFERROR(INDEX(LIST_STMT_CODE,MATCH(C132,LIST_STMT_EN,0)),IFERROR(INDEX(LIST_STMT_CODE,MATCH(C132,LIST_STMT_HU,0)),"")))</f>
        <v/>
      </c>
      <c r="E132" s="5"/>
      <c r="F132" s="5"/>
      <c r="G132" s="5"/>
      <c r="H132" s="5"/>
      <c r="I132" s="10" t="str">
        <f t="shared" ref="I132:I195" si="21">IF(A132="","",IFERROR(INDEX(LIST_CAT_CODE,MATCH(H132,LIST_CAT_EN,0)),IFERROR(INDEX(LIST_CAT_CODE,MATCH(H132,LIST_CAT_HU,0)),"")))</f>
        <v/>
      </c>
      <c r="J132" s="5"/>
      <c r="K132" s="10" t="str">
        <f t="shared" ref="K132:K195" si="22">IF(A132="","",IFERROR(INDEX(LIST_MBA_CODE,MATCH(J132,LIST_MBA_EN,0)),IFERROR(INDEX(LIST_MBA_CODE,MATCH(J132,LIST_MBA_HU,0)),"-")))</f>
        <v/>
      </c>
      <c r="L132" s="4" t="str">
        <f t="shared" ref="L132:L195" si="23">IF(OR(A132="",D132&lt;&gt;"PL"),"",IF(AND(K132="INV",MbaInvest="Yes"),"OP",IF(AND(K132="FIN",MbaFinance="Yes"),"OP",I132)))</f>
        <v/>
      </c>
      <c r="M132" s="4" t="str">
        <f t="shared" ref="M132:M195" si="24">IF(A132="","",IF(AND(D132="PL",L132="OP",F132&lt;&gt;""),IF(ExpIsFunction,F132,G132),E132))</f>
        <v/>
      </c>
      <c r="N132" s="5"/>
      <c r="O132" s="4" t="str">
        <f t="shared" ref="O132:O195" si="25">IF(A132="","",IF(N132="",L132,IFERROR(INDEX(COA_CAT_EFF,MATCH(N132,COA_ACCT,0)),L132)))</f>
        <v/>
      </c>
      <c r="P132" s="5"/>
      <c r="Q132" s="10" t="str">
        <f t="shared" ref="Q132:Q195" si="26">IF(A132="","",IFERROR(INDEX(LIST_CF_CODE,MATCH(P132,LIST_CF_EN,0)),IFERROR(INDEX(LIST_CF_CODE,MATCH(P132,LIST_CF_HU,0)),"-")))</f>
        <v/>
      </c>
      <c r="R132" s="5"/>
      <c r="S132" s="10" t="str">
        <f t="shared" ref="S132:S195" si="27">IF(A132="","",IFERROR(INDEX(LIST_SCE_CODE,MATCH(R132,LIST_SCE_EN,0)),IFERROR(INDEX(LIST_SCE_CODE,MATCH(R132,LIST_SCE_HU,0)),"")))</f>
        <v/>
      </c>
      <c r="T132" s="5"/>
      <c r="U132" s="10" t="str">
        <f t="shared" ref="U132:U195" si="28">IF(A132="","",IFERROR(INDEX(LIST_YN_CODE,MATCH(T132,LIST_YN_EN,0)),IFERROR(INDEX(LIST_YN_CODE,MATCH(T132,LIST_YN_HU,0)),"No")))</f>
        <v/>
      </c>
      <c r="V132" s="4" t="str">
        <f t="shared" ref="V132:V195" si="29">IF(A132="","",TRIM(IF(D132="",IFERROR(INDEX(DICT_ACTIVE,MATCH("COA.ERR.NOSTMT",DICT_KEY,0)),"")&amp;" ","")&amp;IF(OR(M132="",ISNA(MATCH(M132,ENG_KEY,0))),IFERROR(INDEX(DICT_ACTIVE,MATCH("COA.ERR.NOKEY",DICT_KEY,0)),"")&amp;" ","")&amp;IF(AND(D132="PL",I132=""),IFERROR(INDEX(DICT_ACTIVE,MATCH("COA.ERR.NOCAT",DICT_KEY,0)),"")&amp;" ","")&amp;IF(AND(D132="PL",L132="OP",E132="",OR(F132="",G132="")),IFERROR(INDEX(DICT_ACTIVE,MATCH("COA.ERR.NOFN",DICT_KEY,0)),"")&amp;" ","")&amp;IF(AND(M132&lt;&gt;"",NOT(ISNA(MATCH(M132,ENG_KEY,0))),D132&lt;&gt;""),IF(INDEX(ENG_STMT,MATCH(M132,ENG_KEY,0))&lt;&gt;D132,IFERROR(INDEX(DICT_ACTIVE,MATCH("COA.ERR.STMT",DICT_KEY,0)),"")&amp;" ",""),"")))</f>
        <v/>
      </c>
    </row>
    <row r="133" spans="1:22" x14ac:dyDescent="0.3">
      <c r="A133" s="5"/>
      <c r="B133" s="5"/>
      <c r="C133" s="5"/>
      <c r="D133" s="10" t="str">
        <f t="shared" si="20"/>
        <v/>
      </c>
      <c r="E133" s="5"/>
      <c r="F133" s="5"/>
      <c r="G133" s="5"/>
      <c r="H133" s="5"/>
      <c r="I133" s="10" t="str">
        <f t="shared" si="21"/>
        <v/>
      </c>
      <c r="J133" s="5"/>
      <c r="K133" s="10" t="str">
        <f t="shared" si="22"/>
        <v/>
      </c>
      <c r="L133" s="4" t="str">
        <f t="shared" si="23"/>
        <v/>
      </c>
      <c r="M133" s="4" t="str">
        <f t="shared" si="24"/>
        <v/>
      </c>
      <c r="N133" s="5"/>
      <c r="O133" s="4" t="str">
        <f t="shared" si="25"/>
        <v/>
      </c>
      <c r="P133" s="5"/>
      <c r="Q133" s="10" t="str">
        <f t="shared" si="26"/>
        <v/>
      </c>
      <c r="R133" s="5"/>
      <c r="S133" s="10" t="str">
        <f t="shared" si="27"/>
        <v/>
      </c>
      <c r="T133" s="5"/>
      <c r="U133" s="10" t="str">
        <f t="shared" si="28"/>
        <v/>
      </c>
      <c r="V133" s="4" t="str">
        <f t="shared" si="29"/>
        <v/>
      </c>
    </row>
    <row r="134" spans="1:22" x14ac:dyDescent="0.3">
      <c r="A134" s="5"/>
      <c r="B134" s="5"/>
      <c r="C134" s="5"/>
      <c r="D134" s="10" t="str">
        <f t="shared" si="20"/>
        <v/>
      </c>
      <c r="E134" s="5"/>
      <c r="F134" s="5"/>
      <c r="G134" s="5"/>
      <c r="H134" s="5"/>
      <c r="I134" s="10" t="str">
        <f t="shared" si="21"/>
        <v/>
      </c>
      <c r="J134" s="5"/>
      <c r="K134" s="10" t="str">
        <f t="shared" si="22"/>
        <v/>
      </c>
      <c r="L134" s="4" t="str">
        <f t="shared" si="23"/>
        <v/>
      </c>
      <c r="M134" s="4" t="str">
        <f t="shared" si="24"/>
        <v/>
      </c>
      <c r="N134" s="5"/>
      <c r="O134" s="4" t="str">
        <f t="shared" si="25"/>
        <v/>
      </c>
      <c r="P134" s="5"/>
      <c r="Q134" s="10" t="str">
        <f t="shared" si="26"/>
        <v/>
      </c>
      <c r="R134" s="5"/>
      <c r="S134" s="10" t="str">
        <f t="shared" si="27"/>
        <v/>
      </c>
      <c r="T134" s="5"/>
      <c r="U134" s="10" t="str">
        <f t="shared" si="28"/>
        <v/>
      </c>
      <c r="V134" s="4" t="str">
        <f t="shared" si="29"/>
        <v/>
      </c>
    </row>
    <row r="135" spans="1:22" x14ac:dyDescent="0.3">
      <c r="A135" s="5"/>
      <c r="B135" s="5"/>
      <c r="C135" s="5"/>
      <c r="D135" s="10" t="str">
        <f t="shared" si="20"/>
        <v/>
      </c>
      <c r="E135" s="5"/>
      <c r="F135" s="5"/>
      <c r="G135" s="5"/>
      <c r="H135" s="5"/>
      <c r="I135" s="10" t="str">
        <f t="shared" si="21"/>
        <v/>
      </c>
      <c r="J135" s="5"/>
      <c r="K135" s="10" t="str">
        <f t="shared" si="22"/>
        <v/>
      </c>
      <c r="L135" s="4" t="str">
        <f t="shared" si="23"/>
        <v/>
      </c>
      <c r="M135" s="4" t="str">
        <f t="shared" si="24"/>
        <v/>
      </c>
      <c r="N135" s="5"/>
      <c r="O135" s="4" t="str">
        <f t="shared" si="25"/>
        <v/>
      </c>
      <c r="P135" s="5"/>
      <c r="Q135" s="10" t="str">
        <f t="shared" si="26"/>
        <v/>
      </c>
      <c r="R135" s="5"/>
      <c r="S135" s="10" t="str">
        <f t="shared" si="27"/>
        <v/>
      </c>
      <c r="T135" s="5"/>
      <c r="U135" s="10" t="str">
        <f t="shared" si="28"/>
        <v/>
      </c>
      <c r="V135" s="4" t="str">
        <f t="shared" si="29"/>
        <v/>
      </c>
    </row>
    <row r="136" spans="1:22" x14ac:dyDescent="0.3">
      <c r="A136" s="5"/>
      <c r="B136" s="5"/>
      <c r="C136" s="5"/>
      <c r="D136" s="10" t="str">
        <f t="shared" si="20"/>
        <v/>
      </c>
      <c r="E136" s="5"/>
      <c r="F136" s="5"/>
      <c r="G136" s="5"/>
      <c r="H136" s="5"/>
      <c r="I136" s="10" t="str">
        <f t="shared" si="21"/>
        <v/>
      </c>
      <c r="J136" s="5"/>
      <c r="K136" s="10" t="str">
        <f t="shared" si="22"/>
        <v/>
      </c>
      <c r="L136" s="4" t="str">
        <f t="shared" si="23"/>
        <v/>
      </c>
      <c r="M136" s="4" t="str">
        <f t="shared" si="24"/>
        <v/>
      </c>
      <c r="N136" s="5"/>
      <c r="O136" s="4" t="str">
        <f t="shared" si="25"/>
        <v/>
      </c>
      <c r="P136" s="5"/>
      <c r="Q136" s="10" t="str">
        <f t="shared" si="26"/>
        <v/>
      </c>
      <c r="R136" s="5"/>
      <c r="S136" s="10" t="str">
        <f t="shared" si="27"/>
        <v/>
      </c>
      <c r="T136" s="5"/>
      <c r="U136" s="10" t="str">
        <f t="shared" si="28"/>
        <v/>
      </c>
      <c r="V136" s="4" t="str">
        <f t="shared" si="29"/>
        <v/>
      </c>
    </row>
    <row r="137" spans="1:22" x14ac:dyDescent="0.3">
      <c r="A137" s="5"/>
      <c r="B137" s="5"/>
      <c r="C137" s="5"/>
      <c r="D137" s="10" t="str">
        <f t="shared" si="20"/>
        <v/>
      </c>
      <c r="E137" s="5"/>
      <c r="F137" s="5"/>
      <c r="G137" s="5"/>
      <c r="H137" s="5"/>
      <c r="I137" s="10" t="str">
        <f t="shared" si="21"/>
        <v/>
      </c>
      <c r="J137" s="5"/>
      <c r="K137" s="10" t="str">
        <f t="shared" si="22"/>
        <v/>
      </c>
      <c r="L137" s="4" t="str">
        <f t="shared" si="23"/>
        <v/>
      </c>
      <c r="M137" s="4" t="str">
        <f t="shared" si="24"/>
        <v/>
      </c>
      <c r="N137" s="5"/>
      <c r="O137" s="4" t="str">
        <f t="shared" si="25"/>
        <v/>
      </c>
      <c r="P137" s="5"/>
      <c r="Q137" s="10" t="str">
        <f t="shared" si="26"/>
        <v/>
      </c>
      <c r="R137" s="5"/>
      <c r="S137" s="10" t="str">
        <f t="shared" si="27"/>
        <v/>
      </c>
      <c r="T137" s="5"/>
      <c r="U137" s="10" t="str">
        <f t="shared" si="28"/>
        <v/>
      </c>
      <c r="V137" s="4" t="str">
        <f t="shared" si="29"/>
        <v/>
      </c>
    </row>
    <row r="138" spans="1:22" x14ac:dyDescent="0.3">
      <c r="A138" s="5"/>
      <c r="B138" s="5"/>
      <c r="C138" s="5"/>
      <c r="D138" s="10" t="str">
        <f t="shared" si="20"/>
        <v/>
      </c>
      <c r="E138" s="5"/>
      <c r="F138" s="5"/>
      <c r="G138" s="5"/>
      <c r="H138" s="5"/>
      <c r="I138" s="10" t="str">
        <f t="shared" si="21"/>
        <v/>
      </c>
      <c r="J138" s="5"/>
      <c r="K138" s="10" t="str">
        <f t="shared" si="22"/>
        <v/>
      </c>
      <c r="L138" s="4" t="str">
        <f t="shared" si="23"/>
        <v/>
      </c>
      <c r="M138" s="4" t="str">
        <f t="shared" si="24"/>
        <v/>
      </c>
      <c r="N138" s="5"/>
      <c r="O138" s="4" t="str">
        <f t="shared" si="25"/>
        <v/>
      </c>
      <c r="P138" s="5"/>
      <c r="Q138" s="10" t="str">
        <f t="shared" si="26"/>
        <v/>
      </c>
      <c r="R138" s="5"/>
      <c r="S138" s="10" t="str">
        <f t="shared" si="27"/>
        <v/>
      </c>
      <c r="T138" s="5"/>
      <c r="U138" s="10" t="str">
        <f t="shared" si="28"/>
        <v/>
      </c>
      <c r="V138" s="4" t="str">
        <f t="shared" si="29"/>
        <v/>
      </c>
    </row>
    <row r="139" spans="1:22" x14ac:dyDescent="0.3">
      <c r="A139" s="5"/>
      <c r="B139" s="5"/>
      <c r="C139" s="5"/>
      <c r="D139" s="10" t="str">
        <f t="shared" si="20"/>
        <v/>
      </c>
      <c r="E139" s="5"/>
      <c r="F139" s="5"/>
      <c r="G139" s="5"/>
      <c r="H139" s="5"/>
      <c r="I139" s="10" t="str">
        <f t="shared" si="21"/>
        <v/>
      </c>
      <c r="J139" s="5"/>
      <c r="K139" s="10" t="str">
        <f t="shared" si="22"/>
        <v/>
      </c>
      <c r="L139" s="4" t="str">
        <f t="shared" si="23"/>
        <v/>
      </c>
      <c r="M139" s="4" t="str">
        <f t="shared" si="24"/>
        <v/>
      </c>
      <c r="N139" s="5"/>
      <c r="O139" s="4" t="str">
        <f t="shared" si="25"/>
        <v/>
      </c>
      <c r="P139" s="5"/>
      <c r="Q139" s="10" t="str">
        <f t="shared" si="26"/>
        <v/>
      </c>
      <c r="R139" s="5"/>
      <c r="S139" s="10" t="str">
        <f t="shared" si="27"/>
        <v/>
      </c>
      <c r="T139" s="5"/>
      <c r="U139" s="10" t="str">
        <f t="shared" si="28"/>
        <v/>
      </c>
      <c r="V139" s="4" t="str">
        <f t="shared" si="29"/>
        <v/>
      </c>
    </row>
    <row r="140" spans="1:22" x14ac:dyDescent="0.3">
      <c r="A140" s="5"/>
      <c r="B140" s="5"/>
      <c r="C140" s="5"/>
      <c r="D140" s="10" t="str">
        <f t="shared" si="20"/>
        <v/>
      </c>
      <c r="E140" s="5"/>
      <c r="F140" s="5"/>
      <c r="G140" s="5"/>
      <c r="H140" s="5"/>
      <c r="I140" s="10" t="str">
        <f t="shared" si="21"/>
        <v/>
      </c>
      <c r="J140" s="5"/>
      <c r="K140" s="10" t="str">
        <f t="shared" si="22"/>
        <v/>
      </c>
      <c r="L140" s="4" t="str">
        <f t="shared" si="23"/>
        <v/>
      </c>
      <c r="M140" s="4" t="str">
        <f t="shared" si="24"/>
        <v/>
      </c>
      <c r="N140" s="5"/>
      <c r="O140" s="4" t="str">
        <f t="shared" si="25"/>
        <v/>
      </c>
      <c r="P140" s="5"/>
      <c r="Q140" s="10" t="str">
        <f t="shared" si="26"/>
        <v/>
      </c>
      <c r="R140" s="5"/>
      <c r="S140" s="10" t="str">
        <f t="shared" si="27"/>
        <v/>
      </c>
      <c r="T140" s="5"/>
      <c r="U140" s="10" t="str">
        <f t="shared" si="28"/>
        <v/>
      </c>
      <c r="V140" s="4" t="str">
        <f t="shared" si="29"/>
        <v/>
      </c>
    </row>
    <row r="141" spans="1:22" x14ac:dyDescent="0.3">
      <c r="A141" s="5"/>
      <c r="B141" s="5"/>
      <c r="C141" s="5"/>
      <c r="D141" s="10" t="str">
        <f t="shared" si="20"/>
        <v/>
      </c>
      <c r="E141" s="5"/>
      <c r="F141" s="5"/>
      <c r="G141" s="5"/>
      <c r="H141" s="5"/>
      <c r="I141" s="10" t="str">
        <f t="shared" si="21"/>
        <v/>
      </c>
      <c r="J141" s="5"/>
      <c r="K141" s="10" t="str">
        <f t="shared" si="22"/>
        <v/>
      </c>
      <c r="L141" s="4" t="str">
        <f t="shared" si="23"/>
        <v/>
      </c>
      <c r="M141" s="4" t="str">
        <f t="shared" si="24"/>
        <v/>
      </c>
      <c r="N141" s="5"/>
      <c r="O141" s="4" t="str">
        <f t="shared" si="25"/>
        <v/>
      </c>
      <c r="P141" s="5"/>
      <c r="Q141" s="10" t="str">
        <f t="shared" si="26"/>
        <v/>
      </c>
      <c r="R141" s="5"/>
      <c r="S141" s="10" t="str">
        <f t="shared" si="27"/>
        <v/>
      </c>
      <c r="T141" s="5"/>
      <c r="U141" s="10" t="str">
        <f t="shared" si="28"/>
        <v/>
      </c>
      <c r="V141" s="4" t="str">
        <f t="shared" si="29"/>
        <v/>
      </c>
    </row>
    <row r="142" spans="1:22" x14ac:dyDescent="0.3">
      <c r="A142" s="5"/>
      <c r="B142" s="5"/>
      <c r="C142" s="5"/>
      <c r="D142" s="10" t="str">
        <f t="shared" si="20"/>
        <v/>
      </c>
      <c r="E142" s="5"/>
      <c r="F142" s="5"/>
      <c r="G142" s="5"/>
      <c r="H142" s="5"/>
      <c r="I142" s="10" t="str">
        <f t="shared" si="21"/>
        <v/>
      </c>
      <c r="J142" s="5"/>
      <c r="K142" s="10" t="str">
        <f t="shared" si="22"/>
        <v/>
      </c>
      <c r="L142" s="4" t="str">
        <f t="shared" si="23"/>
        <v/>
      </c>
      <c r="M142" s="4" t="str">
        <f t="shared" si="24"/>
        <v/>
      </c>
      <c r="N142" s="5"/>
      <c r="O142" s="4" t="str">
        <f t="shared" si="25"/>
        <v/>
      </c>
      <c r="P142" s="5"/>
      <c r="Q142" s="10" t="str">
        <f t="shared" si="26"/>
        <v/>
      </c>
      <c r="R142" s="5"/>
      <c r="S142" s="10" t="str">
        <f t="shared" si="27"/>
        <v/>
      </c>
      <c r="T142" s="5"/>
      <c r="U142" s="10" t="str">
        <f t="shared" si="28"/>
        <v/>
      </c>
      <c r="V142" s="4" t="str">
        <f t="shared" si="29"/>
        <v/>
      </c>
    </row>
    <row r="143" spans="1:22" x14ac:dyDescent="0.3">
      <c r="A143" s="5"/>
      <c r="B143" s="5"/>
      <c r="C143" s="5"/>
      <c r="D143" s="10" t="str">
        <f t="shared" si="20"/>
        <v/>
      </c>
      <c r="E143" s="5"/>
      <c r="F143" s="5"/>
      <c r="G143" s="5"/>
      <c r="H143" s="5"/>
      <c r="I143" s="10" t="str">
        <f t="shared" si="21"/>
        <v/>
      </c>
      <c r="J143" s="5"/>
      <c r="K143" s="10" t="str">
        <f t="shared" si="22"/>
        <v/>
      </c>
      <c r="L143" s="4" t="str">
        <f t="shared" si="23"/>
        <v/>
      </c>
      <c r="M143" s="4" t="str">
        <f t="shared" si="24"/>
        <v/>
      </c>
      <c r="N143" s="5"/>
      <c r="O143" s="4" t="str">
        <f t="shared" si="25"/>
        <v/>
      </c>
      <c r="P143" s="5"/>
      <c r="Q143" s="10" t="str">
        <f t="shared" si="26"/>
        <v/>
      </c>
      <c r="R143" s="5"/>
      <c r="S143" s="10" t="str">
        <f t="shared" si="27"/>
        <v/>
      </c>
      <c r="T143" s="5"/>
      <c r="U143" s="10" t="str">
        <f t="shared" si="28"/>
        <v/>
      </c>
      <c r="V143" s="4" t="str">
        <f t="shared" si="29"/>
        <v/>
      </c>
    </row>
    <row r="144" spans="1:22" x14ac:dyDescent="0.3">
      <c r="A144" s="5"/>
      <c r="B144" s="5"/>
      <c r="C144" s="5"/>
      <c r="D144" s="10" t="str">
        <f t="shared" si="20"/>
        <v/>
      </c>
      <c r="E144" s="5"/>
      <c r="F144" s="5"/>
      <c r="G144" s="5"/>
      <c r="H144" s="5"/>
      <c r="I144" s="10" t="str">
        <f t="shared" si="21"/>
        <v/>
      </c>
      <c r="J144" s="5"/>
      <c r="K144" s="10" t="str">
        <f t="shared" si="22"/>
        <v/>
      </c>
      <c r="L144" s="4" t="str">
        <f t="shared" si="23"/>
        <v/>
      </c>
      <c r="M144" s="4" t="str">
        <f t="shared" si="24"/>
        <v/>
      </c>
      <c r="N144" s="5"/>
      <c r="O144" s="4" t="str">
        <f t="shared" si="25"/>
        <v/>
      </c>
      <c r="P144" s="5"/>
      <c r="Q144" s="10" t="str">
        <f t="shared" si="26"/>
        <v/>
      </c>
      <c r="R144" s="5"/>
      <c r="S144" s="10" t="str">
        <f t="shared" si="27"/>
        <v/>
      </c>
      <c r="T144" s="5"/>
      <c r="U144" s="10" t="str">
        <f t="shared" si="28"/>
        <v/>
      </c>
      <c r="V144" s="4" t="str">
        <f t="shared" si="29"/>
        <v/>
      </c>
    </row>
    <row r="145" spans="1:22" x14ac:dyDescent="0.3">
      <c r="A145" s="5"/>
      <c r="B145" s="5"/>
      <c r="C145" s="5"/>
      <c r="D145" s="10" t="str">
        <f t="shared" si="20"/>
        <v/>
      </c>
      <c r="E145" s="5"/>
      <c r="F145" s="5"/>
      <c r="G145" s="5"/>
      <c r="H145" s="5"/>
      <c r="I145" s="10" t="str">
        <f t="shared" si="21"/>
        <v/>
      </c>
      <c r="J145" s="5"/>
      <c r="K145" s="10" t="str">
        <f t="shared" si="22"/>
        <v/>
      </c>
      <c r="L145" s="4" t="str">
        <f t="shared" si="23"/>
        <v/>
      </c>
      <c r="M145" s="4" t="str">
        <f t="shared" si="24"/>
        <v/>
      </c>
      <c r="N145" s="5"/>
      <c r="O145" s="4" t="str">
        <f t="shared" si="25"/>
        <v/>
      </c>
      <c r="P145" s="5"/>
      <c r="Q145" s="10" t="str">
        <f t="shared" si="26"/>
        <v/>
      </c>
      <c r="R145" s="5"/>
      <c r="S145" s="10" t="str">
        <f t="shared" si="27"/>
        <v/>
      </c>
      <c r="T145" s="5"/>
      <c r="U145" s="10" t="str">
        <f t="shared" si="28"/>
        <v/>
      </c>
      <c r="V145" s="4" t="str">
        <f t="shared" si="29"/>
        <v/>
      </c>
    </row>
    <row r="146" spans="1:22" x14ac:dyDescent="0.3">
      <c r="A146" s="5"/>
      <c r="B146" s="5"/>
      <c r="C146" s="5"/>
      <c r="D146" s="10" t="str">
        <f t="shared" si="20"/>
        <v/>
      </c>
      <c r="E146" s="5"/>
      <c r="F146" s="5"/>
      <c r="G146" s="5"/>
      <c r="H146" s="5"/>
      <c r="I146" s="10" t="str">
        <f t="shared" si="21"/>
        <v/>
      </c>
      <c r="J146" s="5"/>
      <c r="K146" s="10" t="str">
        <f t="shared" si="22"/>
        <v/>
      </c>
      <c r="L146" s="4" t="str">
        <f t="shared" si="23"/>
        <v/>
      </c>
      <c r="M146" s="4" t="str">
        <f t="shared" si="24"/>
        <v/>
      </c>
      <c r="N146" s="5"/>
      <c r="O146" s="4" t="str">
        <f t="shared" si="25"/>
        <v/>
      </c>
      <c r="P146" s="5"/>
      <c r="Q146" s="10" t="str">
        <f t="shared" si="26"/>
        <v/>
      </c>
      <c r="R146" s="5"/>
      <c r="S146" s="10" t="str">
        <f t="shared" si="27"/>
        <v/>
      </c>
      <c r="T146" s="5"/>
      <c r="U146" s="10" t="str">
        <f t="shared" si="28"/>
        <v/>
      </c>
      <c r="V146" s="4" t="str">
        <f t="shared" si="29"/>
        <v/>
      </c>
    </row>
    <row r="147" spans="1:22" x14ac:dyDescent="0.3">
      <c r="A147" s="5"/>
      <c r="B147" s="5"/>
      <c r="C147" s="5"/>
      <c r="D147" s="10" t="str">
        <f t="shared" si="20"/>
        <v/>
      </c>
      <c r="E147" s="5"/>
      <c r="F147" s="5"/>
      <c r="G147" s="5"/>
      <c r="H147" s="5"/>
      <c r="I147" s="10" t="str">
        <f t="shared" si="21"/>
        <v/>
      </c>
      <c r="J147" s="5"/>
      <c r="K147" s="10" t="str">
        <f t="shared" si="22"/>
        <v/>
      </c>
      <c r="L147" s="4" t="str">
        <f t="shared" si="23"/>
        <v/>
      </c>
      <c r="M147" s="4" t="str">
        <f t="shared" si="24"/>
        <v/>
      </c>
      <c r="N147" s="5"/>
      <c r="O147" s="4" t="str">
        <f t="shared" si="25"/>
        <v/>
      </c>
      <c r="P147" s="5"/>
      <c r="Q147" s="10" t="str">
        <f t="shared" si="26"/>
        <v/>
      </c>
      <c r="R147" s="5"/>
      <c r="S147" s="10" t="str">
        <f t="shared" si="27"/>
        <v/>
      </c>
      <c r="T147" s="5"/>
      <c r="U147" s="10" t="str">
        <f t="shared" si="28"/>
        <v/>
      </c>
      <c r="V147" s="4" t="str">
        <f t="shared" si="29"/>
        <v/>
      </c>
    </row>
    <row r="148" spans="1:22" x14ac:dyDescent="0.3">
      <c r="A148" s="5"/>
      <c r="B148" s="5"/>
      <c r="C148" s="5"/>
      <c r="D148" s="10" t="str">
        <f t="shared" si="20"/>
        <v/>
      </c>
      <c r="E148" s="5"/>
      <c r="F148" s="5"/>
      <c r="G148" s="5"/>
      <c r="H148" s="5"/>
      <c r="I148" s="10" t="str">
        <f t="shared" si="21"/>
        <v/>
      </c>
      <c r="J148" s="5"/>
      <c r="K148" s="10" t="str">
        <f t="shared" si="22"/>
        <v/>
      </c>
      <c r="L148" s="4" t="str">
        <f t="shared" si="23"/>
        <v/>
      </c>
      <c r="M148" s="4" t="str">
        <f t="shared" si="24"/>
        <v/>
      </c>
      <c r="N148" s="5"/>
      <c r="O148" s="4" t="str">
        <f t="shared" si="25"/>
        <v/>
      </c>
      <c r="P148" s="5"/>
      <c r="Q148" s="10" t="str">
        <f t="shared" si="26"/>
        <v/>
      </c>
      <c r="R148" s="5"/>
      <c r="S148" s="10" t="str">
        <f t="shared" si="27"/>
        <v/>
      </c>
      <c r="T148" s="5"/>
      <c r="U148" s="10" t="str">
        <f t="shared" si="28"/>
        <v/>
      </c>
      <c r="V148" s="4" t="str">
        <f t="shared" si="29"/>
        <v/>
      </c>
    </row>
    <row r="149" spans="1:22" x14ac:dyDescent="0.3">
      <c r="A149" s="5"/>
      <c r="B149" s="5"/>
      <c r="C149" s="5"/>
      <c r="D149" s="10" t="str">
        <f t="shared" si="20"/>
        <v/>
      </c>
      <c r="E149" s="5"/>
      <c r="F149" s="5"/>
      <c r="G149" s="5"/>
      <c r="H149" s="5"/>
      <c r="I149" s="10" t="str">
        <f t="shared" si="21"/>
        <v/>
      </c>
      <c r="J149" s="5"/>
      <c r="K149" s="10" t="str">
        <f t="shared" si="22"/>
        <v/>
      </c>
      <c r="L149" s="4" t="str">
        <f t="shared" si="23"/>
        <v/>
      </c>
      <c r="M149" s="4" t="str">
        <f t="shared" si="24"/>
        <v/>
      </c>
      <c r="N149" s="5"/>
      <c r="O149" s="4" t="str">
        <f t="shared" si="25"/>
        <v/>
      </c>
      <c r="P149" s="5"/>
      <c r="Q149" s="10" t="str">
        <f t="shared" si="26"/>
        <v/>
      </c>
      <c r="R149" s="5"/>
      <c r="S149" s="10" t="str">
        <f t="shared" si="27"/>
        <v/>
      </c>
      <c r="T149" s="5"/>
      <c r="U149" s="10" t="str">
        <f t="shared" si="28"/>
        <v/>
      </c>
      <c r="V149" s="4" t="str">
        <f t="shared" si="29"/>
        <v/>
      </c>
    </row>
    <row r="150" spans="1:22" x14ac:dyDescent="0.3">
      <c r="A150" s="5"/>
      <c r="B150" s="5"/>
      <c r="C150" s="5"/>
      <c r="D150" s="10" t="str">
        <f t="shared" si="20"/>
        <v/>
      </c>
      <c r="E150" s="5"/>
      <c r="F150" s="5"/>
      <c r="G150" s="5"/>
      <c r="H150" s="5"/>
      <c r="I150" s="10" t="str">
        <f t="shared" si="21"/>
        <v/>
      </c>
      <c r="J150" s="5"/>
      <c r="K150" s="10" t="str">
        <f t="shared" si="22"/>
        <v/>
      </c>
      <c r="L150" s="4" t="str">
        <f t="shared" si="23"/>
        <v/>
      </c>
      <c r="M150" s="4" t="str">
        <f t="shared" si="24"/>
        <v/>
      </c>
      <c r="N150" s="5"/>
      <c r="O150" s="4" t="str">
        <f t="shared" si="25"/>
        <v/>
      </c>
      <c r="P150" s="5"/>
      <c r="Q150" s="10" t="str">
        <f t="shared" si="26"/>
        <v/>
      </c>
      <c r="R150" s="5"/>
      <c r="S150" s="10" t="str">
        <f t="shared" si="27"/>
        <v/>
      </c>
      <c r="T150" s="5"/>
      <c r="U150" s="10" t="str">
        <f t="shared" si="28"/>
        <v/>
      </c>
      <c r="V150" s="4" t="str">
        <f t="shared" si="29"/>
        <v/>
      </c>
    </row>
    <row r="151" spans="1:22" x14ac:dyDescent="0.3">
      <c r="A151" s="5"/>
      <c r="B151" s="5"/>
      <c r="C151" s="5"/>
      <c r="D151" s="10" t="str">
        <f t="shared" si="20"/>
        <v/>
      </c>
      <c r="E151" s="5"/>
      <c r="F151" s="5"/>
      <c r="G151" s="5"/>
      <c r="H151" s="5"/>
      <c r="I151" s="10" t="str">
        <f t="shared" si="21"/>
        <v/>
      </c>
      <c r="J151" s="5"/>
      <c r="K151" s="10" t="str">
        <f t="shared" si="22"/>
        <v/>
      </c>
      <c r="L151" s="4" t="str">
        <f t="shared" si="23"/>
        <v/>
      </c>
      <c r="M151" s="4" t="str">
        <f t="shared" si="24"/>
        <v/>
      </c>
      <c r="N151" s="5"/>
      <c r="O151" s="4" t="str">
        <f t="shared" si="25"/>
        <v/>
      </c>
      <c r="P151" s="5"/>
      <c r="Q151" s="10" t="str">
        <f t="shared" si="26"/>
        <v/>
      </c>
      <c r="R151" s="5"/>
      <c r="S151" s="10" t="str">
        <f t="shared" si="27"/>
        <v/>
      </c>
      <c r="T151" s="5"/>
      <c r="U151" s="10" t="str">
        <f t="shared" si="28"/>
        <v/>
      </c>
      <c r="V151" s="4" t="str">
        <f t="shared" si="29"/>
        <v/>
      </c>
    </row>
    <row r="152" spans="1:22" x14ac:dyDescent="0.3">
      <c r="A152" s="5"/>
      <c r="B152" s="5"/>
      <c r="C152" s="5"/>
      <c r="D152" s="10" t="str">
        <f t="shared" si="20"/>
        <v/>
      </c>
      <c r="E152" s="5"/>
      <c r="F152" s="5"/>
      <c r="G152" s="5"/>
      <c r="H152" s="5"/>
      <c r="I152" s="10" t="str">
        <f t="shared" si="21"/>
        <v/>
      </c>
      <c r="J152" s="5"/>
      <c r="K152" s="10" t="str">
        <f t="shared" si="22"/>
        <v/>
      </c>
      <c r="L152" s="4" t="str">
        <f t="shared" si="23"/>
        <v/>
      </c>
      <c r="M152" s="4" t="str">
        <f t="shared" si="24"/>
        <v/>
      </c>
      <c r="N152" s="5"/>
      <c r="O152" s="4" t="str">
        <f t="shared" si="25"/>
        <v/>
      </c>
      <c r="P152" s="5"/>
      <c r="Q152" s="10" t="str">
        <f t="shared" si="26"/>
        <v/>
      </c>
      <c r="R152" s="5"/>
      <c r="S152" s="10" t="str">
        <f t="shared" si="27"/>
        <v/>
      </c>
      <c r="T152" s="5"/>
      <c r="U152" s="10" t="str">
        <f t="shared" si="28"/>
        <v/>
      </c>
      <c r="V152" s="4" t="str">
        <f t="shared" si="29"/>
        <v/>
      </c>
    </row>
    <row r="153" spans="1:22" x14ac:dyDescent="0.3">
      <c r="A153" s="5"/>
      <c r="B153" s="5"/>
      <c r="C153" s="5"/>
      <c r="D153" s="10" t="str">
        <f t="shared" si="20"/>
        <v/>
      </c>
      <c r="E153" s="5"/>
      <c r="F153" s="5"/>
      <c r="G153" s="5"/>
      <c r="H153" s="5"/>
      <c r="I153" s="10" t="str">
        <f t="shared" si="21"/>
        <v/>
      </c>
      <c r="J153" s="5"/>
      <c r="K153" s="10" t="str">
        <f t="shared" si="22"/>
        <v/>
      </c>
      <c r="L153" s="4" t="str">
        <f t="shared" si="23"/>
        <v/>
      </c>
      <c r="M153" s="4" t="str">
        <f t="shared" si="24"/>
        <v/>
      </c>
      <c r="N153" s="5"/>
      <c r="O153" s="4" t="str">
        <f t="shared" si="25"/>
        <v/>
      </c>
      <c r="P153" s="5"/>
      <c r="Q153" s="10" t="str">
        <f t="shared" si="26"/>
        <v/>
      </c>
      <c r="R153" s="5"/>
      <c r="S153" s="10" t="str">
        <f t="shared" si="27"/>
        <v/>
      </c>
      <c r="T153" s="5"/>
      <c r="U153" s="10" t="str">
        <f t="shared" si="28"/>
        <v/>
      </c>
      <c r="V153" s="4" t="str">
        <f t="shared" si="29"/>
        <v/>
      </c>
    </row>
    <row r="154" spans="1:22" x14ac:dyDescent="0.3">
      <c r="A154" s="5"/>
      <c r="B154" s="5"/>
      <c r="C154" s="5"/>
      <c r="D154" s="10" t="str">
        <f t="shared" si="20"/>
        <v/>
      </c>
      <c r="E154" s="5"/>
      <c r="F154" s="5"/>
      <c r="G154" s="5"/>
      <c r="H154" s="5"/>
      <c r="I154" s="10" t="str">
        <f t="shared" si="21"/>
        <v/>
      </c>
      <c r="J154" s="5"/>
      <c r="K154" s="10" t="str">
        <f t="shared" si="22"/>
        <v/>
      </c>
      <c r="L154" s="4" t="str">
        <f t="shared" si="23"/>
        <v/>
      </c>
      <c r="M154" s="4" t="str">
        <f t="shared" si="24"/>
        <v/>
      </c>
      <c r="N154" s="5"/>
      <c r="O154" s="4" t="str">
        <f t="shared" si="25"/>
        <v/>
      </c>
      <c r="P154" s="5"/>
      <c r="Q154" s="10" t="str">
        <f t="shared" si="26"/>
        <v/>
      </c>
      <c r="R154" s="5"/>
      <c r="S154" s="10" t="str">
        <f t="shared" si="27"/>
        <v/>
      </c>
      <c r="T154" s="5"/>
      <c r="U154" s="10" t="str">
        <f t="shared" si="28"/>
        <v/>
      </c>
      <c r="V154" s="4" t="str">
        <f t="shared" si="29"/>
        <v/>
      </c>
    </row>
    <row r="155" spans="1:22" x14ac:dyDescent="0.3">
      <c r="A155" s="5"/>
      <c r="B155" s="5"/>
      <c r="C155" s="5"/>
      <c r="D155" s="10" t="str">
        <f t="shared" si="20"/>
        <v/>
      </c>
      <c r="E155" s="5"/>
      <c r="F155" s="5"/>
      <c r="G155" s="5"/>
      <c r="H155" s="5"/>
      <c r="I155" s="10" t="str">
        <f t="shared" si="21"/>
        <v/>
      </c>
      <c r="J155" s="5"/>
      <c r="K155" s="10" t="str">
        <f t="shared" si="22"/>
        <v/>
      </c>
      <c r="L155" s="4" t="str">
        <f t="shared" si="23"/>
        <v/>
      </c>
      <c r="M155" s="4" t="str">
        <f t="shared" si="24"/>
        <v/>
      </c>
      <c r="N155" s="5"/>
      <c r="O155" s="4" t="str">
        <f t="shared" si="25"/>
        <v/>
      </c>
      <c r="P155" s="5"/>
      <c r="Q155" s="10" t="str">
        <f t="shared" si="26"/>
        <v/>
      </c>
      <c r="R155" s="5"/>
      <c r="S155" s="10" t="str">
        <f t="shared" si="27"/>
        <v/>
      </c>
      <c r="T155" s="5"/>
      <c r="U155" s="10" t="str">
        <f t="shared" si="28"/>
        <v/>
      </c>
      <c r="V155" s="4" t="str">
        <f t="shared" si="29"/>
        <v/>
      </c>
    </row>
    <row r="156" spans="1:22" x14ac:dyDescent="0.3">
      <c r="A156" s="5"/>
      <c r="B156" s="5"/>
      <c r="C156" s="5"/>
      <c r="D156" s="10" t="str">
        <f t="shared" si="20"/>
        <v/>
      </c>
      <c r="E156" s="5"/>
      <c r="F156" s="5"/>
      <c r="G156" s="5"/>
      <c r="H156" s="5"/>
      <c r="I156" s="10" t="str">
        <f t="shared" si="21"/>
        <v/>
      </c>
      <c r="J156" s="5"/>
      <c r="K156" s="10" t="str">
        <f t="shared" si="22"/>
        <v/>
      </c>
      <c r="L156" s="4" t="str">
        <f t="shared" si="23"/>
        <v/>
      </c>
      <c r="M156" s="4" t="str">
        <f t="shared" si="24"/>
        <v/>
      </c>
      <c r="N156" s="5"/>
      <c r="O156" s="4" t="str">
        <f t="shared" si="25"/>
        <v/>
      </c>
      <c r="P156" s="5"/>
      <c r="Q156" s="10" t="str">
        <f t="shared" si="26"/>
        <v/>
      </c>
      <c r="R156" s="5"/>
      <c r="S156" s="10" t="str">
        <f t="shared" si="27"/>
        <v/>
      </c>
      <c r="T156" s="5"/>
      <c r="U156" s="10" t="str">
        <f t="shared" si="28"/>
        <v/>
      </c>
      <c r="V156" s="4" t="str">
        <f t="shared" si="29"/>
        <v/>
      </c>
    </row>
    <row r="157" spans="1:22" x14ac:dyDescent="0.3">
      <c r="A157" s="5"/>
      <c r="B157" s="5"/>
      <c r="C157" s="5"/>
      <c r="D157" s="10" t="str">
        <f t="shared" si="20"/>
        <v/>
      </c>
      <c r="E157" s="5"/>
      <c r="F157" s="5"/>
      <c r="G157" s="5"/>
      <c r="H157" s="5"/>
      <c r="I157" s="10" t="str">
        <f t="shared" si="21"/>
        <v/>
      </c>
      <c r="J157" s="5"/>
      <c r="K157" s="10" t="str">
        <f t="shared" si="22"/>
        <v/>
      </c>
      <c r="L157" s="4" t="str">
        <f t="shared" si="23"/>
        <v/>
      </c>
      <c r="M157" s="4" t="str">
        <f t="shared" si="24"/>
        <v/>
      </c>
      <c r="N157" s="5"/>
      <c r="O157" s="4" t="str">
        <f t="shared" si="25"/>
        <v/>
      </c>
      <c r="P157" s="5"/>
      <c r="Q157" s="10" t="str">
        <f t="shared" si="26"/>
        <v/>
      </c>
      <c r="R157" s="5"/>
      <c r="S157" s="10" t="str">
        <f t="shared" si="27"/>
        <v/>
      </c>
      <c r="T157" s="5"/>
      <c r="U157" s="10" t="str">
        <f t="shared" si="28"/>
        <v/>
      </c>
      <c r="V157" s="4" t="str">
        <f t="shared" si="29"/>
        <v/>
      </c>
    </row>
    <row r="158" spans="1:22" x14ac:dyDescent="0.3">
      <c r="A158" s="5"/>
      <c r="B158" s="5"/>
      <c r="C158" s="5"/>
      <c r="D158" s="10" t="str">
        <f t="shared" si="20"/>
        <v/>
      </c>
      <c r="E158" s="5"/>
      <c r="F158" s="5"/>
      <c r="G158" s="5"/>
      <c r="H158" s="5"/>
      <c r="I158" s="10" t="str">
        <f t="shared" si="21"/>
        <v/>
      </c>
      <c r="J158" s="5"/>
      <c r="K158" s="10" t="str">
        <f t="shared" si="22"/>
        <v/>
      </c>
      <c r="L158" s="4" t="str">
        <f t="shared" si="23"/>
        <v/>
      </c>
      <c r="M158" s="4" t="str">
        <f t="shared" si="24"/>
        <v/>
      </c>
      <c r="N158" s="5"/>
      <c r="O158" s="4" t="str">
        <f t="shared" si="25"/>
        <v/>
      </c>
      <c r="P158" s="5"/>
      <c r="Q158" s="10" t="str">
        <f t="shared" si="26"/>
        <v/>
      </c>
      <c r="R158" s="5"/>
      <c r="S158" s="10" t="str">
        <f t="shared" si="27"/>
        <v/>
      </c>
      <c r="T158" s="5"/>
      <c r="U158" s="10" t="str">
        <f t="shared" si="28"/>
        <v/>
      </c>
      <c r="V158" s="4" t="str">
        <f t="shared" si="29"/>
        <v/>
      </c>
    </row>
    <row r="159" spans="1:22" x14ac:dyDescent="0.3">
      <c r="A159" s="5"/>
      <c r="B159" s="5"/>
      <c r="C159" s="5"/>
      <c r="D159" s="10" t="str">
        <f t="shared" si="20"/>
        <v/>
      </c>
      <c r="E159" s="5"/>
      <c r="F159" s="5"/>
      <c r="G159" s="5"/>
      <c r="H159" s="5"/>
      <c r="I159" s="10" t="str">
        <f t="shared" si="21"/>
        <v/>
      </c>
      <c r="J159" s="5"/>
      <c r="K159" s="10" t="str">
        <f t="shared" si="22"/>
        <v/>
      </c>
      <c r="L159" s="4" t="str">
        <f t="shared" si="23"/>
        <v/>
      </c>
      <c r="M159" s="4" t="str">
        <f t="shared" si="24"/>
        <v/>
      </c>
      <c r="N159" s="5"/>
      <c r="O159" s="4" t="str">
        <f t="shared" si="25"/>
        <v/>
      </c>
      <c r="P159" s="5"/>
      <c r="Q159" s="10" t="str">
        <f t="shared" si="26"/>
        <v/>
      </c>
      <c r="R159" s="5"/>
      <c r="S159" s="10" t="str">
        <f t="shared" si="27"/>
        <v/>
      </c>
      <c r="T159" s="5"/>
      <c r="U159" s="10" t="str">
        <f t="shared" si="28"/>
        <v/>
      </c>
      <c r="V159" s="4" t="str">
        <f t="shared" si="29"/>
        <v/>
      </c>
    </row>
    <row r="160" spans="1:22" x14ac:dyDescent="0.3">
      <c r="A160" s="5"/>
      <c r="B160" s="5"/>
      <c r="C160" s="5"/>
      <c r="D160" s="10" t="str">
        <f t="shared" si="20"/>
        <v/>
      </c>
      <c r="E160" s="5"/>
      <c r="F160" s="5"/>
      <c r="G160" s="5"/>
      <c r="H160" s="5"/>
      <c r="I160" s="10" t="str">
        <f t="shared" si="21"/>
        <v/>
      </c>
      <c r="J160" s="5"/>
      <c r="K160" s="10" t="str">
        <f t="shared" si="22"/>
        <v/>
      </c>
      <c r="L160" s="4" t="str">
        <f t="shared" si="23"/>
        <v/>
      </c>
      <c r="M160" s="4" t="str">
        <f t="shared" si="24"/>
        <v/>
      </c>
      <c r="N160" s="5"/>
      <c r="O160" s="4" t="str">
        <f t="shared" si="25"/>
        <v/>
      </c>
      <c r="P160" s="5"/>
      <c r="Q160" s="10" t="str">
        <f t="shared" si="26"/>
        <v/>
      </c>
      <c r="R160" s="5"/>
      <c r="S160" s="10" t="str">
        <f t="shared" si="27"/>
        <v/>
      </c>
      <c r="T160" s="5"/>
      <c r="U160" s="10" t="str">
        <f t="shared" si="28"/>
        <v/>
      </c>
      <c r="V160" s="4" t="str">
        <f t="shared" si="29"/>
        <v/>
      </c>
    </row>
    <row r="161" spans="1:22" x14ac:dyDescent="0.3">
      <c r="A161" s="5"/>
      <c r="B161" s="5"/>
      <c r="C161" s="5"/>
      <c r="D161" s="10" t="str">
        <f t="shared" si="20"/>
        <v/>
      </c>
      <c r="E161" s="5"/>
      <c r="F161" s="5"/>
      <c r="G161" s="5"/>
      <c r="H161" s="5"/>
      <c r="I161" s="10" t="str">
        <f t="shared" si="21"/>
        <v/>
      </c>
      <c r="J161" s="5"/>
      <c r="K161" s="10" t="str">
        <f t="shared" si="22"/>
        <v/>
      </c>
      <c r="L161" s="4" t="str">
        <f t="shared" si="23"/>
        <v/>
      </c>
      <c r="M161" s="4" t="str">
        <f t="shared" si="24"/>
        <v/>
      </c>
      <c r="N161" s="5"/>
      <c r="O161" s="4" t="str">
        <f t="shared" si="25"/>
        <v/>
      </c>
      <c r="P161" s="5"/>
      <c r="Q161" s="10" t="str">
        <f t="shared" si="26"/>
        <v/>
      </c>
      <c r="R161" s="5"/>
      <c r="S161" s="10" t="str">
        <f t="shared" si="27"/>
        <v/>
      </c>
      <c r="T161" s="5"/>
      <c r="U161" s="10" t="str">
        <f t="shared" si="28"/>
        <v/>
      </c>
      <c r="V161" s="4" t="str">
        <f t="shared" si="29"/>
        <v/>
      </c>
    </row>
    <row r="162" spans="1:22" x14ac:dyDescent="0.3">
      <c r="A162" s="5"/>
      <c r="B162" s="5"/>
      <c r="C162" s="5"/>
      <c r="D162" s="10" t="str">
        <f t="shared" si="20"/>
        <v/>
      </c>
      <c r="E162" s="5"/>
      <c r="F162" s="5"/>
      <c r="G162" s="5"/>
      <c r="H162" s="5"/>
      <c r="I162" s="10" t="str">
        <f t="shared" si="21"/>
        <v/>
      </c>
      <c r="J162" s="5"/>
      <c r="K162" s="10" t="str">
        <f t="shared" si="22"/>
        <v/>
      </c>
      <c r="L162" s="4" t="str">
        <f t="shared" si="23"/>
        <v/>
      </c>
      <c r="M162" s="4" t="str">
        <f t="shared" si="24"/>
        <v/>
      </c>
      <c r="N162" s="5"/>
      <c r="O162" s="4" t="str">
        <f t="shared" si="25"/>
        <v/>
      </c>
      <c r="P162" s="5"/>
      <c r="Q162" s="10" t="str">
        <f t="shared" si="26"/>
        <v/>
      </c>
      <c r="R162" s="5"/>
      <c r="S162" s="10" t="str">
        <f t="shared" si="27"/>
        <v/>
      </c>
      <c r="T162" s="5"/>
      <c r="U162" s="10" t="str">
        <f t="shared" si="28"/>
        <v/>
      </c>
      <c r="V162" s="4" t="str">
        <f t="shared" si="29"/>
        <v/>
      </c>
    </row>
    <row r="163" spans="1:22" x14ac:dyDescent="0.3">
      <c r="A163" s="5"/>
      <c r="B163" s="5"/>
      <c r="C163" s="5"/>
      <c r="D163" s="10" t="str">
        <f t="shared" si="20"/>
        <v/>
      </c>
      <c r="E163" s="5"/>
      <c r="F163" s="5"/>
      <c r="G163" s="5"/>
      <c r="H163" s="5"/>
      <c r="I163" s="10" t="str">
        <f t="shared" si="21"/>
        <v/>
      </c>
      <c r="J163" s="5"/>
      <c r="K163" s="10" t="str">
        <f t="shared" si="22"/>
        <v/>
      </c>
      <c r="L163" s="4" t="str">
        <f t="shared" si="23"/>
        <v/>
      </c>
      <c r="M163" s="4" t="str">
        <f t="shared" si="24"/>
        <v/>
      </c>
      <c r="N163" s="5"/>
      <c r="O163" s="4" t="str">
        <f t="shared" si="25"/>
        <v/>
      </c>
      <c r="P163" s="5"/>
      <c r="Q163" s="10" t="str">
        <f t="shared" si="26"/>
        <v/>
      </c>
      <c r="R163" s="5"/>
      <c r="S163" s="10" t="str">
        <f t="shared" si="27"/>
        <v/>
      </c>
      <c r="T163" s="5"/>
      <c r="U163" s="10" t="str">
        <f t="shared" si="28"/>
        <v/>
      </c>
      <c r="V163" s="4" t="str">
        <f t="shared" si="29"/>
        <v/>
      </c>
    </row>
    <row r="164" spans="1:22" x14ac:dyDescent="0.3">
      <c r="A164" s="5"/>
      <c r="B164" s="5"/>
      <c r="C164" s="5"/>
      <c r="D164" s="10" t="str">
        <f t="shared" si="20"/>
        <v/>
      </c>
      <c r="E164" s="5"/>
      <c r="F164" s="5"/>
      <c r="G164" s="5"/>
      <c r="H164" s="5"/>
      <c r="I164" s="10" t="str">
        <f t="shared" si="21"/>
        <v/>
      </c>
      <c r="J164" s="5"/>
      <c r="K164" s="10" t="str">
        <f t="shared" si="22"/>
        <v/>
      </c>
      <c r="L164" s="4" t="str">
        <f t="shared" si="23"/>
        <v/>
      </c>
      <c r="M164" s="4" t="str">
        <f t="shared" si="24"/>
        <v/>
      </c>
      <c r="N164" s="5"/>
      <c r="O164" s="4" t="str">
        <f t="shared" si="25"/>
        <v/>
      </c>
      <c r="P164" s="5"/>
      <c r="Q164" s="10" t="str">
        <f t="shared" si="26"/>
        <v/>
      </c>
      <c r="R164" s="5"/>
      <c r="S164" s="10" t="str">
        <f t="shared" si="27"/>
        <v/>
      </c>
      <c r="T164" s="5"/>
      <c r="U164" s="10" t="str">
        <f t="shared" si="28"/>
        <v/>
      </c>
      <c r="V164" s="4" t="str">
        <f t="shared" si="29"/>
        <v/>
      </c>
    </row>
    <row r="165" spans="1:22" x14ac:dyDescent="0.3">
      <c r="A165" s="5"/>
      <c r="B165" s="5"/>
      <c r="C165" s="5"/>
      <c r="D165" s="10" t="str">
        <f t="shared" si="20"/>
        <v/>
      </c>
      <c r="E165" s="5"/>
      <c r="F165" s="5"/>
      <c r="G165" s="5"/>
      <c r="H165" s="5"/>
      <c r="I165" s="10" t="str">
        <f t="shared" si="21"/>
        <v/>
      </c>
      <c r="J165" s="5"/>
      <c r="K165" s="10" t="str">
        <f t="shared" si="22"/>
        <v/>
      </c>
      <c r="L165" s="4" t="str">
        <f t="shared" si="23"/>
        <v/>
      </c>
      <c r="M165" s="4" t="str">
        <f t="shared" si="24"/>
        <v/>
      </c>
      <c r="N165" s="5"/>
      <c r="O165" s="4" t="str">
        <f t="shared" si="25"/>
        <v/>
      </c>
      <c r="P165" s="5"/>
      <c r="Q165" s="10" t="str">
        <f t="shared" si="26"/>
        <v/>
      </c>
      <c r="R165" s="5"/>
      <c r="S165" s="10" t="str">
        <f t="shared" si="27"/>
        <v/>
      </c>
      <c r="T165" s="5"/>
      <c r="U165" s="10" t="str">
        <f t="shared" si="28"/>
        <v/>
      </c>
      <c r="V165" s="4" t="str">
        <f t="shared" si="29"/>
        <v/>
      </c>
    </row>
    <row r="166" spans="1:22" x14ac:dyDescent="0.3">
      <c r="A166" s="5"/>
      <c r="B166" s="5"/>
      <c r="C166" s="5"/>
      <c r="D166" s="10" t="str">
        <f t="shared" si="20"/>
        <v/>
      </c>
      <c r="E166" s="5"/>
      <c r="F166" s="5"/>
      <c r="G166" s="5"/>
      <c r="H166" s="5"/>
      <c r="I166" s="10" t="str">
        <f t="shared" si="21"/>
        <v/>
      </c>
      <c r="J166" s="5"/>
      <c r="K166" s="10" t="str">
        <f t="shared" si="22"/>
        <v/>
      </c>
      <c r="L166" s="4" t="str">
        <f t="shared" si="23"/>
        <v/>
      </c>
      <c r="M166" s="4" t="str">
        <f t="shared" si="24"/>
        <v/>
      </c>
      <c r="N166" s="5"/>
      <c r="O166" s="4" t="str">
        <f t="shared" si="25"/>
        <v/>
      </c>
      <c r="P166" s="5"/>
      <c r="Q166" s="10" t="str">
        <f t="shared" si="26"/>
        <v/>
      </c>
      <c r="R166" s="5"/>
      <c r="S166" s="10" t="str">
        <f t="shared" si="27"/>
        <v/>
      </c>
      <c r="T166" s="5"/>
      <c r="U166" s="10" t="str">
        <f t="shared" si="28"/>
        <v/>
      </c>
      <c r="V166" s="4" t="str">
        <f t="shared" si="29"/>
        <v/>
      </c>
    </row>
    <row r="167" spans="1:22" x14ac:dyDescent="0.3">
      <c r="A167" s="5"/>
      <c r="B167" s="5"/>
      <c r="C167" s="5"/>
      <c r="D167" s="10" t="str">
        <f t="shared" si="20"/>
        <v/>
      </c>
      <c r="E167" s="5"/>
      <c r="F167" s="5"/>
      <c r="G167" s="5"/>
      <c r="H167" s="5"/>
      <c r="I167" s="10" t="str">
        <f t="shared" si="21"/>
        <v/>
      </c>
      <c r="J167" s="5"/>
      <c r="K167" s="10" t="str">
        <f t="shared" si="22"/>
        <v/>
      </c>
      <c r="L167" s="4" t="str">
        <f t="shared" si="23"/>
        <v/>
      </c>
      <c r="M167" s="4" t="str">
        <f t="shared" si="24"/>
        <v/>
      </c>
      <c r="N167" s="5"/>
      <c r="O167" s="4" t="str">
        <f t="shared" si="25"/>
        <v/>
      </c>
      <c r="P167" s="5"/>
      <c r="Q167" s="10" t="str">
        <f t="shared" si="26"/>
        <v/>
      </c>
      <c r="R167" s="5"/>
      <c r="S167" s="10" t="str">
        <f t="shared" si="27"/>
        <v/>
      </c>
      <c r="T167" s="5"/>
      <c r="U167" s="10" t="str">
        <f t="shared" si="28"/>
        <v/>
      </c>
      <c r="V167" s="4" t="str">
        <f t="shared" si="29"/>
        <v/>
      </c>
    </row>
    <row r="168" spans="1:22" x14ac:dyDescent="0.3">
      <c r="A168" s="5"/>
      <c r="B168" s="5"/>
      <c r="C168" s="5"/>
      <c r="D168" s="10" t="str">
        <f t="shared" si="20"/>
        <v/>
      </c>
      <c r="E168" s="5"/>
      <c r="F168" s="5"/>
      <c r="G168" s="5"/>
      <c r="H168" s="5"/>
      <c r="I168" s="10" t="str">
        <f t="shared" si="21"/>
        <v/>
      </c>
      <c r="J168" s="5"/>
      <c r="K168" s="10" t="str">
        <f t="shared" si="22"/>
        <v/>
      </c>
      <c r="L168" s="4" t="str">
        <f t="shared" si="23"/>
        <v/>
      </c>
      <c r="M168" s="4" t="str">
        <f t="shared" si="24"/>
        <v/>
      </c>
      <c r="N168" s="5"/>
      <c r="O168" s="4" t="str">
        <f t="shared" si="25"/>
        <v/>
      </c>
      <c r="P168" s="5"/>
      <c r="Q168" s="10" t="str">
        <f t="shared" si="26"/>
        <v/>
      </c>
      <c r="R168" s="5"/>
      <c r="S168" s="10" t="str">
        <f t="shared" si="27"/>
        <v/>
      </c>
      <c r="T168" s="5"/>
      <c r="U168" s="10" t="str">
        <f t="shared" si="28"/>
        <v/>
      </c>
      <c r="V168" s="4" t="str">
        <f t="shared" si="29"/>
        <v/>
      </c>
    </row>
    <row r="169" spans="1:22" x14ac:dyDescent="0.3">
      <c r="A169" s="5"/>
      <c r="B169" s="5"/>
      <c r="C169" s="5"/>
      <c r="D169" s="10" t="str">
        <f t="shared" si="20"/>
        <v/>
      </c>
      <c r="E169" s="5"/>
      <c r="F169" s="5"/>
      <c r="G169" s="5"/>
      <c r="H169" s="5"/>
      <c r="I169" s="10" t="str">
        <f t="shared" si="21"/>
        <v/>
      </c>
      <c r="J169" s="5"/>
      <c r="K169" s="10" t="str">
        <f t="shared" si="22"/>
        <v/>
      </c>
      <c r="L169" s="4" t="str">
        <f t="shared" si="23"/>
        <v/>
      </c>
      <c r="M169" s="4" t="str">
        <f t="shared" si="24"/>
        <v/>
      </c>
      <c r="N169" s="5"/>
      <c r="O169" s="4" t="str">
        <f t="shared" si="25"/>
        <v/>
      </c>
      <c r="P169" s="5"/>
      <c r="Q169" s="10" t="str">
        <f t="shared" si="26"/>
        <v/>
      </c>
      <c r="R169" s="5"/>
      <c r="S169" s="10" t="str">
        <f t="shared" si="27"/>
        <v/>
      </c>
      <c r="T169" s="5"/>
      <c r="U169" s="10" t="str">
        <f t="shared" si="28"/>
        <v/>
      </c>
      <c r="V169" s="4" t="str">
        <f t="shared" si="29"/>
        <v/>
      </c>
    </row>
    <row r="170" spans="1:22" x14ac:dyDescent="0.3">
      <c r="A170" s="5"/>
      <c r="B170" s="5"/>
      <c r="C170" s="5"/>
      <c r="D170" s="10" t="str">
        <f t="shared" si="20"/>
        <v/>
      </c>
      <c r="E170" s="5"/>
      <c r="F170" s="5"/>
      <c r="G170" s="5"/>
      <c r="H170" s="5"/>
      <c r="I170" s="10" t="str">
        <f t="shared" si="21"/>
        <v/>
      </c>
      <c r="J170" s="5"/>
      <c r="K170" s="10" t="str">
        <f t="shared" si="22"/>
        <v/>
      </c>
      <c r="L170" s="4" t="str">
        <f t="shared" si="23"/>
        <v/>
      </c>
      <c r="M170" s="4" t="str">
        <f t="shared" si="24"/>
        <v/>
      </c>
      <c r="N170" s="5"/>
      <c r="O170" s="4" t="str">
        <f t="shared" si="25"/>
        <v/>
      </c>
      <c r="P170" s="5"/>
      <c r="Q170" s="10" t="str">
        <f t="shared" si="26"/>
        <v/>
      </c>
      <c r="R170" s="5"/>
      <c r="S170" s="10" t="str">
        <f t="shared" si="27"/>
        <v/>
      </c>
      <c r="T170" s="5"/>
      <c r="U170" s="10" t="str">
        <f t="shared" si="28"/>
        <v/>
      </c>
      <c r="V170" s="4" t="str">
        <f t="shared" si="29"/>
        <v/>
      </c>
    </row>
    <row r="171" spans="1:22" x14ac:dyDescent="0.3">
      <c r="A171" s="5"/>
      <c r="B171" s="5"/>
      <c r="C171" s="5"/>
      <c r="D171" s="10" t="str">
        <f t="shared" si="20"/>
        <v/>
      </c>
      <c r="E171" s="5"/>
      <c r="F171" s="5"/>
      <c r="G171" s="5"/>
      <c r="H171" s="5"/>
      <c r="I171" s="10" t="str">
        <f t="shared" si="21"/>
        <v/>
      </c>
      <c r="J171" s="5"/>
      <c r="K171" s="10" t="str">
        <f t="shared" si="22"/>
        <v/>
      </c>
      <c r="L171" s="4" t="str">
        <f t="shared" si="23"/>
        <v/>
      </c>
      <c r="M171" s="4" t="str">
        <f t="shared" si="24"/>
        <v/>
      </c>
      <c r="N171" s="5"/>
      <c r="O171" s="4" t="str">
        <f t="shared" si="25"/>
        <v/>
      </c>
      <c r="P171" s="5"/>
      <c r="Q171" s="10" t="str">
        <f t="shared" si="26"/>
        <v/>
      </c>
      <c r="R171" s="5"/>
      <c r="S171" s="10" t="str">
        <f t="shared" si="27"/>
        <v/>
      </c>
      <c r="T171" s="5"/>
      <c r="U171" s="10" t="str">
        <f t="shared" si="28"/>
        <v/>
      </c>
      <c r="V171" s="4" t="str">
        <f t="shared" si="29"/>
        <v/>
      </c>
    </row>
    <row r="172" spans="1:22" x14ac:dyDescent="0.3">
      <c r="A172" s="5"/>
      <c r="B172" s="5"/>
      <c r="C172" s="5"/>
      <c r="D172" s="10" t="str">
        <f t="shared" si="20"/>
        <v/>
      </c>
      <c r="E172" s="5"/>
      <c r="F172" s="5"/>
      <c r="G172" s="5"/>
      <c r="H172" s="5"/>
      <c r="I172" s="10" t="str">
        <f t="shared" si="21"/>
        <v/>
      </c>
      <c r="J172" s="5"/>
      <c r="K172" s="10" t="str">
        <f t="shared" si="22"/>
        <v/>
      </c>
      <c r="L172" s="4" t="str">
        <f t="shared" si="23"/>
        <v/>
      </c>
      <c r="M172" s="4" t="str">
        <f t="shared" si="24"/>
        <v/>
      </c>
      <c r="N172" s="5"/>
      <c r="O172" s="4" t="str">
        <f t="shared" si="25"/>
        <v/>
      </c>
      <c r="P172" s="5"/>
      <c r="Q172" s="10" t="str">
        <f t="shared" si="26"/>
        <v/>
      </c>
      <c r="R172" s="5"/>
      <c r="S172" s="10" t="str">
        <f t="shared" si="27"/>
        <v/>
      </c>
      <c r="T172" s="5"/>
      <c r="U172" s="10" t="str">
        <f t="shared" si="28"/>
        <v/>
      </c>
      <c r="V172" s="4" t="str">
        <f t="shared" si="29"/>
        <v/>
      </c>
    </row>
    <row r="173" spans="1:22" x14ac:dyDescent="0.3">
      <c r="A173" s="5"/>
      <c r="B173" s="5"/>
      <c r="C173" s="5"/>
      <c r="D173" s="10" t="str">
        <f t="shared" si="20"/>
        <v/>
      </c>
      <c r="E173" s="5"/>
      <c r="F173" s="5"/>
      <c r="G173" s="5"/>
      <c r="H173" s="5"/>
      <c r="I173" s="10" t="str">
        <f t="shared" si="21"/>
        <v/>
      </c>
      <c r="J173" s="5"/>
      <c r="K173" s="10" t="str">
        <f t="shared" si="22"/>
        <v/>
      </c>
      <c r="L173" s="4" t="str">
        <f t="shared" si="23"/>
        <v/>
      </c>
      <c r="M173" s="4" t="str">
        <f t="shared" si="24"/>
        <v/>
      </c>
      <c r="N173" s="5"/>
      <c r="O173" s="4" t="str">
        <f t="shared" si="25"/>
        <v/>
      </c>
      <c r="P173" s="5"/>
      <c r="Q173" s="10" t="str">
        <f t="shared" si="26"/>
        <v/>
      </c>
      <c r="R173" s="5"/>
      <c r="S173" s="10" t="str">
        <f t="shared" si="27"/>
        <v/>
      </c>
      <c r="T173" s="5"/>
      <c r="U173" s="10" t="str">
        <f t="shared" si="28"/>
        <v/>
      </c>
      <c r="V173" s="4" t="str">
        <f t="shared" si="29"/>
        <v/>
      </c>
    </row>
    <row r="174" spans="1:22" x14ac:dyDescent="0.3">
      <c r="A174" s="5"/>
      <c r="B174" s="5"/>
      <c r="C174" s="5"/>
      <c r="D174" s="10" t="str">
        <f t="shared" si="20"/>
        <v/>
      </c>
      <c r="E174" s="5"/>
      <c r="F174" s="5"/>
      <c r="G174" s="5"/>
      <c r="H174" s="5"/>
      <c r="I174" s="10" t="str">
        <f t="shared" si="21"/>
        <v/>
      </c>
      <c r="J174" s="5"/>
      <c r="K174" s="10" t="str">
        <f t="shared" si="22"/>
        <v/>
      </c>
      <c r="L174" s="4" t="str">
        <f t="shared" si="23"/>
        <v/>
      </c>
      <c r="M174" s="4" t="str">
        <f t="shared" si="24"/>
        <v/>
      </c>
      <c r="N174" s="5"/>
      <c r="O174" s="4" t="str">
        <f t="shared" si="25"/>
        <v/>
      </c>
      <c r="P174" s="5"/>
      <c r="Q174" s="10" t="str">
        <f t="shared" si="26"/>
        <v/>
      </c>
      <c r="R174" s="5"/>
      <c r="S174" s="10" t="str">
        <f t="shared" si="27"/>
        <v/>
      </c>
      <c r="T174" s="5"/>
      <c r="U174" s="10" t="str">
        <f t="shared" si="28"/>
        <v/>
      </c>
      <c r="V174" s="4" t="str">
        <f t="shared" si="29"/>
        <v/>
      </c>
    </row>
    <row r="175" spans="1:22" x14ac:dyDescent="0.3">
      <c r="A175" s="5"/>
      <c r="B175" s="5"/>
      <c r="C175" s="5"/>
      <c r="D175" s="10" t="str">
        <f t="shared" si="20"/>
        <v/>
      </c>
      <c r="E175" s="5"/>
      <c r="F175" s="5"/>
      <c r="G175" s="5"/>
      <c r="H175" s="5"/>
      <c r="I175" s="10" t="str">
        <f t="shared" si="21"/>
        <v/>
      </c>
      <c r="J175" s="5"/>
      <c r="K175" s="10" t="str">
        <f t="shared" si="22"/>
        <v/>
      </c>
      <c r="L175" s="4" t="str">
        <f t="shared" si="23"/>
        <v/>
      </c>
      <c r="M175" s="4" t="str">
        <f t="shared" si="24"/>
        <v/>
      </c>
      <c r="N175" s="5"/>
      <c r="O175" s="4" t="str">
        <f t="shared" si="25"/>
        <v/>
      </c>
      <c r="P175" s="5"/>
      <c r="Q175" s="10" t="str">
        <f t="shared" si="26"/>
        <v/>
      </c>
      <c r="R175" s="5"/>
      <c r="S175" s="10" t="str">
        <f t="shared" si="27"/>
        <v/>
      </c>
      <c r="T175" s="5"/>
      <c r="U175" s="10" t="str">
        <f t="shared" si="28"/>
        <v/>
      </c>
      <c r="V175" s="4" t="str">
        <f t="shared" si="29"/>
        <v/>
      </c>
    </row>
    <row r="176" spans="1:22" x14ac:dyDescent="0.3">
      <c r="A176" s="5"/>
      <c r="B176" s="5"/>
      <c r="C176" s="5"/>
      <c r="D176" s="10" t="str">
        <f t="shared" si="20"/>
        <v/>
      </c>
      <c r="E176" s="5"/>
      <c r="F176" s="5"/>
      <c r="G176" s="5"/>
      <c r="H176" s="5"/>
      <c r="I176" s="10" t="str">
        <f t="shared" si="21"/>
        <v/>
      </c>
      <c r="J176" s="5"/>
      <c r="K176" s="10" t="str">
        <f t="shared" si="22"/>
        <v/>
      </c>
      <c r="L176" s="4" t="str">
        <f t="shared" si="23"/>
        <v/>
      </c>
      <c r="M176" s="4" t="str">
        <f t="shared" si="24"/>
        <v/>
      </c>
      <c r="N176" s="5"/>
      <c r="O176" s="4" t="str">
        <f t="shared" si="25"/>
        <v/>
      </c>
      <c r="P176" s="5"/>
      <c r="Q176" s="10" t="str">
        <f t="shared" si="26"/>
        <v/>
      </c>
      <c r="R176" s="5"/>
      <c r="S176" s="10" t="str">
        <f t="shared" si="27"/>
        <v/>
      </c>
      <c r="T176" s="5"/>
      <c r="U176" s="10" t="str">
        <f t="shared" si="28"/>
        <v/>
      </c>
      <c r="V176" s="4" t="str">
        <f t="shared" si="29"/>
        <v/>
      </c>
    </row>
    <row r="177" spans="1:22" x14ac:dyDescent="0.3">
      <c r="A177" s="5"/>
      <c r="B177" s="5"/>
      <c r="C177" s="5"/>
      <c r="D177" s="10" t="str">
        <f t="shared" si="20"/>
        <v/>
      </c>
      <c r="E177" s="5"/>
      <c r="F177" s="5"/>
      <c r="G177" s="5"/>
      <c r="H177" s="5"/>
      <c r="I177" s="10" t="str">
        <f t="shared" si="21"/>
        <v/>
      </c>
      <c r="J177" s="5"/>
      <c r="K177" s="10" t="str">
        <f t="shared" si="22"/>
        <v/>
      </c>
      <c r="L177" s="4" t="str">
        <f t="shared" si="23"/>
        <v/>
      </c>
      <c r="M177" s="4" t="str">
        <f t="shared" si="24"/>
        <v/>
      </c>
      <c r="N177" s="5"/>
      <c r="O177" s="4" t="str">
        <f t="shared" si="25"/>
        <v/>
      </c>
      <c r="P177" s="5"/>
      <c r="Q177" s="10" t="str">
        <f t="shared" si="26"/>
        <v/>
      </c>
      <c r="R177" s="5"/>
      <c r="S177" s="10" t="str">
        <f t="shared" si="27"/>
        <v/>
      </c>
      <c r="T177" s="5"/>
      <c r="U177" s="10" t="str">
        <f t="shared" si="28"/>
        <v/>
      </c>
      <c r="V177" s="4" t="str">
        <f t="shared" si="29"/>
        <v/>
      </c>
    </row>
    <row r="178" spans="1:22" x14ac:dyDescent="0.3">
      <c r="A178" s="5"/>
      <c r="B178" s="5"/>
      <c r="C178" s="5"/>
      <c r="D178" s="10" t="str">
        <f t="shared" si="20"/>
        <v/>
      </c>
      <c r="E178" s="5"/>
      <c r="F178" s="5"/>
      <c r="G178" s="5"/>
      <c r="H178" s="5"/>
      <c r="I178" s="10" t="str">
        <f t="shared" si="21"/>
        <v/>
      </c>
      <c r="J178" s="5"/>
      <c r="K178" s="10" t="str">
        <f t="shared" si="22"/>
        <v/>
      </c>
      <c r="L178" s="4" t="str">
        <f t="shared" si="23"/>
        <v/>
      </c>
      <c r="M178" s="4" t="str">
        <f t="shared" si="24"/>
        <v/>
      </c>
      <c r="N178" s="5"/>
      <c r="O178" s="4" t="str">
        <f t="shared" si="25"/>
        <v/>
      </c>
      <c r="P178" s="5"/>
      <c r="Q178" s="10" t="str">
        <f t="shared" si="26"/>
        <v/>
      </c>
      <c r="R178" s="5"/>
      <c r="S178" s="10" t="str">
        <f t="shared" si="27"/>
        <v/>
      </c>
      <c r="T178" s="5"/>
      <c r="U178" s="10" t="str">
        <f t="shared" si="28"/>
        <v/>
      </c>
      <c r="V178" s="4" t="str">
        <f t="shared" si="29"/>
        <v/>
      </c>
    </row>
    <row r="179" spans="1:22" x14ac:dyDescent="0.3">
      <c r="A179" s="5"/>
      <c r="B179" s="5"/>
      <c r="C179" s="5"/>
      <c r="D179" s="10" t="str">
        <f t="shared" si="20"/>
        <v/>
      </c>
      <c r="E179" s="5"/>
      <c r="F179" s="5"/>
      <c r="G179" s="5"/>
      <c r="H179" s="5"/>
      <c r="I179" s="10" t="str">
        <f t="shared" si="21"/>
        <v/>
      </c>
      <c r="J179" s="5"/>
      <c r="K179" s="10" t="str">
        <f t="shared" si="22"/>
        <v/>
      </c>
      <c r="L179" s="4" t="str">
        <f t="shared" si="23"/>
        <v/>
      </c>
      <c r="M179" s="4" t="str">
        <f t="shared" si="24"/>
        <v/>
      </c>
      <c r="N179" s="5"/>
      <c r="O179" s="4" t="str">
        <f t="shared" si="25"/>
        <v/>
      </c>
      <c r="P179" s="5"/>
      <c r="Q179" s="10" t="str">
        <f t="shared" si="26"/>
        <v/>
      </c>
      <c r="R179" s="5"/>
      <c r="S179" s="10" t="str">
        <f t="shared" si="27"/>
        <v/>
      </c>
      <c r="T179" s="5"/>
      <c r="U179" s="10" t="str">
        <f t="shared" si="28"/>
        <v/>
      </c>
      <c r="V179" s="4" t="str">
        <f t="shared" si="29"/>
        <v/>
      </c>
    </row>
    <row r="180" spans="1:22" x14ac:dyDescent="0.3">
      <c r="A180" s="5"/>
      <c r="B180" s="5"/>
      <c r="C180" s="5"/>
      <c r="D180" s="10" t="str">
        <f t="shared" si="20"/>
        <v/>
      </c>
      <c r="E180" s="5"/>
      <c r="F180" s="5"/>
      <c r="G180" s="5"/>
      <c r="H180" s="5"/>
      <c r="I180" s="10" t="str">
        <f t="shared" si="21"/>
        <v/>
      </c>
      <c r="J180" s="5"/>
      <c r="K180" s="10" t="str">
        <f t="shared" si="22"/>
        <v/>
      </c>
      <c r="L180" s="4" t="str">
        <f t="shared" si="23"/>
        <v/>
      </c>
      <c r="M180" s="4" t="str">
        <f t="shared" si="24"/>
        <v/>
      </c>
      <c r="N180" s="5"/>
      <c r="O180" s="4" t="str">
        <f t="shared" si="25"/>
        <v/>
      </c>
      <c r="P180" s="5"/>
      <c r="Q180" s="10" t="str">
        <f t="shared" si="26"/>
        <v/>
      </c>
      <c r="R180" s="5"/>
      <c r="S180" s="10" t="str">
        <f t="shared" si="27"/>
        <v/>
      </c>
      <c r="T180" s="5"/>
      <c r="U180" s="10" t="str">
        <f t="shared" si="28"/>
        <v/>
      </c>
      <c r="V180" s="4" t="str">
        <f t="shared" si="29"/>
        <v/>
      </c>
    </row>
    <row r="181" spans="1:22" x14ac:dyDescent="0.3">
      <c r="A181" s="5"/>
      <c r="B181" s="5"/>
      <c r="C181" s="5"/>
      <c r="D181" s="10" t="str">
        <f t="shared" si="20"/>
        <v/>
      </c>
      <c r="E181" s="5"/>
      <c r="F181" s="5"/>
      <c r="G181" s="5"/>
      <c r="H181" s="5"/>
      <c r="I181" s="10" t="str">
        <f t="shared" si="21"/>
        <v/>
      </c>
      <c r="J181" s="5"/>
      <c r="K181" s="10" t="str">
        <f t="shared" si="22"/>
        <v/>
      </c>
      <c r="L181" s="4" t="str">
        <f t="shared" si="23"/>
        <v/>
      </c>
      <c r="M181" s="4" t="str">
        <f t="shared" si="24"/>
        <v/>
      </c>
      <c r="N181" s="5"/>
      <c r="O181" s="4" t="str">
        <f t="shared" si="25"/>
        <v/>
      </c>
      <c r="P181" s="5"/>
      <c r="Q181" s="10" t="str">
        <f t="shared" si="26"/>
        <v/>
      </c>
      <c r="R181" s="5"/>
      <c r="S181" s="10" t="str">
        <f t="shared" si="27"/>
        <v/>
      </c>
      <c r="T181" s="5"/>
      <c r="U181" s="10" t="str">
        <f t="shared" si="28"/>
        <v/>
      </c>
      <c r="V181" s="4" t="str">
        <f t="shared" si="29"/>
        <v/>
      </c>
    </row>
    <row r="182" spans="1:22" x14ac:dyDescent="0.3">
      <c r="A182" s="5"/>
      <c r="B182" s="5"/>
      <c r="C182" s="5"/>
      <c r="D182" s="10" t="str">
        <f t="shared" si="20"/>
        <v/>
      </c>
      <c r="E182" s="5"/>
      <c r="F182" s="5"/>
      <c r="G182" s="5"/>
      <c r="H182" s="5"/>
      <c r="I182" s="10" t="str">
        <f t="shared" si="21"/>
        <v/>
      </c>
      <c r="J182" s="5"/>
      <c r="K182" s="10" t="str">
        <f t="shared" si="22"/>
        <v/>
      </c>
      <c r="L182" s="4" t="str">
        <f t="shared" si="23"/>
        <v/>
      </c>
      <c r="M182" s="4" t="str">
        <f t="shared" si="24"/>
        <v/>
      </c>
      <c r="N182" s="5"/>
      <c r="O182" s="4" t="str">
        <f t="shared" si="25"/>
        <v/>
      </c>
      <c r="P182" s="5"/>
      <c r="Q182" s="10" t="str">
        <f t="shared" si="26"/>
        <v/>
      </c>
      <c r="R182" s="5"/>
      <c r="S182" s="10" t="str">
        <f t="shared" si="27"/>
        <v/>
      </c>
      <c r="T182" s="5"/>
      <c r="U182" s="10" t="str">
        <f t="shared" si="28"/>
        <v/>
      </c>
      <c r="V182" s="4" t="str">
        <f t="shared" si="29"/>
        <v/>
      </c>
    </row>
    <row r="183" spans="1:22" x14ac:dyDescent="0.3">
      <c r="A183" s="5"/>
      <c r="B183" s="5"/>
      <c r="C183" s="5"/>
      <c r="D183" s="10" t="str">
        <f t="shared" si="20"/>
        <v/>
      </c>
      <c r="E183" s="5"/>
      <c r="F183" s="5"/>
      <c r="G183" s="5"/>
      <c r="H183" s="5"/>
      <c r="I183" s="10" t="str">
        <f t="shared" si="21"/>
        <v/>
      </c>
      <c r="J183" s="5"/>
      <c r="K183" s="10" t="str">
        <f t="shared" si="22"/>
        <v/>
      </c>
      <c r="L183" s="4" t="str">
        <f t="shared" si="23"/>
        <v/>
      </c>
      <c r="M183" s="4" t="str">
        <f t="shared" si="24"/>
        <v/>
      </c>
      <c r="N183" s="5"/>
      <c r="O183" s="4" t="str">
        <f t="shared" si="25"/>
        <v/>
      </c>
      <c r="P183" s="5"/>
      <c r="Q183" s="10" t="str">
        <f t="shared" si="26"/>
        <v/>
      </c>
      <c r="R183" s="5"/>
      <c r="S183" s="10" t="str">
        <f t="shared" si="27"/>
        <v/>
      </c>
      <c r="T183" s="5"/>
      <c r="U183" s="10" t="str">
        <f t="shared" si="28"/>
        <v/>
      </c>
      <c r="V183" s="4" t="str">
        <f t="shared" si="29"/>
        <v/>
      </c>
    </row>
    <row r="184" spans="1:22" x14ac:dyDescent="0.3">
      <c r="A184" s="5"/>
      <c r="B184" s="5"/>
      <c r="C184" s="5"/>
      <c r="D184" s="10" t="str">
        <f t="shared" si="20"/>
        <v/>
      </c>
      <c r="E184" s="5"/>
      <c r="F184" s="5"/>
      <c r="G184" s="5"/>
      <c r="H184" s="5"/>
      <c r="I184" s="10" t="str">
        <f t="shared" si="21"/>
        <v/>
      </c>
      <c r="J184" s="5"/>
      <c r="K184" s="10" t="str">
        <f t="shared" si="22"/>
        <v/>
      </c>
      <c r="L184" s="4" t="str">
        <f t="shared" si="23"/>
        <v/>
      </c>
      <c r="M184" s="4" t="str">
        <f t="shared" si="24"/>
        <v/>
      </c>
      <c r="N184" s="5"/>
      <c r="O184" s="4" t="str">
        <f t="shared" si="25"/>
        <v/>
      </c>
      <c r="P184" s="5"/>
      <c r="Q184" s="10" t="str">
        <f t="shared" si="26"/>
        <v/>
      </c>
      <c r="R184" s="5"/>
      <c r="S184" s="10" t="str">
        <f t="shared" si="27"/>
        <v/>
      </c>
      <c r="T184" s="5"/>
      <c r="U184" s="10" t="str">
        <f t="shared" si="28"/>
        <v/>
      </c>
      <c r="V184" s="4" t="str">
        <f t="shared" si="29"/>
        <v/>
      </c>
    </row>
    <row r="185" spans="1:22" x14ac:dyDescent="0.3">
      <c r="A185" s="5"/>
      <c r="B185" s="5"/>
      <c r="C185" s="5"/>
      <c r="D185" s="10" t="str">
        <f t="shared" si="20"/>
        <v/>
      </c>
      <c r="E185" s="5"/>
      <c r="F185" s="5"/>
      <c r="G185" s="5"/>
      <c r="H185" s="5"/>
      <c r="I185" s="10" t="str">
        <f t="shared" si="21"/>
        <v/>
      </c>
      <c r="J185" s="5"/>
      <c r="K185" s="10" t="str">
        <f t="shared" si="22"/>
        <v/>
      </c>
      <c r="L185" s="4" t="str">
        <f t="shared" si="23"/>
        <v/>
      </c>
      <c r="M185" s="4" t="str">
        <f t="shared" si="24"/>
        <v/>
      </c>
      <c r="N185" s="5"/>
      <c r="O185" s="4" t="str">
        <f t="shared" si="25"/>
        <v/>
      </c>
      <c r="P185" s="5"/>
      <c r="Q185" s="10" t="str">
        <f t="shared" si="26"/>
        <v/>
      </c>
      <c r="R185" s="5"/>
      <c r="S185" s="10" t="str">
        <f t="shared" si="27"/>
        <v/>
      </c>
      <c r="T185" s="5"/>
      <c r="U185" s="10" t="str">
        <f t="shared" si="28"/>
        <v/>
      </c>
      <c r="V185" s="4" t="str">
        <f t="shared" si="29"/>
        <v/>
      </c>
    </row>
    <row r="186" spans="1:22" x14ac:dyDescent="0.3">
      <c r="A186" s="5"/>
      <c r="B186" s="5"/>
      <c r="C186" s="5"/>
      <c r="D186" s="10" t="str">
        <f t="shared" si="20"/>
        <v/>
      </c>
      <c r="E186" s="5"/>
      <c r="F186" s="5"/>
      <c r="G186" s="5"/>
      <c r="H186" s="5"/>
      <c r="I186" s="10" t="str">
        <f t="shared" si="21"/>
        <v/>
      </c>
      <c r="J186" s="5"/>
      <c r="K186" s="10" t="str">
        <f t="shared" si="22"/>
        <v/>
      </c>
      <c r="L186" s="4" t="str">
        <f t="shared" si="23"/>
        <v/>
      </c>
      <c r="M186" s="4" t="str">
        <f t="shared" si="24"/>
        <v/>
      </c>
      <c r="N186" s="5"/>
      <c r="O186" s="4" t="str">
        <f t="shared" si="25"/>
        <v/>
      </c>
      <c r="P186" s="5"/>
      <c r="Q186" s="10" t="str">
        <f t="shared" si="26"/>
        <v/>
      </c>
      <c r="R186" s="5"/>
      <c r="S186" s="10" t="str">
        <f t="shared" si="27"/>
        <v/>
      </c>
      <c r="T186" s="5"/>
      <c r="U186" s="10" t="str">
        <f t="shared" si="28"/>
        <v/>
      </c>
      <c r="V186" s="4" t="str">
        <f t="shared" si="29"/>
        <v/>
      </c>
    </row>
    <row r="187" spans="1:22" x14ac:dyDescent="0.3">
      <c r="A187" s="5"/>
      <c r="B187" s="5"/>
      <c r="C187" s="5"/>
      <c r="D187" s="10" t="str">
        <f t="shared" si="20"/>
        <v/>
      </c>
      <c r="E187" s="5"/>
      <c r="F187" s="5"/>
      <c r="G187" s="5"/>
      <c r="H187" s="5"/>
      <c r="I187" s="10" t="str">
        <f t="shared" si="21"/>
        <v/>
      </c>
      <c r="J187" s="5"/>
      <c r="K187" s="10" t="str">
        <f t="shared" si="22"/>
        <v/>
      </c>
      <c r="L187" s="4" t="str">
        <f t="shared" si="23"/>
        <v/>
      </c>
      <c r="M187" s="4" t="str">
        <f t="shared" si="24"/>
        <v/>
      </c>
      <c r="N187" s="5"/>
      <c r="O187" s="4" t="str">
        <f t="shared" si="25"/>
        <v/>
      </c>
      <c r="P187" s="5"/>
      <c r="Q187" s="10" t="str">
        <f t="shared" si="26"/>
        <v/>
      </c>
      <c r="R187" s="5"/>
      <c r="S187" s="10" t="str">
        <f t="shared" si="27"/>
        <v/>
      </c>
      <c r="T187" s="5"/>
      <c r="U187" s="10" t="str">
        <f t="shared" si="28"/>
        <v/>
      </c>
      <c r="V187" s="4" t="str">
        <f t="shared" si="29"/>
        <v/>
      </c>
    </row>
    <row r="188" spans="1:22" x14ac:dyDescent="0.3">
      <c r="A188" s="5"/>
      <c r="B188" s="5"/>
      <c r="C188" s="5"/>
      <c r="D188" s="10" t="str">
        <f t="shared" si="20"/>
        <v/>
      </c>
      <c r="E188" s="5"/>
      <c r="F188" s="5"/>
      <c r="G188" s="5"/>
      <c r="H188" s="5"/>
      <c r="I188" s="10" t="str">
        <f t="shared" si="21"/>
        <v/>
      </c>
      <c r="J188" s="5"/>
      <c r="K188" s="10" t="str">
        <f t="shared" si="22"/>
        <v/>
      </c>
      <c r="L188" s="4" t="str">
        <f t="shared" si="23"/>
        <v/>
      </c>
      <c r="M188" s="4" t="str">
        <f t="shared" si="24"/>
        <v/>
      </c>
      <c r="N188" s="5"/>
      <c r="O188" s="4" t="str">
        <f t="shared" si="25"/>
        <v/>
      </c>
      <c r="P188" s="5"/>
      <c r="Q188" s="10" t="str">
        <f t="shared" si="26"/>
        <v/>
      </c>
      <c r="R188" s="5"/>
      <c r="S188" s="10" t="str">
        <f t="shared" si="27"/>
        <v/>
      </c>
      <c r="T188" s="5"/>
      <c r="U188" s="10" t="str">
        <f t="shared" si="28"/>
        <v/>
      </c>
      <c r="V188" s="4" t="str">
        <f t="shared" si="29"/>
        <v/>
      </c>
    </row>
    <row r="189" spans="1:22" x14ac:dyDescent="0.3">
      <c r="A189" s="5"/>
      <c r="B189" s="5"/>
      <c r="C189" s="5"/>
      <c r="D189" s="10" t="str">
        <f t="shared" si="20"/>
        <v/>
      </c>
      <c r="E189" s="5"/>
      <c r="F189" s="5"/>
      <c r="G189" s="5"/>
      <c r="H189" s="5"/>
      <c r="I189" s="10" t="str">
        <f t="shared" si="21"/>
        <v/>
      </c>
      <c r="J189" s="5"/>
      <c r="K189" s="10" t="str">
        <f t="shared" si="22"/>
        <v/>
      </c>
      <c r="L189" s="4" t="str">
        <f t="shared" si="23"/>
        <v/>
      </c>
      <c r="M189" s="4" t="str">
        <f t="shared" si="24"/>
        <v/>
      </c>
      <c r="N189" s="5"/>
      <c r="O189" s="4" t="str">
        <f t="shared" si="25"/>
        <v/>
      </c>
      <c r="P189" s="5"/>
      <c r="Q189" s="10" t="str">
        <f t="shared" si="26"/>
        <v/>
      </c>
      <c r="R189" s="5"/>
      <c r="S189" s="10" t="str">
        <f t="shared" si="27"/>
        <v/>
      </c>
      <c r="T189" s="5"/>
      <c r="U189" s="10" t="str">
        <f t="shared" si="28"/>
        <v/>
      </c>
      <c r="V189" s="4" t="str">
        <f t="shared" si="29"/>
        <v/>
      </c>
    </row>
    <row r="190" spans="1:22" x14ac:dyDescent="0.3">
      <c r="A190" s="5"/>
      <c r="B190" s="5"/>
      <c r="C190" s="5"/>
      <c r="D190" s="10" t="str">
        <f t="shared" si="20"/>
        <v/>
      </c>
      <c r="E190" s="5"/>
      <c r="F190" s="5"/>
      <c r="G190" s="5"/>
      <c r="H190" s="5"/>
      <c r="I190" s="10" t="str">
        <f t="shared" si="21"/>
        <v/>
      </c>
      <c r="J190" s="5"/>
      <c r="K190" s="10" t="str">
        <f t="shared" si="22"/>
        <v/>
      </c>
      <c r="L190" s="4" t="str">
        <f t="shared" si="23"/>
        <v/>
      </c>
      <c r="M190" s="4" t="str">
        <f t="shared" si="24"/>
        <v/>
      </c>
      <c r="N190" s="5"/>
      <c r="O190" s="4" t="str">
        <f t="shared" si="25"/>
        <v/>
      </c>
      <c r="P190" s="5"/>
      <c r="Q190" s="10" t="str">
        <f t="shared" si="26"/>
        <v/>
      </c>
      <c r="R190" s="5"/>
      <c r="S190" s="10" t="str">
        <f t="shared" si="27"/>
        <v/>
      </c>
      <c r="T190" s="5"/>
      <c r="U190" s="10" t="str">
        <f t="shared" si="28"/>
        <v/>
      </c>
      <c r="V190" s="4" t="str">
        <f t="shared" si="29"/>
        <v/>
      </c>
    </row>
    <row r="191" spans="1:22" x14ac:dyDescent="0.3">
      <c r="A191" s="5"/>
      <c r="B191" s="5"/>
      <c r="C191" s="5"/>
      <c r="D191" s="10" t="str">
        <f t="shared" si="20"/>
        <v/>
      </c>
      <c r="E191" s="5"/>
      <c r="F191" s="5"/>
      <c r="G191" s="5"/>
      <c r="H191" s="5"/>
      <c r="I191" s="10" t="str">
        <f t="shared" si="21"/>
        <v/>
      </c>
      <c r="J191" s="5"/>
      <c r="K191" s="10" t="str">
        <f t="shared" si="22"/>
        <v/>
      </c>
      <c r="L191" s="4" t="str">
        <f t="shared" si="23"/>
        <v/>
      </c>
      <c r="M191" s="4" t="str">
        <f t="shared" si="24"/>
        <v/>
      </c>
      <c r="N191" s="5"/>
      <c r="O191" s="4" t="str">
        <f t="shared" si="25"/>
        <v/>
      </c>
      <c r="P191" s="5"/>
      <c r="Q191" s="10" t="str">
        <f t="shared" si="26"/>
        <v/>
      </c>
      <c r="R191" s="5"/>
      <c r="S191" s="10" t="str">
        <f t="shared" si="27"/>
        <v/>
      </c>
      <c r="T191" s="5"/>
      <c r="U191" s="10" t="str">
        <f t="shared" si="28"/>
        <v/>
      </c>
      <c r="V191" s="4" t="str">
        <f t="shared" si="29"/>
        <v/>
      </c>
    </row>
    <row r="192" spans="1:22" x14ac:dyDescent="0.3">
      <c r="A192" s="5"/>
      <c r="B192" s="5"/>
      <c r="C192" s="5"/>
      <c r="D192" s="10" t="str">
        <f t="shared" si="20"/>
        <v/>
      </c>
      <c r="E192" s="5"/>
      <c r="F192" s="5"/>
      <c r="G192" s="5"/>
      <c r="H192" s="5"/>
      <c r="I192" s="10" t="str">
        <f t="shared" si="21"/>
        <v/>
      </c>
      <c r="J192" s="5"/>
      <c r="K192" s="10" t="str">
        <f t="shared" si="22"/>
        <v/>
      </c>
      <c r="L192" s="4" t="str">
        <f t="shared" si="23"/>
        <v/>
      </c>
      <c r="M192" s="4" t="str">
        <f t="shared" si="24"/>
        <v/>
      </c>
      <c r="N192" s="5"/>
      <c r="O192" s="4" t="str">
        <f t="shared" si="25"/>
        <v/>
      </c>
      <c r="P192" s="5"/>
      <c r="Q192" s="10" t="str">
        <f t="shared" si="26"/>
        <v/>
      </c>
      <c r="R192" s="5"/>
      <c r="S192" s="10" t="str">
        <f t="shared" si="27"/>
        <v/>
      </c>
      <c r="T192" s="5"/>
      <c r="U192" s="10" t="str">
        <f t="shared" si="28"/>
        <v/>
      </c>
      <c r="V192" s="4" t="str">
        <f t="shared" si="29"/>
        <v/>
      </c>
    </row>
    <row r="193" spans="1:22" x14ac:dyDescent="0.3">
      <c r="A193" s="5"/>
      <c r="B193" s="5"/>
      <c r="C193" s="5"/>
      <c r="D193" s="10" t="str">
        <f t="shared" si="20"/>
        <v/>
      </c>
      <c r="E193" s="5"/>
      <c r="F193" s="5"/>
      <c r="G193" s="5"/>
      <c r="H193" s="5"/>
      <c r="I193" s="10" t="str">
        <f t="shared" si="21"/>
        <v/>
      </c>
      <c r="J193" s="5"/>
      <c r="K193" s="10" t="str">
        <f t="shared" si="22"/>
        <v/>
      </c>
      <c r="L193" s="4" t="str">
        <f t="shared" si="23"/>
        <v/>
      </c>
      <c r="M193" s="4" t="str">
        <f t="shared" si="24"/>
        <v/>
      </c>
      <c r="N193" s="5"/>
      <c r="O193" s="4" t="str">
        <f t="shared" si="25"/>
        <v/>
      </c>
      <c r="P193" s="5"/>
      <c r="Q193" s="10" t="str">
        <f t="shared" si="26"/>
        <v/>
      </c>
      <c r="R193" s="5"/>
      <c r="S193" s="10" t="str">
        <f t="shared" si="27"/>
        <v/>
      </c>
      <c r="T193" s="5"/>
      <c r="U193" s="10" t="str">
        <f t="shared" si="28"/>
        <v/>
      </c>
      <c r="V193" s="4" t="str">
        <f t="shared" si="29"/>
        <v/>
      </c>
    </row>
    <row r="194" spans="1:22" x14ac:dyDescent="0.3">
      <c r="A194" s="5"/>
      <c r="B194" s="5"/>
      <c r="C194" s="5"/>
      <c r="D194" s="10" t="str">
        <f t="shared" si="20"/>
        <v/>
      </c>
      <c r="E194" s="5"/>
      <c r="F194" s="5"/>
      <c r="G194" s="5"/>
      <c r="H194" s="5"/>
      <c r="I194" s="10" t="str">
        <f t="shared" si="21"/>
        <v/>
      </c>
      <c r="J194" s="5"/>
      <c r="K194" s="10" t="str">
        <f t="shared" si="22"/>
        <v/>
      </c>
      <c r="L194" s="4" t="str">
        <f t="shared" si="23"/>
        <v/>
      </c>
      <c r="M194" s="4" t="str">
        <f t="shared" si="24"/>
        <v/>
      </c>
      <c r="N194" s="5"/>
      <c r="O194" s="4" t="str">
        <f t="shared" si="25"/>
        <v/>
      </c>
      <c r="P194" s="5"/>
      <c r="Q194" s="10" t="str">
        <f t="shared" si="26"/>
        <v/>
      </c>
      <c r="R194" s="5"/>
      <c r="S194" s="10" t="str">
        <f t="shared" si="27"/>
        <v/>
      </c>
      <c r="T194" s="5"/>
      <c r="U194" s="10" t="str">
        <f t="shared" si="28"/>
        <v/>
      </c>
      <c r="V194" s="4" t="str">
        <f t="shared" si="29"/>
        <v/>
      </c>
    </row>
    <row r="195" spans="1:22" x14ac:dyDescent="0.3">
      <c r="A195" s="5"/>
      <c r="B195" s="5"/>
      <c r="C195" s="5"/>
      <c r="D195" s="10" t="str">
        <f t="shared" si="20"/>
        <v/>
      </c>
      <c r="E195" s="5"/>
      <c r="F195" s="5"/>
      <c r="G195" s="5"/>
      <c r="H195" s="5"/>
      <c r="I195" s="10" t="str">
        <f t="shared" si="21"/>
        <v/>
      </c>
      <c r="J195" s="5"/>
      <c r="K195" s="10" t="str">
        <f t="shared" si="22"/>
        <v/>
      </c>
      <c r="L195" s="4" t="str">
        <f t="shared" si="23"/>
        <v/>
      </c>
      <c r="M195" s="4" t="str">
        <f t="shared" si="24"/>
        <v/>
      </c>
      <c r="N195" s="5"/>
      <c r="O195" s="4" t="str">
        <f t="shared" si="25"/>
        <v/>
      </c>
      <c r="P195" s="5"/>
      <c r="Q195" s="10" t="str">
        <f t="shared" si="26"/>
        <v/>
      </c>
      <c r="R195" s="5"/>
      <c r="S195" s="10" t="str">
        <f t="shared" si="27"/>
        <v/>
      </c>
      <c r="T195" s="5"/>
      <c r="U195" s="10" t="str">
        <f t="shared" si="28"/>
        <v/>
      </c>
      <c r="V195" s="4" t="str">
        <f t="shared" si="29"/>
        <v/>
      </c>
    </row>
    <row r="196" spans="1:22" x14ac:dyDescent="0.3">
      <c r="A196" s="5"/>
      <c r="B196" s="5"/>
      <c r="C196" s="5"/>
      <c r="D196" s="10" t="str">
        <f t="shared" ref="D196:D259" si="30">IF(A196="","",IFERROR(INDEX(LIST_STMT_CODE,MATCH(C196,LIST_STMT_EN,0)),IFERROR(INDEX(LIST_STMT_CODE,MATCH(C196,LIST_STMT_HU,0)),"")))</f>
        <v/>
      </c>
      <c r="E196" s="5"/>
      <c r="F196" s="5"/>
      <c r="G196" s="5"/>
      <c r="H196" s="5"/>
      <c r="I196" s="10" t="str">
        <f t="shared" ref="I196:I259" si="31">IF(A196="","",IFERROR(INDEX(LIST_CAT_CODE,MATCH(H196,LIST_CAT_EN,0)),IFERROR(INDEX(LIST_CAT_CODE,MATCH(H196,LIST_CAT_HU,0)),"")))</f>
        <v/>
      </c>
      <c r="J196" s="5"/>
      <c r="K196" s="10" t="str">
        <f t="shared" ref="K196:K259" si="32">IF(A196="","",IFERROR(INDEX(LIST_MBA_CODE,MATCH(J196,LIST_MBA_EN,0)),IFERROR(INDEX(LIST_MBA_CODE,MATCH(J196,LIST_MBA_HU,0)),"-")))</f>
        <v/>
      </c>
      <c r="L196" s="4" t="str">
        <f t="shared" ref="L196:L259" si="33">IF(OR(A196="",D196&lt;&gt;"PL"),"",IF(AND(K196="INV",MbaInvest="Yes"),"OP",IF(AND(K196="FIN",MbaFinance="Yes"),"OP",I196)))</f>
        <v/>
      </c>
      <c r="M196" s="4" t="str">
        <f t="shared" ref="M196:M259" si="34">IF(A196="","",IF(AND(D196="PL",L196="OP",F196&lt;&gt;""),IF(ExpIsFunction,F196,G196),E196))</f>
        <v/>
      </c>
      <c r="N196" s="5"/>
      <c r="O196" s="4" t="str">
        <f t="shared" ref="O196:O259" si="35">IF(A196="","",IF(N196="",L196,IFERROR(INDEX(COA_CAT_EFF,MATCH(N196,COA_ACCT,0)),L196)))</f>
        <v/>
      </c>
      <c r="P196" s="5"/>
      <c r="Q196" s="10" t="str">
        <f t="shared" ref="Q196:Q259" si="36">IF(A196="","",IFERROR(INDEX(LIST_CF_CODE,MATCH(P196,LIST_CF_EN,0)),IFERROR(INDEX(LIST_CF_CODE,MATCH(P196,LIST_CF_HU,0)),"-")))</f>
        <v/>
      </c>
      <c r="R196" s="5"/>
      <c r="S196" s="10" t="str">
        <f t="shared" ref="S196:S259" si="37">IF(A196="","",IFERROR(INDEX(LIST_SCE_CODE,MATCH(R196,LIST_SCE_EN,0)),IFERROR(INDEX(LIST_SCE_CODE,MATCH(R196,LIST_SCE_HU,0)),"")))</f>
        <v/>
      </c>
      <c r="T196" s="5"/>
      <c r="U196" s="10" t="str">
        <f t="shared" ref="U196:U259" si="38">IF(A196="","",IFERROR(INDEX(LIST_YN_CODE,MATCH(T196,LIST_YN_EN,0)),IFERROR(INDEX(LIST_YN_CODE,MATCH(T196,LIST_YN_HU,0)),"No")))</f>
        <v/>
      </c>
      <c r="V196" s="4" t="str">
        <f t="shared" ref="V196:V259" si="39">IF(A196="","",TRIM(IF(D196="",IFERROR(INDEX(DICT_ACTIVE,MATCH("COA.ERR.NOSTMT",DICT_KEY,0)),"")&amp;" ","")&amp;IF(OR(M196="",ISNA(MATCH(M196,ENG_KEY,0))),IFERROR(INDEX(DICT_ACTIVE,MATCH("COA.ERR.NOKEY",DICT_KEY,0)),"")&amp;" ","")&amp;IF(AND(D196="PL",I196=""),IFERROR(INDEX(DICT_ACTIVE,MATCH("COA.ERR.NOCAT",DICT_KEY,0)),"")&amp;" ","")&amp;IF(AND(D196="PL",L196="OP",E196="",OR(F196="",G196="")),IFERROR(INDEX(DICT_ACTIVE,MATCH("COA.ERR.NOFN",DICT_KEY,0)),"")&amp;" ","")&amp;IF(AND(M196&lt;&gt;"",NOT(ISNA(MATCH(M196,ENG_KEY,0))),D196&lt;&gt;""),IF(INDEX(ENG_STMT,MATCH(M196,ENG_KEY,0))&lt;&gt;D196,IFERROR(INDEX(DICT_ACTIVE,MATCH("COA.ERR.STMT",DICT_KEY,0)),"")&amp;" ",""),"")))</f>
        <v/>
      </c>
    </row>
    <row r="197" spans="1:22" x14ac:dyDescent="0.3">
      <c r="A197" s="5"/>
      <c r="B197" s="5"/>
      <c r="C197" s="5"/>
      <c r="D197" s="10" t="str">
        <f t="shared" si="30"/>
        <v/>
      </c>
      <c r="E197" s="5"/>
      <c r="F197" s="5"/>
      <c r="G197" s="5"/>
      <c r="H197" s="5"/>
      <c r="I197" s="10" t="str">
        <f t="shared" si="31"/>
        <v/>
      </c>
      <c r="J197" s="5"/>
      <c r="K197" s="10" t="str">
        <f t="shared" si="32"/>
        <v/>
      </c>
      <c r="L197" s="4" t="str">
        <f t="shared" si="33"/>
        <v/>
      </c>
      <c r="M197" s="4" t="str">
        <f t="shared" si="34"/>
        <v/>
      </c>
      <c r="N197" s="5"/>
      <c r="O197" s="4" t="str">
        <f t="shared" si="35"/>
        <v/>
      </c>
      <c r="P197" s="5"/>
      <c r="Q197" s="10" t="str">
        <f t="shared" si="36"/>
        <v/>
      </c>
      <c r="R197" s="5"/>
      <c r="S197" s="10" t="str">
        <f t="shared" si="37"/>
        <v/>
      </c>
      <c r="T197" s="5"/>
      <c r="U197" s="10" t="str">
        <f t="shared" si="38"/>
        <v/>
      </c>
      <c r="V197" s="4" t="str">
        <f t="shared" si="39"/>
        <v/>
      </c>
    </row>
    <row r="198" spans="1:22" x14ac:dyDescent="0.3">
      <c r="A198" s="5"/>
      <c r="B198" s="5"/>
      <c r="C198" s="5"/>
      <c r="D198" s="10" t="str">
        <f t="shared" si="30"/>
        <v/>
      </c>
      <c r="E198" s="5"/>
      <c r="F198" s="5"/>
      <c r="G198" s="5"/>
      <c r="H198" s="5"/>
      <c r="I198" s="10" t="str">
        <f t="shared" si="31"/>
        <v/>
      </c>
      <c r="J198" s="5"/>
      <c r="K198" s="10" t="str">
        <f t="shared" si="32"/>
        <v/>
      </c>
      <c r="L198" s="4" t="str">
        <f t="shared" si="33"/>
        <v/>
      </c>
      <c r="M198" s="4" t="str">
        <f t="shared" si="34"/>
        <v/>
      </c>
      <c r="N198" s="5"/>
      <c r="O198" s="4" t="str">
        <f t="shared" si="35"/>
        <v/>
      </c>
      <c r="P198" s="5"/>
      <c r="Q198" s="10" t="str">
        <f t="shared" si="36"/>
        <v/>
      </c>
      <c r="R198" s="5"/>
      <c r="S198" s="10" t="str">
        <f t="shared" si="37"/>
        <v/>
      </c>
      <c r="T198" s="5"/>
      <c r="U198" s="10" t="str">
        <f t="shared" si="38"/>
        <v/>
      </c>
      <c r="V198" s="4" t="str">
        <f t="shared" si="39"/>
        <v/>
      </c>
    </row>
    <row r="199" spans="1:22" x14ac:dyDescent="0.3">
      <c r="A199" s="5"/>
      <c r="B199" s="5"/>
      <c r="C199" s="5"/>
      <c r="D199" s="10" t="str">
        <f t="shared" si="30"/>
        <v/>
      </c>
      <c r="E199" s="5"/>
      <c r="F199" s="5"/>
      <c r="G199" s="5"/>
      <c r="H199" s="5"/>
      <c r="I199" s="10" t="str">
        <f t="shared" si="31"/>
        <v/>
      </c>
      <c r="J199" s="5"/>
      <c r="K199" s="10" t="str">
        <f t="shared" si="32"/>
        <v/>
      </c>
      <c r="L199" s="4" t="str">
        <f t="shared" si="33"/>
        <v/>
      </c>
      <c r="M199" s="4" t="str">
        <f t="shared" si="34"/>
        <v/>
      </c>
      <c r="N199" s="5"/>
      <c r="O199" s="4" t="str">
        <f t="shared" si="35"/>
        <v/>
      </c>
      <c r="P199" s="5"/>
      <c r="Q199" s="10" t="str">
        <f t="shared" si="36"/>
        <v/>
      </c>
      <c r="R199" s="5"/>
      <c r="S199" s="10" t="str">
        <f t="shared" si="37"/>
        <v/>
      </c>
      <c r="T199" s="5"/>
      <c r="U199" s="10" t="str">
        <f t="shared" si="38"/>
        <v/>
      </c>
      <c r="V199" s="4" t="str">
        <f t="shared" si="39"/>
        <v/>
      </c>
    </row>
    <row r="200" spans="1:22" x14ac:dyDescent="0.3">
      <c r="A200" s="5"/>
      <c r="B200" s="5"/>
      <c r="C200" s="5"/>
      <c r="D200" s="10" t="str">
        <f t="shared" si="30"/>
        <v/>
      </c>
      <c r="E200" s="5"/>
      <c r="F200" s="5"/>
      <c r="G200" s="5"/>
      <c r="H200" s="5"/>
      <c r="I200" s="10" t="str">
        <f t="shared" si="31"/>
        <v/>
      </c>
      <c r="J200" s="5"/>
      <c r="K200" s="10" t="str">
        <f t="shared" si="32"/>
        <v/>
      </c>
      <c r="L200" s="4" t="str">
        <f t="shared" si="33"/>
        <v/>
      </c>
      <c r="M200" s="4" t="str">
        <f t="shared" si="34"/>
        <v/>
      </c>
      <c r="N200" s="5"/>
      <c r="O200" s="4" t="str">
        <f t="shared" si="35"/>
        <v/>
      </c>
      <c r="P200" s="5"/>
      <c r="Q200" s="10" t="str">
        <f t="shared" si="36"/>
        <v/>
      </c>
      <c r="R200" s="5"/>
      <c r="S200" s="10" t="str">
        <f t="shared" si="37"/>
        <v/>
      </c>
      <c r="T200" s="5"/>
      <c r="U200" s="10" t="str">
        <f t="shared" si="38"/>
        <v/>
      </c>
      <c r="V200" s="4" t="str">
        <f t="shared" si="39"/>
        <v/>
      </c>
    </row>
    <row r="201" spans="1:22" x14ac:dyDescent="0.3">
      <c r="A201" s="5"/>
      <c r="B201" s="5"/>
      <c r="C201" s="5"/>
      <c r="D201" s="10" t="str">
        <f t="shared" si="30"/>
        <v/>
      </c>
      <c r="E201" s="5"/>
      <c r="F201" s="5"/>
      <c r="G201" s="5"/>
      <c r="H201" s="5"/>
      <c r="I201" s="10" t="str">
        <f t="shared" si="31"/>
        <v/>
      </c>
      <c r="J201" s="5"/>
      <c r="K201" s="10" t="str">
        <f t="shared" si="32"/>
        <v/>
      </c>
      <c r="L201" s="4" t="str">
        <f t="shared" si="33"/>
        <v/>
      </c>
      <c r="M201" s="4" t="str">
        <f t="shared" si="34"/>
        <v/>
      </c>
      <c r="N201" s="5"/>
      <c r="O201" s="4" t="str">
        <f t="shared" si="35"/>
        <v/>
      </c>
      <c r="P201" s="5"/>
      <c r="Q201" s="10" t="str">
        <f t="shared" si="36"/>
        <v/>
      </c>
      <c r="R201" s="5"/>
      <c r="S201" s="10" t="str">
        <f t="shared" si="37"/>
        <v/>
      </c>
      <c r="T201" s="5"/>
      <c r="U201" s="10" t="str">
        <f t="shared" si="38"/>
        <v/>
      </c>
      <c r="V201" s="4" t="str">
        <f t="shared" si="39"/>
        <v/>
      </c>
    </row>
    <row r="202" spans="1:22" x14ac:dyDescent="0.3">
      <c r="A202" s="5"/>
      <c r="B202" s="5"/>
      <c r="C202" s="5"/>
      <c r="D202" s="10" t="str">
        <f t="shared" si="30"/>
        <v/>
      </c>
      <c r="E202" s="5"/>
      <c r="F202" s="5"/>
      <c r="G202" s="5"/>
      <c r="H202" s="5"/>
      <c r="I202" s="10" t="str">
        <f t="shared" si="31"/>
        <v/>
      </c>
      <c r="J202" s="5"/>
      <c r="K202" s="10" t="str">
        <f t="shared" si="32"/>
        <v/>
      </c>
      <c r="L202" s="4" t="str">
        <f t="shared" si="33"/>
        <v/>
      </c>
      <c r="M202" s="4" t="str">
        <f t="shared" si="34"/>
        <v/>
      </c>
      <c r="N202" s="5"/>
      <c r="O202" s="4" t="str">
        <f t="shared" si="35"/>
        <v/>
      </c>
      <c r="P202" s="5"/>
      <c r="Q202" s="10" t="str">
        <f t="shared" si="36"/>
        <v/>
      </c>
      <c r="R202" s="5"/>
      <c r="S202" s="10" t="str">
        <f t="shared" si="37"/>
        <v/>
      </c>
      <c r="T202" s="5"/>
      <c r="U202" s="10" t="str">
        <f t="shared" si="38"/>
        <v/>
      </c>
      <c r="V202" s="4" t="str">
        <f t="shared" si="39"/>
        <v/>
      </c>
    </row>
    <row r="203" spans="1:22" x14ac:dyDescent="0.3">
      <c r="A203" s="5"/>
      <c r="B203" s="5"/>
      <c r="C203" s="5"/>
      <c r="D203" s="10" t="str">
        <f t="shared" si="30"/>
        <v/>
      </c>
      <c r="E203" s="5"/>
      <c r="F203" s="5"/>
      <c r="G203" s="5"/>
      <c r="H203" s="5"/>
      <c r="I203" s="10" t="str">
        <f t="shared" si="31"/>
        <v/>
      </c>
      <c r="J203" s="5"/>
      <c r="K203" s="10" t="str">
        <f t="shared" si="32"/>
        <v/>
      </c>
      <c r="L203" s="4" t="str">
        <f t="shared" si="33"/>
        <v/>
      </c>
      <c r="M203" s="4" t="str">
        <f t="shared" si="34"/>
        <v/>
      </c>
      <c r="N203" s="5"/>
      <c r="O203" s="4" t="str">
        <f t="shared" si="35"/>
        <v/>
      </c>
      <c r="P203" s="5"/>
      <c r="Q203" s="10" t="str">
        <f t="shared" si="36"/>
        <v/>
      </c>
      <c r="R203" s="5"/>
      <c r="S203" s="10" t="str">
        <f t="shared" si="37"/>
        <v/>
      </c>
      <c r="T203" s="5"/>
      <c r="U203" s="10" t="str">
        <f t="shared" si="38"/>
        <v/>
      </c>
      <c r="V203" s="4" t="str">
        <f t="shared" si="39"/>
        <v/>
      </c>
    </row>
    <row r="204" spans="1:22" x14ac:dyDescent="0.3">
      <c r="A204" s="5"/>
      <c r="B204" s="5"/>
      <c r="C204" s="5"/>
      <c r="D204" s="10" t="str">
        <f t="shared" si="30"/>
        <v/>
      </c>
      <c r="E204" s="5"/>
      <c r="F204" s="5"/>
      <c r="G204" s="5"/>
      <c r="H204" s="5"/>
      <c r="I204" s="10" t="str">
        <f t="shared" si="31"/>
        <v/>
      </c>
      <c r="J204" s="5"/>
      <c r="K204" s="10" t="str">
        <f t="shared" si="32"/>
        <v/>
      </c>
      <c r="L204" s="4" t="str">
        <f t="shared" si="33"/>
        <v/>
      </c>
      <c r="M204" s="4" t="str">
        <f t="shared" si="34"/>
        <v/>
      </c>
      <c r="N204" s="5"/>
      <c r="O204" s="4" t="str">
        <f t="shared" si="35"/>
        <v/>
      </c>
      <c r="P204" s="5"/>
      <c r="Q204" s="10" t="str">
        <f t="shared" si="36"/>
        <v/>
      </c>
      <c r="R204" s="5"/>
      <c r="S204" s="10" t="str">
        <f t="shared" si="37"/>
        <v/>
      </c>
      <c r="T204" s="5"/>
      <c r="U204" s="10" t="str">
        <f t="shared" si="38"/>
        <v/>
      </c>
      <c r="V204" s="4" t="str">
        <f t="shared" si="39"/>
        <v/>
      </c>
    </row>
    <row r="205" spans="1:22" x14ac:dyDescent="0.3">
      <c r="A205" s="5"/>
      <c r="B205" s="5"/>
      <c r="C205" s="5"/>
      <c r="D205" s="10" t="str">
        <f t="shared" si="30"/>
        <v/>
      </c>
      <c r="E205" s="5"/>
      <c r="F205" s="5"/>
      <c r="G205" s="5"/>
      <c r="H205" s="5"/>
      <c r="I205" s="10" t="str">
        <f t="shared" si="31"/>
        <v/>
      </c>
      <c r="J205" s="5"/>
      <c r="K205" s="10" t="str">
        <f t="shared" si="32"/>
        <v/>
      </c>
      <c r="L205" s="4" t="str">
        <f t="shared" si="33"/>
        <v/>
      </c>
      <c r="M205" s="4" t="str">
        <f t="shared" si="34"/>
        <v/>
      </c>
      <c r="N205" s="5"/>
      <c r="O205" s="4" t="str">
        <f t="shared" si="35"/>
        <v/>
      </c>
      <c r="P205" s="5"/>
      <c r="Q205" s="10" t="str">
        <f t="shared" si="36"/>
        <v/>
      </c>
      <c r="R205" s="5"/>
      <c r="S205" s="10" t="str">
        <f t="shared" si="37"/>
        <v/>
      </c>
      <c r="T205" s="5"/>
      <c r="U205" s="10" t="str">
        <f t="shared" si="38"/>
        <v/>
      </c>
      <c r="V205" s="4" t="str">
        <f t="shared" si="39"/>
        <v/>
      </c>
    </row>
    <row r="206" spans="1:22" x14ac:dyDescent="0.3">
      <c r="A206" s="5"/>
      <c r="B206" s="5"/>
      <c r="C206" s="5"/>
      <c r="D206" s="10" t="str">
        <f t="shared" si="30"/>
        <v/>
      </c>
      <c r="E206" s="5"/>
      <c r="F206" s="5"/>
      <c r="G206" s="5"/>
      <c r="H206" s="5"/>
      <c r="I206" s="10" t="str">
        <f t="shared" si="31"/>
        <v/>
      </c>
      <c r="J206" s="5"/>
      <c r="K206" s="10" t="str">
        <f t="shared" si="32"/>
        <v/>
      </c>
      <c r="L206" s="4" t="str">
        <f t="shared" si="33"/>
        <v/>
      </c>
      <c r="M206" s="4" t="str">
        <f t="shared" si="34"/>
        <v/>
      </c>
      <c r="N206" s="5"/>
      <c r="O206" s="4" t="str">
        <f t="shared" si="35"/>
        <v/>
      </c>
      <c r="P206" s="5"/>
      <c r="Q206" s="10" t="str">
        <f t="shared" si="36"/>
        <v/>
      </c>
      <c r="R206" s="5"/>
      <c r="S206" s="10" t="str">
        <f t="shared" si="37"/>
        <v/>
      </c>
      <c r="T206" s="5"/>
      <c r="U206" s="10" t="str">
        <f t="shared" si="38"/>
        <v/>
      </c>
      <c r="V206" s="4" t="str">
        <f t="shared" si="39"/>
        <v/>
      </c>
    </row>
    <row r="207" spans="1:22" x14ac:dyDescent="0.3">
      <c r="A207" s="5"/>
      <c r="B207" s="5"/>
      <c r="C207" s="5"/>
      <c r="D207" s="10" t="str">
        <f t="shared" si="30"/>
        <v/>
      </c>
      <c r="E207" s="5"/>
      <c r="F207" s="5"/>
      <c r="G207" s="5"/>
      <c r="H207" s="5"/>
      <c r="I207" s="10" t="str">
        <f t="shared" si="31"/>
        <v/>
      </c>
      <c r="J207" s="5"/>
      <c r="K207" s="10" t="str">
        <f t="shared" si="32"/>
        <v/>
      </c>
      <c r="L207" s="4" t="str">
        <f t="shared" si="33"/>
        <v/>
      </c>
      <c r="M207" s="4" t="str">
        <f t="shared" si="34"/>
        <v/>
      </c>
      <c r="N207" s="5"/>
      <c r="O207" s="4" t="str">
        <f t="shared" si="35"/>
        <v/>
      </c>
      <c r="P207" s="5"/>
      <c r="Q207" s="10" t="str">
        <f t="shared" si="36"/>
        <v/>
      </c>
      <c r="R207" s="5"/>
      <c r="S207" s="10" t="str">
        <f t="shared" si="37"/>
        <v/>
      </c>
      <c r="T207" s="5"/>
      <c r="U207" s="10" t="str">
        <f t="shared" si="38"/>
        <v/>
      </c>
      <c r="V207" s="4" t="str">
        <f t="shared" si="39"/>
        <v/>
      </c>
    </row>
    <row r="208" spans="1:22" x14ac:dyDescent="0.3">
      <c r="A208" s="5"/>
      <c r="B208" s="5"/>
      <c r="C208" s="5"/>
      <c r="D208" s="10" t="str">
        <f t="shared" si="30"/>
        <v/>
      </c>
      <c r="E208" s="5"/>
      <c r="F208" s="5"/>
      <c r="G208" s="5"/>
      <c r="H208" s="5"/>
      <c r="I208" s="10" t="str">
        <f t="shared" si="31"/>
        <v/>
      </c>
      <c r="J208" s="5"/>
      <c r="K208" s="10" t="str">
        <f t="shared" si="32"/>
        <v/>
      </c>
      <c r="L208" s="4" t="str">
        <f t="shared" si="33"/>
        <v/>
      </c>
      <c r="M208" s="4" t="str">
        <f t="shared" si="34"/>
        <v/>
      </c>
      <c r="N208" s="5"/>
      <c r="O208" s="4" t="str">
        <f t="shared" si="35"/>
        <v/>
      </c>
      <c r="P208" s="5"/>
      <c r="Q208" s="10" t="str">
        <f t="shared" si="36"/>
        <v/>
      </c>
      <c r="R208" s="5"/>
      <c r="S208" s="10" t="str">
        <f t="shared" si="37"/>
        <v/>
      </c>
      <c r="T208" s="5"/>
      <c r="U208" s="10" t="str">
        <f t="shared" si="38"/>
        <v/>
      </c>
      <c r="V208" s="4" t="str">
        <f t="shared" si="39"/>
        <v/>
      </c>
    </row>
    <row r="209" spans="1:22" x14ac:dyDescent="0.3">
      <c r="A209" s="5"/>
      <c r="B209" s="5"/>
      <c r="C209" s="5"/>
      <c r="D209" s="10" t="str">
        <f t="shared" si="30"/>
        <v/>
      </c>
      <c r="E209" s="5"/>
      <c r="F209" s="5"/>
      <c r="G209" s="5"/>
      <c r="H209" s="5"/>
      <c r="I209" s="10" t="str">
        <f t="shared" si="31"/>
        <v/>
      </c>
      <c r="J209" s="5"/>
      <c r="K209" s="10" t="str">
        <f t="shared" si="32"/>
        <v/>
      </c>
      <c r="L209" s="4" t="str">
        <f t="shared" si="33"/>
        <v/>
      </c>
      <c r="M209" s="4" t="str">
        <f t="shared" si="34"/>
        <v/>
      </c>
      <c r="N209" s="5"/>
      <c r="O209" s="4" t="str">
        <f t="shared" si="35"/>
        <v/>
      </c>
      <c r="P209" s="5"/>
      <c r="Q209" s="10" t="str">
        <f t="shared" si="36"/>
        <v/>
      </c>
      <c r="R209" s="5"/>
      <c r="S209" s="10" t="str">
        <f t="shared" si="37"/>
        <v/>
      </c>
      <c r="T209" s="5"/>
      <c r="U209" s="10" t="str">
        <f t="shared" si="38"/>
        <v/>
      </c>
      <c r="V209" s="4" t="str">
        <f t="shared" si="39"/>
        <v/>
      </c>
    </row>
    <row r="210" spans="1:22" x14ac:dyDescent="0.3">
      <c r="A210" s="5"/>
      <c r="B210" s="5"/>
      <c r="C210" s="5"/>
      <c r="D210" s="10" t="str">
        <f t="shared" si="30"/>
        <v/>
      </c>
      <c r="E210" s="5"/>
      <c r="F210" s="5"/>
      <c r="G210" s="5"/>
      <c r="H210" s="5"/>
      <c r="I210" s="10" t="str">
        <f t="shared" si="31"/>
        <v/>
      </c>
      <c r="J210" s="5"/>
      <c r="K210" s="10" t="str">
        <f t="shared" si="32"/>
        <v/>
      </c>
      <c r="L210" s="4" t="str">
        <f t="shared" si="33"/>
        <v/>
      </c>
      <c r="M210" s="4" t="str">
        <f t="shared" si="34"/>
        <v/>
      </c>
      <c r="N210" s="5"/>
      <c r="O210" s="4" t="str">
        <f t="shared" si="35"/>
        <v/>
      </c>
      <c r="P210" s="5"/>
      <c r="Q210" s="10" t="str">
        <f t="shared" si="36"/>
        <v/>
      </c>
      <c r="R210" s="5"/>
      <c r="S210" s="10" t="str">
        <f t="shared" si="37"/>
        <v/>
      </c>
      <c r="T210" s="5"/>
      <c r="U210" s="10" t="str">
        <f t="shared" si="38"/>
        <v/>
      </c>
      <c r="V210" s="4" t="str">
        <f t="shared" si="39"/>
        <v/>
      </c>
    </row>
    <row r="211" spans="1:22" x14ac:dyDescent="0.3">
      <c r="A211" s="5"/>
      <c r="B211" s="5"/>
      <c r="C211" s="5"/>
      <c r="D211" s="10" t="str">
        <f t="shared" si="30"/>
        <v/>
      </c>
      <c r="E211" s="5"/>
      <c r="F211" s="5"/>
      <c r="G211" s="5"/>
      <c r="H211" s="5"/>
      <c r="I211" s="10" t="str">
        <f t="shared" si="31"/>
        <v/>
      </c>
      <c r="J211" s="5"/>
      <c r="K211" s="10" t="str">
        <f t="shared" si="32"/>
        <v/>
      </c>
      <c r="L211" s="4" t="str">
        <f t="shared" si="33"/>
        <v/>
      </c>
      <c r="M211" s="4" t="str">
        <f t="shared" si="34"/>
        <v/>
      </c>
      <c r="N211" s="5"/>
      <c r="O211" s="4" t="str">
        <f t="shared" si="35"/>
        <v/>
      </c>
      <c r="P211" s="5"/>
      <c r="Q211" s="10" t="str">
        <f t="shared" si="36"/>
        <v/>
      </c>
      <c r="R211" s="5"/>
      <c r="S211" s="10" t="str">
        <f t="shared" si="37"/>
        <v/>
      </c>
      <c r="T211" s="5"/>
      <c r="U211" s="10" t="str">
        <f t="shared" si="38"/>
        <v/>
      </c>
      <c r="V211" s="4" t="str">
        <f t="shared" si="39"/>
        <v/>
      </c>
    </row>
    <row r="212" spans="1:22" x14ac:dyDescent="0.3">
      <c r="A212" s="5"/>
      <c r="B212" s="5"/>
      <c r="C212" s="5"/>
      <c r="D212" s="10" t="str">
        <f t="shared" si="30"/>
        <v/>
      </c>
      <c r="E212" s="5"/>
      <c r="F212" s="5"/>
      <c r="G212" s="5"/>
      <c r="H212" s="5"/>
      <c r="I212" s="10" t="str">
        <f t="shared" si="31"/>
        <v/>
      </c>
      <c r="J212" s="5"/>
      <c r="K212" s="10" t="str">
        <f t="shared" si="32"/>
        <v/>
      </c>
      <c r="L212" s="4" t="str">
        <f t="shared" si="33"/>
        <v/>
      </c>
      <c r="M212" s="4" t="str">
        <f t="shared" si="34"/>
        <v/>
      </c>
      <c r="N212" s="5"/>
      <c r="O212" s="4" t="str">
        <f t="shared" si="35"/>
        <v/>
      </c>
      <c r="P212" s="5"/>
      <c r="Q212" s="10" t="str">
        <f t="shared" si="36"/>
        <v/>
      </c>
      <c r="R212" s="5"/>
      <c r="S212" s="10" t="str">
        <f t="shared" si="37"/>
        <v/>
      </c>
      <c r="T212" s="5"/>
      <c r="U212" s="10" t="str">
        <f t="shared" si="38"/>
        <v/>
      </c>
      <c r="V212" s="4" t="str">
        <f t="shared" si="39"/>
        <v/>
      </c>
    </row>
    <row r="213" spans="1:22" x14ac:dyDescent="0.3">
      <c r="A213" s="5"/>
      <c r="B213" s="5"/>
      <c r="C213" s="5"/>
      <c r="D213" s="10" t="str">
        <f t="shared" si="30"/>
        <v/>
      </c>
      <c r="E213" s="5"/>
      <c r="F213" s="5"/>
      <c r="G213" s="5"/>
      <c r="H213" s="5"/>
      <c r="I213" s="10" t="str">
        <f t="shared" si="31"/>
        <v/>
      </c>
      <c r="J213" s="5"/>
      <c r="K213" s="10" t="str">
        <f t="shared" si="32"/>
        <v/>
      </c>
      <c r="L213" s="4" t="str">
        <f t="shared" si="33"/>
        <v/>
      </c>
      <c r="M213" s="4" t="str">
        <f t="shared" si="34"/>
        <v/>
      </c>
      <c r="N213" s="5"/>
      <c r="O213" s="4" t="str">
        <f t="shared" si="35"/>
        <v/>
      </c>
      <c r="P213" s="5"/>
      <c r="Q213" s="10" t="str">
        <f t="shared" si="36"/>
        <v/>
      </c>
      <c r="R213" s="5"/>
      <c r="S213" s="10" t="str">
        <f t="shared" si="37"/>
        <v/>
      </c>
      <c r="T213" s="5"/>
      <c r="U213" s="10" t="str">
        <f t="shared" si="38"/>
        <v/>
      </c>
      <c r="V213" s="4" t="str">
        <f t="shared" si="39"/>
        <v/>
      </c>
    </row>
    <row r="214" spans="1:22" x14ac:dyDescent="0.3">
      <c r="A214" s="5"/>
      <c r="B214" s="5"/>
      <c r="C214" s="5"/>
      <c r="D214" s="10" t="str">
        <f t="shared" si="30"/>
        <v/>
      </c>
      <c r="E214" s="5"/>
      <c r="F214" s="5"/>
      <c r="G214" s="5"/>
      <c r="H214" s="5"/>
      <c r="I214" s="10" t="str">
        <f t="shared" si="31"/>
        <v/>
      </c>
      <c r="J214" s="5"/>
      <c r="K214" s="10" t="str">
        <f t="shared" si="32"/>
        <v/>
      </c>
      <c r="L214" s="4" t="str">
        <f t="shared" si="33"/>
        <v/>
      </c>
      <c r="M214" s="4" t="str">
        <f t="shared" si="34"/>
        <v/>
      </c>
      <c r="N214" s="5"/>
      <c r="O214" s="4" t="str">
        <f t="shared" si="35"/>
        <v/>
      </c>
      <c r="P214" s="5"/>
      <c r="Q214" s="10" t="str">
        <f t="shared" si="36"/>
        <v/>
      </c>
      <c r="R214" s="5"/>
      <c r="S214" s="10" t="str">
        <f t="shared" si="37"/>
        <v/>
      </c>
      <c r="T214" s="5"/>
      <c r="U214" s="10" t="str">
        <f t="shared" si="38"/>
        <v/>
      </c>
      <c r="V214" s="4" t="str">
        <f t="shared" si="39"/>
        <v/>
      </c>
    </row>
    <row r="215" spans="1:22" x14ac:dyDescent="0.3">
      <c r="A215" s="5"/>
      <c r="B215" s="5"/>
      <c r="C215" s="5"/>
      <c r="D215" s="10" t="str">
        <f t="shared" si="30"/>
        <v/>
      </c>
      <c r="E215" s="5"/>
      <c r="F215" s="5"/>
      <c r="G215" s="5"/>
      <c r="H215" s="5"/>
      <c r="I215" s="10" t="str">
        <f t="shared" si="31"/>
        <v/>
      </c>
      <c r="J215" s="5"/>
      <c r="K215" s="10" t="str">
        <f t="shared" si="32"/>
        <v/>
      </c>
      <c r="L215" s="4" t="str">
        <f t="shared" si="33"/>
        <v/>
      </c>
      <c r="M215" s="4" t="str">
        <f t="shared" si="34"/>
        <v/>
      </c>
      <c r="N215" s="5"/>
      <c r="O215" s="4" t="str">
        <f t="shared" si="35"/>
        <v/>
      </c>
      <c r="P215" s="5"/>
      <c r="Q215" s="10" t="str">
        <f t="shared" si="36"/>
        <v/>
      </c>
      <c r="R215" s="5"/>
      <c r="S215" s="10" t="str">
        <f t="shared" si="37"/>
        <v/>
      </c>
      <c r="T215" s="5"/>
      <c r="U215" s="10" t="str">
        <f t="shared" si="38"/>
        <v/>
      </c>
      <c r="V215" s="4" t="str">
        <f t="shared" si="39"/>
        <v/>
      </c>
    </row>
    <row r="216" spans="1:22" x14ac:dyDescent="0.3">
      <c r="A216" s="5"/>
      <c r="B216" s="5"/>
      <c r="C216" s="5"/>
      <c r="D216" s="10" t="str">
        <f t="shared" si="30"/>
        <v/>
      </c>
      <c r="E216" s="5"/>
      <c r="F216" s="5"/>
      <c r="G216" s="5"/>
      <c r="H216" s="5"/>
      <c r="I216" s="10" t="str">
        <f t="shared" si="31"/>
        <v/>
      </c>
      <c r="J216" s="5"/>
      <c r="K216" s="10" t="str">
        <f t="shared" si="32"/>
        <v/>
      </c>
      <c r="L216" s="4" t="str">
        <f t="shared" si="33"/>
        <v/>
      </c>
      <c r="M216" s="4" t="str">
        <f t="shared" si="34"/>
        <v/>
      </c>
      <c r="N216" s="5"/>
      <c r="O216" s="4" t="str">
        <f t="shared" si="35"/>
        <v/>
      </c>
      <c r="P216" s="5"/>
      <c r="Q216" s="10" t="str">
        <f t="shared" si="36"/>
        <v/>
      </c>
      <c r="R216" s="5"/>
      <c r="S216" s="10" t="str">
        <f t="shared" si="37"/>
        <v/>
      </c>
      <c r="T216" s="5"/>
      <c r="U216" s="10" t="str">
        <f t="shared" si="38"/>
        <v/>
      </c>
      <c r="V216" s="4" t="str">
        <f t="shared" si="39"/>
        <v/>
      </c>
    </row>
    <row r="217" spans="1:22" x14ac:dyDescent="0.3">
      <c r="A217" s="5"/>
      <c r="B217" s="5"/>
      <c r="C217" s="5"/>
      <c r="D217" s="10" t="str">
        <f t="shared" si="30"/>
        <v/>
      </c>
      <c r="E217" s="5"/>
      <c r="F217" s="5"/>
      <c r="G217" s="5"/>
      <c r="H217" s="5"/>
      <c r="I217" s="10" t="str">
        <f t="shared" si="31"/>
        <v/>
      </c>
      <c r="J217" s="5"/>
      <c r="K217" s="10" t="str">
        <f t="shared" si="32"/>
        <v/>
      </c>
      <c r="L217" s="4" t="str">
        <f t="shared" si="33"/>
        <v/>
      </c>
      <c r="M217" s="4" t="str">
        <f t="shared" si="34"/>
        <v/>
      </c>
      <c r="N217" s="5"/>
      <c r="O217" s="4" t="str">
        <f t="shared" si="35"/>
        <v/>
      </c>
      <c r="P217" s="5"/>
      <c r="Q217" s="10" t="str">
        <f t="shared" si="36"/>
        <v/>
      </c>
      <c r="R217" s="5"/>
      <c r="S217" s="10" t="str">
        <f t="shared" si="37"/>
        <v/>
      </c>
      <c r="T217" s="5"/>
      <c r="U217" s="10" t="str">
        <f t="shared" si="38"/>
        <v/>
      </c>
      <c r="V217" s="4" t="str">
        <f t="shared" si="39"/>
        <v/>
      </c>
    </row>
    <row r="218" spans="1:22" x14ac:dyDescent="0.3">
      <c r="A218" s="5"/>
      <c r="B218" s="5"/>
      <c r="C218" s="5"/>
      <c r="D218" s="10" t="str">
        <f t="shared" si="30"/>
        <v/>
      </c>
      <c r="E218" s="5"/>
      <c r="F218" s="5"/>
      <c r="G218" s="5"/>
      <c r="H218" s="5"/>
      <c r="I218" s="10" t="str">
        <f t="shared" si="31"/>
        <v/>
      </c>
      <c r="J218" s="5"/>
      <c r="K218" s="10" t="str">
        <f t="shared" si="32"/>
        <v/>
      </c>
      <c r="L218" s="4" t="str">
        <f t="shared" si="33"/>
        <v/>
      </c>
      <c r="M218" s="4" t="str">
        <f t="shared" si="34"/>
        <v/>
      </c>
      <c r="N218" s="5"/>
      <c r="O218" s="4" t="str">
        <f t="shared" si="35"/>
        <v/>
      </c>
      <c r="P218" s="5"/>
      <c r="Q218" s="10" t="str">
        <f t="shared" si="36"/>
        <v/>
      </c>
      <c r="R218" s="5"/>
      <c r="S218" s="10" t="str">
        <f t="shared" si="37"/>
        <v/>
      </c>
      <c r="T218" s="5"/>
      <c r="U218" s="10" t="str">
        <f t="shared" si="38"/>
        <v/>
      </c>
      <c r="V218" s="4" t="str">
        <f t="shared" si="39"/>
        <v/>
      </c>
    </row>
    <row r="219" spans="1:22" x14ac:dyDescent="0.3">
      <c r="A219" s="5"/>
      <c r="B219" s="5"/>
      <c r="C219" s="5"/>
      <c r="D219" s="10" t="str">
        <f t="shared" si="30"/>
        <v/>
      </c>
      <c r="E219" s="5"/>
      <c r="F219" s="5"/>
      <c r="G219" s="5"/>
      <c r="H219" s="5"/>
      <c r="I219" s="10" t="str">
        <f t="shared" si="31"/>
        <v/>
      </c>
      <c r="J219" s="5"/>
      <c r="K219" s="10" t="str">
        <f t="shared" si="32"/>
        <v/>
      </c>
      <c r="L219" s="4" t="str">
        <f t="shared" si="33"/>
        <v/>
      </c>
      <c r="M219" s="4" t="str">
        <f t="shared" si="34"/>
        <v/>
      </c>
      <c r="N219" s="5"/>
      <c r="O219" s="4" t="str">
        <f t="shared" si="35"/>
        <v/>
      </c>
      <c r="P219" s="5"/>
      <c r="Q219" s="10" t="str">
        <f t="shared" si="36"/>
        <v/>
      </c>
      <c r="R219" s="5"/>
      <c r="S219" s="10" t="str">
        <f t="shared" si="37"/>
        <v/>
      </c>
      <c r="T219" s="5"/>
      <c r="U219" s="10" t="str">
        <f t="shared" si="38"/>
        <v/>
      </c>
      <c r="V219" s="4" t="str">
        <f t="shared" si="39"/>
        <v/>
      </c>
    </row>
    <row r="220" spans="1:22" x14ac:dyDescent="0.3">
      <c r="A220" s="5"/>
      <c r="B220" s="5"/>
      <c r="C220" s="5"/>
      <c r="D220" s="10" t="str">
        <f t="shared" si="30"/>
        <v/>
      </c>
      <c r="E220" s="5"/>
      <c r="F220" s="5"/>
      <c r="G220" s="5"/>
      <c r="H220" s="5"/>
      <c r="I220" s="10" t="str">
        <f t="shared" si="31"/>
        <v/>
      </c>
      <c r="J220" s="5"/>
      <c r="K220" s="10" t="str">
        <f t="shared" si="32"/>
        <v/>
      </c>
      <c r="L220" s="4" t="str">
        <f t="shared" si="33"/>
        <v/>
      </c>
      <c r="M220" s="4" t="str">
        <f t="shared" si="34"/>
        <v/>
      </c>
      <c r="N220" s="5"/>
      <c r="O220" s="4" t="str">
        <f t="shared" si="35"/>
        <v/>
      </c>
      <c r="P220" s="5"/>
      <c r="Q220" s="10" t="str">
        <f t="shared" si="36"/>
        <v/>
      </c>
      <c r="R220" s="5"/>
      <c r="S220" s="10" t="str">
        <f t="shared" si="37"/>
        <v/>
      </c>
      <c r="T220" s="5"/>
      <c r="U220" s="10" t="str">
        <f t="shared" si="38"/>
        <v/>
      </c>
      <c r="V220" s="4" t="str">
        <f t="shared" si="39"/>
        <v/>
      </c>
    </row>
    <row r="221" spans="1:22" x14ac:dyDescent="0.3">
      <c r="A221" s="5"/>
      <c r="B221" s="5"/>
      <c r="C221" s="5"/>
      <c r="D221" s="10" t="str">
        <f t="shared" si="30"/>
        <v/>
      </c>
      <c r="E221" s="5"/>
      <c r="F221" s="5"/>
      <c r="G221" s="5"/>
      <c r="H221" s="5"/>
      <c r="I221" s="10" t="str">
        <f t="shared" si="31"/>
        <v/>
      </c>
      <c r="J221" s="5"/>
      <c r="K221" s="10" t="str">
        <f t="shared" si="32"/>
        <v/>
      </c>
      <c r="L221" s="4" t="str">
        <f t="shared" si="33"/>
        <v/>
      </c>
      <c r="M221" s="4" t="str">
        <f t="shared" si="34"/>
        <v/>
      </c>
      <c r="N221" s="5"/>
      <c r="O221" s="4" t="str">
        <f t="shared" si="35"/>
        <v/>
      </c>
      <c r="P221" s="5"/>
      <c r="Q221" s="10" t="str">
        <f t="shared" si="36"/>
        <v/>
      </c>
      <c r="R221" s="5"/>
      <c r="S221" s="10" t="str">
        <f t="shared" si="37"/>
        <v/>
      </c>
      <c r="T221" s="5"/>
      <c r="U221" s="10" t="str">
        <f t="shared" si="38"/>
        <v/>
      </c>
      <c r="V221" s="4" t="str">
        <f t="shared" si="39"/>
        <v/>
      </c>
    </row>
    <row r="222" spans="1:22" x14ac:dyDescent="0.3">
      <c r="A222" s="5"/>
      <c r="B222" s="5"/>
      <c r="C222" s="5"/>
      <c r="D222" s="10" t="str">
        <f t="shared" si="30"/>
        <v/>
      </c>
      <c r="E222" s="5"/>
      <c r="F222" s="5"/>
      <c r="G222" s="5"/>
      <c r="H222" s="5"/>
      <c r="I222" s="10" t="str">
        <f t="shared" si="31"/>
        <v/>
      </c>
      <c r="J222" s="5"/>
      <c r="K222" s="10" t="str">
        <f t="shared" si="32"/>
        <v/>
      </c>
      <c r="L222" s="4" t="str">
        <f t="shared" si="33"/>
        <v/>
      </c>
      <c r="M222" s="4" t="str">
        <f t="shared" si="34"/>
        <v/>
      </c>
      <c r="N222" s="5"/>
      <c r="O222" s="4" t="str">
        <f t="shared" si="35"/>
        <v/>
      </c>
      <c r="P222" s="5"/>
      <c r="Q222" s="10" t="str">
        <f t="shared" si="36"/>
        <v/>
      </c>
      <c r="R222" s="5"/>
      <c r="S222" s="10" t="str">
        <f t="shared" si="37"/>
        <v/>
      </c>
      <c r="T222" s="5"/>
      <c r="U222" s="10" t="str">
        <f t="shared" si="38"/>
        <v/>
      </c>
      <c r="V222" s="4" t="str">
        <f t="shared" si="39"/>
        <v/>
      </c>
    </row>
    <row r="223" spans="1:22" x14ac:dyDescent="0.3">
      <c r="A223" s="5"/>
      <c r="B223" s="5"/>
      <c r="C223" s="5"/>
      <c r="D223" s="10" t="str">
        <f t="shared" si="30"/>
        <v/>
      </c>
      <c r="E223" s="5"/>
      <c r="F223" s="5"/>
      <c r="G223" s="5"/>
      <c r="H223" s="5"/>
      <c r="I223" s="10" t="str">
        <f t="shared" si="31"/>
        <v/>
      </c>
      <c r="J223" s="5"/>
      <c r="K223" s="10" t="str">
        <f t="shared" si="32"/>
        <v/>
      </c>
      <c r="L223" s="4" t="str">
        <f t="shared" si="33"/>
        <v/>
      </c>
      <c r="M223" s="4" t="str">
        <f t="shared" si="34"/>
        <v/>
      </c>
      <c r="N223" s="5"/>
      <c r="O223" s="4" t="str">
        <f t="shared" si="35"/>
        <v/>
      </c>
      <c r="P223" s="5"/>
      <c r="Q223" s="10" t="str">
        <f t="shared" si="36"/>
        <v/>
      </c>
      <c r="R223" s="5"/>
      <c r="S223" s="10" t="str">
        <f t="shared" si="37"/>
        <v/>
      </c>
      <c r="T223" s="5"/>
      <c r="U223" s="10" t="str">
        <f t="shared" si="38"/>
        <v/>
      </c>
      <c r="V223" s="4" t="str">
        <f t="shared" si="39"/>
        <v/>
      </c>
    </row>
    <row r="224" spans="1:22" x14ac:dyDescent="0.3">
      <c r="A224" s="5"/>
      <c r="B224" s="5"/>
      <c r="C224" s="5"/>
      <c r="D224" s="10" t="str">
        <f t="shared" si="30"/>
        <v/>
      </c>
      <c r="E224" s="5"/>
      <c r="F224" s="5"/>
      <c r="G224" s="5"/>
      <c r="H224" s="5"/>
      <c r="I224" s="10" t="str">
        <f t="shared" si="31"/>
        <v/>
      </c>
      <c r="J224" s="5"/>
      <c r="K224" s="10" t="str">
        <f t="shared" si="32"/>
        <v/>
      </c>
      <c r="L224" s="4" t="str">
        <f t="shared" si="33"/>
        <v/>
      </c>
      <c r="M224" s="4" t="str">
        <f t="shared" si="34"/>
        <v/>
      </c>
      <c r="N224" s="5"/>
      <c r="O224" s="4" t="str">
        <f t="shared" si="35"/>
        <v/>
      </c>
      <c r="P224" s="5"/>
      <c r="Q224" s="10" t="str">
        <f t="shared" si="36"/>
        <v/>
      </c>
      <c r="R224" s="5"/>
      <c r="S224" s="10" t="str">
        <f t="shared" si="37"/>
        <v/>
      </c>
      <c r="T224" s="5"/>
      <c r="U224" s="10" t="str">
        <f t="shared" si="38"/>
        <v/>
      </c>
      <c r="V224" s="4" t="str">
        <f t="shared" si="39"/>
        <v/>
      </c>
    </row>
    <row r="225" spans="1:22" x14ac:dyDescent="0.3">
      <c r="A225" s="5"/>
      <c r="B225" s="5"/>
      <c r="C225" s="5"/>
      <c r="D225" s="10" t="str">
        <f t="shared" si="30"/>
        <v/>
      </c>
      <c r="E225" s="5"/>
      <c r="F225" s="5"/>
      <c r="G225" s="5"/>
      <c r="H225" s="5"/>
      <c r="I225" s="10" t="str">
        <f t="shared" si="31"/>
        <v/>
      </c>
      <c r="J225" s="5"/>
      <c r="K225" s="10" t="str">
        <f t="shared" si="32"/>
        <v/>
      </c>
      <c r="L225" s="4" t="str">
        <f t="shared" si="33"/>
        <v/>
      </c>
      <c r="M225" s="4" t="str">
        <f t="shared" si="34"/>
        <v/>
      </c>
      <c r="N225" s="5"/>
      <c r="O225" s="4" t="str">
        <f t="shared" si="35"/>
        <v/>
      </c>
      <c r="P225" s="5"/>
      <c r="Q225" s="10" t="str">
        <f t="shared" si="36"/>
        <v/>
      </c>
      <c r="R225" s="5"/>
      <c r="S225" s="10" t="str">
        <f t="shared" si="37"/>
        <v/>
      </c>
      <c r="T225" s="5"/>
      <c r="U225" s="10" t="str">
        <f t="shared" si="38"/>
        <v/>
      </c>
      <c r="V225" s="4" t="str">
        <f t="shared" si="39"/>
        <v/>
      </c>
    </row>
    <row r="226" spans="1:22" x14ac:dyDescent="0.3">
      <c r="A226" s="5"/>
      <c r="B226" s="5"/>
      <c r="C226" s="5"/>
      <c r="D226" s="10" t="str">
        <f t="shared" si="30"/>
        <v/>
      </c>
      <c r="E226" s="5"/>
      <c r="F226" s="5"/>
      <c r="G226" s="5"/>
      <c r="H226" s="5"/>
      <c r="I226" s="10" t="str">
        <f t="shared" si="31"/>
        <v/>
      </c>
      <c r="J226" s="5"/>
      <c r="K226" s="10" t="str">
        <f t="shared" si="32"/>
        <v/>
      </c>
      <c r="L226" s="4" t="str">
        <f t="shared" si="33"/>
        <v/>
      </c>
      <c r="M226" s="4" t="str">
        <f t="shared" si="34"/>
        <v/>
      </c>
      <c r="N226" s="5"/>
      <c r="O226" s="4" t="str">
        <f t="shared" si="35"/>
        <v/>
      </c>
      <c r="P226" s="5"/>
      <c r="Q226" s="10" t="str">
        <f t="shared" si="36"/>
        <v/>
      </c>
      <c r="R226" s="5"/>
      <c r="S226" s="10" t="str">
        <f t="shared" si="37"/>
        <v/>
      </c>
      <c r="T226" s="5"/>
      <c r="U226" s="10" t="str">
        <f t="shared" si="38"/>
        <v/>
      </c>
      <c r="V226" s="4" t="str">
        <f t="shared" si="39"/>
        <v/>
      </c>
    </row>
    <row r="227" spans="1:22" x14ac:dyDescent="0.3">
      <c r="A227" s="5"/>
      <c r="B227" s="5"/>
      <c r="C227" s="5"/>
      <c r="D227" s="10" t="str">
        <f t="shared" si="30"/>
        <v/>
      </c>
      <c r="E227" s="5"/>
      <c r="F227" s="5"/>
      <c r="G227" s="5"/>
      <c r="H227" s="5"/>
      <c r="I227" s="10" t="str">
        <f t="shared" si="31"/>
        <v/>
      </c>
      <c r="J227" s="5"/>
      <c r="K227" s="10" t="str">
        <f t="shared" si="32"/>
        <v/>
      </c>
      <c r="L227" s="4" t="str">
        <f t="shared" si="33"/>
        <v/>
      </c>
      <c r="M227" s="4" t="str">
        <f t="shared" si="34"/>
        <v/>
      </c>
      <c r="N227" s="5"/>
      <c r="O227" s="4" t="str">
        <f t="shared" si="35"/>
        <v/>
      </c>
      <c r="P227" s="5"/>
      <c r="Q227" s="10" t="str">
        <f t="shared" si="36"/>
        <v/>
      </c>
      <c r="R227" s="5"/>
      <c r="S227" s="10" t="str">
        <f t="shared" si="37"/>
        <v/>
      </c>
      <c r="T227" s="5"/>
      <c r="U227" s="10" t="str">
        <f t="shared" si="38"/>
        <v/>
      </c>
      <c r="V227" s="4" t="str">
        <f t="shared" si="39"/>
        <v/>
      </c>
    </row>
    <row r="228" spans="1:22" x14ac:dyDescent="0.3">
      <c r="A228" s="5"/>
      <c r="B228" s="5"/>
      <c r="C228" s="5"/>
      <c r="D228" s="10" t="str">
        <f t="shared" si="30"/>
        <v/>
      </c>
      <c r="E228" s="5"/>
      <c r="F228" s="5"/>
      <c r="G228" s="5"/>
      <c r="H228" s="5"/>
      <c r="I228" s="10" t="str">
        <f t="shared" si="31"/>
        <v/>
      </c>
      <c r="J228" s="5"/>
      <c r="K228" s="10" t="str">
        <f t="shared" si="32"/>
        <v/>
      </c>
      <c r="L228" s="4" t="str">
        <f t="shared" si="33"/>
        <v/>
      </c>
      <c r="M228" s="4" t="str">
        <f t="shared" si="34"/>
        <v/>
      </c>
      <c r="N228" s="5"/>
      <c r="O228" s="4" t="str">
        <f t="shared" si="35"/>
        <v/>
      </c>
      <c r="P228" s="5"/>
      <c r="Q228" s="10" t="str">
        <f t="shared" si="36"/>
        <v/>
      </c>
      <c r="R228" s="5"/>
      <c r="S228" s="10" t="str">
        <f t="shared" si="37"/>
        <v/>
      </c>
      <c r="T228" s="5"/>
      <c r="U228" s="10" t="str">
        <f t="shared" si="38"/>
        <v/>
      </c>
      <c r="V228" s="4" t="str">
        <f t="shared" si="39"/>
        <v/>
      </c>
    </row>
    <row r="229" spans="1:22" x14ac:dyDescent="0.3">
      <c r="A229" s="5"/>
      <c r="B229" s="5"/>
      <c r="C229" s="5"/>
      <c r="D229" s="10" t="str">
        <f t="shared" si="30"/>
        <v/>
      </c>
      <c r="E229" s="5"/>
      <c r="F229" s="5"/>
      <c r="G229" s="5"/>
      <c r="H229" s="5"/>
      <c r="I229" s="10" t="str">
        <f t="shared" si="31"/>
        <v/>
      </c>
      <c r="J229" s="5"/>
      <c r="K229" s="10" t="str">
        <f t="shared" si="32"/>
        <v/>
      </c>
      <c r="L229" s="4" t="str">
        <f t="shared" si="33"/>
        <v/>
      </c>
      <c r="M229" s="4" t="str">
        <f t="shared" si="34"/>
        <v/>
      </c>
      <c r="N229" s="5"/>
      <c r="O229" s="4" t="str">
        <f t="shared" si="35"/>
        <v/>
      </c>
      <c r="P229" s="5"/>
      <c r="Q229" s="10" t="str">
        <f t="shared" si="36"/>
        <v/>
      </c>
      <c r="R229" s="5"/>
      <c r="S229" s="10" t="str">
        <f t="shared" si="37"/>
        <v/>
      </c>
      <c r="T229" s="5"/>
      <c r="U229" s="10" t="str">
        <f t="shared" si="38"/>
        <v/>
      </c>
      <c r="V229" s="4" t="str">
        <f t="shared" si="39"/>
        <v/>
      </c>
    </row>
    <row r="230" spans="1:22" x14ac:dyDescent="0.3">
      <c r="A230" s="5"/>
      <c r="B230" s="5"/>
      <c r="C230" s="5"/>
      <c r="D230" s="10" t="str">
        <f t="shared" si="30"/>
        <v/>
      </c>
      <c r="E230" s="5"/>
      <c r="F230" s="5"/>
      <c r="G230" s="5"/>
      <c r="H230" s="5"/>
      <c r="I230" s="10" t="str">
        <f t="shared" si="31"/>
        <v/>
      </c>
      <c r="J230" s="5"/>
      <c r="K230" s="10" t="str">
        <f t="shared" si="32"/>
        <v/>
      </c>
      <c r="L230" s="4" t="str">
        <f t="shared" si="33"/>
        <v/>
      </c>
      <c r="M230" s="4" t="str">
        <f t="shared" si="34"/>
        <v/>
      </c>
      <c r="N230" s="5"/>
      <c r="O230" s="4" t="str">
        <f t="shared" si="35"/>
        <v/>
      </c>
      <c r="P230" s="5"/>
      <c r="Q230" s="10" t="str">
        <f t="shared" si="36"/>
        <v/>
      </c>
      <c r="R230" s="5"/>
      <c r="S230" s="10" t="str">
        <f t="shared" si="37"/>
        <v/>
      </c>
      <c r="T230" s="5"/>
      <c r="U230" s="10" t="str">
        <f t="shared" si="38"/>
        <v/>
      </c>
      <c r="V230" s="4" t="str">
        <f t="shared" si="39"/>
        <v/>
      </c>
    </row>
    <row r="231" spans="1:22" x14ac:dyDescent="0.3">
      <c r="A231" s="5"/>
      <c r="B231" s="5"/>
      <c r="C231" s="5"/>
      <c r="D231" s="10" t="str">
        <f t="shared" si="30"/>
        <v/>
      </c>
      <c r="E231" s="5"/>
      <c r="F231" s="5"/>
      <c r="G231" s="5"/>
      <c r="H231" s="5"/>
      <c r="I231" s="10" t="str">
        <f t="shared" si="31"/>
        <v/>
      </c>
      <c r="J231" s="5"/>
      <c r="K231" s="10" t="str">
        <f t="shared" si="32"/>
        <v/>
      </c>
      <c r="L231" s="4" t="str">
        <f t="shared" si="33"/>
        <v/>
      </c>
      <c r="M231" s="4" t="str">
        <f t="shared" si="34"/>
        <v/>
      </c>
      <c r="N231" s="5"/>
      <c r="O231" s="4" t="str">
        <f t="shared" si="35"/>
        <v/>
      </c>
      <c r="P231" s="5"/>
      <c r="Q231" s="10" t="str">
        <f t="shared" si="36"/>
        <v/>
      </c>
      <c r="R231" s="5"/>
      <c r="S231" s="10" t="str">
        <f t="shared" si="37"/>
        <v/>
      </c>
      <c r="T231" s="5"/>
      <c r="U231" s="10" t="str">
        <f t="shared" si="38"/>
        <v/>
      </c>
      <c r="V231" s="4" t="str">
        <f t="shared" si="39"/>
        <v/>
      </c>
    </row>
    <row r="232" spans="1:22" x14ac:dyDescent="0.3">
      <c r="A232" s="5"/>
      <c r="B232" s="5"/>
      <c r="C232" s="5"/>
      <c r="D232" s="10" t="str">
        <f t="shared" si="30"/>
        <v/>
      </c>
      <c r="E232" s="5"/>
      <c r="F232" s="5"/>
      <c r="G232" s="5"/>
      <c r="H232" s="5"/>
      <c r="I232" s="10" t="str">
        <f t="shared" si="31"/>
        <v/>
      </c>
      <c r="J232" s="5"/>
      <c r="K232" s="10" t="str">
        <f t="shared" si="32"/>
        <v/>
      </c>
      <c r="L232" s="4" t="str">
        <f t="shared" si="33"/>
        <v/>
      </c>
      <c r="M232" s="4" t="str">
        <f t="shared" si="34"/>
        <v/>
      </c>
      <c r="N232" s="5"/>
      <c r="O232" s="4" t="str">
        <f t="shared" si="35"/>
        <v/>
      </c>
      <c r="P232" s="5"/>
      <c r="Q232" s="10" t="str">
        <f t="shared" si="36"/>
        <v/>
      </c>
      <c r="R232" s="5"/>
      <c r="S232" s="10" t="str">
        <f t="shared" si="37"/>
        <v/>
      </c>
      <c r="T232" s="5"/>
      <c r="U232" s="10" t="str">
        <f t="shared" si="38"/>
        <v/>
      </c>
      <c r="V232" s="4" t="str">
        <f t="shared" si="39"/>
        <v/>
      </c>
    </row>
    <row r="233" spans="1:22" x14ac:dyDescent="0.3">
      <c r="A233" s="5"/>
      <c r="B233" s="5"/>
      <c r="C233" s="5"/>
      <c r="D233" s="10" t="str">
        <f t="shared" si="30"/>
        <v/>
      </c>
      <c r="E233" s="5"/>
      <c r="F233" s="5"/>
      <c r="G233" s="5"/>
      <c r="H233" s="5"/>
      <c r="I233" s="10" t="str">
        <f t="shared" si="31"/>
        <v/>
      </c>
      <c r="J233" s="5"/>
      <c r="K233" s="10" t="str">
        <f t="shared" si="32"/>
        <v/>
      </c>
      <c r="L233" s="4" t="str">
        <f t="shared" si="33"/>
        <v/>
      </c>
      <c r="M233" s="4" t="str">
        <f t="shared" si="34"/>
        <v/>
      </c>
      <c r="N233" s="5"/>
      <c r="O233" s="4" t="str">
        <f t="shared" si="35"/>
        <v/>
      </c>
      <c r="P233" s="5"/>
      <c r="Q233" s="10" t="str">
        <f t="shared" si="36"/>
        <v/>
      </c>
      <c r="R233" s="5"/>
      <c r="S233" s="10" t="str">
        <f t="shared" si="37"/>
        <v/>
      </c>
      <c r="T233" s="5"/>
      <c r="U233" s="10" t="str">
        <f t="shared" si="38"/>
        <v/>
      </c>
      <c r="V233" s="4" t="str">
        <f t="shared" si="39"/>
        <v/>
      </c>
    </row>
    <row r="234" spans="1:22" x14ac:dyDescent="0.3">
      <c r="A234" s="5"/>
      <c r="B234" s="5"/>
      <c r="C234" s="5"/>
      <c r="D234" s="10" t="str">
        <f t="shared" si="30"/>
        <v/>
      </c>
      <c r="E234" s="5"/>
      <c r="F234" s="5"/>
      <c r="G234" s="5"/>
      <c r="H234" s="5"/>
      <c r="I234" s="10" t="str">
        <f t="shared" si="31"/>
        <v/>
      </c>
      <c r="J234" s="5"/>
      <c r="K234" s="10" t="str">
        <f t="shared" si="32"/>
        <v/>
      </c>
      <c r="L234" s="4" t="str">
        <f t="shared" si="33"/>
        <v/>
      </c>
      <c r="M234" s="4" t="str">
        <f t="shared" si="34"/>
        <v/>
      </c>
      <c r="N234" s="5"/>
      <c r="O234" s="4" t="str">
        <f t="shared" si="35"/>
        <v/>
      </c>
      <c r="P234" s="5"/>
      <c r="Q234" s="10" t="str">
        <f t="shared" si="36"/>
        <v/>
      </c>
      <c r="R234" s="5"/>
      <c r="S234" s="10" t="str">
        <f t="shared" si="37"/>
        <v/>
      </c>
      <c r="T234" s="5"/>
      <c r="U234" s="10" t="str">
        <f t="shared" si="38"/>
        <v/>
      </c>
      <c r="V234" s="4" t="str">
        <f t="shared" si="39"/>
        <v/>
      </c>
    </row>
    <row r="235" spans="1:22" x14ac:dyDescent="0.3">
      <c r="A235" s="5"/>
      <c r="B235" s="5"/>
      <c r="C235" s="5"/>
      <c r="D235" s="10" t="str">
        <f t="shared" si="30"/>
        <v/>
      </c>
      <c r="E235" s="5"/>
      <c r="F235" s="5"/>
      <c r="G235" s="5"/>
      <c r="H235" s="5"/>
      <c r="I235" s="10" t="str">
        <f t="shared" si="31"/>
        <v/>
      </c>
      <c r="J235" s="5"/>
      <c r="K235" s="10" t="str">
        <f t="shared" si="32"/>
        <v/>
      </c>
      <c r="L235" s="4" t="str">
        <f t="shared" si="33"/>
        <v/>
      </c>
      <c r="M235" s="4" t="str">
        <f t="shared" si="34"/>
        <v/>
      </c>
      <c r="N235" s="5"/>
      <c r="O235" s="4" t="str">
        <f t="shared" si="35"/>
        <v/>
      </c>
      <c r="P235" s="5"/>
      <c r="Q235" s="10" t="str">
        <f t="shared" si="36"/>
        <v/>
      </c>
      <c r="R235" s="5"/>
      <c r="S235" s="10" t="str">
        <f t="shared" si="37"/>
        <v/>
      </c>
      <c r="T235" s="5"/>
      <c r="U235" s="10" t="str">
        <f t="shared" si="38"/>
        <v/>
      </c>
      <c r="V235" s="4" t="str">
        <f t="shared" si="39"/>
        <v/>
      </c>
    </row>
    <row r="236" spans="1:22" x14ac:dyDescent="0.3">
      <c r="A236" s="5"/>
      <c r="B236" s="5"/>
      <c r="C236" s="5"/>
      <c r="D236" s="10" t="str">
        <f t="shared" si="30"/>
        <v/>
      </c>
      <c r="E236" s="5"/>
      <c r="F236" s="5"/>
      <c r="G236" s="5"/>
      <c r="H236" s="5"/>
      <c r="I236" s="10" t="str">
        <f t="shared" si="31"/>
        <v/>
      </c>
      <c r="J236" s="5"/>
      <c r="K236" s="10" t="str">
        <f t="shared" si="32"/>
        <v/>
      </c>
      <c r="L236" s="4" t="str">
        <f t="shared" si="33"/>
        <v/>
      </c>
      <c r="M236" s="4" t="str">
        <f t="shared" si="34"/>
        <v/>
      </c>
      <c r="N236" s="5"/>
      <c r="O236" s="4" t="str">
        <f t="shared" si="35"/>
        <v/>
      </c>
      <c r="P236" s="5"/>
      <c r="Q236" s="10" t="str">
        <f t="shared" si="36"/>
        <v/>
      </c>
      <c r="R236" s="5"/>
      <c r="S236" s="10" t="str">
        <f t="shared" si="37"/>
        <v/>
      </c>
      <c r="T236" s="5"/>
      <c r="U236" s="10" t="str">
        <f t="shared" si="38"/>
        <v/>
      </c>
      <c r="V236" s="4" t="str">
        <f t="shared" si="39"/>
        <v/>
      </c>
    </row>
    <row r="237" spans="1:22" x14ac:dyDescent="0.3">
      <c r="A237" s="5"/>
      <c r="B237" s="5"/>
      <c r="C237" s="5"/>
      <c r="D237" s="10" t="str">
        <f t="shared" si="30"/>
        <v/>
      </c>
      <c r="E237" s="5"/>
      <c r="F237" s="5"/>
      <c r="G237" s="5"/>
      <c r="H237" s="5"/>
      <c r="I237" s="10" t="str">
        <f t="shared" si="31"/>
        <v/>
      </c>
      <c r="J237" s="5"/>
      <c r="K237" s="10" t="str">
        <f t="shared" si="32"/>
        <v/>
      </c>
      <c r="L237" s="4" t="str">
        <f t="shared" si="33"/>
        <v/>
      </c>
      <c r="M237" s="4" t="str">
        <f t="shared" si="34"/>
        <v/>
      </c>
      <c r="N237" s="5"/>
      <c r="O237" s="4" t="str">
        <f t="shared" si="35"/>
        <v/>
      </c>
      <c r="P237" s="5"/>
      <c r="Q237" s="10" t="str">
        <f t="shared" si="36"/>
        <v/>
      </c>
      <c r="R237" s="5"/>
      <c r="S237" s="10" t="str">
        <f t="shared" si="37"/>
        <v/>
      </c>
      <c r="T237" s="5"/>
      <c r="U237" s="10" t="str">
        <f t="shared" si="38"/>
        <v/>
      </c>
      <c r="V237" s="4" t="str">
        <f t="shared" si="39"/>
        <v/>
      </c>
    </row>
    <row r="238" spans="1:22" x14ac:dyDescent="0.3">
      <c r="A238" s="5"/>
      <c r="B238" s="5"/>
      <c r="C238" s="5"/>
      <c r="D238" s="10" t="str">
        <f t="shared" si="30"/>
        <v/>
      </c>
      <c r="E238" s="5"/>
      <c r="F238" s="5"/>
      <c r="G238" s="5"/>
      <c r="H238" s="5"/>
      <c r="I238" s="10" t="str">
        <f t="shared" si="31"/>
        <v/>
      </c>
      <c r="J238" s="5"/>
      <c r="K238" s="10" t="str">
        <f t="shared" si="32"/>
        <v/>
      </c>
      <c r="L238" s="4" t="str">
        <f t="shared" si="33"/>
        <v/>
      </c>
      <c r="M238" s="4" t="str">
        <f t="shared" si="34"/>
        <v/>
      </c>
      <c r="N238" s="5"/>
      <c r="O238" s="4" t="str">
        <f t="shared" si="35"/>
        <v/>
      </c>
      <c r="P238" s="5"/>
      <c r="Q238" s="10" t="str">
        <f t="shared" si="36"/>
        <v/>
      </c>
      <c r="R238" s="5"/>
      <c r="S238" s="10" t="str">
        <f t="shared" si="37"/>
        <v/>
      </c>
      <c r="T238" s="5"/>
      <c r="U238" s="10" t="str">
        <f t="shared" si="38"/>
        <v/>
      </c>
      <c r="V238" s="4" t="str">
        <f t="shared" si="39"/>
        <v/>
      </c>
    </row>
    <row r="239" spans="1:22" x14ac:dyDescent="0.3">
      <c r="A239" s="5"/>
      <c r="B239" s="5"/>
      <c r="C239" s="5"/>
      <c r="D239" s="10" t="str">
        <f t="shared" si="30"/>
        <v/>
      </c>
      <c r="E239" s="5"/>
      <c r="F239" s="5"/>
      <c r="G239" s="5"/>
      <c r="H239" s="5"/>
      <c r="I239" s="10" t="str">
        <f t="shared" si="31"/>
        <v/>
      </c>
      <c r="J239" s="5"/>
      <c r="K239" s="10" t="str">
        <f t="shared" si="32"/>
        <v/>
      </c>
      <c r="L239" s="4" t="str">
        <f t="shared" si="33"/>
        <v/>
      </c>
      <c r="M239" s="4" t="str">
        <f t="shared" si="34"/>
        <v/>
      </c>
      <c r="N239" s="5"/>
      <c r="O239" s="4" t="str">
        <f t="shared" si="35"/>
        <v/>
      </c>
      <c r="P239" s="5"/>
      <c r="Q239" s="10" t="str">
        <f t="shared" si="36"/>
        <v/>
      </c>
      <c r="R239" s="5"/>
      <c r="S239" s="10" t="str">
        <f t="shared" si="37"/>
        <v/>
      </c>
      <c r="T239" s="5"/>
      <c r="U239" s="10" t="str">
        <f t="shared" si="38"/>
        <v/>
      </c>
      <c r="V239" s="4" t="str">
        <f t="shared" si="39"/>
        <v/>
      </c>
    </row>
    <row r="240" spans="1:22" x14ac:dyDescent="0.3">
      <c r="A240" s="5"/>
      <c r="B240" s="5"/>
      <c r="C240" s="5"/>
      <c r="D240" s="10" t="str">
        <f t="shared" si="30"/>
        <v/>
      </c>
      <c r="E240" s="5"/>
      <c r="F240" s="5"/>
      <c r="G240" s="5"/>
      <c r="H240" s="5"/>
      <c r="I240" s="10" t="str">
        <f t="shared" si="31"/>
        <v/>
      </c>
      <c r="J240" s="5"/>
      <c r="K240" s="10" t="str">
        <f t="shared" si="32"/>
        <v/>
      </c>
      <c r="L240" s="4" t="str">
        <f t="shared" si="33"/>
        <v/>
      </c>
      <c r="M240" s="4" t="str">
        <f t="shared" si="34"/>
        <v/>
      </c>
      <c r="N240" s="5"/>
      <c r="O240" s="4" t="str">
        <f t="shared" si="35"/>
        <v/>
      </c>
      <c r="P240" s="5"/>
      <c r="Q240" s="10" t="str">
        <f t="shared" si="36"/>
        <v/>
      </c>
      <c r="R240" s="5"/>
      <c r="S240" s="10" t="str">
        <f t="shared" si="37"/>
        <v/>
      </c>
      <c r="T240" s="5"/>
      <c r="U240" s="10" t="str">
        <f t="shared" si="38"/>
        <v/>
      </c>
      <c r="V240" s="4" t="str">
        <f t="shared" si="39"/>
        <v/>
      </c>
    </row>
    <row r="241" spans="1:22" x14ac:dyDescent="0.3">
      <c r="A241" s="5"/>
      <c r="B241" s="5"/>
      <c r="C241" s="5"/>
      <c r="D241" s="10" t="str">
        <f t="shared" si="30"/>
        <v/>
      </c>
      <c r="E241" s="5"/>
      <c r="F241" s="5"/>
      <c r="G241" s="5"/>
      <c r="H241" s="5"/>
      <c r="I241" s="10" t="str">
        <f t="shared" si="31"/>
        <v/>
      </c>
      <c r="J241" s="5"/>
      <c r="K241" s="10" t="str">
        <f t="shared" si="32"/>
        <v/>
      </c>
      <c r="L241" s="4" t="str">
        <f t="shared" si="33"/>
        <v/>
      </c>
      <c r="M241" s="4" t="str">
        <f t="shared" si="34"/>
        <v/>
      </c>
      <c r="N241" s="5"/>
      <c r="O241" s="4" t="str">
        <f t="shared" si="35"/>
        <v/>
      </c>
      <c r="P241" s="5"/>
      <c r="Q241" s="10" t="str">
        <f t="shared" si="36"/>
        <v/>
      </c>
      <c r="R241" s="5"/>
      <c r="S241" s="10" t="str">
        <f t="shared" si="37"/>
        <v/>
      </c>
      <c r="T241" s="5"/>
      <c r="U241" s="10" t="str">
        <f t="shared" si="38"/>
        <v/>
      </c>
      <c r="V241" s="4" t="str">
        <f t="shared" si="39"/>
        <v/>
      </c>
    </row>
    <row r="242" spans="1:22" x14ac:dyDescent="0.3">
      <c r="A242" s="5"/>
      <c r="B242" s="5"/>
      <c r="C242" s="5"/>
      <c r="D242" s="10" t="str">
        <f t="shared" si="30"/>
        <v/>
      </c>
      <c r="E242" s="5"/>
      <c r="F242" s="5"/>
      <c r="G242" s="5"/>
      <c r="H242" s="5"/>
      <c r="I242" s="10" t="str">
        <f t="shared" si="31"/>
        <v/>
      </c>
      <c r="J242" s="5"/>
      <c r="K242" s="10" t="str">
        <f t="shared" si="32"/>
        <v/>
      </c>
      <c r="L242" s="4" t="str">
        <f t="shared" si="33"/>
        <v/>
      </c>
      <c r="M242" s="4" t="str">
        <f t="shared" si="34"/>
        <v/>
      </c>
      <c r="N242" s="5"/>
      <c r="O242" s="4" t="str">
        <f t="shared" si="35"/>
        <v/>
      </c>
      <c r="P242" s="5"/>
      <c r="Q242" s="10" t="str">
        <f t="shared" si="36"/>
        <v/>
      </c>
      <c r="R242" s="5"/>
      <c r="S242" s="10" t="str">
        <f t="shared" si="37"/>
        <v/>
      </c>
      <c r="T242" s="5"/>
      <c r="U242" s="10" t="str">
        <f t="shared" si="38"/>
        <v/>
      </c>
      <c r="V242" s="4" t="str">
        <f t="shared" si="39"/>
        <v/>
      </c>
    </row>
    <row r="243" spans="1:22" x14ac:dyDescent="0.3">
      <c r="A243" s="5"/>
      <c r="B243" s="5"/>
      <c r="C243" s="5"/>
      <c r="D243" s="10" t="str">
        <f t="shared" si="30"/>
        <v/>
      </c>
      <c r="E243" s="5"/>
      <c r="F243" s="5"/>
      <c r="G243" s="5"/>
      <c r="H243" s="5"/>
      <c r="I243" s="10" t="str">
        <f t="shared" si="31"/>
        <v/>
      </c>
      <c r="J243" s="5"/>
      <c r="K243" s="10" t="str">
        <f t="shared" si="32"/>
        <v/>
      </c>
      <c r="L243" s="4" t="str">
        <f t="shared" si="33"/>
        <v/>
      </c>
      <c r="M243" s="4" t="str">
        <f t="shared" si="34"/>
        <v/>
      </c>
      <c r="N243" s="5"/>
      <c r="O243" s="4" t="str">
        <f t="shared" si="35"/>
        <v/>
      </c>
      <c r="P243" s="5"/>
      <c r="Q243" s="10" t="str">
        <f t="shared" si="36"/>
        <v/>
      </c>
      <c r="R243" s="5"/>
      <c r="S243" s="10" t="str">
        <f t="shared" si="37"/>
        <v/>
      </c>
      <c r="T243" s="5"/>
      <c r="U243" s="10" t="str">
        <f t="shared" si="38"/>
        <v/>
      </c>
      <c r="V243" s="4" t="str">
        <f t="shared" si="39"/>
        <v/>
      </c>
    </row>
    <row r="244" spans="1:22" x14ac:dyDescent="0.3">
      <c r="A244" s="5"/>
      <c r="B244" s="5"/>
      <c r="C244" s="5"/>
      <c r="D244" s="10" t="str">
        <f t="shared" si="30"/>
        <v/>
      </c>
      <c r="E244" s="5"/>
      <c r="F244" s="5"/>
      <c r="G244" s="5"/>
      <c r="H244" s="5"/>
      <c r="I244" s="10" t="str">
        <f t="shared" si="31"/>
        <v/>
      </c>
      <c r="J244" s="5"/>
      <c r="K244" s="10" t="str">
        <f t="shared" si="32"/>
        <v/>
      </c>
      <c r="L244" s="4" t="str">
        <f t="shared" si="33"/>
        <v/>
      </c>
      <c r="M244" s="4" t="str">
        <f t="shared" si="34"/>
        <v/>
      </c>
      <c r="N244" s="5"/>
      <c r="O244" s="4" t="str">
        <f t="shared" si="35"/>
        <v/>
      </c>
      <c r="P244" s="5"/>
      <c r="Q244" s="10" t="str">
        <f t="shared" si="36"/>
        <v/>
      </c>
      <c r="R244" s="5"/>
      <c r="S244" s="10" t="str">
        <f t="shared" si="37"/>
        <v/>
      </c>
      <c r="T244" s="5"/>
      <c r="U244" s="10" t="str">
        <f t="shared" si="38"/>
        <v/>
      </c>
      <c r="V244" s="4" t="str">
        <f t="shared" si="39"/>
        <v/>
      </c>
    </row>
    <row r="245" spans="1:22" x14ac:dyDescent="0.3">
      <c r="A245" s="5"/>
      <c r="B245" s="5"/>
      <c r="C245" s="5"/>
      <c r="D245" s="10" t="str">
        <f t="shared" si="30"/>
        <v/>
      </c>
      <c r="E245" s="5"/>
      <c r="F245" s="5"/>
      <c r="G245" s="5"/>
      <c r="H245" s="5"/>
      <c r="I245" s="10" t="str">
        <f t="shared" si="31"/>
        <v/>
      </c>
      <c r="J245" s="5"/>
      <c r="K245" s="10" t="str">
        <f t="shared" si="32"/>
        <v/>
      </c>
      <c r="L245" s="4" t="str">
        <f t="shared" si="33"/>
        <v/>
      </c>
      <c r="M245" s="4" t="str">
        <f t="shared" si="34"/>
        <v/>
      </c>
      <c r="N245" s="5"/>
      <c r="O245" s="4" t="str">
        <f t="shared" si="35"/>
        <v/>
      </c>
      <c r="P245" s="5"/>
      <c r="Q245" s="10" t="str">
        <f t="shared" si="36"/>
        <v/>
      </c>
      <c r="R245" s="5"/>
      <c r="S245" s="10" t="str">
        <f t="shared" si="37"/>
        <v/>
      </c>
      <c r="T245" s="5"/>
      <c r="U245" s="10" t="str">
        <f t="shared" si="38"/>
        <v/>
      </c>
      <c r="V245" s="4" t="str">
        <f t="shared" si="39"/>
        <v/>
      </c>
    </row>
    <row r="246" spans="1:22" x14ac:dyDescent="0.3">
      <c r="A246" s="5"/>
      <c r="B246" s="5"/>
      <c r="C246" s="5"/>
      <c r="D246" s="10" t="str">
        <f t="shared" si="30"/>
        <v/>
      </c>
      <c r="E246" s="5"/>
      <c r="F246" s="5"/>
      <c r="G246" s="5"/>
      <c r="H246" s="5"/>
      <c r="I246" s="10" t="str">
        <f t="shared" si="31"/>
        <v/>
      </c>
      <c r="J246" s="5"/>
      <c r="K246" s="10" t="str">
        <f t="shared" si="32"/>
        <v/>
      </c>
      <c r="L246" s="4" t="str">
        <f t="shared" si="33"/>
        <v/>
      </c>
      <c r="M246" s="4" t="str">
        <f t="shared" si="34"/>
        <v/>
      </c>
      <c r="N246" s="5"/>
      <c r="O246" s="4" t="str">
        <f t="shared" si="35"/>
        <v/>
      </c>
      <c r="P246" s="5"/>
      <c r="Q246" s="10" t="str">
        <f t="shared" si="36"/>
        <v/>
      </c>
      <c r="R246" s="5"/>
      <c r="S246" s="10" t="str">
        <f t="shared" si="37"/>
        <v/>
      </c>
      <c r="T246" s="5"/>
      <c r="U246" s="10" t="str">
        <f t="shared" si="38"/>
        <v/>
      </c>
      <c r="V246" s="4" t="str">
        <f t="shared" si="39"/>
        <v/>
      </c>
    </row>
    <row r="247" spans="1:22" x14ac:dyDescent="0.3">
      <c r="A247" s="5"/>
      <c r="B247" s="5"/>
      <c r="C247" s="5"/>
      <c r="D247" s="10" t="str">
        <f t="shared" si="30"/>
        <v/>
      </c>
      <c r="E247" s="5"/>
      <c r="F247" s="5"/>
      <c r="G247" s="5"/>
      <c r="H247" s="5"/>
      <c r="I247" s="10" t="str">
        <f t="shared" si="31"/>
        <v/>
      </c>
      <c r="J247" s="5"/>
      <c r="K247" s="10" t="str">
        <f t="shared" si="32"/>
        <v/>
      </c>
      <c r="L247" s="4" t="str">
        <f t="shared" si="33"/>
        <v/>
      </c>
      <c r="M247" s="4" t="str">
        <f t="shared" si="34"/>
        <v/>
      </c>
      <c r="N247" s="5"/>
      <c r="O247" s="4" t="str">
        <f t="shared" si="35"/>
        <v/>
      </c>
      <c r="P247" s="5"/>
      <c r="Q247" s="10" t="str">
        <f t="shared" si="36"/>
        <v/>
      </c>
      <c r="R247" s="5"/>
      <c r="S247" s="10" t="str">
        <f t="shared" si="37"/>
        <v/>
      </c>
      <c r="T247" s="5"/>
      <c r="U247" s="10" t="str">
        <f t="shared" si="38"/>
        <v/>
      </c>
      <c r="V247" s="4" t="str">
        <f t="shared" si="39"/>
        <v/>
      </c>
    </row>
    <row r="248" spans="1:22" x14ac:dyDescent="0.3">
      <c r="A248" s="5"/>
      <c r="B248" s="5"/>
      <c r="C248" s="5"/>
      <c r="D248" s="10" t="str">
        <f t="shared" si="30"/>
        <v/>
      </c>
      <c r="E248" s="5"/>
      <c r="F248" s="5"/>
      <c r="G248" s="5"/>
      <c r="H248" s="5"/>
      <c r="I248" s="10" t="str">
        <f t="shared" si="31"/>
        <v/>
      </c>
      <c r="J248" s="5"/>
      <c r="K248" s="10" t="str">
        <f t="shared" si="32"/>
        <v/>
      </c>
      <c r="L248" s="4" t="str">
        <f t="shared" si="33"/>
        <v/>
      </c>
      <c r="M248" s="4" t="str">
        <f t="shared" si="34"/>
        <v/>
      </c>
      <c r="N248" s="5"/>
      <c r="O248" s="4" t="str">
        <f t="shared" si="35"/>
        <v/>
      </c>
      <c r="P248" s="5"/>
      <c r="Q248" s="10" t="str">
        <f t="shared" si="36"/>
        <v/>
      </c>
      <c r="R248" s="5"/>
      <c r="S248" s="10" t="str">
        <f t="shared" si="37"/>
        <v/>
      </c>
      <c r="T248" s="5"/>
      <c r="U248" s="10" t="str">
        <f t="shared" si="38"/>
        <v/>
      </c>
      <c r="V248" s="4" t="str">
        <f t="shared" si="39"/>
        <v/>
      </c>
    </row>
    <row r="249" spans="1:22" x14ac:dyDescent="0.3">
      <c r="A249" s="5"/>
      <c r="B249" s="5"/>
      <c r="C249" s="5"/>
      <c r="D249" s="10" t="str">
        <f t="shared" si="30"/>
        <v/>
      </c>
      <c r="E249" s="5"/>
      <c r="F249" s="5"/>
      <c r="G249" s="5"/>
      <c r="H249" s="5"/>
      <c r="I249" s="10" t="str">
        <f t="shared" si="31"/>
        <v/>
      </c>
      <c r="J249" s="5"/>
      <c r="K249" s="10" t="str">
        <f t="shared" si="32"/>
        <v/>
      </c>
      <c r="L249" s="4" t="str">
        <f t="shared" si="33"/>
        <v/>
      </c>
      <c r="M249" s="4" t="str">
        <f t="shared" si="34"/>
        <v/>
      </c>
      <c r="N249" s="5"/>
      <c r="O249" s="4" t="str">
        <f t="shared" si="35"/>
        <v/>
      </c>
      <c r="P249" s="5"/>
      <c r="Q249" s="10" t="str">
        <f t="shared" si="36"/>
        <v/>
      </c>
      <c r="R249" s="5"/>
      <c r="S249" s="10" t="str">
        <f t="shared" si="37"/>
        <v/>
      </c>
      <c r="T249" s="5"/>
      <c r="U249" s="10" t="str">
        <f t="shared" si="38"/>
        <v/>
      </c>
      <c r="V249" s="4" t="str">
        <f t="shared" si="39"/>
        <v/>
      </c>
    </row>
    <row r="250" spans="1:22" x14ac:dyDescent="0.3">
      <c r="A250" s="5"/>
      <c r="B250" s="5"/>
      <c r="C250" s="5"/>
      <c r="D250" s="10" t="str">
        <f t="shared" si="30"/>
        <v/>
      </c>
      <c r="E250" s="5"/>
      <c r="F250" s="5"/>
      <c r="G250" s="5"/>
      <c r="H250" s="5"/>
      <c r="I250" s="10" t="str">
        <f t="shared" si="31"/>
        <v/>
      </c>
      <c r="J250" s="5"/>
      <c r="K250" s="10" t="str">
        <f t="shared" si="32"/>
        <v/>
      </c>
      <c r="L250" s="4" t="str">
        <f t="shared" si="33"/>
        <v/>
      </c>
      <c r="M250" s="4" t="str">
        <f t="shared" si="34"/>
        <v/>
      </c>
      <c r="N250" s="5"/>
      <c r="O250" s="4" t="str">
        <f t="shared" si="35"/>
        <v/>
      </c>
      <c r="P250" s="5"/>
      <c r="Q250" s="10" t="str">
        <f t="shared" si="36"/>
        <v/>
      </c>
      <c r="R250" s="5"/>
      <c r="S250" s="10" t="str">
        <f t="shared" si="37"/>
        <v/>
      </c>
      <c r="T250" s="5"/>
      <c r="U250" s="10" t="str">
        <f t="shared" si="38"/>
        <v/>
      </c>
      <c r="V250" s="4" t="str">
        <f t="shared" si="39"/>
        <v/>
      </c>
    </row>
    <row r="251" spans="1:22" x14ac:dyDescent="0.3">
      <c r="A251" s="5"/>
      <c r="B251" s="5"/>
      <c r="C251" s="5"/>
      <c r="D251" s="10" t="str">
        <f t="shared" si="30"/>
        <v/>
      </c>
      <c r="E251" s="5"/>
      <c r="F251" s="5"/>
      <c r="G251" s="5"/>
      <c r="H251" s="5"/>
      <c r="I251" s="10" t="str">
        <f t="shared" si="31"/>
        <v/>
      </c>
      <c r="J251" s="5"/>
      <c r="K251" s="10" t="str">
        <f t="shared" si="32"/>
        <v/>
      </c>
      <c r="L251" s="4" t="str">
        <f t="shared" si="33"/>
        <v/>
      </c>
      <c r="M251" s="4" t="str">
        <f t="shared" si="34"/>
        <v/>
      </c>
      <c r="N251" s="5"/>
      <c r="O251" s="4" t="str">
        <f t="shared" si="35"/>
        <v/>
      </c>
      <c r="P251" s="5"/>
      <c r="Q251" s="10" t="str">
        <f t="shared" si="36"/>
        <v/>
      </c>
      <c r="R251" s="5"/>
      <c r="S251" s="10" t="str">
        <f t="shared" si="37"/>
        <v/>
      </c>
      <c r="T251" s="5"/>
      <c r="U251" s="10" t="str">
        <f t="shared" si="38"/>
        <v/>
      </c>
      <c r="V251" s="4" t="str">
        <f t="shared" si="39"/>
        <v/>
      </c>
    </row>
    <row r="252" spans="1:22" x14ac:dyDescent="0.3">
      <c r="A252" s="5"/>
      <c r="B252" s="5"/>
      <c r="C252" s="5"/>
      <c r="D252" s="10" t="str">
        <f t="shared" si="30"/>
        <v/>
      </c>
      <c r="E252" s="5"/>
      <c r="F252" s="5"/>
      <c r="G252" s="5"/>
      <c r="H252" s="5"/>
      <c r="I252" s="10" t="str">
        <f t="shared" si="31"/>
        <v/>
      </c>
      <c r="J252" s="5"/>
      <c r="K252" s="10" t="str">
        <f t="shared" si="32"/>
        <v/>
      </c>
      <c r="L252" s="4" t="str">
        <f t="shared" si="33"/>
        <v/>
      </c>
      <c r="M252" s="4" t="str">
        <f t="shared" si="34"/>
        <v/>
      </c>
      <c r="N252" s="5"/>
      <c r="O252" s="4" t="str">
        <f t="shared" si="35"/>
        <v/>
      </c>
      <c r="P252" s="5"/>
      <c r="Q252" s="10" t="str">
        <f t="shared" si="36"/>
        <v/>
      </c>
      <c r="R252" s="5"/>
      <c r="S252" s="10" t="str">
        <f t="shared" si="37"/>
        <v/>
      </c>
      <c r="T252" s="5"/>
      <c r="U252" s="10" t="str">
        <f t="shared" si="38"/>
        <v/>
      </c>
      <c r="V252" s="4" t="str">
        <f t="shared" si="39"/>
        <v/>
      </c>
    </row>
    <row r="253" spans="1:22" x14ac:dyDescent="0.3">
      <c r="A253" s="5"/>
      <c r="B253" s="5"/>
      <c r="C253" s="5"/>
      <c r="D253" s="10" t="str">
        <f t="shared" si="30"/>
        <v/>
      </c>
      <c r="E253" s="5"/>
      <c r="F253" s="5"/>
      <c r="G253" s="5"/>
      <c r="H253" s="5"/>
      <c r="I253" s="10" t="str">
        <f t="shared" si="31"/>
        <v/>
      </c>
      <c r="J253" s="5"/>
      <c r="K253" s="10" t="str">
        <f t="shared" si="32"/>
        <v/>
      </c>
      <c r="L253" s="4" t="str">
        <f t="shared" si="33"/>
        <v/>
      </c>
      <c r="M253" s="4" t="str">
        <f t="shared" si="34"/>
        <v/>
      </c>
      <c r="N253" s="5"/>
      <c r="O253" s="4" t="str">
        <f t="shared" si="35"/>
        <v/>
      </c>
      <c r="P253" s="5"/>
      <c r="Q253" s="10" t="str">
        <f t="shared" si="36"/>
        <v/>
      </c>
      <c r="R253" s="5"/>
      <c r="S253" s="10" t="str">
        <f t="shared" si="37"/>
        <v/>
      </c>
      <c r="T253" s="5"/>
      <c r="U253" s="10" t="str">
        <f t="shared" si="38"/>
        <v/>
      </c>
      <c r="V253" s="4" t="str">
        <f t="shared" si="39"/>
        <v/>
      </c>
    </row>
    <row r="254" spans="1:22" x14ac:dyDescent="0.3">
      <c r="A254" s="5"/>
      <c r="B254" s="5"/>
      <c r="C254" s="5"/>
      <c r="D254" s="10" t="str">
        <f t="shared" si="30"/>
        <v/>
      </c>
      <c r="E254" s="5"/>
      <c r="F254" s="5"/>
      <c r="G254" s="5"/>
      <c r="H254" s="5"/>
      <c r="I254" s="10" t="str">
        <f t="shared" si="31"/>
        <v/>
      </c>
      <c r="J254" s="5"/>
      <c r="K254" s="10" t="str">
        <f t="shared" si="32"/>
        <v/>
      </c>
      <c r="L254" s="4" t="str">
        <f t="shared" si="33"/>
        <v/>
      </c>
      <c r="M254" s="4" t="str">
        <f t="shared" si="34"/>
        <v/>
      </c>
      <c r="N254" s="5"/>
      <c r="O254" s="4" t="str">
        <f t="shared" si="35"/>
        <v/>
      </c>
      <c r="P254" s="5"/>
      <c r="Q254" s="10" t="str">
        <f t="shared" si="36"/>
        <v/>
      </c>
      <c r="R254" s="5"/>
      <c r="S254" s="10" t="str">
        <f t="shared" si="37"/>
        <v/>
      </c>
      <c r="T254" s="5"/>
      <c r="U254" s="10" t="str">
        <f t="shared" si="38"/>
        <v/>
      </c>
      <c r="V254" s="4" t="str">
        <f t="shared" si="39"/>
        <v/>
      </c>
    </row>
    <row r="255" spans="1:22" x14ac:dyDescent="0.3">
      <c r="A255" s="5"/>
      <c r="B255" s="5"/>
      <c r="C255" s="5"/>
      <c r="D255" s="10" t="str">
        <f t="shared" si="30"/>
        <v/>
      </c>
      <c r="E255" s="5"/>
      <c r="F255" s="5"/>
      <c r="G255" s="5"/>
      <c r="H255" s="5"/>
      <c r="I255" s="10" t="str">
        <f t="shared" si="31"/>
        <v/>
      </c>
      <c r="J255" s="5"/>
      <c r="K255" s="10" t="str">
        <f t="shared" si="32"/>
        <v/>
      </c>
      <c r="L255" s="4" t="str">
        <f t="shared" si="33"/>
        <v/>
      </c>
      <c r="M255" s="4" t="str">
        <f t="shared" si="34"/>
        <v/>
      </c>
      <c r="N255" s="5"/>
      <c r="O255" s="4" t="str">
        <f t="shared" si="35"/>
        <v/>
      </c>
      <c r="P255" s="5"/>
      <c r="Q255" s="10" t="str">
        <f t="shared" si="36"/>
        <v/>
      </c>
      <c r="R255" s="5"/>
      <c r="S255" s="10" t="str">
        <f t="shared" si="37"/>
        <v/>
      </c>
      <c r="T255" s="5"/>
      <c r="U255" s="10" t="str">
        <f t="shared" si="38"/>
        <v/>
      </c>
      <c r="V255" s="4" t="str">
        <f t="shared" si="39"/>
        <v/>
      </c>
    </row>
    <row r="256" spans="1:22" x14ac:dyDescent="0.3">
      <c r="A256" s="5"/>
      <c r="B256" s="5"/>
      <c r="C256" s="5"/>
      <c r="D256" s="10" t="str">
        <f t="shared" si="30"/>
        <v/>
      </c>
      <c r="E256" s="5"/>
      <c r="F256" s="5"/>
      <c r="G256" s="5"/>
      <c r="H256" s="5"/>
      <c r="I256" s="10" t="str">
        <f t="shared" si="31"/>
        <v/>
      </c>
      <c r="J256" s="5"/>
      <c r="K256" s="10" t="str">
        <f t="shared" si="32"/>
        <v/>
      </c>
      <c r="L256" s="4" t="str">
        <f t="shared" si="33"/>
        <v/>
      </c>
      <c r="M256" s="4" t="str">
        <f t="shared" si="34"/>
        <v/>
      </c>
      <c r="N256" s="5"/>
      <c r="O256" s="4" t="str">
        <f t="shared" si="35"/>
        <v/>
      </c>
      <c r="P256" s="5"/>
      <c r="Q256" s="10" t="str">
        <f t="shared" si="36"/>
        <v/>
      </c>
      <c r="R256" s="5"/>
      <c r="S256" s="10" t="str">
        <f t="shared" si="37"/>
        <v/>
      </c>
      <c r="T256" s="5"/>
      <c r="U256" s="10" t="str">
        <f t="shared" si="38"/>
        <v/>
      </c>
      <c r="V256" s="4" t="str">
        <f t="shared" si="39"/>
        <v/>
      </c>
    </row>
    <row r="257" spans="1:22" x14ac:dyDescent="0.3">
      <c r="A257" s="5"/>
      <c r="B257" s="5"/>
      <c r="C257" s="5"/>
      <c r="D257" s="10" t="str">
        <f t="shared" si="30"/>
        <v/>
      </c>
      <c r="E257" s="5"/>
      <c r="F257" s="5"/>
      <c r="G257" s="5"/>
      <c r="H257" s="5"/>
      <c r="I257" s="10" t="str">
        <f t="shared" si="31"/>
        <v/>
      </c>
      <c r="J257" s="5"/>
      <c r="K257" s="10" t="str">
        <f t="shared" si="32"/>
        <v/>
      </c>
      <c r="L257" s="4" t="str">
        <f t="shared" si="33"/>
        <v/>
      </c>
      <c r="M257" s="4" t="str">
        <f t="shared" si="34"/>
        <v/>
      </c>
      <c r="N257" s="5"/>
      <c r="O257" s="4" t="str">
        <f t="shared" si="35"/>
        <v/>
      </c>
      <c r="P257" s="5"/>
      <c r="Q257" s="10" t="str">
        <f t="shared" si="36"/>
        <v/>
      </c>
      <c r="R257" s="5"/>
      <c r="S257" s="10" t="str">
        <f t="shared" si="37"/>
        <v/>
      </c>
      <c r="T257" s="5"/>
      <c r="U257" s="10" t="str">
        <f t="shared" si="38"/>
        <v/>
      </c>
      <c r="V257" s="4" t="str">
        <f t="shared" si="39"/>
        <v/>
      </c>
    </row>
    <row r="258" spans="1:22" x14ac:dyDescent="0.3">
      <c r="A258" s="5"/>
      <c r="B258" s="5"/>
      <c r="C258" s="5"/>
      <c r="D258" s="10" t="str">
        <f t="shared" si="30"/>
        <v/>
      </c>
      <c r="E258" s="5"/>
      <c r="F258" s="5"/>
      <c r="G258" s="5"/>
      <c r="H258" s="5"/>
      <c r="I258" s="10" t="str">
        <f t="shared" si="31"/>
        <v/>
      </c>
      <c r="J258" s="5"/>
      <c r="K258" s="10" t="str">
        <f t="shared" si="32"/>
        <v/>
      </c>
      <c r="L258" s="4" t="str">
        <f t="shared" si="33"/>
        <v/>
      </c>
      <c r="M258" s="4" t="str">
        <f t="shared" si="34"/>
        <v/>
      </c>
      <c r="N258" s="5"/>
      <c r="O258" s="4" t="str">
        <f t="shared" si="35"/>
        <v/>
      </c>
      <c r="P258" s="5"/>
      <c r="Q258" s="10" t="str">
        <f t="shared" si="36"/>
        <v/>
      </c>
      <c r="R258" s="5"/>
      <c r="S258" s="10" t="str">
        <f t="shared" si="37"/>
        <v/>
      </c>
      <c r="T258" s="5"/>
      <c r="U258" s="10" t="str">
        <f t="shared" si="38"/>
        <v/>
      </c>
      <c r="V258" s="4" t="str">
        <f t="shared" si="39"/>
        <v/>
      </c>
    </row>
    <row r="259" spans="1:22" x14ac:dyDescent="0.3">
      <c r="A259" s="5"/>
      <c r="B259" s="5"/>
      <c r="C259" s="5"/>
      <c r="D259" s="10" t="str">
        <f t="shared" si="30"/>
        <v/>
      </c>
      <c r="E259" s="5"/>
      <c r="F259" s="5"/>
      <c r="G259" s="5"/>
      <c r="H259" s="5"/>
      <c r="I259" s="10" t="str">
        <f t="shared" si="31"/>
        <v/>
      </c>
      <c r="J259" s="5"/>
      <c r="K259" s="10" t="str">
        <f t="shared" si="32"/>
        <v/>
      </c>
      <c r="L259" s="4" t="str">
        <f t="shared" si="33"/>
        <v/>
      </c>
      <c r="M259" s="4" t="str">
        <f t="shared" si="34"/>
        <v/>
      </c>
      <c r="N259" s="5"/>
      <c r="O259" s="4" t="str">
        <f t="shared" si="35"/>
        <v/>
      </c>
      <c r="P259" s="5"/>
      <c r="Q259" s="10" t="str">
        <f t="shared" si="36"/>
        <v/>
      </c>
      <c r="R259" s="5"/>
      <c r="S259" s="10" t="str">
        <f t="shared" si="37"/>
        <v/>
      </c>
      <c r="T259" s="5"/>
      <c r="U259" s="10" t="str">
        <f t="shared" si="38"/>
        <v/>
      </c>
      <c r="V259" s="4" t="str">
        <f t="shared" si="39"/>
        <v/>
      </c>
    </row>
    <row r="260" spans="1:22" x14ac:dyDescent="0.3">
      <c r="A260" s="5"/>
      <c r="B260" s="5"/>
      <c r="C260" s="5"/>
      <c r="D260" s="10" t="str">
        <f t="shared" ref="D260:D300" si="40">IF(A260="","",IFERROR(INDEX(LIST_STMT_CODE,MATCH(C260,LIST_STMT_EN,0)),IFERROR(INDEX(LIST_STMT_CODE,MATCH(C260,LIST_STMT_HU,0)),"")))</f>
        <v/>
      </c>
      <c r="E260" s="5"/>
      <c r="F260" s="5"/>
      <c r="G260" s="5"/>
      <c r="H260" s="5"/>
      <c r="I260" s="10" t="str">
        <f t="shared" ref="I260:I300" si="41">IF(A260="","",IFERROR(INDEX(LIST_CAT_CODE,MATCH(H260,LIST_CAT_EN,0)),IFERROR(INDEX(LIST_CAT_CODE,MATCH(H260,LIST_CAT_HU,0)),"")))</f>
        <v/>
      </c>
      <c r="J260" s="5"/>
      <c r="K260" s="10" t="str">
        <f t="shared" ref="K260:K300" si="42">IF(A260="","",IFERROR(INDEX(LIST_MBA_CODE,MATCH(J260,LIST_MBA_EN,0)),IFERROR(INDEX(LIST_MBA_CODE,MATCH(J260,LIST_MBA_HU,0)),"-")))</f>
        <v/>
      </c>
      <c r="L260" s="4" t="str">
        <f t="shared" ref="L260:L300" si="43">IF(OR(A260="",D260&lt;&gt;"PL"),"",IF(AND(K260="INV",MbaInvest="Yes"),"OP",IF(AND(K260="FIN",MbaFinance="Yes"),"OP",I260)))</f>
        <v/>
      </c>
      <c r="M260" s="4" t="str">
        <f t="shared" ref="M260:M300" si="44">IF(A260="","",IF(AND(D260="PL",L260="OP",F260&lt;&gt;""),IF(ExpIsFunction,F260,G260),E260))</f>
        <v/>
      </c>
      <c r="N260" s="5"/>
      <c r="O260" s="4" t="str">
        <f t="shared" ref="O260:O300" si="45">IF(A260="","",IF(N260="",L260,IFERROR(INDEX(COA_CAT_EFF,MATCH(N260,COA_ACCT,0)),L260)))</f>
        <v/>
      </c>
      <c r="P260" s="5"/>
      <c r="Q260" s="10" t="str">
        <f t="shared" ref="Q260:Q300" si="46">IF(A260="","",IFERROR(INDEX(LIST_CF_CODE,MATCH(P260,LIST_CF_EN,0)),IFERROR(INDEX(LIST_CF_CODE,MATCH(P260,LIST_CF_HU,0)),"-")))</f>
        <v/>
      </c>
      <c r="R260" s="5"/>
      <c r="S260" s="10" t="str">
        <f t="shared" ref="S260:S300" si="47">IF(A260="","",IFERROR(INDEX(LIST_SCE_CODE,MATCH(R260,LIST_SCE_EN,0)),IFERROR(INDEX(LIST_SCE_CODE,MATCH(R260,LIST_SCE_HU,0)),"")))</f>
        <v/>
      </c>
      <c r="T260" s="5"/>
      <c r="U260" s="10" t="str">
        <f t="shared" ref="U260:U300" si="48">IF(A260="","",IFERROR(INDEX(LIST_YN_CODE,MATCH(T260,LIST_YN_EN,0)),IFERROR(INDEX(LIST_YN_CODE,MATCH(T260,LIST_YN_HU,0)),"No")))</f>
        <v/>
      </c>
      <c r="V260" s="4" t="str">
        <f t="shared" ref="V260:V300" si="49">IF(A260="","",TRIM(IF(D260="",IFERROR(INDEX(DICT_ACTIVE,MATCH("COA.ERR.NOSTMT",DICT_KEY,0)),"")&amp;" ","")&amp;IF(OR(M260="",ISNA(MATCH(M260,ENG_KEY,0))),IFERROR(INDEX(DICT_ACTIVE,MATCH("COA.ERR.NOKEY",DICT_KEY,0)),"")&amp;" ","")&amp;IF(AND(D260="PL",I260=""),IFERROR(INDEX(DICT_ACTIVE,MATCH("COA.ERR.NOCAT",DICT_KEY,0)),"")&amp;" ","")&amp;IF(AND(D260="PL",L260="OP",E260="",OR(F260="",G260="")),IFERROR(INDEX(DICT_ACTIVE,MATCH("COA.ERR.NOFN",DICT_KEY,0)),"")&amp;" ","")&amp;IF(AND(M260&lt;&gt;"",NOT(ISNA(MATCH(M260,ENG_KEY,0))),D260&lt;&gt;""),IF(INDEX(ENG_STMT,MATCH(M260,ENG_KEY,0))&lt;&gt;D260,IFERROR(INDEX(DICT_ACTIVE,MATCH("COA.ERR.STMT",DICT_KEY,0)),"")&amp;" ",""),"")))</f>
        <v/>
      </c>
    </row>
    <row r="261" spans="1:22" x14ac:dyDescent="0.3">
      <c r="A261" s="5"/>
      <c r="B261" s="5"/>
      <c r="C261" s="5"/>
      <c r="D261" s="10" t="str">
        <f t="shared" si="40"/>
        <v/>
      </c>
      <c r="E261" s="5"/>
      <c r="F261" s="5"/>
      <c r="G261" s="5"/>
      <c r="H261" s="5"/>
      <c r="I261" s="10" t="str">
        <f t="shared" si="41"/>
        <v/>
      </c>
      <c r="J261" s="5"/>
      <c r="K261" s="10" t="str">
        <f t="shared" si="42"/>
        <v/>
      </c>
      <c r="L261" s="4" t="str">
        <f t="shared" si="43"/>
        <v/>
      </c>
      <c r="M261" s="4" t="str">
        <f t="shared" si="44"/>
        <v/>
      </c>
      <c r="N261" s="5"/>
      <c r="O261" s="4" t="str">
        <f t="shared" si="45"/>
        <v/>
      </c>
      <c r="P261" s="5"/>
      <c r="Q261" s="10" t="str">
        <f t="shared" si="46"/>
        <v/>
      </c>
      <c r="R261" s="5"/>
      <c r="S261" s="10" t="str">
        <f t="shared" si="47"/>
        <v/>
      </c>
      <c r="T261" s="5"/>
      <c r="U261" s="10" t="str">
        <f t="shared" si="48"/>
        <v/>
      </c>
      <c r="V261" s="4" t="str">
        <f t="shared" si="49"/>
        <v/>
      </c>
    </row>
    <row r="262" spans="1:22" x14ac:dyDescent="0.3">
      <c r="A262" s="5"/>
      <c r="B262" s="5"/>
      <c r="C262" s="5"/>
      <c r="D262" s="10" t="str">
        <f t="shared" si="40"/>
        <v/>
      </c>
      <c r="E262" s="5"/>
      <c r="F262" s="5"/>
      <c r="G262" s="5"/>
      <c r="H262" s="5"/>
      <c r="I262" s="10" t="str">
        <f t="shared" si="41"/>
        <v/>
      </c>
      <c r="J262" s="5"/>
      <c r="K262" s="10" t="str">
        <f t="shared" si="42"/>
        <v/>
      </c>
      <c r="L262" s="4" t="str">
        <f t="shared" si="43"/>
        <v/>
      </c>
      <c r="M262" s="4" t="str">
        <f t="shared" si="44"/>
        <v/>
      </c>
      <c r="N262" s="5"/>
      <c r="O262" s="4" t="str">
        <f t="shared" si="45"/>
        <v/>
      </c>
      <c r="P262" s="5"/>
      <c r="Q262" s="10" t="str">
        <f t="shared" si="46"/>
        <v/>
      </c>
      <c r="R262" s="5"/>
      <c r="S262" s="10" t="str">
        <f t="shared" si="47"/>
        <v/>
      </c>
      <c r="T262" s="5"/>
      <c r="U262" s="10" t="str">
        <f t="shared" si="48"/>
        <v/>
      </c>
      <c r="V262" s="4" t="str">
        <f t="shared" si="49"/>
        <v/>
      </c>
    </row>
    <row r="263" spans="1:22" x14ac:dyDescent="0.3">
      <c r="A263" s="5"/>
      <c r="B263" s="5"/>
      <c r="C263" s="5"/>
      <c r="D263" s="10" t="str">
        <f t="shared" si="40"/>
        <v/>
      </c>
      <c r="E263" s="5"/>
      <c r="F263" s="5"/>
      <c r="G263" s="5"/>
      <c r="H263" s="5"/>
      <c r="I263" s="10" t="str">
        <f t="shared" si="41"/>
        <v/>
      </c>
      <c r="J263" s="5"/>
      <c r="K263" s="10" t="str">
        <f t="shared" si="42"/>
        <v/>
      </c>
      <c r="L263" s="4" t="str">
        <f t="shared" si="43"/>
        <v/>
      </c>
      <c r="M263" s="4" t="str">
        <f t="shared" si="44"/>
        <v/>
      </c>
      <c r="N263" s="5"/>
      <c r="O263" s="4" t="str">
        <f t="shared" si="45"/>
        <v/>
      </c>
      <c r="P263" s="5"/>
      <c r="Q263" s="10" t="str">
        <f t="shared" si="46"/>
        <v/>
      </c>
      <c r="R263" s="5"/>
      <c r="S263" s="10" t="str">
        <f t="shared" si="47"/>
        <v/>
      </c>
      <c r="T263" s="5"/>
      <c r="U263" s="10" t="str">
        <f t="shared" si="48"/>
        <v/>
      </c>
      <c r="V263" s="4" t="str">
        <f t="shared" si="49"/>
        <v/>
      </c>
    </row>
    <row r="264" spans="1:22" x14ac:dyDescent="0.3">
      <c r="A264" s="5"/>
      <c r="B264" s="5"/>
      <c r="C264" s="5"/>
      <c r="D264" s="10" t="str">
        <f t="shared" si="40"/>
        <v/>
      </c>
      <c r="E264" s="5"/>
      <c r="F264" s="5"/>
      <c r="G264" s="5"/>
      <c r="H264" s="5"/>
      <c r="I264" s="10" t="str">
        <f t="shared" si="41"/>
        <v/>
      </c>
      <c r="J264" s="5"/>
      <c r="K264" s="10" t="str">
        <f t="shared" si="42"/>
        <v/>
      </c>
      <c r="L264" s="4" t="str">
        <f t="shared" si="43"/>
        <v/>
      </c>
      <c r="M264" s="4" t="str">
        <f t="shared" si="44"/>
        <v/>
      </c>
      <c r="N264" s="5"/>
      <c r="O264" s="4" t="str">
        <f t="shared" si="45"/>
        <v/>
      </c>
      <c r="P264" s="5"/>
      <c r="Q264" s="10" t="str">
        <f t="shared" si="46"/>
        <v/>
      </c>
      <c r="R264" s="5"/>
      <c r="S264" s="10" t="str">
        <f t="shared" si="47"/>
        <v/>
      </c>
      <c r="T264" s="5"/>
      <c r="U264" s="10" t="str">
        <f t="shared" si="48"/>
        <v/>
      </c>
      <c r="V264" s="4" t="str">
        <f t="shared" si="49"/>
        <v/>
      </c>
    </row>
    <row r="265" spans="1:22" x14ac:dyDescent="0.3">
      <c r="A265" s="5"/>
      <c r="B265" s="5"/>
      <c r="C265" s="5"/>
      <c r="D265" s="10" t="str">
        <f t="shared" si="40"/>
        <v/>
      </c>
      <c r="E265" s="5"/>
      <c r="F265" s="5"/>
      <c r="G265" s="5"/>
      <c r="H265" s="5"/>
      <c r="I265" s="10" t="str">
        <f t="shared" si="41"/>
        <v/>
      </c>
      <c r="J265" s="5"/>
      <c r="K265" s="10" t="str">
        <f t="shared" si="42"/>
        <v/>
      </c>
      <c r="L265" s="4" t="str">
        <f t="shared" si="43"/>
        <v/>
      </c>
      <c r="M265" s="4" t="str">
        <f t="shared" si="44"/>
        <v/>
      </c>
      <c r="N265" s="5"/>
      <c r="O265" s="4" t="str">
        <f t="shared" si="45"/>
        <v/>
      </c>
      <c r="P265" s="5"/>
      <c r="Q265" s="10" t="str">
        <f t="shared" si="46"/>
        <v/>
      </c>
      <c r="R265" s="5"/>
      <c r="S265" s="10" t="str">
        <f t="shared" si="47"/>
        <v/>
      </c>
      <c r="T265" s="5"/>
      <c r="U265" s="10" t="str">
        <f t="shared" si="48"/>
        <v/>
      </c>
      <c r="V265" s="4" t="str">
        <f t="shared" si="49"/>
        <v/>
      </c>
    </row>
    <row r="266" spans="1:22" x14ac:dyDescent="0.3">
      <c r="A266" s="5"/>
      <c r="B266" s="5"/>
      <c r="C266" s="5"/>
      <c r="D266" s="10" t="str">
        <f t="shared" si="40"/>
        <v/>
      </c>
      <c r="E266" s="5"/>
      <c r="F266" s="5"/>
      <c r="G266" s="5"/>
      <c r="H266" s="5"/>
      <c r="I266" s="10" t="str">
        <f t="shared" si="41"/>
        <v/>
      </c>
      <c r="J266" s="5"/>
      <c r="K266" s="10" t="str">
        <f t="shared" si="42"/>
        <v/>
      </c>
      <c r="L266" s="4" t="str">
        <f t="shared" si="43"/>
        <v/>
      </c>
      <c r="M266" s="4" t="str">
        <f t="shared" si="44"/>
        <v/>
      </c>
      <c r="N266" s="5"/>
      <c r="O266" s="4" t="str">
        <f t="shared" si="45"/>
        <v/>
      </c>
      <c r="P266" s="5"/>
      <c r="Q266" s="10" t="str">
        <f t="shared" si="46"/>
        <v/>
      </c>
      <c r="R266" s="5"/>
      <c r="S266" s="10" t="str">
        <f t="shared" si="47"/>
        <v/>
      </c>
      <c r="T266" s="5"/>
      <c r="U266" s="10" t="str">
        <f t="shared" si="48"/>
        <v/>
      </c>
      <c r="V266" s="4" t="str">
        <f t="shared" si="49"/>
        <v/>
      </c>
    </row>
    <row r="267" spans="1:22" x14ac:dyDescent="0.3">
      <c r="A267" s="5"/>
      <c r="B267" s="5"/>
      <c r="C267" s="5"/>
      <c r="D267" s="10" t="str">
        <f t="shared" si="40"/>
        <v/>
      </c>
      <c r="E267" s="5"/>
      <c r="F267" s="5"/>
      <c r="G267" s="5"/>
      <c r="H267" s="5"/>
      <c r="I267" s="10" t="str">
        <f t="shared" si="41"/>
        <v/>
      </c>
      <c r="J267" s="5"/>
      <c r="K267" s="10" t="str">
        <f t="shared" si="42"/>
        <v/>
      </c>
      <c r="L267" s="4" t="str">
        <f t="shared" si="43"/>
        <v/>
      </c>
      <c r="M267" s="4" t="str">
        <f t="shared" si="44"/>
        <v/>
      </c>
      <c r="N267" s="5"/>
      <c r="O267" s="4" t="str">
        <f t="shared" si="45"/>
        <v/>
      </c>
      <c r="P267" s="5"/>
      <c r="Q267" s="10" t="str">
        <f t="shared" si="46"/>
        <v/>
      </c>
      <c r="R267" s="5"/>
      <c r="S267" s="10" t="str">
        <f t="shared" si="47"/>
        <v/>
      </c>
      <c r="T267" s="5"/>
      <c r="U267" s="10" t="str">
        <f t="shared" si="48"/>
        <v/>
      </c>
      <c r="V267" s="4" t="str">
        <f t="shared" si="49"/>
        <v/>
      </c>
    </row>
    <row r="268" spans="1:22" x14ac:dyDescent="0.3">
      <c r="A268" s="5"/>
      <c r="B268" s="5"/>
      <c r="C268" s="5"/>
      <c r="D268" s="10" t="str">
        <f t="shared" si="40"/>
        <v/>
      </c>
      <c r="E268" s="5"/>
      <c r="F268" s="5"/>
      <c r="G268" s="5"/>
      <c r="H268" s="5"/>
      <c r="I268" s="10" t="str">
        <f t="shared" si="41"/>
        <v/>
      </c>
      <c r="J268" s="5"/>
      <c r="K268" s="10" t="str">
        <f t="shared" si="42"/>
        <v/>
      </c>
      <c r="L268" s="4" t="str">
        <f t="shared" si="43"/>
        <v/>
      </c>
      <c r="M268" s="4" t="str">
        <f t="shared" si="44"/>
        <v/>
      </c>
      <c r="N268" s="5"/>
      <c r="O268" s="4" t="str">
        <f t="shared" si="45"/>
        <v/>
      </c>
      <c r="P268" s="5"/>
      <c r="Q268" s="10" t="str">
        <f t="shared" si="46"/>
        <v/>
      </c>
      <c r="R268" s="5"/>
      <c r="S268" s="10" t="str">
        <f t="shared" si="47"/>
        <v/>
      </c>
      <c r="T268" s="5"/>
      <c r="U268" s="10" t="str">
        <f t="shared" si="48"/>
        <v/>
      </c>
      <c r="V268" s="4" t="str">
        <f t="shared" si="49"/>
        <v/>
      </c>
    </row>
    <row r="269" spans="1:22" x14ac:dyDescent="0.3">
      <c r="A269" s="5"/>
      <c r="B269" s="5"/>
      <c r="C269" s="5"/>
      <c r="D269" s="10" t="str">
        <f t="shared" si="40"/>
        <v/>
      </c>
      <c r="E269" s="5"/>
      <c r="F269" s="5"/>
      <c r="G269" s="5"/>
      <c r="H269" s="5"/>
      <c r="I269" s="10" t="str">
        <f t="shared" si="41"/>
        <v/>
      </c>
      <c r="J269" s="5"/>
      <c r="K269" s="10" t="str">
        <f t="shared" si="42"/>
        <v/>
      </c>
      <c r="L269" s="4" t="str">
        <f t="shared" si="43"/>
        <v/>
      </c>
      <c r="M269" s="4" t="str">
        <f t="shared" si="44"/>
        <v/>
      </c>
      <c r="N269" s="5"/>
      <c r="O269" s="4" t="str">
        <f t="shared" si="45"/>
        <v/>
      </c>
      <c r="P269" s="5"/>
      <c r="Q269" s="10" t="str">
        <f t="shared" si="46"/>
        <v/>
      </c>
      <c r="R269" s="5"/>
      <c r="S269" s="10" t="str">
        <f t="shared" si="47"/>
        <v/>
      </c>
      <c r="T269" s="5"/>
      <c r="U269" s="10" t="str">
        <f t="shared" si="48"/>
        <v/>
      </c>
      <c r="V269" s="4" t="str">
        <f t="shared" si="49"/>
        <v/>
      </c>
    </row>
    <row r="270" spans="1:22" x14ac:dyDescent="0.3">
      <c r="A270" s="5"/>
      <c r="B270" s="5"/>
      <c r="C270" s="5"/>
      <c r="D270" s="10" t="str">
        <f t="shared" si="40"/>
        <v/>
      </c>
      <c r="E270" s="5"/>
      <c r="F270" s="5"/>
      <c r="G270" s="5"/>
      <c r="H270" s="5"/>
      <c r="I270" s="10" t="str">
        <f t="shared" si="41"/>
        <v/>
      </c>
      <c r="J270" s="5"/>
      <c r="K270" s="10" t="str">
        <f t="shared" si="42"/>
        <v/>
      </c>
      <c r="L270" s="4" t="str">
        <f t="shared" si="43"/>
        <v/>
      </c>
      <c r="M270" s="4" t="str">
        <f t="shared" si="44"/>
        <v/>
      </c>
      <c r="N270" s="5"/>
      <c r="O270" s="4" t="str">
        <f t="shared" si="45"/>
        <v/>
      </c>
      <c r="P270" s="5"/>
      <c r="Q270" s="10" t="str">
        <f t="shared" si="46"/>
        <v/>
      </c>
      <c r="R270" s="5"/>
      <c r="S270" s="10" t="str">
        <f t="shared" si="47"/>
        <v/>
      </c>
      <c r="T270" s="5"/>
      <c r="U270" s="10" t="str">
        <f t="shared" si="48"/>
        <v/>
      </c>
      <c r="V270" s="4" t="str">
        <f t="shared" si="49"/>
        <v/>
      </c>
    </row>
    <row r="271" spans="1:22" x14ac:dyDescent="0.3">
      <c r="A271" s="5"/>
      <c r="B271" s="5"/>
      <c r="C271" s="5"/>
      <c r="D271" s="10" t="str">
        <f t="shared" si="40"/>
        <v/>
      </c>
      <c r="E271" s="5"/>
      <c r="F271" s="5"/>
      <c r="G271" s="5"/>
      <c r="H271" s="5"/>
      <c r="I271" s="10" t="str">
        <f t="shared" si="41"/>
        <v/>
      </c>
      <c r="J271" s="5"/>
      <c r="K271" s="10" t="str">
        <f t="shared" si="42"/>
        <v/>
      </c>
      <c r="L271" s="4" t="str">
        <f t="shared" si="43"/>
        <v/>
      </c>
      <c r="M271" s="4" t="str">
        <f t="shared" si="44"/>
        <v/>
      </c>
      <c r="N271" s="5"/>
      <c r="O271" s="4" t="str">
        <f t="shared" si="45"/>
        <v/>
      </c>
      <c r="P271" s="5"/>
      <c r="Q271" s="10" t="str">
        <f t="shared" si="46"/>
        <v/>
      </c>
      <c r="R271" s="5"/>
      <c r="S271" s="10" t="str">
        <f t="shared" si="47"/>
        <v/>
      </c>
      <c r="T271" s="5"/>
      <c r="U271" s="10" t="str">
        <f t="shared" si="48"/>
        <v/>
      </c>
      <c r="V271" s="4" t="str">
        <f t="shared" si="49"/>
        <v/>
      </c>
    </row>
    <row r="272" spans="1:22" x14ac:dyDescent="0.3">
      <c r="A272" s="5"/>
      <c r="B272" s="5"/>
      <c r="C272" s="5"/>
      <c r="D272" s="10" t="str">
        <f t="shared" si="40"/>
        <v/>
      </c>
      <c r="E272" s="5"/>
      <c r="F272" s="5"/>
      <c r="G272" s="5"/>
      <c r="H272" s="5"/>
      <c r="I272" s="10" t="str">
        <f t="shared" si="41"/>
        <v/>
      </c>
      <c r="J272" s="5"/>
      <c r="K272" s="10" t="str">
        <f t="shared" si="42"/>
        <v/>
      </c>
      <c r="L272" s="4" t="str">
        <f t="shared" si="43"/>
        <v/>
      </c>
      <c r="M272" s="4" t="str">
        <f t="shared" si="44"/>
        <v/>
      </c>
      <c r="N272" s="5"/>
      <c r="O272" s="4" t="str">
        <f t="shared" si="45"/>
        <v/>
      </c>
      <c r="P272" s="5"/>
      <c r="Q272" s="10" t="str">
        <f t="shared" si="46"/>
        <v/>
      </c>
      <c r="R272" s="5"/>
      <c r="S272" s="10" t="str">
        <f t="shared" si="47"/>
        <v/>
      </c>
      <c r="T272" s="5"/>
      <c r="U272" s="10" t="str">
        <f t="shared" si="48"/>
        <v/>
      </c>
      <c r="V272" s="4" t="str">
        <f t="shared" si="49"/>
        <v/>
      </c>
    </row>
    <row r="273" spans="1:22" x14ac:dyDescent="0.3">
      <c r="A273" s="5"/>
      <c r="B273" s="5"/>
      <c r="C273" s="5"/>
      <c r="D273" s="10" t="str">
        <f t="shared" si="40"/>
        <v/>
      </c>
      <c r="E273" s="5"/>
      <c r="F273" s="5"/>
      <c r="G273" s="5"/>
      <c r="H273" s="5"/>
      <c r="I273" s="10" t="str">
        <f t="shared" si="41"/>
        <v/>
      </c>
      <c r="J273" s="5"/>
      <c r="K273" s="10" t="str">
        <f t="shared" si="42"/>
        <v/>
      </c>
      <c r="L273" s="4" t="str">
        <f t="shared" si="43"/>
        <v/>
      </c>
      <c r="M273" s="4" t="str">
        <f t="shared" si="44"/>
        <v/>
      </c>
      <c r="N273" s="5"/>
      <c r="O273" s="4" t="str">
        <f t="shared" si="45"/>
        <v/>
      </c>
      <c r="P273" s="5"/>
      <c r="Q273" s="10" t="str">
        <f t="shared" si="46"/>
        <v/>
      </c>
      <c r="R273" s="5"/>
      <c r="S273" s="10" t="str">
        <f t="shared" si="47"/>
        <v/>
      </c>
      <c r="T273" s="5"/>
      <c r="U273" s="10" t="str">
        <f t="shared" si="48"/>
        <v/>
      </c>
      <c r="V273" s="4" t="str">
        <f t="shared" si="49"/>
        <v/>
      </c>
    </row>
    <row r="274" spans="1:22" x14ac:dyDescent="0.3">
      <c r="A274" s="5"/>
      <c r="B274" s="5"/>
      <c r="C274" s="5"/>
      <c r="D274" s="10" t="str">
        <f t="shared" si="40"/>
        <v/>
      </c>
      <c r="E274" s="5"/>
      <c r="F274" s="5"/>
      <c r="G274" s="5"/>
      <c r="H274" s="5"/>
      <c r="I274" s="10" t="str">
        <f t="shared" si="41"/>
        <v/>
      </c>
      <c r="J274" s="5"/>
      <c r="K274" s="10" t="str">
        <f t="shared" si="42"/>
        <v/>
      </c>
      <c r="L274" s="4" t="str">
        <f t="shared" si="43"/>
        <v/>
      </c>
      <c r="M274" s="4" t="str">
        <f t="shared" si="44"/>
        <v/>
      </c>
      <c r="N274" s="5"/>
      <c r="O274" s="4" t="str">
        <f t="shared" si="45"/>
        <v/>
      </c>
      <c r="P274" s="5"/>
      <c r="Q274" s="10" t="str">
        <f t="shared" si="46"/>
        <v/>
      </c>
      <c r="R274" s="5"/>
      <c r="S274" s="10" t="str">
        <f t="shared" si="47"/>
        <v/>
      </c>
      <c r="T274" s="5"/>
      <c r="U274" s="10" t="str">
        <f t="shared" si="48"/>
        <v/>
      </c>
      <c r="V274" s="4" t="str">
        <f t="shared" si="49"/>
        <v/>
      </c>
    </row>
    <row r="275" spans="1:22" x14ac:dyDescent="0.3">
      <c r="A275" s="5"/>
      <c r="B275" s="5"/>
      <c r="C275" s="5"/>
      <c r="D275" s="10" t="str">
        <f t="shared" si="40"/>
        <v/>
      </c>
      <c r="E275" s="5"/>
      <c r="F275" s="5"/>
      <c r="G275" s="5"/>
      <c r="H275" s="5"/>
      <c r="I275" s="10" t="str">
        <f t="shared" si="41"/>
        <v/>
      </c>
      <c r="J275" s="5"/>
      <c r="K275" s="10" t="str">
        <f t="shared" si="42"/>
        <v/>
      </c>
      <c r="L275" s="4" t="str">
        <f t="shared" si="43"/>
        <v/>
      </c>
      <c r="M275" s="4" t="str">
        <f t="shared" si="44"/>
        <v/>
      </c>
      <c r="N275" s="5"/>
      <c r="O275" s="4" t="str">
        <f t="shared" si="45"/>
        <v/>
      </c>
      <c r="P275" s="5"/>
      <c r="Q275" s="10" t="str">
        <f t="shared" si="46"/>
        <v/>
      </c>
      <c r="R275" s="5"/>
      <c r="S275" s="10" t="str">
        <f t="shared" si="47"/>
        <v/>
      </c>
      <c r="T275" s="5"/>
      <c r="U275" s="10" t="str">
        <f t="shared" si="48"/>
        <v/>
      </c>
      <c r="V275" s="4" t="str">
        <f t="shared" si="49"/>
        <v/>
      </c>
    </row>
    <row r="276" spans="1:22" x14ac:dyDescent="0.3">
      <c r="A276" s="5"/>
      <c r="B276" s="5"/>
      <c r="C276" s="5"/>
      <c r="D276" s="10" t="str">
        <f t="shared" si="40"/>
        <v/>
      </c>
      <c r="E276" s="5"/>
      <c r="F276" s="5"/>
      <c r="G276" s="5"/>
      <c r="H276" s="5"/>
      <c r="I276" s="10" t="str">
        <f t="shared" si="41"/>
        <v/>
      </c>
      <c r="J276" s="5"/>
      <c r="K276" s="10" t="str">
        <f t="shared" si="42"/>
        <v/>
      </c>
      <c r="L276" s="4" t="str">
        <f t="shared" si="43"/>
        <v/>
      </c>
      <c r="M276" s="4" t="str">
        <f t="shared" si="44"/>
        <v/>
      </c>
      <c r="N276" s="5"/>
      <c r="O276" s="4" t="str">
        <f t="shared" si="45"/>
        <v/>
      </c>
      <c r="P276" s="5"/>
      <c r="Q276" s="10" t="str">
        <f t="shared" si="46"/>
        <v/>
      </c>
      <c r="R276" s="5"/>
      <c r="S276" s="10" t="str">
        <f t="shared" si="47"/>
        <v/>
      </c>
      <c r="T276" s="5"/>
      <c r="U276" s="10" t="str">
        <f t="shared" si="48"/>
        <v/>
      </c>
      <c r="V276" s="4" t="str">
        <f t="shared" si="49"/>
        <v/>
      </c>
    </row>
    <row r="277" spans="1:22" x14ac:dyDescent="0.3">
      <c r="A277" s="5"/>
      <c r="B277" s="5"/>
      <c r="C277" s="5"/>
      <c r="D277" s="10" t="str">
        <f t="shared" si="40"/>
        <v/>
      </c>
      <c r="E277" s="5"/>
      <c r="F277" s="5"/>
      <c r="G277" s="5"/>
      <c r="H277" s="5"/>
      <c r="I277" s="10" t="str">
        <f t="shared" si="41"/>
        <v/>
      </c>
      <c r="J277" s="5"/>
      <c r="K277" s="10" t="str">
        <f t="shared" si="42"/>
        <v/>
      </c>
      <c r="L277" s="4" t="str">
        <f t="shared" si="43"/>
        <v/>
      </c>
      <c r="M277" s="4" t="str">
        <f t="shared" si="44"/>
        <v/>
      </c>
      <c r="N277" s="5"/>
      <c r="O277" s="4" t="str">
        <f t="shared" si="45"/>
        <v/>
      </c>
      <c r="P277" s="5"/>
      <c r="Q277" s="10" t="str">
        <f t="shared" si="46"/>
        <v/>
      </c>
      <c r="R277" s="5"/>
      <c r="S277" s="10" t="str">
        <f t="shared" si="47"/>
        <v/>
      </c>
      <c r="T277" s="5"/>
      <c r="U277" s="10" t="str">
        <f t="shared" si="48"/>
        <v/>
      </c>
      <c r="V277" s="4" t="str">
        <f t="shared" si="49"/>
        <v/>
      </c>
    </row>
    <row r="278" spans="1:22" x14ac:dyDescent="0.3">
      <c r="A278" s="5"/>
      <c r="B278" s="5"/>
      <c r="C278" s="5"/>
      <c r="D278" s="10" t="str">
        <f t="shared" si="40"/>
        <v/>
      </c>
      <c r="E278" s="5"/>
      <c r="F278" s="5"/>
      <c r="G278" s="5"/>
      <c r="H278" s="5"/>
      <c r="I278" s="10" t="str">
        <f t="shared" si="41"/>
        <v/>
      </c>
      <c r="J278" s="5"/>
      <c r="K278" s="10" t="str">
        <f t="shared" si="42"/>
        <v/>
      </c>
      <c r="L278" s="4" t="str">
        <f t="shared" si="43"/>
        <v/>
      </c>
      <c r="M278" s="4" t="str">
        <f t="shared" si="44"/>
        <v/>
      </c>
      <c r="N278" s="5"/>
      <c r="O278" s="4" t="str">
        <f t="shared" si="45"/>
        <v/>
      </c>
      <c r="P278" s="5"/>
      <c r="Q278" s="10" t="str">
        <f t="shared" si="46"/>
        <v/>
      </c>
      <c r="R278" s="5"/>
      <c r="S278" s="10" t="str">
        <f t="shared" si="47"/>
        <v/>
      </c>
      <c r="T278" s="5"/>
      <c r="U278" s="10" t="str">
        <f t="shared" si="48"/>
        <v/>
      </c>
      <c r="V278" s="4" t="str">
        <f t="shared" si="49"/>
        <v/>
      </c>
    </row>
    <row r="279" spans="1:22" x14ac:dyDescent="0.3">
      <c r="A279" s="5"/>
      <c r="B279" s="5"/>
      <c r="C279" s="5"/>
      <c r="D279" s="10" t="str">
        <f t="shared" si="40"/>
        <v/>
      </c>
      <c r="E279" s="5"/>
      <c r="F279" s="5"/>
      <c r="G279" s="5"/>
      <c r="H279" s="5"/>
      <c r="I279" s="10" t="str">
        <f t="shared" si="41"/>
        <v/>
      </c>
      <c r="J279" s="5"/>
      <c r="K279" s="10" t="str">
        <f t="shared" si="42"/>
        <v/>
      </c>
      <c r="L279" s="4" t="str">
        <f t="shared" si="43"/>
        <v/>
      </c>
      <c r="M279" s="4" t="str">
        <f t="shared" si="44"/>
        <v/>
      </c>
      <c r="N279" s="5"/>
      <c r="O279" s="4" t="str">
        <f t="shared" si="45"/>
        <v/>
      </c>
      <c r="P279" s="5"/>
      <c r="Q279" s="10" t="str">
        <f t="shared" si="46"/>
        <v/>
      </c>
      <c r="R279" s="5"/>
      <c r="S279" s="10" t="str">
        <f t="shared" si="47"/>
        <v/>
      </c>
      <c r="T279" s="5"/>
      <c r="U279" s="10" t="str">
        <f t="shared" si="48"/>
        <v/>
      </c>
      <c r="V279" s="4" t="str">
        <f t="shared" si="49"/>
        <v/>
      </c>
    </row>
    <row r="280" spans="1:22" x14ac:dyDescent="0.3">
      <c r="A280" s="5"/>
      <c r="B280" s="5"/>
      <c r="C280" s="5"/>
      <c r="D280" s="10" t="str">
        <f t="shared" si="40"/>
        <v/>
      </c>
      <c r="E280" s="5"/>
      <c r="F280" s="5"/>
      <c r="G280" s="5"/>
      <c r="H280" s="5"/>
      <c r="I280" s="10" t="str">
        <f t="shared" si="41"/>
        <v/>
      </c>
      <c r="J280" s="5"/>
      <c r="K280" s="10" t="str">
        <f t="shared" si="42"/>
        <v/>
      </c>
      <c r="L280" s="4" t="str">
        <f t="shared" si="43"/>
        <v/>
      </c>
      <c r="M280" s="4" t="str">
        <f t="shared" si="44"/>
        <v/>
      </c>
      <c r="N280" s="5"/>
      <c r="O280" s="4" t="str">
        <f t="shared" si="45"/>
        <v/>
      </c>
      <c r="P280" s="5"/>
      <c r="Q280" s="10" t="str">
        <f t="shared" si="46"/>
        <v/>
      </c>
      <c r="R280" s="5"/>
      <c r="S280" s="10" t="str">
        <f t="shared" si="47"/>
        <v/>
      </c>
      <c r="T280" s="5"/>
      <c r="U280" s="10" t="str">
        <f t="shared" si="48"/>
        <v/>
      </c>
      <c r="V280" s="4" t="str">
        <f t="shared" si="49"/>
        <v/>
      </c>
    </row>
    <row r="281" spans="1:22" x14ac:dyDescent="0.3">
      <c r="A281" s="5"/>
      <c r="B281" s="5"/>
      <c r="C281" s="5"/>
      <c r="D281" s="10" t="str">
        <f t="shared" si="40"/>
        <v/>
      </c>
      <c r="E281" s="5"/>
      <c r="F281" s="5"/>
      <c r="G281" s="5"/>
      <c r="H281" s="5"/>
      <c r="I281" s="10" t="str">
        <f t="shared" si="41"/>
        <v/>
      </c>
      <c r="J281" s="5"/>
      <c r="K281" s="10" t="str">
        <f t="shared" si="42"/>
        <v/>
      </c>
      <c r="L281" s="4" t="str">
        <f t="shared" si="43"/>
        <v/>
      </c>
      <c r="M281" s="4" t="str">
        <f t="shared" si="44"/>
        <v/>
      </c>
      <c r="N281" s="5"/>
      <c r="O281" s="4" t="str">
        <f t="shared" si="45"/>
        <v/>
      </c>
      <c r="P281" s="5"/>
      <c r="Q281" s="10" t="str">
        <f t="shared" si="46"/>
        <v/>
      </c>
      <c r="R281" s="5"/>
      <c r="S281" s="10" t="str">
        <f t="shared" si="47"/>
        <v/>
      </c>
      <c r="T281" s="5"/>
      <c r="U281" s="10" t="str">
        <f t="shared" si="48"/>
        <v/>
      </c>
      <c r="V281" s="4" t="str">
        <f t="shared" si="49"/>
        <v/>
      </c>
    </row>
    <row r="282" spans="1:22" x14ac:dyDescent="0.3">
      <c r="A282" s="5"/>
      <c r="B282" s="5"/>
      <c r="C282" s="5"/>
      <c r="D282" s="10" t="str">
        <f t="shared" si="40"/>
        <v/>
      </c>
      <c r="E282" s="5"/>
      <c r="F282" s="5"/>
      <c r="G282" s="5"/>
      <c r="H282" s="5"/>
      <c r="I282" s="10" t="str">
        <f t="shared" si="41"/>
        <v/>
      </c>
      <c r="J282" s="5"/>
      <c r="K282" s="10" t="str">
        <f t="shared" si="42"/>
        <v/>
      </c>
      <c r="L282" s="4" t="str">
        <f t="shared" si="43"/>
        <v/>
      </c>
      <c r="M282" s="4" t="str">
        <f t="shared" si="44"/>
        <v/>
      </c>
      <c r="N282" s="5"/>
      <c r="O282" s="4" t="str">
        <f t="shared" si="45"/>
        <v/>
      </c>
      <c r="P282" s="5"/>
      <c r="Q282" s="10" t="str">
        <f t="shared" si="46"/>
        <v/>
      </c>
      <c r="R282" s="5"/>
      <c r="S282" s="10" t="str">
        <f t="shared" si="47"/>
        <v/>
      </c>
      <c r="T282" s="5"/>
      <c r="U282" s="10" t="str">
        <f t="shared" si="48"/>
        <v/>
      </c>
      <c r="V282" s="4" t="str">
        <f t="shared" si="49"/>
        <v/>
      </c>
    </row>
    <row r="283" spans="1:22" x14ac:dyDescent="0.3">
      <c r="A283" s="5"/>
      <c r="B283" s="5"/>
      <c r="C283" s="5"/>
      <c r="D283" s="10" t="str">
        <f t="shared" si="40"/>
        <v/>
      </c>
      <c r="E283" s="5"/>
      <c r="F283" s="5"/>
      <c r="G283" s="5"/>
      <c r="H283" s="5"/>
      <c r="I283" s="10" t="str">
        <f t="shared" si="41"/>
        <v/>
      </c>
      <c r="J283" s="5"/>
      <c r="K283" s="10" t="str">
        <f t="shared" si="42"/>
        <v/>
      </c>
      <c r="L283" s="4" t="str">
        <f t="shared" si="43"/>
        <v/>
      </c>
      <c r="M283" s="4" t="str">
        <f t="shared" si="44"/>
        <v/>
      </c>
      <c r="N283" s="5"/>
      <c r="O283" s="4" t="str">
        <f t="shared" si="45"/>
        <v/>
      </c>
      <c r="P283" s="5"/>
      <c r="Q283" s="10" t="str">
        <f t="shared" si="46"/>
        <v/>
      </c>
      <c r="R283" s="5"/>
      <c r="S283" s="10" t="str">
        <f t="shared" si="47"/>
        <v/>
      </c>
      <c r="T283" s="5"/>
      <c r="U283" s="10" t="str">
        <f t="shared" si="48"/>
        <v/>
      </c>
      <c r="V283" s="4" t="str">
        <f t="shared" si="49"/>
        <v/>
      </c>
    </row>
    <row r="284" spans="1:22" x14ac:dyDescent="0.3">
      <c r="A284" s="5"/>
      <c r="B284" s="5"/>
      <c r="C284" s="5"/>
      <c r="D284" s="10" t="str">
        <f t="shared" si="40"/>
        <v/>
      </c>
      <c r="E284" s="5"/>
      <c r="F284" s="5"/>
      <c r="G284" s="5"/>
      <c r="H284" s="5"/>
      <c r="I284" s="10" t="str">
        <f t="shared" si="41"/>
        <v/>
      </c>
      <c r="J284" s="5"/>
      <c r="K284" s="10" t="str">
        <f t="shared" si="42"/>
        <v/>
      </c>
      <c r="L284" s="4" t="str">
        <f t="shared" si="43"/>
        <v/>
      </c>
      <c r="M284" s="4" t="str">
        <f t="shared" si="44"/>
        <v/>
      </c>
      <c r="N284" s="5"/>
      <c r="O284" s="4" t="str">
        <f t="shared" si="45"/>
        <v/>
      </c>
      <c r="P284" s="5"/>
      <c r="Q284" s="10" t="str">
        <f t="shared" si="46"/>
        <v/>
      </c>
      <c r="R284" s="5"/>
      <c r="S284" s="10" t="str">
        <f t="shared" si="47"/>
        <v/>
      </c>
      <c r="T284" s="5"/>
      <c r="U284" s="10" t="str">
        <f t="shared" si="48"/>
        <v/>
      </c>
      <c r="V284" s="4" t="str">
        <f t="shared" si="49"/>
        <v/>
      </c>
    </row>
    <row r="285" spans="1:22" x14ac:dyDescent="0.3">
      <c r="A285" s="5"/>
      <c r="B285" s="5"/>
      <c r="C285" s="5"/>
      <c r="D285" s="10" t="str">
        <f t="shared" si="40"/>
        <v/>
      </c>
      <c r="E285" s="5"/>
      <c r="F285" s="5"/>
      <c r="G285" s="5"/>
      <c r="H285" s="5"/>
      <c r="I285" s="10" t="str">
        <f t="shared" si="41"/>
        <v/>
      </c>
      <c r="J285" s="5"/>
      <c r="K285" s="10" t="str">
        <f t="shared" si="42"/>
        <v/>
      </c>
      <c r="L285" s="4" t="str">
        <f t="shared" si="43"/>
        <v/>
      </c>
      <c r="M285" s="4" t="str">
        <f t="shared" si="44"/>
        <v/>
      </c>
      <c r="N285" s="5"/>
      <c r="O285" s="4" t="str">
        <f t="shared" si="45"/>
        <v/>
      </c>
      <c r="P285" s="5"/>
      <c r="Q285" s="10" t="str">
        <f t="shared" si="46"/>
        <v/>
      </c>
      <c r="R285" s="5"/>
      <c r="S285" s="10" t="str">
        <f t="shared" si="47"/>
        <v/>
      </c>
      <c r="T285" s="5"/>
      <c r="U285" s="10" t="str">
        <f t="shared" si="48"/>
        <v/>
      </c>
      <c r="V285" s="4" t="str">
        <f t="shared" si="49"/>
        <v/>
      </c>
    </row>
    <row r="286" spans="1:22" x14ac:dyDescent="0.3">
      <c r="A286" s="5"/>
      <c r="B286" s="5"/>
      <c r="C286" s="5"/>
      <c r="D286" s="10" t="str">
        <f t="shared" si="40"/>
        <v/>
      </c>
      <c r="E286" s="5"/>
      <c r="F286" s="5"/>
      <c r="G286" s="5"/>
      <c r="H286" s="5"/>
      <c r="I286" s="10" t="str">
        <f t="shared" si="41"/>
        <v/>
      </c>
      <c r="J286" s="5"/>
      <c r="K286" s="10" t="str">
        <f t="shared" si="42"/>
        <v/>
      </c>
      <c r="L286" s="4" t="str">
        <f t="shared" si="43"/>
        <v/>
      </c>
      <c r="M286" s="4" t="str">
        <f t="shared" si="44"/>
        <v/>
      </c>
      <c r="N286" s="5"/>
      <c r="O286" s="4" t="str">
        <f t="shared" si="45"/>
        <v/>
      </c>
      <c r="P286" s="5"/>
      <c r="Q286" s="10" t="str">
        <f t="shared" si="46"/>
        <v/>
      </c>
      <c r="R286" s="5"/>
      <c r="S286" s="10" t="str">
        <f t="shared" si="47"/>
        <v/>
      </c>
      <c r="T286" s="5"/>
      <c r="U286" s="10" t="str">
        <f t="shared" si="48"/>
        <v/>
      </c>
      <c r="V286" s="4" t="str">
        <f t="shared" si="49"/>
        <v/>
      </c>
    </row>
    <row r="287" spans="1:22" x14ac:dyDescent="0.3">
      <c r="A287" s="5"/>
      <c r="B287" s="5"/>
      <c r="C287" s="5"/>
      <c r="D287" s="10" t="str">
        <f t="shared" si="40"/>
        <v/>
      </c>
      <c r="E287" s="5"/>
      <c r="F287" s="5"/>
      <c r="G287" s="5"/>
      <c r="H287" s="5"/>
      <c r="I287" s="10" t="str">
        <f t="shared" si="41"/>
        <v/>
      </c>
      <c r="J287" s="5"/>
      <c r="K287" s="10" t="str">
        <f t="shared" si="42"/>
        <v/>
      </c>
      <c r="L287" s="4" t="str">
        <f t="shared" si="43"/>
        <v/>
      </c>
      <c r="M287" s="4" t="str">
        <f t="shared" si="44"/>
        <v/>
      </c>
      <c r="N287" s="5"/>
      <c r="O287" s="4" t="str">
        <f t="shared" si="45"/>
        <v/>
      </c>
      <c r="P287" s="5"/>
      <c r="Q287" s="10" t="str">
        <f t="shared" si="46"/>
        <v/>
      </c>
      <c r="R287" s="5"/>
      <c r="S287" s="10" t="str">
        <f t="shared" si="47"/>
        <v/>
      </c>
      <c r="T287" s="5"/>
      <c r="U287" s="10" t="str">
        <f t="shared" si="48"/>
        <v/>
      </c>
      <c r="V287" s="4" t="str">
        <f t="shared" si="49"/>
        <v/>
      </c>
    </row>
    <row r="288" spans="1:22" x14ac:dyDescent="0.3">
      <c r="A288" s="5"/>
      <c r="B288" s="5"/>
      <c r="C288" s="5"/>
      <c r="D288" s="10" t="str">
        <f t="shared" si="40"/>
        <v/>
      </c>
      <c r="E288" s="5"/>
      <c r="F288" s="5"/>
      <c r="G288" s="5"/>
      <c r="H288" s="5"/>
      <c r="I288" s="10" t="str">
        <f t="shared" si="41"/>
        <v/>
      </c>
      <c r="J288" s="5"/>
      <c r="K288" s="10" t="str">
        <f t="shared" si="42"/>
        <v/>
      </c>
      <c r="L288" s="4" t="str">
        <f t="shared" si="43"/>
        <v/>
      </c>
      <c r="M288" s="4" t="str">
        <f t="shared" si="44"/>
        <v/>
      </c>
      <c r="N288" s="5"/>
      <c r="O288" s="4" t="str">
        <f t="shared" si="45"/>
        <v/>
      </c>
      <c r="P288" s="5"/>
      <c r="Q288" s="10" t="str">
        <f t="shared" si="46"/>
        <v/>
      </c>
      <c r="R288" s="5"/>
      <c r="S288" s="10" t="str">
        <f t="shared" si="47"/>
        <v/>
      </c>
      <c r="T288" s="5"/>
      <c r="U288" s="10" t="str">
        <f t="shared" si="48"/>
        <v/>
      </c>
      <c r="V288" s="4" t="str">
        <f t="shared" si="49"/>
        <v/>
      </c>
    </row>
    <row r="289" spans="1:22" x14ac:dyDescent="0.3">
      <c r="A289" s="5"/>
      <c r="B289" s="5"/>
      <c r="C289" s="5"/>
      <c r="D289" s="10" t="str">
        <f t="shared" si="40"/>
        <v/>
      </c>
      <c r="E289" s="5"/>
      <c r="F289" s="5"/>
      <c r="G289" s="5"/>
      <c r="H289" s="5"/>
      <c r="I289" s="10" t="str">
        <f t="shared" si="41"/>
        <v/>
      </c>
      <c r="J289" s="5"/>
      <c r="K289" s="10" t="str">
        <f t="shared" si="42"/>
        <v/>
      </c>
      <c r="L289" s="4" t="str">
        <f t="shared" si="43"/>
        <v/>
      </c>
      <c r="M289" s="4" t="str">
        <f t="shared" si="44"/>
        <v/>
      </c>
      <c r="N289" s="5"/>
      <c r="O289" s="4" t="str">
        <f t="shared" si="45"/>
        <v/>
      </c>
      <c r="P289" s="5"/>
      <c r="Q289" s="10" t="str">
        <f t="shared" si="46"/>
        <v/>
      </c>
      <c r="R289" s="5"/>
      <c r="S289" s="10" t="str">
        <f t="shared" si="47"/>
        <v/>
      </c>
      <c r="T289" s="5"/>
      <c r="U289" s="10" t="str">
        <f t="shared" si="48"/>
        <v/>
      </c>
      <c r="V289" s="4" t="str">
        <f t="shared" si="49"/>
        <v/>
      </c>
    </row>
    <row r="290" spans="1:22" x14ac:dyDescent="0.3">
      <c r="A290" s="5"/>
      <c r="B290" s="5"/>
      <c r="C290" s="5"/>
      <c r="D290" s="10" t="str">
        <f t="shared" si="40"/>
        <v/>
      </c>
      <c r="E290" s="5"/>
      <c r="F290" s="5"/>
      <c r="G290" s="5"/>
      <c r="H290" s="5"/>
      <c r="I290" s="10" t="str">
        <f t="shared" si="41"/>
        <v/>
      </c>
      <c r="J290" s="5"/>
      <c r="K290" s="10" t="str">
        <f t="shared" si="42"/>
        <v/>
      </c>
      <c r="L290" s="4" t="str">
        <f t="shared" si="43"/>
        <v/>
      </c>
      <c r="M290" s="4" t="str">
        <f t="shared" si="44"/>
        <v/>
      </c>
      <c r="N290" s="5"/>
      <c r="O290" s="4" t="str">
        <f t="shared" si="45"/>
        <v/>
      </c>
      <c r="P290" s="5"/>
      <c r="Q290" s="10" t="str">
        <f t="shared" si="46"/>
        <v/>
      </c>
      <c r="R290" s="5"/>
      <c r="S290" s="10" t="str">
        <f t="shared" si="47"/>
        <v/>
      </c>
      <c r="T290" s="5"/>
      <c r="U290" s="10" t="str">
        <f t="shared" si="48"/>
        <v/>
      </c>
      <c r="V290" s="4" t="str">
        <f t="shared" si="49"/>
        <v/>
      </c>
    </row>
    <row r="291" spans="1:22" x14ac:dyDescent="0.3">
      <c r="A291" s="5"/>
      <c r="B291" s="5"/>
      <c r="C291" s="5"/>
      <c r="D291" s="10" t="str">
        <f t="shared" si="40"/>
        <v/>
      </c>
      <c r="E291" s="5"/>
      <c r="F291" s="5"/>
      <c r="G291" s="5"/>
      <c r="H291" s="5"/>
      <c r="I291" s="10" t="str">
        <f t="shared" si="41"/>
        <v/>
      </c>
      <c r="J291" s="5"/>
      <c r="K291" s="10" t="str">
        <f t="shared" si="42"/>
        <v/>
      </c>
      <c r="L291" s="4" t="str">
        <f t="shared" si="43"/>
        <v/>
      </c>
      <c r="M291" s="4" t="str">
        <f t="shared" si="44"/>
        <v/>
      </c>
      <c r="N291" s="5"/>
      <c r="O291" s="4" t="str">
        <f t="shared" si="45"/>
        <v/>
      </c>
      <c r="P291" s="5"/>
      <c r="Q291" s="10" t="str">
        <f t="shared" si="46"/>
        <v/>
      </c>
      <c r="R291" s="5"/>
      <c r="S291" s="10" t="str">
        <f t="shared" si="47"/>
        <v/>
      </c>
      <c r="T291" s="5"/>
      <c r="U291" s="10" t="str">
        <f t="shared" si="48"/>
        <v/>
      </c>
      <c r="V291" s="4" t="str">
        <f t="shared" si="49"/>
        <v/>
      </c>
    </row>
    <row r="292" spans="1:22" x14ac:dyDescent="0.3">
      <c r="A292" s="5"/>
      <c r="B292" s="5"/>
      <c r="C292" s="5"/>
      <c r="D292" s="10" t="str">
        <f t="shared" si="40"/>
        <v/>
      </c>
      <c r="E292" s="5"/>
      <c r="F292" s="5"/>
      <c r="G292" s="5"/>
      <c r="H292" s="5"/>
      <c r="I292" s="10" t="str">
        <f t="shared" si="41"/>
        <v/>
      </c>
      <c r="J292" s="5"/>
      <c r="K292" s="10" t="str">
        <f t="shared" si="42"/>
        <v/>
      </c>
      <c r="L292" s="4" t="str">
        <f t="shared" si="43"/>
        <v/>
      </c>
      <c r="M292" s="4" t="str">
        <f t="shared" si="44"/>
        <v/>
      </c>
      <c r="N292" s="5"/>
      <c r="O292" s="4" t="str">
        <f t="shared" si="45"/>
        <v/>
      </c>
      <c r="P292" s="5"/>
      <c r="Q292" s="10" t="str">
        <f t="shared" si="46"/>
        <v/>
      </c>
      <c r="R292" s="5"/>
      <c r="S292" s="10" t="str">
        <f t="shared" si="47"/>
        <v/>
      </c>
      <c r="T292" s="5"/>
      <c r="U292" s="10" t="str">
        <f t="shared" si="48"/>
        <v/>
      </c>
      <c r="V292" s="4" t="str">
        <f t="shared" si="49"/>
        <v/>
      </c>
    </row>
    <row r="293" spans="1:22" x14ac:dyDescent="0.3">
      <c r="A293" s="5"/>
      <c r="B293" s="5"/>
      <c r="C293" s="5"/>
      <c r="D293" s="10" t="str">
        <f t="shared" si="40"/>
        <v/>
      </c>
      <c r="E293" s="5"/>
      <c r="F293" s="5"/>
      <c r="G293" s="5"/>
      <c r="H293" s="5"/>
      <c r="I293" s="10" t="str">
        <f t="shared" si="41"/>
        <v/>
      </c>
      <c r="J293" s="5"/>
      <c r="K293" s="10" t="str">
        <f t="shared" si="42"/>
        <v/>
      </c>
      <c r="L293" s="4" t="str">
        <f t="shared" si="43"/>
        <v/>
      </c>
      <c r="M293" s="4" t="str">
        <f t="shared" si="44"/>
        <v/>
      </c>
      <c r="N293" s="5"/>
      <c r="O293" s="4" t="str">
        <f t="shared" si="45"/>
        <v/>
      </c>
      <c r="P293" s="5"/>
      <c r="Q293" s="10" t="str">
        <f t="shared" si="46"/>
        <v/>
      </c>
      <c r="R293" s="5"/>
      <c r="S293" s="10" t="str">
        <f t="shared" si="47"/>
        <v/>
      </c>
      <c r="T293" s="5"/>
      <c r="U293" s="10" t="str">
        <f t="shared" si="48"/>
        <v/>
      </c>
      <c r="V293" s="4" t="str">
        <f t="shared" si="49"/>
        <v/>
      </c>
    </row>
    <row r="294" spans="1:22" x14ac:dyDescent="0.3">
      <c r="A294" s="5"/>
      <c r="B294" s="5"/>
      <c r="C294" s="5"/>
      <c r="D294" s="10" t="str">
        <f t="shared" si="40"/>
        <v/>
      </c>
      <c r="E294" s="5"/>
      <c r="F294" s="5"/>
      <c r="G294" s="5"/>
      <c r="H294" s="5"/>
      <c r="I294" s="10" t="str">
        <f t="shared" si="41"/>
        <v/>
      </c>
      <c r="J294" s="5"/>
      <c r="K294" s="10" t="str">
        <f t="shared" si="42"/>
        <v/>
      </c>
      <c r="L294" s="4" t="str">
        <f t="shared" si="43"/>
        <v/>
      </c>
      <c r="M294" s="4" t="str">
        <f t="shared" si="44"/>
        <v/>
      </c>
      <c r="N294" s="5"/>
      <c r="O294" s="4" t="str">
        <f t="shared" si="45"/>
        <v/>
      </c>
      <c r="P294" s="5"/>
      <c r="Q294" s="10" t="str">
        <f t="shared" si="46"/>
        <v/>
      </c>
      <c r="R294" s="5"/>
      <c r="S294" s="10" t="str">
        <f t="shared" si="47"/>
        <v/>
      </c>
      <c r="T294" s="5"/>
      <c r="U294" s="10" t="str">
        <f t="shared" si="48"/>
        <v/>
      </c>
      <c r="V294" s="4" t="str">
        <f t="shared" si="49"/>
        <v/>
      </c>
    </row>
    <row r="295" spans="1:22" x14ac:dyDescent="0.3">
      <c r="A295" s="5"/>
      <c r="B295" s="5"/>
      <c r="C295" s="5"/>
      <c r="D295" s="10" t="str">
        <f t="shared" si="40"/>
        <v/>
      </c>
      <c r="E295" s="5"/>
      <c r="F295" s="5"/>
      <c r="G295" s="5"/>
      <c r="H295" s="5"/>
      <c r="I295" s="10" t="str">
        <f t="shared" si="41"/>
        <v/>
      </c>
      <c r="J295" s="5"/>
      <c r="K295" s="10" t="str">
        <f t="shared" si="42"/>
        <v/>
      </c>
      <c r="L295" s="4" t="str">
        <f t="shared" si="43"/>
        <v/>
      </c>
      <c r="M295" s="4" t="str">
        <f t="shared" si="44"/>
        <v/>
      </c>
      <c r="N295" s="5"/>
      <c r="O295" s="4" t="str">
        <f t="shared" si="45"/>
        <v/>
      </c>
      <c r="P295" s="5"/>
      <c r="Q295" s="10" t="str">
        <f t="shared" si="46"/>
        <v/>
      </c>
      <c r="R295" s="5"/>
      <c r="S295" s="10" t="str">
        <f t="shared" si="47"/>
        <v/>
      </c>
      <c r="T295" s="5"/>
      <c r="U295" s="10" t="str">
        <f t="shared" si="48"/>
        <v/>
      </c>
      <c r="V295" s="4" t="str">
        <f t="shared" si="49"/>
        <v/>
      </c>
    </row>
    <row r="296" spans="1:22" x14ac:dyDescent="0.3">
      <c r="A296" s="5"/>
      <c r="B296" s="5"/>
      <c r="C296" s="5"/>
      <c r="D296" s="10" t="str">
        <f t="shared" si="40"/>
        <v/>
      </c>
      <c r="E296" s="5"/>
      <c r="F296" s="5"/>
      <c r="G296" s="5"/>
      <c r="H296" s="5"/>
      <c r="I296" s="10" t="str">
        <f t="shared" si="41"/>
        <v/>
      </c>
      <c r="J296" s="5"/>
      <c r="K296" s="10" t="str">
        <f t="shared" si="42"/>
        <v/>
      </c>
      <c r="L296" s="4" t="str">
        <f t="shared" si="43"/>
        <v/>
      </c>
      <c r="M296" s="4" t="str">
        <f t="shared" si="44"/>
        <v/>
      </c>
      <c r="N296" s="5"/>
      <c r="O296" s="4" t="str">
        <f t="shared" si="45"/>
        <v/>
      </c>
      <c r="P296" s="5"/>
      <c r="Q296" s="10" t="str">
        <f t="shared" si="46"/>
        <v/>
      </c>
      <c r="R296" s="5"/>
      <c r="S296" s="10" t="str">
        <f t="shared" si="47"/>
        <v/>
      </c>
      <c r="T296" s="5"/>
      <c r="U296" s="10" t="str">
        <f t="shared" si="48"/>
        <v/>
      </c>
      <c r="V296" s="4" t="str">
        <f t="shared" si="49"/>
        <v/>
      </c>
    </row>
    <row r="297" spans="1:22" x14ac:dyDescent="0.3">
      <c r="A297" s="5"/>
      <c r="B297" s="5"/>
      <c r="C297" s="5"/>
      <c r="D297" s="10" t="str">
        <f t="shared" si="40"/>
        <v/>
      </c>
      <c r="E297" s="5"/>
      <c r="F297" s="5"/>
      <c r="G297" s="5"/>
      <c r="H297" s="5"/>
      <c r="I297" s="10" t="str">
        <f t="shared" si="41"/>
        <v/>
      </c>
      <c r="J297" s="5"/>
      <c r="K297" s="10" t="str">
        <f t="shared" si="42"/>
        <v/>
      </c>
      <c r="L297" s="4" t="str">
        <f t="shared" si="43"/>
        <v/>
      </c>
      <c r="M297" s="4" t="str">
        <f t="shared" si="44"/>
        <v/>
      </c>
      <c r="N297" s="5"/>
      <c r="O297" s="4" t="str">
        <f t="shared" si="45"/>
        <v/>
      </c>
      <c r="P297" s="5"/>
      <c r="Q297" s="10" t="str">
        <f t="shared" si="46"/>
        <v/>
      </c>
      <c r="R297" s="5"/>
      <c r="S297" s="10" t="str">
        <f t="shared" si="47"/>
        <v/>
      </c>
      <c r="T297" s="5"/>
      <c r="U297" s="10" t="str">
        <f t="shared" si="48"/>
        <v/>
      </c>
      <c r="V297" s="4" t="str">
        <f t="shared" si="49"/>
        <v/>
      </c>
    </row>
    <row r="298" spans="1:22" x14ac:dyDescent="0.3">
      <c r="A298" s="5"/>
      <c r="B298" s="5"/>
      <c r="C298" s="5"/>
      <c r="D298" s="10" t="str">
        <f t="shared" si="40"/>
        <v/>
      </c>
      <c r="E298" s="5"/>
      <c r="F298" s="5"/>
      <c r="G298" s="5"/>
      <c r="H298" s="5"/>
      <c r="I298" s="10" t="str">
        <f t="shared" si="41"/>
        <v/>
      </c>
      <c r="J298" s="5"/>
      <c r="K298" s="10" t="str">
        <f t="shared" si="42"/>
        <v/>
      </c>
      <c r="L298" s="4" t="str">
        <f t="shared" si="43"/>
        <v/>
      </c>
      <c r="M298" s="4" t="str">
        <f t="shared" si="44"/>
        <v/>
      </c>
      <c r="N298" s="5"/>
      <c r="O298" s="4" t="str">
        <f t="shared" si="45"/>
        <v/>
      </c>
      <c r="P298" s="5"/>
      <c r="Q298" s="10" t="str">
        <f t="shared" si="46"/>
        <v/>
      </c>
      <c r="R298" s="5"/>
      <c r="S298" s="10" t="str">
        <f t="shared" si="47"/>
        <v/>
      </c>
      <c r="T298" s="5"/>
      <c r="U298" s="10" t="str">
        <f t="shared" si="48"/>
        <v/>
      </c>
      <c r="V298" s="4" t="str">
        <f t="shared" si="49"/>
        <v/>
      </c>
    </row>
    <row r="299" spans="1:22" x14ac:dyDescent="0.3">
      <c r="A299" s="5"/>
      <c r="B299" s="5"/>
      <c r="C299" s="5"/>
      <c r="D299" s="10" t="str">
        <f t="shared" si="40"/>
        <v/>
      </c>
      <c r="E299" s="5"/>
      <c r="F299" s="5"/>
      <c r="G299" s="5"/>
      <c r="H299" s="5"/>
      <c r="I299" s="10" t="str">
        <f t="shared" si="41"/>
        <v/>
      </c>
      <c r="J299" s="5"/>
      <c r="K299" s="10" t="str">
        <f t="shared" si="42"/>
        <v/>
      </c>
      <c r="L299" s="4" t="str">
        <f t="shared" si="43"/>
        <v/>
      </c>
      <c r="M299" s="4" t="str">
        <f t="shared" si="44"/>
        <v/>
      </c>
      <c r="N299" s="5"/>
      <c r="O299" s="4" t="str">
        <f t="shared" si="45"/>
        <v/>
      </c>
      <c r="P299" s="5"/>
      <c r="Q299" s="10" t="str">
        <f t="shared" si="46"/>
        <v/>
      </c>
      <c r="R299" s="5"/>
      <c r="S299" s="10" t="str">
        <f t="shared" si="47"/>
        <v/>
      </c>
      <c r="T299" s="5"/>
      <c r="U299" s="10" t="str">
        <f t="shared" si="48"/>
        <v/>
      </c>
      <c r="V299" s="4" t="str">
        <f t="shared" si="49"/>
        <v/>
      </c>
    </row>
    <row r="300" spans="1:22" x14ac:dyDescent="0.3">
      <c r="A300" s="5"/>
      <c r="B300" s="5"/>
      <c r="C300" s="5"/>
      <c r="D300" s="10" t="str">
        <f t="shared" si="40"/>
        <v/>
      </c>
      <c r="E300" s="5"/>
      <c r="F300" s="5"/>
      <c r="G300" s="5"/>
      <c r="H300" s="5"/>
      <c r="I300" s="10" t="str">
        <f t="shared" si="41"/>
        <v/>
      </c>
      <c r="J300" s="5"/>
      <c r="K300" s="10" t="str">
        <f t="shared" si="42"/>
        <v/>
      </c>
      <c r="L300" s="4" t="str">
        <f t="shared" si="43"/>
        <v/>
      </c>
      <c r="M300" s="4" t="str">
        <f t="shared" si="44"/>
        <v/>
      </c>
      <c r="N300" s="5"/>
      <c r="O300" s="4" t="str">
        <f t="shared" si="45"/>
        <v/>
      </c>
      <c r="P300" s="5"/>
      <c r="Q300" s="10" t="str">
        <f t="shared" si="46"/>
        <v/>
      </c>
      <c r="R300" s="5"/>
      <c r="S300" s="10" t="str">
        <f t="shared" si="47"/>
        <v/>
      </c>
      <c r="T300" s="5"/>
      <c r="U300" s="10" t="str">
        <f t="shared" si="48"/>
        <v/>
      </c>
      <c r="V300" s="4" t="str">
        <f t="shared" si="49"/>
        <v/>
      </c>
    </row>
  </sheetData>
  <sheetProtection algorithmName="SHA-512" hashValue="ofF3y0Zr7yCpjowmMWrU13zV6wnu5Cr98/64CQXTLfJthP+2015AoYZ4UyVRWvOpjGShOCnK9MjJ9dk8H/UWig==" saltValue="5Kt9ihYGeoUxzMJty4K+yA==" spinCount="100000" sheet="1" objects="1" scenarios="1" formatCells="0" autoFilter="0" pivotTables="0"/>
  <autoFilter ref="A3:V300" xr:uid="{00000000-0009-0000-0000-000002000000}"/>
  <conditionalFormatting sqref="V4:V300">
    <cfRule type="expression" dxfId="20" priority="1">
      <formula>V4&lt;&gt;""</formula>
    </cfRule>
  </conditionalFormatting>
  <dataValidations count="9">
    <dataValidation type="list" allowBlank="1" showErrorMessage="1" sqref="C4:C300" xr:uid="{00000000-0002-0000-0200-000000000000}">
      <formula1>INDEX(LIST_STMT_TXT,0,LangIdx)</formula1>
    </dataValidation>
    <dataValidation type="list" allowBlank="1" showErrorMessage="1" sqref="E4:E300" xr:uid="{00000000-0002-0000-0200-000001000000}">
      <formula1>LIST_LINEKEYS_CODE</formula1>
    </dataValidation>
    <dataValidation type="list" allowBlank="1" showErrorMessage="1" sqref="F4:F300" xr:uid="{00000000-0002-0000-0200-000002000000}">
      <formula1>LIST_LINEKEYS_F_CODE</formula1>
    </dataValidation>
    <dataValidation type="list" allowBlank="1" showErrorMessage="1" sqref="G4:G300" xr:uid="{00000000-0002-0000-0200-000003000000}">
      <formula1>LIST_LINEKEYS_N_CODE</formula1>
    </dataValidation>
    <dataValidation type="list" allowBlank="1" showErrorMessage="1" sqref="H4:H300" xr:uid="{00000000-0002-0000-0200-000004000000}">
      <formula1>INDEX(LIST_CAT_TXT,0,LangIdx)</formula1>
    </dataValidation>
    <dataValidation type="list" allowBlank="1" showErrorMessage="1" sqref="J4:J300" xr:uid="{00000000-0002-0000-0200-000005000000}">
      <formula1>INDEX(LIST_MBA_TXT,0,LangIdx)</formula1>
    </dataValidation>
    <dataValidation type="list" allowBlank="1" showErrorMessage="1" sqref="P4:P300" xr:uid="{00000000-0002-0000-0200-000006000000}">
      <formula1>INDEX(LIST_CF_TXT,0,LangIdx)</formula1>
    </dataValidation>
    <dataValidation type="list" allowBlank="1" showErrorMessage="1" sqref="R4:R300" xr:uid="{00000000-0002-0000-0200-000007000000}">
      <formula1>INDEX(LIST_SCE_TXT,0,LangIdx)</formula1>
    </dataValidation>
    <dataValidation type="list" allowBlank="1" showErrorMessage="1" sqref="T4:T300" xr:uid="{00000000-0002-0000-0200-000008000000}">
      <formula1>INDEX(LIST_YN_TXT,0,LangIdx)</formula1>
    </dataValidation>
  </dataValidations>
  <pageMargins left="0.75" right="0.75" top="1" bottom="1" header="0.5" footer="0.5"/>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unka4"/>
  <dimension ref="A1:J507"/>
  <sheetViews>
    <sheetView showGridLines="0" workbookViewId="0">
      <pane xSplit="2" ySplit="5" topLeftCell="C6" activePane="bottomRight" state="frozen"/>
      <selection pane="topRight"/>
      <selection pane="bottomLeft"/>
      <selection pane="bottomRight" activeCell="C1" sqref="C1"/>
    </sheetView>
  </sheetViews>
  <sheetFormatPr defaultRowHeight="14.4" x14ac:dyDescent="0.3"/>
  <cols>
    <col min="1" max="1" width="10" customWidth="1"/>
    <col min="2" max="2" width="46" customWidth="1"/>
    <col min="3" max="5" width="16" customWidth="1"/>
    <col min="6" max="6" width="26" customWidth="1"/>
    <col min="7" max="10" width="13" hidden="1" customWidth="1"/>
  </cols>
  <sheetData>
    <row r="1" spans="1:10" ht="17.399999999999999" x14ac:dyDescent="0.3">
      <c r="A1" s="1" t="str">
        <f>IFERROR(INDEX(DICT_ACTIVE,MATCH("UI.SHEET.TB",DICT_KEY,0))&amp;"","??UI.SHEET.TB")</f>
        <v>Trial balance</v>
      </c>
    </row>
    <row r="2" spans="1:10" x14ac:dyDescent="0.3">
      <c r="A2" s="2" t="str">
        <f>IFERROR(INDEX(DICT_ACTIVE,MATCH("TB.CONVENTION",DICT_KEY,0))&amp;"","??TB.CONVENTION")</f>
        <v>All three columns are PRE-CLOSING balances: profit or loss and OCI accounts carry the year's activity; retained earnings and other reserves are before closing. Debit positive, credit negative.</v>
      </c>
    </row>
    <row r="3" spans="1:10" x14ac:dyDescent="0.3">
      <c r="A3" s="2" t="str">
        <f>IFERROR(INDEX(DICT_ACTIVE,MATCH("TB.EXAMPLE",DICT_KEY,0))&amp;"","??TB.EXAMPLE")</f>
        <v>Example data for a Hungarian trading company (thousands of HUF) - replace with your own trial balance.</v>
      </c>
    </row>
    <row r="5" spans="1:10" x14ac:dyDescent="0.3">
      <c r="A5" s="3" t="str">
        <f>IFERROR(INDEX(DICT_ACTIVE,MATCH("TB.ACCT",DICT_KEY,0))&amp;"","??TB.ACCT")</f>
        <v>Account</v>
      </c>
      <c r="B5" s="3" t="str">
        <f>IFERROR(INDEX(DICT_ACTIVE,MATCH("TB.NAME",DICT_KEY,0))&amp;"","??TB.NAME")</f>
        <v>Account name</v>
      </c>
      <c r="C5" s="3" t="str">
        <f>IFERROR(INDEX(DICT_ACTIVE,MATCH("TB.CY",DICT_KEY,0))&amp;"","??TB.CY")</f>
        <v>Closing balance - current year</v>
      </c>
      <c r="D5" s="3" t="str">
        <f>IFERROR(INDEX(DICT_ACTIVE,MATCH("TB.PY",DICT_KEY,0))&amp;"","??TB.PY")</f>
        <v>Closing balance - prior year</v>
      </c>
      <c r="E5" s="3" t="str">
        <f>IFERROR(INDEX(DICT_ACTIVE,MATCH("TB.OP",DICT_KEY,0))&amp;"","??TB.OP")</f>
        <v>Closing balance - opening</v>
      </c>
      <c r="F5" s="3" t="str">
        <f>IFERROR(INDEX(DICT_ACTIVE,MATCH("TB.CHK",DICT_KEY,0))&amp;"","??TB.CHK")</f>
        <v>Check</v>
      </c>
      <c r="G5" s="3" t="str">
        <f>IFERROR(INDEX(DICT_ACTIVE,MATCH("COA.LINE.EFF",DICT_KEY,0))&amp;"","??COA.LINE.EFF")</f>
        <v>Effective line key</v>
      </c>
      <c r="H5" s="3" t="str">
        <f>IFERROR(INDEX(DICT_ACTIVE,MATCH("COA.CAT.FX",DICT_KEY,0))&amp;"","??COA.CAT.FX")</f>
        <v>Final category</v>
      </c>
      <c r="I5" s="3" t="str">
        <f>IFERROR(INDEX(DICT_ACTIVE,MATCH("COA.CF",DICT_KEY,0))&amp;"","??COA.CF")</f>
        <v>Cash flow tag</v>
      </c>
      <c r="J5" s="3" t="str">
        <f>IFERROR(INDEX(DICT_ACTIVE,MATCH("COA.LINE.N",DICT_KEY,0))&amp;"","??COA.LINE.N")</f>
        <v>Line key - by nature</v>
      </c>
    </row>
    <row r="6" spans="1:10" x14ac:dyDescent="0.3">
      <c r="A6" s="5" t="s">
        <v>1267</v>
      </c>
      <c r="B6" s="4" t="str">
        <f t="shared" ref="B6:B69" si="0">IF(A6="","",IFERROR(INDEX(COA_NAME,MATCH(A6,COA_ACCT,0))&amp;"",IFERROR(INDEX(DICT_ACTIVE,MATCH("TB.UNMAPPED",DICT_KEY,0)),"?")))</f>
        <v>Immateriális javak (bruttó)</v>
      </c>
      <c r="C6" s="17">
        <v>3000</v>
      </c>
      <c r="D6" s="17">
        <v>2500</v>
      </c>
      <c r="E6" s="17">
        <v>2200</v>
      </c>
      <c r="F6" s="4" t="str">
        <f t="shared" ref="F6:F69" si="1">IF(A6="","",IF(G6="",IFERROR(INDEX(DICT_ACTIVE,MATCH("TB.UNMAPPED",DICT_KEY,0)),"?"),""))</f>
        <v/>
      </c>
      <c r="G6" s="10" t="str">
        <f t="shared" ref="G6:G69" si="2">IF(A6="","",IFERROR(INDEX(COA_LINE_EFF,MATCH(A6,COA_ACCT,0))&amp;"",""))</f>
        <v>SFP.NCA.INTANG</v>
      </c>
      <c r="H6" s="10" t="str">
        <f t="shared" ref="H6:H69" si="3">IF(A6="","",IFERROR(INDEX(COA_CAT_FX,MATCH(A6,COA_ACCT,0))&amp;"",""))</f>
        <v/>
      </c>
      <c r="I6" s="10" t="str">
        <f t="shared" ref="I6:I69" si="4">IF(A6="","",IFERROR(INDEX(COA_CF,MATCH(A6,COA_ACCT,0))&amp;"","-"))</f>
        <v>INV.INTANG</v>
      </c>
      <c r="J6" s="10" t="str">
        <f t="shared" ref="J6:J69" si="5">IF(A6="","",IFERROR(INDEX(COA_LINE_N,MATCH(A6,COA_ACCT,0))&amp;"",""))</f>
        <v/>
      </c>
    </row>
    <row r="7" spans="1:10" x14ac:dyDescent="0.3">
      <c r="A7" s="5" t="s">
        <v>1271</v>
      </c>
      <c r="B7" s="4" t="str">
        <f t="shared" si="0"/>
        <v>Immateriális javak halmozott amortizációja</v>
      </c>
      <c r="C7" s="17">
        <v>-1200</v>
      </c>
      <c r="D7" s="17">
        <v>-900</v>
      </c>
      <c r="E7" s="17">
        <v>-650</v>
      </c>
      <c r="F7" s="4" t="str">
        <f t="shared" si="1"/>
        <v/>
      </c>
      <c r="G7" s="10" t="str">
        <f t="shared" si="2"/>
        <v>SFP.NCA.INTANG</v>
      </c>
      <c r="H7" s="10" t="str">
        <f t="shared" si="3"/>
        <v/>
      </c>
      <c r="I7" s="10" t="str">
        <f t="shared" si="4"/>
        <v>INV.INTANG</v>
      </c>
      <c r="J7" s="10" t="str">
        <f t="shared" si="5"/>
        <v/>
      </c>
    </row>
    <row r="8" spans="1:10" x14ac:dyDescent="0.3">
      <c r="A8" s="5" t="s">
        <v>1273</v>
      </c>
      <c r="B8" s="4" t="str">
        <f t="shared" si="0"/>
        <v>Ingatlanok, gépek, berendezések (bruttó)</v>
      </c>
      <c r="C8" s="17">
        <v>48000</v>
      </c>
      <c r="D8" s="17">
        <v>42000</v>
      </c>
      <c r="E8" s="17">
        <v>38000</v>
      </c>
      <c r="F8" s="4" t="str">
        <f t="shared" si="1"/>
        <v/>
      </c>
      <c r="G8" s="10" t="str">
        <f t="shared" si="2"/>
        <v>SFP.NCA.PPE</v>
      </c>
      <c r="H8" s="10" t="str">
        <f t="shared" si="3"/>
        <v/>
      </c>
      <c r="I8" s="10" t="str">
        <f t="shared" si="4"/>
        <v>INV.PPE</v>
      </c>
      <c r="J8" s="10" t="str">
        <f t="shared" si="5"/>
        <v/>
      </c>
    </row>
    <row r="9" spans="1:10" x14ac:dyDescent="0.3">
      <c r="A9" s="5" t="s">
        <v>1276</v>
      </c>
      <c r="B9" s="4" t="str">
        <f t="shared" si="0"/>
        <v>Ingatlanok, gépek, berendezések halmozott értékcsökkenése</v>
      </c>
      <c r="C9" s="17">
        <v>-18500</v>
      </c>
      <c r="D9" s="17">
        <v>-15000</v>
      </c>
      <c r="E9" s="17">
        <v>-12000</v>
      </c>
      <c r="F9" s="4" t="str">
        <f t="shared" si="1"/>
        <v/>
      </c>
      <c r="G9" s="10" t="str">
        <f t="shared" si="2"/>
        <v>SFP.NCA.PPE</v>
      </c>
      <c r="H9" s="10" t="str">
        <f t="shared" si="3"/>
        <v/>
      </c>
      <c r="I9" s="10" t="str">
        <f t="shared" si="4"/>
        <v>INV.PPE</v>
      </c>
      <c r="J9" s="10" t="str">
        <f t="shared" si="5"/>
        <v/>
      </c>
    </row>
    <row r="10" spans="1:10" x14ac:dyDescent="0.3">
      <c r="A10" s="5" t="s">
        <v>1278</v>
      </c>
      <c r="B10" s="4" t="str">
        <f t="shared" si="0"/>
        <v>Használatijog-eszközök, nettó (IFRS 16)</v>
      </c>
      <c r="C10" s="17">
        <v>4200</v>
      </c>
      <c r="D10" s="17">
        <v>5000</v>
      </c>
      <c r="E10" s="17">
        <v>5800</v>
      </c>
      <c r="F10" s="4" t="str">
        <f t="shared" si="1"/>
        <v/>
      </c>
      <c r="G10" s="10" t="str">
        <f t="shared" si="2"/>
        <v>SFP.NCA.ROU</v>
      </c>
      <c r="H10" s="10" t="str">
        <f t="shared" si="3"/>
        <v/>
      </c>
      <c r="I10" s="10" t="str">
        <f t="shared" si="4"/>
        <v>INV.PPE</v>
      </c>
      <c r="J10" s="10" t="str">
        <f t="shared" si="5"/>
        <v/>
      </c>
    </row>
    <row r="11" spans="1:10" x14ac:dyDescent="0.3">
      <c r="A11" s="5" t="s">
        <v>1280</v>
      </c>
      <c r="B11" s="4" t="str">
        <f t="shared" si="0"/>
        <v>Befektetés társult vállalkozásban</v>
      </c>
      <c r="C11" s="17">
        <v>2500</v>
      </c>
      <c r="D11" s="17">
        <v>2500</v>
      </c>
      <c r="E11" s="17">
        <v>2500</v>
      </c>
      <c r="F11" s="4" t="str">
        <f t="shared" si="1"/>
        <v/>
      </c>
      <c r="G11" s="10" t="str">
        <f t="shared" si="2"/>
        <v>SFP.NCA.ASSOC</v>
      </c>
      <c r="H11" s="10" t="str">
        <f t="shared" si="3"/>
        <v/>
      </c>
      <c r="I11" s="10" t="str">
        <f t="shared" si="4"/>
        <v>INV.ASSOC</v>
      </c>
      <c r="J11" s="10" t="str">
        <f t="shared" si="5"/>
        <v/>
      </c>
    </row>
    <row r="12" spans="1:10" x14ac:dyDescent="0.3">
      <c r="A12" s="5" t="s">
        <v>1283</v>
      </c>
      <c r="B12" s="4" t="str">
        <f t="shared" si="0"/>
        <v>Halasztott adókövetelés (IFRS)</v>
      </c>
      <c r="C12" s="17">
        <v>400</v>
      </c>
      <c r="D12" s="17">
        <v>350</v>
      </c>
      <c r="E12" s="17">
        <v>300</v>
      </c>
      <c r="F12" s="4" t="str">
        <f t="shared" si="1"/>
        <v/>
      </c>
      <c r="G12" s="10" t="str">
        <f t="shared" si="2"/>
        <v>SFP.NCA.DTA</v>
      </c>
      <c r="H12" s="10" t="str">
        <f t="shared" si="3"/>
        <v/>
      </c>
      <c r="I12" s="10" t="str">
        <f t="shared" si="4"/>
        <v>TAXDEF</v>
      </c>
      <c r="J12" s="10" t="str">
        <f t="shared" si="5"/>
        <v/>
      </c>
    </row>
    <row r="13" spans="1:10" x14ac:dyDescent="0.3">
      <c r="A13" s="5" t="s">
        <v>1286</v>
      </c>
      <c r="B13" s="4" t="str">
        <f t="shared" si="0"/>
        <v>Készletek</v>
      </c>
      <c r="C13" s="17">
        <v>9800</v>
      </c>
      <c r="D13" s="17">
        <v>8700</v>
      </c>
      <c r="E13" s="17">
        <v>8100</v>
      </c>
      <c r="F13" s="4" t="str">
        <f t="shared" si="1"/>
        <v/>
      </c>
      <c r="G13" s="10" t="str">
        <f t="shared" si="2"/>
        <v>SFP.CA.INVENT</v>
      </c>
      <c r="H13" s="10" t="str">
        <f t="shared" si="3"/>
        <v/>
      </c>
      <c r="I13" s="10" t="str">
        <f t="shared" si="4"/>
        <v>WC.INVENT</v>
      </c>
      <c r="J13" s="10" t="str">
        <f t="shared" si="5"/>
        <v/>
      </c>
    </row>
    <row r="14" spans="1:10" x14ac:dyDescent="0.3">
      <c r="A14" s="5" t="s">
        <v>1288</v>
      </c>
      <c r="B14" s="4" t="str">
        <f t="shared" si="0"/>
        <v>Vevőkövetelések</v>
      </c>
      <c r="C14" s="17">
        <v>12500</v>
      </c>
      <c r="D14" s="17">
        <v>11200</v>
      </c>
      <c r="E14" s="17">
        <v>10400</v>
      </c>
      <c r="F14" s="4" t="str">
        <f t="shared" si="1"/>
        <v/>
      </c>
      <c r="G14" s="10" t="str">
        <f t="shared" si="2"/>
        <v>SFP.CA.TRADEREC</v>
      </c>
      <c r="H14" s="10" t="str">
        <f t="shared" si="3"/>
        <v/>
      </c>
      <c r="I14" s="10" t="str">
        <f t="shared" si="4"/>
        <v>WC.TRADEREC</v>
      </c>
      <c r="J14" s="10" t="str">
        <f t="shared" si="5"/>
        <v/>
      </c>
    </row>
    <row r="15" spans="1:10" x14ac:dyDescent="0.3">
      <c r="A15" s="5" t="s">
        <v>1290</v>
      </c>
      <c r="B15" s="4" t="str">
        <f t="shared" si="0"/>
        <v>Vevőkövetelések értékvesztése</v>
      </c>
      <c r="C15" s="17">
        <v>-260</v>
      </c>
      <c r="D15" s="17">
        <v>-200</v>
      </c>
      <c r="E15" s="17">
        <v>-150</v>
      </c>
      <c r="F15" s="4" t="str">
        <f t="shared" si="1"/>
        <v/>
      </c>
      <c r="G15" s="10" t="str">
        <f t="shared" si="2"/>
        <v>SFP.CA.TRADEREC</v>
      </c>
      <c r="H15" s="10" t="str">
        <f t="shared" si="3"/>
        <v/>
      </c>
      <c r="I15" s="10" t="str">
        <f t="shared" si="4"/>
        <v>WC.TRADEREC.ALLOW</v>
      </c>
      <c r="J15" s="10" t="str">
        <f t="shared" si="5"/>
        <v/>
      </c>
    </row>
    <row r="16" spans="1:10" x14ac:dyDescent="0.3">
      <c r="A16" s="5" t="s">
        <v>1292</v>
      </c>
      <c r="B16" s="4" t="str">
        <f t="shared" si="0"/>
        <v>Társaságiadó-követelés</v>
      </c>
      <c r="C16" s="17">
        <v>0</v>
      </c>
      <c r="D16" s="17">
        <v>150</v>
      </c>
      <c r="E16" s="17">
        <v>0</v>
      </c>
      <c r="F16" s="4" t="str">
        <f t="shared" si="1"/>
        <v/>
      </c>
      <c r="G16" s="10" t="str">
        <f t="shared" si="2"/>
        <v>SFP.CA.CURTAX</v>
      </c>
      <c r="H16" s="10" t="str">
        <f t="shared" si="3"/>
        <v/>
      </c>
      <c r="I16" s="10" t="str">
        <f t="shared" si="4"/>
        <v>TAXCUR</v>
      </c>
      <c r="J16" s="10" t="str">
        <f t="shared" si="5"/>
        <v/>
      </c>
    </row>
    <row r="17" spans="1:10" x14ac:dyDescent="0.3">
      <c r="A17" s="5" t="s">
        <v>1295</v>
      </c>
      <c r="B17" s="4" t="str">
        <f t="shared" si="0"/>
        <v>Egyéb követelések</v>
      </c>
      <c r="C17" s="17">
        <v>1300</v>
      </c>
      <c r="D17" s="17">
        <v>1100</v>
      </c>
      <c r="E17" s="17">
        <v>900</v>
      </c>
      <c r="F17" s="4" t="str">
        <f t="shared" si="1"/>
        <v/>
      </c>
      <c r="G17" s="10" t="str">
        <f t="shared" si="2"/>
        <v>SFP.CA.OTHERREC</v>
      </c>
      <c r="H17" s="10" t="str">
        <f t="shared" si="3"/>
        <v/>
      </c>
      <c r="I17" s="10" t="str">
        <f t="shared" si="4"/>
        <v>WC.OTHERREC</v>
      </c>
      <c r="J17" s="10" t="str">
        <f t="shared" si="5"/>
        <v/>
      </c>
    </row>
    <row r="18" spans="1:10" x14ac:dyDescent="0.3">
      <c r="A18" s="5" t="s">
        <v>1298</v>
      </c>
      <c r="B18" s="4" t="str">
        <f t="shared" si="0"/>
        <v>Aktív időbeli elhatárolások</v>
      </c>
      <c r="C18" s="17">
        <v>600</v>
      </c>
      <c r="D18" s="17">
        <v>550</v>
      </c>
      <c r="E18" s="17">
        <v>500</v>
      </c>
      <c r="F18" s="4" t="str">
        <f t="shared" si="1"/>
        <v/>
      </c>
      <c r="G18" s="10" t="str">
        <f t="shared" si="2"/>
        <v>SFP.CA.OTHERREC</v>
      </c>
      <c r="H18" s="10" t="str">
        <f t="shared" si="3"/>
        <v/>
      </c>
      <c r="I18" s="10" t="str">
        <f t="shared" si="4"/>
        <v>WC.OTHERREC</v>
      </c>
      <c r="J18" s="10" t="str">
        <f t="shared" si="5"/>
        <v/>
      </c>
    </row>
    <row r="19" spans="1:10" x14ac:dyDescent="0.3">
      <c r="A19" s="5" t="s">
        <v>1300</v>
      </c>
      <c r="B19" s="4" t="str">
        <f t="shared" si="0"/>
        <v>Bankbetétek</v>
      </c>
      <c r="C19" s="17">
        <v>21510</v>
      </c>
      <c r="D19" s="17">
        <v>13220</v>
      </c>
      <c r="E19" s="17">
        <v>5000</v>
      </c>
      <c r="F19" s="4" t="str">
        <f t="shared" si="1"/>
        <v/>
      </c>
      <c r="G19" s="10" t="str">
        <f t="shared" si="2"/>
        <v>SFP.CA.CASH</v>
      </c>
      <c r="H19" s="10" t="str">
        <f t="shared" si="3"/>
        <v/>
      </c>
      <c r="I19" s="10" t="str">
        <f t="shared" si="4"/>
        <v>CASH</v>
      </c>
      <c r="J19" s="10" t="str">
        <f t="shared" si="5"/>
        <v/>
      </c>
    </row>
    <row r="20" spans="1:10" x14ac:dyDescent="0.3">
      <c r="A20" s="5" t="s">
        <v>1302</v>
      </c>
      <c r="B20" s="4" t="str">
        <f t="shared" si="0"/>
        <v>Jegyzett tőke</v>
      </c>
      <c r="C20" s="17">
        <v>-10000</v>
      </c>
      <c r="D20" s="17">
        <v>-10000</v>
      </c>
      <c r="E20" s="17">
        <v>-10000</v>
      </c>
      <c r="F20" s="4" t="str">
        <f t="shared" si="1"/>
        <v/>
      </c>
      <c r="G20" s="10" t="str">
        <f t="shared" si="2"/>
        <v>SFP.EQ.SC</v>
      </c>
      <c r="H20" s="10" t="str">
        <f t="shared" si="3"/>
        <v/>
      </c>
      <c r="I20" s="10" t="str">
        <f t="shared" si="4"/>
        <v>EQ</v>
      </c>
      <c r="J20" s="10" t="str">
        <f t="shared" si="5"/>
        <v/>
      </c>
    </row>
    <row r="21" spans="1:10" x14ac:dyDescent="0.3">
      <c r="A21" s="5" t="s">
        <v>1303</v>
      </c>
      <c r="B21" s="4" t="str">
        <f t="shared" si="0"/>
        <v>Tőketartalék (ázsió)</v>
      </c>
      <c r="C21" s="17">
        <v>-2000</v>
      </c>
      <c r="D21" s="17">
        <v>-2000</v>
      </c>
      <c r="E21" s="17">
        <v>-2000</v>
      </c>
      <c r="F21" s="4" t="str">
        <f t="shared" si="1"/>
        <v/>
      </c>
      <c r="G21" s="10" t="str">
        <f t="shared" si="2"/>
        <v>SFP.EQ.SP</v>
      </c>
      <c r="H21" s="10" t="str">
        <f t="shared" si="3"/>
        <v/>
      </c>
      <c r="I21" s="10" t="str">
        <f t="shared" si="4"/>
        <v>EQ</v>
      </c>
      <c r="J21" s="10" t="str">
        <f t="shared" si="5"/>
        <v/>
      </c>
    </row>
    <row r="22" spans="1:10" x14ac:dyDescent="0.3">
      <c r="A22" s="5" t="s">
        <v>1305</v>
      </c>
      <c r="B22" s="4" t="str">
        <f t="shared" si="0"/>
        <v>Eredménytartalék (zárás előtt)</v>
      </c>
      <c r="C22" s="17">
        <v>-25320</v>
      </c>
      <c r="D22" s="17">
        <v>-14200</v>
      </c>
      <c r="E22" s="17">
        <v>-14200</v>
      </c>
      <c r="F22" s="4" t="str">
        <f t="shared" si="1"/>
        <v/>
      </c>
      <c r="G22" s="10" t="str">
        <f t="shared" si="2"/>
        <v>SFP.EQ.RE</v>
      </c>
      <c r="H22" s="10" t="str">
        <f t="shared" si="3"/>
        <v/>
      </c>
      <c r="I22" s="10" t="str">
        <f t="shared" si="4"/>
        <v>EQ</v>
      </c>
      <c r="J22" s="10" t="str">
        <f t="shared" si="5"/>
        <v/>
      </c>
    </row>
    <row r="23" spans="1:10" x14ac:dyDescent="0.3">
      <c r="A23" s="5" t="s">
        <v>1307</v>
      </c>
      <c r="B23" s="4" t="str">
        <f t="shared" si="0"/>
        <v>Értékelési tartalék (zárás előtt)</v>
      </c>
      <c r="C23" s="17">
        <v>-950</v>
      </c>
      <c r="D23" s="17">
        <v>-800</v>
      </c>
      <c r="E23" s="17">
        <v>-800</v>
      </c>
      <c r="F23" s="4" t="str">
        <f t="shared" si="1"/>
        <v/>
      </c>
      <c r="G23" s="10" t="str">
        <f t="shared" si="2"/>
        <v>SFP.EQ.OR</v>
      </c>
      <c r="H23" s="10" t="str">
        <f t="shared" si="3"/>
        <v/>
      </c>
      <c r="I23" s="10" t="str">
        <f t="shared" si="4"/>
        <v>OCIONLY</v>
      </c>
      <c r="J23" s="10" t="str">
        <f t="shared" si="5"/>
        <v/>
      </c>
    </row>
    <row r="24" spans="1:10" x14ac:dyDescent="0.3">
      <c r="A24" s="5" t="s">
        <v>1310</v>
      </c>
      <c r="B24" s="4" t="str">
        <f t="shared" si="0"/>
        <v>Céltartalékok</v>
      </c>
      <c r="C24" s="17">
        <v>-900</v>
      </c>
      <c r="D24" s="17">
        <v>-750</v>
      </c>
      <c r="E24" s="17">
        <v>-600</v>
      </c>
      <c r="F24" s="4" t="str">
        <f t="shared" si="1"/>
        <v/>
      </c>
      <c r="G24" s="10" t="str">
        <f t="shared" si="2"/>
        <v>SFP.NCL.PROV</v>
      </c>
      <c r="H24" s="10" t="str">
        <f t="shared" si="3"/>
        <v/>
      </c>
      <c r="I24" s="10" t="str">
        <f t="shared" si="4"/>
        <v>PROV</v>
      </c>
      <c r="J24" s="10" t="str">
        <f t="shared" si="5"/>
        <v/>
      </c>
    </row>
    <row r="25" spans="1:10" x14ac:dyDescent="0.3">
      <c r="A25" s="5" t="s">
        <v>1313</v>
      </c>
      <c r="B25" s="4" t="str">
        <f t="shared" si="0"/>
        <v>Hosszú lejáratú hitelek</v>
      </c>
      <c r="C25" s="17">
        <v>-12000</v>
      </c>
      <c r="D25" s="17">
        <v>-14000</v>
      </c>
      <c r="E25" s="17">
        <v>-16000</v>
      </c>
      <c r="F25" s="4" t="str">
        <f t="shared" si="1"/>
        <v/>
      </c>
      <c r="G25" s="10" t="str">
        <f t="shared" si="2"/>
        <v>SFP.NCL.BORROW</v>
      </c>
      <c r="H25" s="10" t="str">
        <f t="shared" si="3"/>
        <v/>
      </c>
      <c r="I25" s="10" t="str">
        <f t="shared" si="4"/>
        <v>FIN.BORROW</v>
      </c>
      <c r="J25" s="10" t="str">
        <f t="shared" si="5"/>
        <v/>
      </c>
    </row>
    <row r="26" spans="1:10" x14ac:dyDescent="0.3">
      <c r="A26" s="5" t="s">
        <v>1316</v>
      </c>
      <c r="B26" s="4" t="str">
        <f t="shared" si="0"/>
        <v>Hosszú lejáratú lízingkötelezettségek</v>
      </c>
      <c r="C26" s="17">
        <v>-3000</v>
      </c>
      <c r="D26" s="17">
        <v>-3800</v>
      </c>
      <c r="E26" s="17">
        <v>-4500</v>
      </c>
      <c r="F26" s="4" t="str">
        <f t="shared" si="1"/>
        <v/>
      </c>
      <c r="G26" s="10" t="str">
        <f t="shared" si="2"/>
        <v>SFP.NCL.LEASE</v>
      </c>
      <c r="H26" s="10" t="str">
        <f t="shared" si="3"/>
        <v/>
      </c>
      <c r="I26" s="10" t="str">
        <f t="shared" si="4"/>
        <v>FIN.LEASE</v>
      </c>
      <c r="J26" s="10" t="str">
        <f t="shared" si="5"/>
        <v/>
      </c>
    </row>
    <row r="27" spans="1:10" x14ac:dyDescent="0.3">
      <c r="A27" s="5" t="s">
        <v>1318</v>
      </c>
      <c r="B27" s="4" t="str">
        <f t="shared" si="0"/>
        <v>Halasztott adókötelezettség (IFRS)</v>
      </c>
      <c r="C27" s="17">
        <v>-600</v>
      </c>
      <c r="D27" s="17">
        <v>-500</v>
      </c>
      <c r="E27" s="17">
        <v>-450</v>
      </c>
      <c r="F27" s="4" t="str">
        <f t="shared" si="1"/>
        <v/>
      </c>
      <c r="G27" s="10" t="str">
        <f t="shared" si="2"/>
        <v>SFP.NCL.DTL</v>
      </c>
      <c r="H27" s="10" t="str">
        <f t="shared" si="3"/>
        <v/>
      </c>
      <c r="I27" s="10" t="str">
        <f t="shared" si="4"/>
        <v>TAXDEF</v>
      </c>
      <c r="J27" s="10" t="str">
        <f t="shared" si="5"/>
        <v/>
      </c>
    </row>
    <row r="28" spans="1:10" x14ac:dyDescent="0.3">
      <c r="A28" s="5" t="s">
        <v>1320</v>
      </c>
      <c r="B28" s="4" t="str">
        <f t="shared" si="0"/>
        <v>Rövid lejáratú hitelek</v>
      </c>
      <c r="C28" s="17">
        <v>-2000</v>
      </c>
      <c r="D28" s="17">
        <v>-2000</v>
      </c>
      <c r="E28" s="17">
        <v>-2000</v>
      </c>
      <c r="F28" s="4" t="str">
        <f t="shared" si="1"/>
        <v/>
      </c>
      <c r="G28" s="10" t="str">
        <f t="shared" si="2"/>
        <v>SFP.CL.BORROW</v>
      </c>
      <c r="H28" s="10" t="str">
        <f t="shared" si="3"/>
        <v/>
      </c>
      <c r="I28" s="10" t="str">
        <f t="shared" si="4"/>
        <v>FIN.BORROW</v>
      </c>
      <c r="J28" s="10" t="str">
        <f t="shared" si="5"/>
        <v/>
      </c>
    </row>
    <row r="29" spans="1:10" x14ac:dyDescent="0.3">
      <c r="A29" s="5" t="s">
        <v>1322</v>
      </c>
      <c r="B29" s="4" t="str">
        <f t="shared" si="0"/>
        <v>Rövid lejáratú lízingkötelezettségek</v>
      </c>
      <c r="C29" s="17">
        <v>-900</v>
      </c>
      <c r="D29" s="17">
        <v>-850</v>
      </c>
      <c r="E29" s="17">
        <v>-800</v>
      </c>
      <c r="F29" s="4" t="str">
        <f t="shared" si="1"/>
        <v/>
      </c>
      <c r="G29" s="10" t="str">
        <f t="shared" si="2"/>
        <v>SFP.CL.LEASE</v>
      </c>
      <c r="H29" s="10" t="str">
        <f t="shared" si="3"/>
        <v/>
      </c>
      <c r="I29" s="10" t="str">
        <f t="shared" si="4"/>
        <v>FIN.LEASE</v>
      </c>
      <c r="J29" s="10" t="str">
        <f t="shared" si="5"/>
        <v/>
      </c>
    </row>
    <row r="30" spans="1:10" x14ac:dyDescent="0.3">
      <c r="A30" s="5" t="s">
        <v>1323</v>
      </c>
      <c r="B30" s="4" t="str">
        <f t="shared" si="0"/>
        <v>Szállítói kötelezettségek</v>
      </c>
      <c r="C30" s="17">
        <v>-8900</v>
      </c>
      <c r="D30" s="17">
        <v>-8100</v>
      </c>
      <c r="E30" s="17">
        <v>-7600</v>
      </c>
      <c r="F30" s="4" t="str">
        <f t="shared" si="1"/>
        <v/>
      </c>
      <c r="G30" s="10" t="str">
        <f t="shared" si="2"/>
        <v>SFP.CL.TRADEPAY</v>
      </c>
      <c r="H30" s="10" t="str">
        <f t="shared" si="3"/>
        <v/>
      </c>
      <c r="I30" s="10" t="str">
        <f t="shared" si="4"/>
        <v>WC.TRADEPAY</v>
      </c>
      <c r="J30" s="10" t="str">
        <f t="shared" si="5"/>
        <v/>
      </c>
    </row>
    <row r="31" spans="1:10" x14ac:dyDescent="0.3">
      <c r="A31" s="5" t="s">
        <v>1325</v>
      </c>
      <c r="B31" s="4" t="str">
        <f t="shared" si="0"/>
        <v>Társaságiadó-kötelezettség</v>
      </c>
      <c r="C31" s="17">
        <v>-350</v>
      </c>
      <c r="D31" s="17">
        <v>0</v>
      </c>
      <c r="E31" s="17">
        <v>-200</v>
      </c>
      <c r="F31" s="4" t="str">
        <f t="shared" si="1"/>
        <v/>
      </c>
      <c r="G31" s="10" t="str">
        <f t="shared" si="2"/>
        <v>SFP.CL.CURTAX</v>
      </c>
      <c r="H31" s="10" t="str">
        <f t="shared" si="3"/>
        <v/>
      </c>
      <c r="I31" s="10" t="str">
        <f t="shared" si="4"/>
        <v>TAXCUR</v>
      </c>
      <c r="J31" s="10" t="str">
        <f t="shared" si="5"/>
        <v/>
      </c>
    </row>
    <row r="32" spans="1:10" x14ac:dyDescent="0.3">
      <c r="A32" s="5" t="s">
        <v>1327</v>
      </c>
      <c r="B32" s="4" t="str">
        <f t="shared" si="0"/>
        <v>Egyéb adók, járulékok, bérek</v>
      </c>
      <c r="C32" s="17">
        <v>-1400</v>
      </c>
      <c r="D32" s="17">
        <v>-1250</v>
      </c>
      <c r="E32" s="17">
        <v>-1150</v>
      </c>
      <c r="F32" s="4" t="str">
        <f t="shared" si="1"/>
        <v/>
      </c>
      <c r="G32" s="10" t="str">
        <f t="shared" si="2"/>
        <v>SFP.CL.OTHER</v>
      </c>
      <c r="H32" s="10" t="str">
        <f t="shared" si="3"/>
        <v/>
      </c>
      <c r="I32" s="10" t="str">
        <f t="shared" si="4"/>
        <v>WC.OTHERPAY</v>
      </c>
      <c r="J32" s="10" t="str">
        <f t="shared" si="5"/>
        <v/>
      </c>
    </row>
    <row r="33" spans="1:10" x14ac:dyDescent="0.3">
      <c r="A33" s="5" t="s">
        <v>1331</v>
      </c>
      <c r="B33" s="4" t="str">
        <f t="shared" si="0"/>
        <v>Passzív időbeli elhatárolások</v>
      </c>
      <c r="C33" s="17">
        <v>-700</v>
      </c>
      <c r="D33" s="17">
        <v>-650</v>
      </c>
      <c r="E33" s="17">
        <v>-600</v>
      </c>
      <c r="F33" s="4" t="str">
        <f t="shared" si="1"/>
        <v/>
      </c>
      <c r="G33" s="10" t="str">
        <f t="shared" si="2"/>
        <v>SFP.CL.OTHER</v>
      </c>
      <c r="H33" s="10" t="str">
        <f t="shared" si="3"/>
        <v/>
      </c>
      <c r="I33" s="10" t="str">
        <f t="shared" si="4"/>
        <v>WC.OTHERPAY</v>
      </c>
      <c r="J33" s="10" t="str">
        <f t="shared" si="5"/>
        <v/>
      </c>
    </row>
    <row r="34" spans="1:10" x14ac:dyDescent="0.3">
      <c r="A34" s="5" t="s">
        <v>1333</v>
      </c>
      <c r="B34" s="4" t="str">
        <f t="shared" si="0"/>
        <v>Belföldi értékesítés árbevétele</v>
      </c>
      <c r="C34" s="17">
        <v>-68000</v>
      </c>
      <c r="D34" s="17">
        <v>-61000</v>
      </c>
      <c r="E34" s="17">
        <v>0</v>
      </c>
      <c r="F34" s="4" t="str">
        <f t="shared" si="1"/>
        <v/>
      </c>
      <c r="G34" s="10" t="str">
        <f t="shared" si="2"/>
        <v>PL.OP.REVENUE</v>
      </c>
      <c r="H34" s="10" t="str">
        <f t="shared" si="3"/>
        <v>OP</v>
      </c>
      <c r="I34" s="10" t="str">
        <f t="shared" si="4"/>
        <v>-</v>
      </c>
      <c r="J34" s="10" t="str">
        <f t="shared" si="5"/>
        <v/>
      </c>
    </row>
    <row r="35" spans="1:10" x14ac:dyDescent="0.3">
      <c r="A35" s="5" t="s">
        <v>1337</v>
      </c>
      <c r="B35" s="4" t="str">
        <f t="shared" si="0"/>
        <v>Export értékesítés árbevétele</v>
      </c>
      <c r="C35" s="17">
        <v>-22000</v>
      </c>
      <c r="D35" s="17">
        <v>-19000</v>
      </c>
      <c r="E35" s="17">
        <v>0</v>
      </c>
      <c r="F35" s="4" t="str">
        <f t="shared" si="1"/>
        <v/>
      </c>
      <c r="G35" s="10" t="str">
        <f t="shared" si="2"/>
        <v>PL.OP.REVENUE</v>
      </c>
      <c r="H35" s="10" t="str">
        <f t="shared" si="3"/>
        <v>OP</v>
      </c>
      <c r="I35" s="10" t="str">
        <f t="shared" si="4"/>
        <v>-</v>
      </c>
      <c r="J35" s="10" t="str">
        <f t="shared" si="5"/>
        <v/>
      </c>
    </row>
    <row r="36" spans="1:10" x14ac:dyDescent="0.3">
      <c r="A36" s="5" t="s">
        <v>1339</v>
      </c>
      <c r="B36" s="4" t="str">
        <f t="shared" si="0"/>
        <v>Egyéb bevételek</v>
      </c>
      <c r="C36" s="17">
        <v>-900</v>
      </c>
      <c r="D36" s="17">
        <v>-700</v>
      </c>
      <c r="E36" s="17">
        <v>0</v>
      </c>
      <c r="F36" s="4" t="str">
        <f t="shared" si="1"/>
        <v/>
      </c>
      <c r="G36" s="10" t="str">
        <f t="shared" si="2"/>
        <v>PL.OP.OTHERINC</v>
      </c>
      <c r="H36" s="10" t="str">
        <f t="shared" si="3"/>
        <v>OP</v>
      </c>
      <c r="I36" s="10" t="str">
        <f t="shared" si="4"/>
        <v>-</v>
      </c>
      <c r="J36" s="10" t="str">
        <f t="shared" si="5"/>
        <v/>
      </c>
    </row>
    <row r="37" spans="1:10" x14ac:dyDescent="0.3">
      <c r="A37" s="5" t="s">
        <v>1341</v>
      </c>
      <c r="B37" s="4" t="str">
        <f t="shared" si="0"/>
        <v>Tárgyi eszköz értékesítésének nyeresége</v>
      </c>
      <c r="C37" s="17">
        <v>-300</v>
      </c>
      <c r="D37" s="17">
        <v>-100</v>
      </c>
      <c r="E37" s="17">
        <v>0</v>
      </c>
      <c r="F37" s="4" t="str">
        <f t="shared" si="1"/>
        <v/>
      </c>
      <c r="G37" s="10" t="str">
        <f t="shared" si="2"/>
        <v>PL.OP.OTHERINC</v>
      </c>
      <c r="H37" s="10" t="str">
        <f t="shared" si="3"/>
        <v>OP</v>
      </c>
      <c r="I37" s="10" t="str">
        <f t="shared" si="4"/>
        <v>NC.DISPGAIN</v>
      </c>
      <c r="J37" s="10" t="str">
        <f t="shared" si="5"/>
        <v/>
      </c>
    </row>
    <row r="38" spans="1:10" x14ac:dyDescent="0.3">
      <c r="A38" s="5" t="s">
        <v>1344</v>
      </c>
      <c r="B38" s="4" t="str">
        <f t="shared" si="0"/>
        <v>Anyagköltség</v>
      </c>
      <c r="C38" s="17">
        <v>31000</v>
      </c>
      <c r="D38" s="17">
        <v>27500</v>
      </c>
      <c r="E38" s="17">
        <v>0</v>
      </c>
      <c r="F38" s="4" t="str">
        <f t="shared" si="1"/>
        <v/>
      </c>
      <c r="G38" s="10" t="str">
        <f t="shared" si="2"/>
        <v>PL.OP.N.MATERIALS</v>
      </c>
      <c r="H38" s="10" t="str">
        <f t="shared" si="3"/>
        <v>OP</v>
      </c>
      <c r="I38" s="10" t="str">
        <f t="shared" si="4"/>
        <v>-</v>
      </c>
      <c r="J38" s="10" t="str">
        <f t="shared" si="5"/>
        <v>PL.OP.N.MATERIALS</v>
      </c>
    </row>
    <row r="39" spans="1:10" x14ac:dyDescent="0.3">
      <c r="A39" s="5" t="s">
        <v>1346</v>
      </c>
      <c r="B39" s="4" t="str">
        <f t="shared" si="0"/>
        <v>Eladott áruk beszerzési értéke</v>
      </c>
      <c r="C39" s="17">
        <v>12000</v>
      </c>
      <c r="D39" s="17">
        <v>10800</v>
      </c>
      <c r="E39" s="17">
        <v>0</v>
      </c>
      <c r="F39" s="4" t="str">
        <f t="shared" si="1"/>
        <v/>
      </c>
      <c r="G39" s="10" t="str">
        <f t="shared" si="2"/>
        <v>PL.OP.N.MATERIALS</v>
      </c>
      <c r="H39" s="10" t="str">
        <f t="shared" si="3"/>
        <v>OP</v>
      </c>
      <c r="I39" s="10" t="str">
        <f t="shared" si="4"/>
        <v>-</v>
      </c>
      <c r="J39" s="10" t="str">
        <f t="shared" si="5"/>
        <v>PL.OP.N.MATERIALS</v>
      </c>
    </row>
    <row r="40" spans="1:10" x14ac:dyDescent="0.3">
      <c r="A40" s="5" t="s">
        <v>1348</v>
      </c>
      <c r="B40" s="4" t="str">
        <f t="shared" si="0"/>
        <v>Igénybe vett szolgáltatások</v>
      </c>
      <c r="C40" s="17">
        <v>9500</v>
      </c>
      <c r="D40" s="17">
        <v>8600</v>
      </c>
      <c r="E40" s="17">
        <v>0</v>
      </c>
      <c r="F40" s="4" t="str">
        <f t="shared" si="1"/>
        <v/>
      </c>
      <c r="G40" s="10" t="str">
        <f t="shared" si="2"/>
        <v>PL.OP.N.OTHER</v>
      </c>
      <c r="H40" s="10" t="str">
        <f t="shared" si="3"/>
        <v>OP</v>
      </c>
      <c r="I40" s="10" t="str">
        <f t="shared" si="4"/>
        <v>-</v>
      </c>
      <c r="J40" s="10" t="str">
        <f t="shared" si="5"/>
        <v>PL.OP.N.OTHER</v>
      </c>
    </row>
    <row r="41" spans="1:10" x14ac:dyDescent="0.3">
      <c r="A41" s="5" t="s">
        <v>1350</v>
      </c>
      <c r="B41" s="4" t="str">
        <f t="shared" si="0"/>
        <v>Bérköltség</v>
      </c>
      <c r="C41" s="17">
        <v>14000</v>
      </c>
      <c r="D41" s="17">
        <v>12800</v>
      </c>
      <c r="E41" s="17">
        <v>0</v>
      </c>
      <c r="F41" s="4" t="str">
        <f t="shared" si="1"/>
        <v/>
      </c>
      <c r="G41" s="10" t="str">
        <f t="shared" si="2"/>
        <v>PL.OP.N.EMPLOYEE</v>
      </c>
      <c r="H41" s="10" t="str">
        <f t="shared" si="3"/>
        <v>OP</v>
      </c>
      <c r="I41" s="10" t="str">
        <f t="shared" si="4"/>
        <v>-</v>
      </c>
      <c r="J41" s="10" t="str">
        <f t="shared" si="5"/>
        <v>PL.OP.N.EMPLOYEE</v>
      </c>
    </row>
    <row r="42" spans="1:10" x14ac:dyDescent="0.3">
      <c r="A42" s="5" t="s">
        <v>1352</v>
      </c>
      <c r="B42" s="4" t="str">
        <f t="shared" si="0"/>
        <v>Bérjárulékok</v>
      </c>
      <c r="C42" s="17">
        <v>1900</v>
      </c>
      <c r="D42" s="17">
        <v>1750</v>
      </c>
      <c r="E42" s="17">
        <v>0</v>
      </c>
      <c r="F42" s="4" t="str">
        <f t="shared" si="1"/>
        <v/>
      </c>
      <c r="G42" s="10" t="str">
        <f t="shared" si="2"/>
        <v>PL.OP.N.EMPLOYEE</v>
      </c>
      <c r="H42" s="10" t="str">
        <f t="shared" si="3"/>
        <v>OP</v>
      </c>
      <c r="I42" s="10" t="str">
        <f t="shared" si="4"/>
        <v>-</v>
      </c>
      <c r="J42" s="10" t="str">
        <f t="shared" si="5"/>
        <v>PL.OP.N.EMPLOYEE</v>
      </c>
    </row>
    <row r="43" spans="1:10" x14ac:dyDescent="0.3">
      <c r="A43" s="5" t="s">
        <v>1354</v>
      </c>
      <c r="B43" s="4" t="str">
        <f t="shared" si="0"/>
        <v>Értékcsökkenés - tárgyi eszközök</v>
      </c>
      <c r="C43" s="17">
        <v>3500</v>
      </c>
      <c r="D43" s="17">
        <v>3000</v>
      </c>
      <c r="E43" s="17">
        <v>0</v>
      </c>
      <c r="F43" s="4" t="str">
        <f t="shared" si="1"/>
        <v/>
      </c>
      <c r="G43" s="10" t="str">
        <f t="shared" si="2"/>
        <v>PL.OP.N.DEP</v>
      </c>
      <c r="H43" s="10" t="str">
        <f t="shared" si="3"/>
        <v>OP</v>
      </c>
      <c r="I43" s="10" t="str">
        <f t="shared" si="4"/>
        <v>NC.DEP.PPE</v>
      </c>
      <c r="J43" s="10" t="str">
        <f t="shared" si="5"/>
        <v>PL.OP.N.DEP</v>
      </c>
    </row>
    <row r="44" spans="1:10" x14ac:dyDescent="0.3">
      <c r="A44" s="5" t="s">
        <v>1357</v>
      </c>
      <c r="B44" s="4" t="str">
        <f t="shared" si="0"/>
        <v>Értékcsökkenés - használatijog-eszközök</v>
      </c>
      <c r="C44" s="17">
        <v>800</v>
      </c>
      <c r="D44" s="17">
        <v>800</v>
      </c>
      <c r="E44" s="17">
        <v>0</v>
      </c>
      <c r="F44" s="4" t="str">
        <f t="shared" si="1"/>
        <v/>
      </c>
      <c r="G44" s="10" t="str">
        <f t="shared" si="2"/>
        <v>PL.OP.N.DEP</v>
      </c>
      <c r="H44" s="10" t="str">
        <f t="shared" si="3"/>
        <v>OP</v>
      </c>
      <c r="I44" s="10" t="str">
        <f t="shared" si="4"/>
        <v>NC.DEP.ROU</v>
      </c>
      <c r="J44" s="10" t="str">
        <f t="shared" si="5"/>
        <v>PL.OP.N.DEP</v>
      </c>
    </row>
    <row r="45" spans="1:10" x14ac:dyDescent="0.3">
      <c r="A45" s="5" t="s">
        <v>1360</v>
      </c>
      <c r="B45" s="4" t="str">
        <f t="shared" si="0"/>
        <v>Amortizáció - immateriális javak</v>
      </c>
      <c r="C45" s="17">
        <v>300</v>
      </c>
      <c r="D45" s="17">
        <v>250</v>
      </c>
      <c r="E45" s="17">
        <v>0</v>
      </c>
      <c r="F45" s="4" t="str">
        <f t="shared" si="1"/>
        <v/>
      </c>
      <c r="G45" s="10" t="str">
        <f t="shared" si="2"/>
        <v>PL.OP.N.AMORT</v>
      </c>
      <c r="H45" s="10" t="str">
        <f t="shared" si="3"/>
        <v>OP</v>
      </c>
      <c r="I45" s="10" t="str">
        <f t="shared" si="4"/>
        <v>NC.AMORT.INTANG</v>
      </c>
      <c r="J45" s="10" t="str">
        <f t="shared" si="5"/>
        <v>PL.OP.N.AMORT</v>
      </c>
    </row>
    <row r="46" spans="1:10" x14ac:dyDescent="0.3">
      <c r="A46" s="5" t="s">
        <v>1363</v>
      </c>
      <c r="B46" s="4" t="str">
        <f t="shared" si="0"/>
        <v>Készletek értékvesztése</v>
      </c>
      <c r="C46" s="17">
        <v>200</v>
      </c>
      <c r="D46" s="17">
        <v>150</v>
      </c>
      <c r="E46" s="17">
        <v>0</v>
      </c>
      <c r="F46" s="4" t="str">
        <f t="shared" si="1"/>
        <v/>
      </c>
      <c r="G46" s="10" t="str">
        <f t="shared" si="2"/>
        <v>PL.OP.N.INVWRITE</v>
      </c>
      <c r="H46" s="10" t="str">
        <f t="shared" si="3"/>
        <v>OP</v>
      </c>
      <c r="I46" s="10" t="str">
        <f t="shared" si="4"/>
        <v>NC.INVWRITE</v>
      </c>
      <c r="J46" s="10" t="str">
        <f t="shared" si="5"/>
        <v>PL.OP.N.INVWRITE</v>
      </c>
    </row>
    <row r="47" spans="1:10" x14ac:dyDescent="0.3">
      <c r="A47" s="5" t="s">
        <v>1366</v>
      </c>
      <c r="B47" s="4" t="str">
        <f t="shared" si="0"/>
        <v>Vevőkövetelések értékvesztése</v>
      </c>
      <c r="C47" s="17">
        <v>90</v>
      </c>
      <c r="D47" s="17">
        <v>70</v>
      </c>
      <c r="E47" s="17">
        <v>0</v>
      </c>
      <c r="F47" s="4" t="str">
        <f t="shared" si="1"/>
        <v/>
      </c>
      <c r="G47" s="10" t="str">
        <f t="shared" si="2"/>
        <v>PL.OP.N.IMPAIR</v>
      </c>
      <c r="H47" s="10" t="str">
        <f t="shared" si="3"/>
        <v>OP</v>
      </c>
      <c r="I47" s="10" t="str">
        <f t="shared" si="4"/>
        <v>NC.IMPAIR.RECEIV</v>
      </c>
      <c r="J47" s="10" t="str">
        <f t="shared" si="5"/>
        <v>PL.OP.N.IMPAIR</v>
      </c>
    </row>
    <row r="48" spans="1:10" x14ac:dyDescent="0.3">
      <c r="A48" s="5" t="s">
        <v>1368</v>
      </c>
      <c r="B48" s="4" t="str">
        <f t="shared" si="0"/>
        <v>Egyéb ráfordítások</v>
      </c>
      <c r="C48" s="17">
        <v>1100</v>
      </c>
      <c r="D48" s="17">
        <v>950</v>
      </c>
      <c r="E48" s="17">
        <v>0</v>
      </c>
      <c r="F48" s="4" t="str">
        <f t="shared" si="1"/>
        <v/>
      </c>
      <c r="G48" s="10" t="str">
        <f t="shared" si="2"/>
        <v>PL.OP.OTHEREXP</v>
      </c>
      <c r="H48" s="10" t="str">
        <f t="shared" si="3"/>
        <v>OP</v>
      </c>
      <c r="I48" s="10" t="str">
        <f t="shared" si="4"/>
        <v>-</v>
      </c>
      <c r="J48" s="10" t="str">
        <f t="shared" si="5"/>
        <v/>
      </c>
    </row>
    <row r="49" spans="1:10" x14ac:dyDescent="0.3">
      <c r="A49" s="5" t="s">
        <v>1370</v>
      </c>
      <c r="B49" s="4" t="str">
        <f t="shared" si="0"/>
        <v>Árfolyam-különbözet - vevők, szállítók</v>
      </c>
      <c r="C49" s="17">
        <v>150</v>
      </c>
      <c r="D49" s="17">
        <v>-80</v>
      </c>
      <c r="E49" s="17">
        <v>0</v>
      </c>
      <c r="F49" s="4" t="str">
        <f t="shared" si="1"/>
        <v/>
      </c>
      <c r="G49" s="10" t="str">
        <f t="shared" si="2"/>
        <v>PL.OP.FX</v>
      </c>
      <c r="H49" s="10" t="str">
        <f t="shared" si="3"/>
        <v>OP</v>
      </c>
      <c r="I49" s="10" t="str">
        <f t="shared" si="4"/>
        <v>-</v>
      </c>
      <c r="J49" s="10" t="str">
        <f t="shared" si="5"/>
        <v/>
      </c>
    </row>
    <row r="50" spans="1:10" x14ac:dyDescent="0.3">
      <c r="A50" s="5" t="s">
        <v>1372</v>
      </c>
      <c r="B50" s="4" t="str">
        <f t="shared" si="0"/>
        <v>Kapott kamat - bankbetétek</v>
      </c>
      <c r="C50" s="17">
        <v>-250</v>
      </c>
      <c r="D50" s="17">
        <v>-180</v>
      </c>
      <c r="E50" s="17">
        <v>0</v>
      </c>
      <c r="F50" s="4" t="str">
        <f t="shared" si="1"/>
        <v/>
      </c>
      <c r="G50" s="10" t="str">
        <f t="shared" si="2"/>
        <v>PL.INV.INTCASH</v>
      </c>
      <c r="H50" s="10" t="str">
        <f t="shared" si="3"/>
        <v>INV</v>
      </c>
      <c r="I50" s="10" t="str">
        <f t="shared" si="4"/>
        <v>INT.REC</v>
      </c>
      <c r="J50" s="10" t="str">
        <f t="shared" si="5"/>
        <v/>
      </c>
    </row>
    <row r="51" spans="1:10" x14ac:dyDescent="0.3">
      <c r="A51" s="5" t="s">
        <v>1374</v>
      </c>
      <c r="B51" s="4" t="str">
        <f t="shared" si="0"/>
        <v>Társult vállalkozás eredményéből való részesedés</v>
      </c>
      <c r="C51" s="17">
        <v>-200</v>
      </c>
      <c r="D51" s="17">
        <v>-150</v>
      </c>
      <c r="E51" s="17">
        <v>0</v>
      </c>
      <c r="F51" s="4" t="str">
        <f t="shared" si="1"/>
        <v/>
      </c>
      <c r="G51" s="10" t="str">
        <f t="shared" si="2"/>
        <v>PL.INV.ASSOC</v>
      </c>
      <c r="H51" s="10" t="str">
        <f t="shared" si="3"/>
        <v>INV</v>
      </c>
      <c r="I51" s="10" t="str">
        <f t="shared" si="4"/>
        <v>-</v>
      </c>
      <c r="J51" s="10" t="str">
        <f t="shared" si="5"/>
        <v/>
      </c>
    </row>
    <row r="52" spans="1:10" x14ac:dyDescent="0.3">
      <c r="A52" s="5" t="s">
        <v>1377</v>
      </c>
      <c r="B52" s="4" t="str">
        <f t="shared" si="0"/>
        <v>Hitelek kamatráfordítása</v>
      </c>
      <c r="C52" s="17">
        <v>1100</v>
      </c>
      <c r="D52" s="17">
        <v>1250</v>
      </c>
      <c r="E52" s="17">
        <v>0</v>
      </c>
      <c r="F52" s="4" t="str">
        <f t="shared" si="1"/>
        <v/>
      </c>
      <c r="G52" s="10" t="str">
        <f t="shared" si="2"/>
        <v>PL.FIN.INTBORROW</v>
      </c>
      <c r="H52" s="10" t="str">
        <f t="shared" si="3"/>
        <v>FIN</v>
      </c>
      <c r="I52" s="10" t="str">
        <f t="shared" si="4"/>
        <v>INT.PAID</v>
      </c>
      <c r="J52" s="10" t="str">
        <f t="shared" si="5"/>
        <v/>
      </c>
    </row>
    <row r="53" spans="1:10" x14ac:dyDescent="0.3">
      <c r="A53" s="5" t="s">
        <v>1380</v>
      </c>
      <c r="B53" s="4" t="str">
        <f t="shared" si="0"/>
        <v>Lízingkötelezettségek kamata</v>
      </c>
      <c r="C53" s="17">
        <v>250</v>
      </c>
      <c r="D53" s="17">
        <v>300</v>
      </c>
      <c r="E53" s="17">
        <v>0</v>
      </c>
      <c r="F53" s="4" t="str">
        <f t="shared" si="1"/>
        <v/>
      </c>
      <c r="G53" s="10" t="str">
        <f t="shared" si="2"/>
        <v>PL.FIN.INTLEASE</v>
      </c>
      <c r="H53" s="10" t="str">
        <f t="shared" si="3"/>
        <v>FIN</v>
      </c>
      <c r="I53" s="10" t="str">
        <f t="shared" si="4"/>
        <v>INT.PAID</v>
      </c>
      <c r="J53" s="10" t="str">
        <f t="shared" si="5"/>
        <v/>
      </c>
    </row>
    <row r="54" spans="1:10" x14ac:dyDescent="0.3">
      <c r="A54" s="5" t="s">
        <v>1381</v>
      </c>
      <c r="B54" s="4" t="str">
        <f t="shared" si="0"/>
        <v>Árfolyam-különbözet - hitelek</v>
      </c>
      <c r="C54" s="17">
        <v>80</v>
      </c>
      <c r="D54" s="17">
        <v>120</v>
      </c>
      <c r="E54" s="17">
        <v>0</v>
      </c>
      <c r="F54" s="4" t="str">
        <f t="shared" si="1"/>
        <v/>
      </c>
      <c r="G54" s="10" t="str">
        <f t="shared" si="2"/>
        <v>PL.FIN.FX</v>
      </c>
      <c r="H54" s="10" t="str">
        <f t="shared" si="3"/>
        <v>FIN</v>
      </c>
      <c r="I54" s="10" t="str">
        <f t="shared" si="4"/>
        <v>-</v>
      </c>
      <c r="J54" s="10" t="str">
        <f t="shared" si="5"/>
        <v/>
      </c>
    </row>
    <row r="55" spans="1:10" x14ac:dyDescent="0.3">
      <c r="A55" s="5" t="s">
        <v>1383</v>
      </c>
      <c r="B55" s="4" t="str">
        <f t="shared" si="0"/>
        <v>Társasági adó (tényleges)</v>
      </c>
      <c r="C55" s="17">
        <v>900</v>
      </c>
      <c r="D55" s="17">
        <v>750</v>
      </c>
      <c r="E55" s="17">
        <v>0</v>
      </c>
      <c r="F55" s="4" t="str">
        <f t="shared" si="1"/>
        <v/>
      </c>
      <c r="G55" s="10" t="str">
        <f t="shared" si="2"/>
        <v>PL.TAX.CURRENT</v>
      </c>
      <c r="H55" s="10" t="str">
        <f t="shared" si="3"/>
        <v>TAX</v>
      </c>
      <c r="I55" s="10" t="str">
        <f t="shared" si="4"/>
        <v>-</v>
      </c>
      <c r="J55" s="10" t="str">
        <f t="shared" si="5"/>
        <v/>
      </c>
    </row>
    <row r="56" spans="1:10" x14ac:dyDescent="0.3">
      <c r="A56" s="5" t="s">
        <v>1385</v>
      </c>
      <c r="B56" s="4" t="str">
        <f t="shared" si="0"/>
        <v>Halasztott adó</v>
      </c>
      <c r="C56" s="17">
        <v>50</v>
      </c>
      <c r="D56" s="17">
        <v>0</v>
      </c>
      <c r="E56" s="17">
        <v>0</v>
      </c>
      <c r="F56" s="4" t="str">
        <f t="shared" si="1"/>
        <v/>
      </c>
      <c r="G56" s="10" t="str">
        <f t="shared" si="2"/>
        <v>PL.TAX.DEFERRED</v>
      </c>
      <c r="H56" s="10" t="str">
        <f t="shared" si="3"/>
        <v>TAX</v>
      </c>
      <c r="I56" s="10" t="str">
        <f t="shared" si="4"/>
        <v>-</v>
      </c>
      <c r="J56" s="10" t="str">
        <f t="shared" si="5"/>
        <v/>
      </c>
    </row>
    <row r="57" spans="1:10" x14ac:dyDescent="0.3">
      <c r="A57" s="5" t="s">
        <v>1386</v>
      </c>
      <c r="B57" s="4" t="str">
        <f t="shared" si="0"/>
        <v>Ingatlanok átértékelése (tárgyévi OCI)</v>
      </c>
      <c r="C57" s="17">
        <v>-100</v>
      </c>
      <c r="D57" s="17">
        <v>-150</v>
      </c>
      <c r="E57" s="17">
        <v>0</v>
      </c>
      <c r="F57" s="4" t="str">
        <f t="shared" si="1"/>
        <v/>
      </c>
      <c r="G57" s="10" t="str">
        <f t="shared" si="2"/>
        <v>OCI.NR.REVAL</v>
      </c>
      <c r="H57" s="10" t="str">
        <f t="shared" si="3"/>
        <v/>
      </c>
      <c r="I57" s="10" t="str">
        <f t="shared" si="4"/>
        <v>OCIONLY</v>
      </c>
      <c r="J57" s="10" t="str">
        <f t="shared" si="5"/>
        <v/>
      </c>
    </row>
    <row r="58" spans="1:10" x14ac:dyDescent="0.3">
      <c r="A58" s="5"/>
      <c r="B58" s="4" t="str">
        <f t="shared" si="0"/>
        <v/>
      </c>
      <c r="C58" s="17"/>
      <c r="D58" s="17"/>
      <c r="E58" s="17"/>
      <c r="F58" s="4" t="str">
        <f t="shared" si="1"/>
        <v/>
      </c>
      <c r="G58" s="10" t="str">
        <f t="shared" si="2"/>
        <v/>
      </c>
      <c r="H58" s="10" t="str">
        <f t="shared" si="3"/>
        <v/>
      </c>
      <c r="I58" s="10" t="str">
        <f t="shared" si="4"/>
        <v/>
      </c>
      <c r="J58" s="10" t="str">
        <f t="shared" si="5"/>
        <v/>
      </c>
    </row>
    <row r="59" spans="1:10" x14ac:dyDescent="0.3">
      <c r="A59" s="5"/>
      <c r="B59" s="4" t="str">
        <f t="shared" si="0"/>
        <v/>
      </c>
      <c r="C59" s="17"/>
      <c r="D59" s="17"/>
      <c r="E59" s="17"/>
      <c r="F59" s="4" t="str">
        <f t="shared" si="1"/>
        <v/>
      </c>
      <c r="G59" s="10" t="str">
        <f t="shared" si="2"/>
        <v/>
      </c>
      <c r="H59" s="10" t="str">
        <f t="shared" si="3"/>
        <v/>
      </c>
      <c r="I59" s="10" t="str">
        <f t="shared" si="4"/>
        <v/>
      </c>
      <c r="J59" s="10" t="str">
        <f t="shared" si="5"/>
        <v/>
      </c>
    </row>
    <row r="60" spans="1:10" x14ac:dyDescent="0.3">
      <c r="A60" s="5"/>
      <c r="B60" s="4" t="str">
        <f t="shared" si="0"/>
        <v/>
      </c>
      <c r="C60" s="17"/>
      <c r="D60" s="17"/>
      <c r="E60" s="17"/>
      <c r="F60" s="4" t="str">
        <f t="shared" si="1"/>
        <v/>
      </c>
      <c r="G60" s="10" t="str">
        <f t="shared" si="2"/>
        <v/>
      </c>
      <c r="H60" s="10" t="str">
        <f t="shared" si="3"/>
        <v/>
      </c>
      <c r="I60" s="10" t="str">
        <f t="shared" si="4"/>
        <v/>
      </c>
      <c r="J60" s="10" t="str">
        <f t="shared" si="5"/>
        <v/>
      </c>
    </row>
    <row r="61" spans="1:10" x14ac:dyDescent="0.3">
      <c r="A61" s="5"/>
      <c r="B61" s="4" t="str">
        <f t="shared" si="0"/>
        <v/>
      </c>
      <c r="C61" s="17"/>
      <c r="D61" s="17"/>
      <c r="E61" s="17"/>
      <c r="F61" s="4" t="str">
        <f t="shared" si="1"/>
        <v/>
      </c>
      <c r="G61" s="10" t="str">
        <f t="shared" si="2"/>
        <v/>
      </c>
      <c r="H61" s="10" t="str">
        <f t="shared" si="3"/>
        <v/>
      </c>
      <c r="I61" s="10" t="str">
        <f t="shared" si="4"/>
        <v/>
      </c>
      <c r="J61" s="10" t="str">
        <f t="shared" si="5"/>
        <v/>
      </c>
    </row>
    <row r="62" spans="1:10" x14ac:dyDescent="0.3">
      <c r="A62" s="5"/>
      <c r="B62" s="4" t="str">
        <f t="shared" si="0"/>
        <v/>
      </c>
      <c r="C62" s="17"/>
      <c r="D62" s="17"/>
      <c r="E62" s="17"/>
      <c r="F62" s="4" t="str">
        <f t="shared" si="1"/>
        <v/>
      </c>
      <c r="G62" s="10" t="str">
        <f t="shared" si="2"/>
        <v/>
      </c>
      <c r="H62" s="10" t="str">
        <f t="shared" si="3"/>
        <v/>
      </c>
      <c r="I62" s="10" t="str">
        <f t="shared" si="4"/>
        <v/>
      </c>
      <c r="J62" s="10" t="str">
        <f t="shared" si="5"/>
        <v/>
      </c>
    </row>
    <row r="63" spans="1:10" x14ac:dyDescent="0.3">
      <c r="A63" s="5"/>
      <c r="B63" s="4" t="str">
        <f t="shared" si="0"/>
        <v/>
      </c>
      <c r="C63" s="17"/>
      <c r="D63" s="17"/>
      <c r="E63" s="17"/>
      <c r="F63" s="4" t="str">
        <f t="shared" si="1"/>
        <v/>
      </c>
      <c r="G63" s="10" t="str">
        <f t="shared" si="2"/>
        <v/>
      </c>
      <c r="H63" s="10" t="str">
        <f t="shared" si="3"/>
        <v/>
      </c>
      <c r="I63" s="10" t="str">
        <f t="shared" si="4"/>
        <v/>
      </c>
      <c r="J63" s="10" t="str">
        <f t="shared" si="5"/>
        <v/>
      </c>
    </row>
    <row r="64" spans="1:10" x14ac:dyDescent="0.3">
      <c r="A64" s="5"/>
      <c r="B64" s="4" t="str">
        <f t="shared" si="0"/>
        <v/>
      </c>
      <c r="C64" s="17"/>
      <c r="D64" s="17"/>
      <c r="E64" s="17"/>
      <c r="F64" s="4" t="str">
        <f t="shared" si="1"/>
        <v/>
      </c>
      <c r="G64" s="10" t="str">
        <f t="shared" si="2"/>
        <v/>
      </c>
      <c r="H64" s="10" t="str">
        <f t="shared" si="3"/>
        <v/>
      </c>
      <c r="I64" s="10" t="str">
        <f t="shared" si="4"/>
        <v/>
      </c>
      <c r="J64" s="10" t="str">
        <f t="shared" si="5"/>
        <v/>
      </c>
    </row>
    <row r="65" spans="1:10" x14ac:dyDescent="0.3">
      <c r="A65" s="5"/>
      <c r="B65" s="4" t="str">
        <f t="shared" si="0"/>
        <v/>
      </c>
      <c r="C65" s="17"/>
      <c r="D65" s="17"/>
      <c r="E65" s="17"/>
      <c r="F65" s="4" t="str">
        <f t="shared" si="1"/>
        <v/>
      </c>
      <c r="G65" s="10" t="str">
        <f t="shared" si="2"/>
        <v/>
      </c>
      <c r="H65" s="10" t="str">
        <f t="shared" si="3"/>
        <v/>
      </c>
      <c r="I65" s="10" t="str">
        <f t="shared" si="4"/>
        <v/>
      </c>
      <c r="J65" s="10" t="str">
        <f t="shared" si="5"/>
        <v/>
      </c>
    </row>
    <row r="66" spans="1:10" x14ac:dyDescent="0.3">
      <c r="A66" s="5"/>
      <c r="B66" s="4" t="str">
        <f t="shared" si="0"/>
        <v/>
      </c>
      <c r="C66" s="17"/>
      <c r="D66" s="17"/>
      <c r="E66" s="17"/>
      <c r="F66" s="4" t="str">
        <f t="shared" si="1"/>
        <v/>
      </c>
      <c r="G66" s="10" t="str">
        <f t="shared" si="2"/>
        <v/>
      </c>
      <c r="H66" s="10" t="str">
        <f t="shared" si="3"/>
        <v/>
      </c>
      <c r="I66" s="10" t="str">
        <f t="shared" si="4"/>
        <v/>
      </c>
      <c r="J66" s="10" t="str">
        <f t="shared" si="5"/>
        <v/>
      </c>
    </row>
    <row r="67" spans="1:10" x14ac:dyDescent="0.3">
      <c r="A67" s="5"/>
      <c r="B67" s="4" t="str">
        <f t="shared" si="0"/>
        <v/>
      </c>
      <c r="C67" s="17"/>
      <c r="D67" s="17"/>
      <c r="E67" s="17"/>
      <c r="F67" s="4" t="str">
        <f t="shared" si="1"/>
        <v/>
      </c>
      <c r="G67" s="10" t="str">
        <f t="shared" si="2"/>
        <v/>
      </c>
      <c r="H67" s="10" t="str">
        <f t="shared" si="3"/>
        <v/>
      </c>
      <c r="I67" s="10" t="str">
        <f t="shared" si="4"/>
        <v/>
      </c>
      <c r="J67" s="10" t="str">
        <f t="shared" si="5"/>
        <v/>
      </c>
    </row>
    <row r="68" spans="1:10" x14ac:dyDescent="0.3">
      <c r="A68" s="5"/>
      <c r="B68" s="4" t="str">
        <f t="shared" si="0"/>
        <v/>
      </c>
      <c r="C68" s="17"/>
      <c r="D68" s="17"/>
      <c r="E68" s="17"/>
      <c r="F68" s="4" t="str">
        <f t="shared" si="1"/>
        <v/>
      </c>
      <c r="G68" s="10" t="str">
        <f t="shared" si="2"/>
        <v/>
      </c>
      <c r="H68" s="10" t="str">
        <f t="shared" si="3"/>
        <v/>
      </c>
      <c r="I68" s="10" t="str">
        <f t="shared" si="4"/>
        <v/>
      </c>
      <c r="J68" s="10" t="str">
        <f t="shared" si="5"/>
        <v/>
      </c>
    </row>
    <row r="69" spans="1:10" x14ac:dyDescent="0.3">
      <c r="A69" s="5"/>
      <c r="B69" s="4" t="str">
        <f t="shared" si="0"/>
        <v/>
      </c>
      <c r="C69" s="17"/>
      <c r="D69" s="17"/>
      <c r="E69" s="17"/>
      <c r="F69" s="4" t="str">
        <f t="shared" si="1"/>
        <v/>
      </c>
      <c r="G69" s="10" t="str">
        <f t="shared" si="2"/>
        <v/>
      </c>
      <c r="H69" s="10" t="str">
        <f t="shared" si="3"/>
        <v/>
      </c>
      <c r="I69" s="10" t="str">
        <f t="shared" si="4"/>
        <v/>
      </c>
      <c r="J69" s="10" t="str">
        <f t="shared" si="5"/>
        <v/>
      </c>
    </row>
    <row r="70" spans="1:10" x14ac:dyDescent="0.3">
      <c r="A70" s="5"/>
      <c r="B70" s="4" t="str">
        <f t="shared" ref="B70:B133" si="6">IF(A70="","",IFERROR(INDEX(COA_NAME,MATCH(A70,COA_ACCT,0))&amp;"",IFERROR(INDEX(DICT_ACTIVE,MATCH("TB.UNMAPPED",DICT_KEY,0)),"?")))</f>
        <v/>
      </c>
      <c r="C70" s="17"/>
      <c r="D70" s="17"/>
      <c r="E70" s="17"/>
      <c r="F70" s="4" t="str">
        <f t="shared" ref="F70:F133" si="7">IF(A70="","",IF(G70="",IFERROR(INDEX(DICT_ACTIVE,MATCH("TB.UNMAPPED",DICT_KEY,0)),"?"),""))</f>
        <v/>
      </c>
      <c r="G70" s="10" t="str">
        <f t="shared" ref="G70:G133" si="8">IF(A70="","",IFERROR(INDEX(COA_LINE_EFF,MATCH(A70,COA_ACCT,0))&amp;"",""))</f>
        <v/>
      </c>
      <c r="H70" s="10" t="str">
        <f t="shared" ref="H70:H133" si="9">IF(A70="","",IFERROR(INDEX(COA_CAT_FX,MATCH(A70,COA_ACCT,0))&amp;"",""))</f>
        <v/>
      </c>
      <c r="I70" s="10" t="str">
        <f t="shared" ref="I70:I133" si="10">IF(A70="","",IFERROR(INDEX(COA_CF,MATCH(A70,COA_ACCT,0))&amp;"","-"))</f>
        <v/>
      </c>
      <c r="J70" s="10" t="str">
        <f t="shared" ref="J70:J133" si="11">IF(A70="","",IFERROR(INDEX(COA_LINE_N,MATCH(A70,COA_ACCT,0))&amp;"",""))</f>
        <v/>
      </c>
    </row>
    <row r="71" spans="1:10" x14ac:dyDescent="0.3">
      <c r="A71" s="5"/>
      <c r="B71" s="4" t="str">
        <f t="shared" si="6"/>
        <v/>
      </c>
      <c r="C71" s="17"/>
      <c r="D71" s="17"/>
      <c r="E71" s="17"/>
      <c r="F71" s="4" t="str">
        <f t="shared" si="7"/>
        <v/>
      </c>
      <c r="G71" s="10" t="str">
        <f t="shared" si="8"/>
        <v/>
      </c>
      <c r="H71" s="10" t="str">
        <f t="shared" si="9"/>
        <v/>
      </c>
      <c r="I71" s="10" t="str">
        <f t="shared" si="10"/>
        <v/>
      </c>
      <c r="J71" s="10" t="str">
        <f t="shared" si="11"/>
        <v/>
      </c>
    </row>
    <row r="72" spans="1:10" x14ac:dyDescent="0.3">
      <c r="A72" s="5"/>
      <c r="B72" s="4" t="str">
        <f t="shared" si="6"/>
        <v/>
      </c>
      <c r="C72" s="17"/>
      <c r="D72" s="17"/>
      <c r="E72" s="17"/>
      <c r="F72" s="4" t="str">
        <f t="shared" si="7"/>
        <v/>
      </c>
      <c r="G72" s="10" t="str">
        <f t="shared" si="8"/>
        <v/>
      </c>
      <c r="H72" s="10" t="str">
        <f t="shared" si="9"/>
        <v/>
      </c>
      <c r="I72" s="10" t="str">
        <f t="shared" si="10"/>
        <v/>
      </c>
      <c r="J72" s="10" t="str">
        <f t="shared" si="11"/>
        <v/>
      </c>
    </row>
    <row r="73" spans="1:10" x14ac:dyDescent="0.3">
      <c r="A73" s="5"/>
      <c r="B73" s="4" t="str">
        <f t="shared" si="6"/>
        <v/>
      </c>
      <c r="C73" s="17"/>
      <c r="D73" s="17"/>
      <c r="E73" s="17"/>
      <c r="F73" s="4" t="str">
        <f t="shared" si="7"/>
        <v/>
      </c>
      <c r="G73" s="10" t="str">
        <f t="shared" si="8"/>
        <v/>
      </c>
      <c r="H73" s="10" t="str">
        <f t="shared" si="9"/>
        <v/>
      </c>
      <c r="I73" s="10" t="str">
        <f t="shared" si="10"/>
        <v/>
      </c>
      <c r="J73" s="10" t="str">
        <f t="shared" si="11"/>
        <v/>
      </c>
    </row>
    <row r="74" spans="1:10" x14ac:dyDescent="0.3">
      <c r="A74" s="5"/>
      <c r="B74" s="4" t="str">
        <f t="shared" si="6"/>
        <v/>
      </c>
      <c r="C74" s="17"/>
      <c r="D74" s="17"/>
      <c r="E74" s="17"/>
      <c r="F74" s="4" t="str">
        <f t="shared" si="7"/>
        <v/>
      </c>
      <c r="G74" s="10" t="str">
        <f t="shared" si="8"/>
        <v/>
      </c>
      <c r="H74" s="10" t="str">
        <f t="shared" si="9"/>
        <v/>
      </c>
      <c r="I74" s="10" t="str">
        <f t="shared" si="10"/>
        <v/>
      </c>
      <c r="J74" s="10" t="str">
        <f t="shared" si="11"/>
        <v/>
      </c>
    </row>
    <row r="75" spans="1:10" x14ac:dyDescent="0.3">
      <c r="A75" s="5"/>
      <c r="B75" s="4" t="str">
        <f t="shared" si="6"/>
        <v/>
      </c>
      <c r="C75" s="17"/>
      <c r="D75" s="17"/>
      <c r="E75" s="17"/>
      <c r="F75" s="4" t="str">
        <f t="shared" si="7"/>
        <v/>
      </c>
      <c r="G75" s="10" t="str">
        <f t="shared" si="8"/>
        <v/>
      </c>
      <c r="H75" s="10" t="str">
        <f t="shared" si="9"/>
        <v/>
      </c>
      <c r="I75" s="10" t="str">
        <f t="shared" si="10"/>
        <v/>
      </c>
      <c r="J75" s="10" t="str">
        <f t="shared" si="11"/>
        <v/>
      </c>
    </row>
    <row r="76" spans="1:10" x14ac:dyDescent="0.3">
      <c r="A76" s="5"/>
      <c r="B76" s="4" t="str">
        <f t="shared" si="6"/>
        <v/>
      </c>
      <c r="C76" s="17"/>
      <c r="D76" s="17"/>
      <c r="E76" s="17"/>
      <c r="F76" s="4" t="str">
        <f t="shared" si="7"/>
        <v/>
      </c>
      <c r="G76" s="10" t="str">
        <f t="shared" si="8"/>
        <v/>
      </c>
      <c r="H76" s="10" t="str">
        <f t="shared" si="9"/>
        <v/>
      </c>
      <c r="I76" s="10" t="str">
        <f t="shared" si="10"/>
        <v/>
      </c>
      <c r="J76" s="10" t="str">
        <f t="shared" si="11"/>
        <v/>
      </c>
    </row>
    <row r="77" spans="1:10" x14ac:dyDescent="0.3">
      <c r="A77" s="5"/>
      <c r="B77" s="4" t="str">
        <f t="shared" si="6"/>
        <v/>
      </c>
      <c r="C77" s="17"/>
      <c r="D77" s="17"/>
      <c r="E77" s="17"/>
      <c r="F77" s="4" t="str">
        <f t="shared" si="7"/>
        <v/>
      </c>
      <c r="G77" s="10" t="str">
        <f t="shared" si="8"/>
        <v/>
      </c>
      <c r="H77" s="10" t="str">
        <f t="shared" si="9"/>
        <v/>
      </c>
      <c r="I77" s="10" t="str">
        <f t="shared" si="10"/>
        <v/>
      </c>
      <c r="J77" s="10" t="str">
        <f t="shared" si="11"/>
        <v/>
      </c>
    </row>
    <row r="78" spans="1:10" x14ac:dyDescent="0.3">
      <c r="A78" s="5"/>
      <c r="B78" s="4" t="str">
        <f t="shared" si="6"/>
        <v/>
      </c>
      <c r="C78" s="17"/>
      <c r="D78" s="17"/>
      <c r="E78" s="17"/>
      <c r="F78" s="4" t="str">
        <f t="shared" si="7"/>
        <v/>
      </c>
      <c r="G78" s="10" t="str">
        <f t="shared" si="8"/>
        <v/>
      </c>
      <c r="H78" s="10" t="str">
        <f t="shared" si="9"/>
        <v/>
      </c>
      <c r="I78" s="10" t="str">
        <f t="shared" si="10"/>
        <v/>
      </c>
      <c r="J78" s="10" t="str">
        <f t="shared" si="11"/>
        <v/>
      </c>
    </row>
    <row r="79" spans="1:10" x14ac:dyDescent="0.3">
      <c r="A79" s="5"/>
      <c r="B79" s="4" t="str">
        <f t="shared" si="6"/>
        <v/>
      </c>
      <c r="C79" s="17"/>
      <c r="D79" s="17"/>
      <c r="E79" s="17"/>
      <c r="F79" s="4" t="str">
        <f t="shared" si="7"/>
        <v/>
      </c>
      <c r="G79" s="10" t="str">
        <f t="shared" si="8"/>
        <v/>
      </c>
      <c r="H79" s="10" t="str">
        <f t="shared" si="9"/>
        <v/>
      </c>
      <c r="I79" s="10" t="str">
        <f t="shared" si="10"/>
        <v/>
      </c>
      <c r="J79" s="10" t="str">
        <f t="shared" si="11"/>
        <v/>
      </c>
    </row>
    <row r="80" spans="1:10" x14ac:dyDescent="0.3">
      <c r="A80" s="5"/>
      <c r="B80" s="4" t="str">
        <f t="shared" si="6"/>
        <v/>
      </c>
      <c r="C80" s="17"/>
      <c r="D80" s="17"/>
      <c r="E80" s="17"/>
      <c r="F80" s="4" t="str">
        <f t="shared" si="7"/>
        <v/>
      </c>
      <c r="G80" s="10" t="str">
        <f t="shared" si="8"/>
        <v/>
      </c>
      <c r="H80" s="10" t="str">
        <f t="shared" si="9"/>
        <v/>
      </c>
      <c r="I80" s="10" t="str">
        <f t="shared" si="10"/>
        <v/>
      </c>
      <c r="J80" s="10" t="str">
        <f t="shared" si="11"/>
        <v/>
      </c>
    </row>
    <row r="81" spans="1:10" x14ac:dyDescent="0.3">
      <c r="A81" s="5"/>
      <c r="B81" s="4" t="str">
        <f t="shared" si="6"/>
        <v/>
      </c>
      <c r="C81" s="17"/>
      <c r="D81" s="17"/>
      <c r="E81" s="17"/>
      <c r="F81" s="4" t="str">
        <f t="shared" si="7"/>
        <v/>
      </c>
      <c r="G81" s="10" t="str">
        <f t="shared" si="8"/>
        <v/>
      </c>
      <c r="H81" s="10" t="str">
        <f t="shared" si="9"/>
        <v/>
      </c>
      <c r="I81" s="10" t="str">
        <f t="shared" si="10"/>
        <v/>
      </c>
      <c r="J81" s="10" t="str">
        <f t="shared" si="11"/>
        <v/>
      </c>
    </row>
    <row r="82" spans="1:10" x14ac:dyDescent="0.3">
      <c r="A82" s="5"/>
      <c r="B82" s="4" t="str">
        <f t="shared" si="6"/>
        <v/>
      </c>
      <c r="C82" s="17"/>
      <c r="D82" s="17"/>
      <c r="E82" s="17"/>
      <c r="F82" s="4" t="str">
        <f t="shared" si="7"/>
        <v/>
      </c>
      <c r="G82" s="10" t="str">
        <f t="shared" si="8"/>
        <v/>
      </c>
      <c r="H82" s="10" t="str">
        <f t="shared" si="9"/>
        <v/>
      </c>
      <c r="I82" s="10" t="str">
        <f t="shared" si="10"/>
        <v/>
      </c>
      <c r="J82" s="10" t="str">
        <f t="shared" si="11"/>
        <v/>
      </c>
    </row>
    <row r="83" spans="1:10" x14ac:dyDescent="0.3">
      <c r="A83" s="5"/>
      <c r="B83" s="4" t="str">
        <f t="shared" si="6"/>
        <v/>
      </c>
      <c r="C83" s="17"/>
      <c r="D83" s="17"/>
      <c r="E83" s="17"/>
      <c r="F83" s="4" t="str">
        <f t="shared" si="7"/>
        <v/>
      </c>
      <c r="G83" s="10" t="str">
        <f t="shared" si="8"/>
        <v/>
      </c>
      <c r="H83" s="10" t="str">
        <f t="shared" si="9"/>
        <v/>
      </c>
      <c r="I83" s="10" t="str">
        <f t="shared" si="10"/>
        <v/>
      </c>
      <c r="J83" s="10" t="str">
        <f t="shared" si="11"/>
        <v/>
      </c>
    </row>
    <row r="84" spans="1:10" x14ac:dyDescent="0.3">
      <c r="A84" s="5"/>
      <c r="B84" s="4" t="str">
        <f t="shared" si="6"/>
        <v/>
      </c>
      <c r="C84" s="17"/>
      <c r="D84" s="17"/>
      <c r="E84" s="17"/>
      <c r="F84" s="4" t="str">
        <f t="shared" si="7"/>
        <v/>
      </c>
      <c r="G84" s="10" t="str">
        <f t="shared" si="8"/>
        <v/>
      </c>
      <c r="H84" s="10" t="str">
        <f t="shared" si="9"/>
        <v/>
      </c>
      <c r="I84" s="10" t="str">
        <f t="shared" si="10"/>
        <v/>
      </c>
      <c r="J84" s="10" t="str">
        <f t="shared" si="11"/>
        <v/>
      </c>
    </row>
    <row r="85" spans="1:10" x14ac:dyDescent="0.3">
      <c r="A85" s="5"/>
      <c r="B85" s="4" t="str">
        <f t="shared" si="6"/>
        <v/>
      </c>
      <c r="C85" s="17"/>
      <c r="D85" s="17"/>
      <c r="E85" s="17"/>
      <c r="F85" s="4" t="str">
        <f t="shared" si="7"/>
        <v/>
      </c>
      <c r="G85" s="10" t="str">
        <f t="shared" si="8"/>
        <v/>
      </c>
      <c r="H85" s="10" t="str">
        <f t="shared" si="9"/>
        <v/>
      </c>
      <c r="I85" s="10" t="str">
        <f t="shared" si="10"/>
        <v/>
      </c>
      <c r="J85" s="10" t="str">
        <f t="shared" si="11"/>
        <v/>
      </c>
    </row>
    <row r="86" spans="1:10" x14ac:dyDescent="0.3">
      <c r="A86" s="5"/>
      <c r="B86" s="4" t="str">
        <f t="shared" si="6"/>
        <v/>
      </c>
      <c r="C86" s="17"/>
      <c r="D86" s="17"/>
      <c r="E86" s="17"/>
      <c r="F86" s="4" t="str">
        <f t="shared" si="7"/>
        <v/>
      </c>
      <c r="G86" s="10" t="str">
        <f t="shared" si="8"/>
        <v/>
      </c>
      <c r="H86" s="10" t="str">
        <f t="shared" si="9"/>
        <v/>
      </c>
      <c r="I86" s="10" t="str">
        <f t="shared" si="10"/>
        <v/>
      </c>
      <c r="J86" s="10" t="str">
        <f t="shared" si="11"/>
        <v/>
      </c>
    </row>
    <row r="87" spans="1:10" x14ac:dyDescent="0.3">
      <c r="A87" s="5"/>
      <c r="B87" s="4" t="str">
        <f t="shared" si="6"/>
        <v/>
      </c>
      <c r="C87" s="17"/>
      <c r="D87" s="17"/>
      <c r="E87" s="17"/>
      <c r="F87" s="4" t="str">
        <f t="shared" si="7"/>
        <v/>
      </c>
      <c r="G87" s="10" t="str">
        <f t="shared" si="8"/>
        <v/>
      </c>
      <c r="H87" s="10" t="str">
        <f t="shared" si="9"/>
        <v/>
      </c>
      <c r="I87" s="10" t="str">
        <f t="shared" si="10"/>
        <v/>
      </c>
      <c r="J87" s="10" t="str">
        <f t="shared" si="11"/>
        <v/>
      </c>
    </row>
    <row r="88" spans="1:10" x14ac:dyDescent="0.3">
      <c r="A88" s="5"/>
      <c r="B88" s="4" t="str">
        <f t="shared" si="6"/>
        <v/>
      </c>
      <c r="C88" s="17"/>
      <c r="D88" s="17"/>
      <c r="E88" s="17"/>
      <c r="F88" s="4" t="str">
        <f t="shared" si="7"/>
        <v/>
      </c>
      <c r="G88" s="10" t="str">
        <f t="shared" si="8"/>
        <v/>
      </c>
      <c r="H88" s="10" t="str">
        <f t="shared" si="9"/>
        <v/>
      </c>
      <c r="I88" s="10" t="str">
        <f t="shared" si="10"/>
        <v/>
      </c>
      <c r="J88" s="10" t="str">
        <f t="shared" si="11"/>
        <v/>
      </c>
    </row>
    <row r="89" spans="1:10" x14ac:dyDescent="0.3">
      <c r="A89" s="5"/>
      <c r="B89" s="4" t="str">
        <f t="shared" si="6"/>
        <v/>
      </c>
      <c r="C89" s="17"/>
      <c r="D89" s="17"/>
      <c r="E89" s="17"/>
      <c r="F89" s="4" t="str">
        <f t="shared" si="7"/>
        <v/>
      </c>
      <c r="G89" s="10" t="str">
        <f t="shared" si="8"/>
        <v/>
      </c>
      <c r="H89" s="10" t="str">
        <f t="shared" si="9"/>
        <v/>
      </c>
      <c r="I89" s="10" t="str">
        <f t="shared" si="10"/>
        <v/>
      </c>
      <c r="J89" s="10" t="str">
        <f t="shared" si="11"/>
        <v/>
      </c>
    </row>
    <row r="90" spans="1:10" x14ac:dyDescent="0.3">
      <c r="A90" s="5"/>
      <c r="B90" s="4" t="str">
        <f t="shared" si="6"/>
        <v/>
      </c>
      <c r="C90" s="17"/>
      <c r="D90" s="17"/>
      <c r="E90" s="17"/>
      <c r="F90" s="4" t="str">
        <f t="shared" si="7"/>
        <v/>
      </c>
      <c r="G90" s="10" t="str">
        <f t="shared" si="8"/>
        <v/>
      </c>
      <c r="H90" s="10" t="str">
        <f t="shared" si="9"/>
        <v/>
      </c>
      <c r="I90" s="10" t="str">
        <f t="shared" si="10"/>
        <v/>
      </c>
      <c r="J90" s="10" t="str">
        <f t="shared" si="11"/>
        <v/>
      </c>
    </row>
    <row r="91" spans="1:10" x14ac:dyDescent="0.3">
      <c r="A91" s="5"/>
      <c r="B91" s="4" t="str">
        <f t="shared" si="6"/>
        <v/>
      </c>
      <c r="C91" s="17"/>
      <c r="D91" s="17"/>
      <c r="E91" s="17"/>
      <c r="F91" s="4" t="str">
        <f t="shared" si="7"/>
        <v/>
      </c>
      <c r="G91" s="10" t="str">
        <f t="shared" si="8"/>
        <v/>
      </c>
      <c r="H91" s="10" t="str">
        <f t="shared" si="9"/>
        <v/>
      </c>
      <c r="I91" s="10" t="str">
        <f t="shared" si="10"/>
        <v/>
      </c>
      <c r="J91" s="10" t="str">
        <f t="shared" si="11"/>
        <v/>
      </c>
    </row>
    <row r="92" spans="1:10" x14ac:dyDescent="0.3">
      <c r="A92" s="5"/>
      <c r="B92" s="4" t="str">
        <f t="shared" si="6"/>
        <v/>
      </c>
      <c r="C92" s="17"/>
      <c r="D92" s="17"/>
      <c r="E92" s="17"/>
      <c r="F92" s="4" t="str">
        <f t="shared" si="7"/>
        <v/>
      </c>
      <c r="G92" s="10" t="str">
        <f t="shared" si="8"/>
        <v/>
      </c>
      <c r="H92" s="10" t="str">
        <f t="shared" si="9"/>
        <v/>
      </c>
      <c r="I92" s="10" t="str">
        <f t="shared" si="10"/>
        <v/>
      </c>
      <c r="J92" s="10" t="str">
        <f t="shared" si="11"/>
        <v/>
      </c>
    </row>
    <row r="93" spans="1:10" x14ac:dyDescent="0.3">
      <c r="A93" s="5"/>
      <c r="B93" s="4" t="str">
        <f t="shared" si="6"/>
        <v/>
      </c>
      <c r="C93" s="17"/>
      <c r="D93" s="17"/>
      <c r="E93" s="17"/>
      <c r="F93" s="4" t="str">
        <f t="shared" si="7"/>
        <v/>
      </c>
      <c r="G93" s="10" t="str">
        <f t="shared" si="8"/>
        <v/>
      </c>
      <c r="H93" s="10" t="str">
        <f t="shared" si="9"/>
        <v/>
      </c>
      <c r="I93" s="10" t="str">
        <f t="shared" si="10"/>
        <v/>
      </c>
      <c r="J93" s="10" t="str">
        <f t="shared" si="11"/>
        <v/>
      </c>
    </row>
    <row r="94" spans="1:10" x14ac:dyDescent="0.3">
      <c r="A94" s="5"/>
      <c r="B94" s="4" t="str">
        <f t="shared" si="6"/>
        <v/>
      </c>
      <c r="C94" s="17"/>
      <c r="D94" s="17"/>
      <c r="E94" s="17"/>
      <c r="F94" s="4" t="str">
        <f t="shared" si="7"/>
        <v/>
      </c>
      <c r="G94" s="10" t="str">
        <f t="shared" si="8"/>
        <v/>
      </c>
      <c r="H94" s="10" t="str">
        <f t="shared" si="9"/>
        <v/>
      </c>
      <c r="I94" s="10" t="str">
        <f t="shared" si="10"/>
        <v/>
      </c>
      <c r="J94" s="10" t="str">
        <f t="shared" si="11"/>
        <v/>
      </c>
    </row>
    <row r="95" spans="1:10" x14ac:dyDescent="0.3">
      <c r="A95" s="5"/>
      <c r="B95" s="4" t="str">
        <f t="shared" si="6"/>
        <v/>
      </c>
      <c r="C95" s="17"/>
      <c r="D95" s="17"/>
      <c r="E95" s="17"/>
      <c r="F95" s="4" t="str">
        <f t="shared" si="7"/>
        <v/>
      </c>
      <c r="G95" s="10" t="str">
        <f t="shared" si="8"/>
        <v/>
      </c>
      <c r="H95" s="10" t="str">
        <f t="shared" si="9"/>
        <v/>
      </c>
      <c r="I95" s="10" t="str">
        <f t="shared" si="10"/>
        <v/>
      </c>
      <c r="J95" s="10" t="str">
        <f t="shared" si="11"/>
        <v/>
      </c>
    </row>
    <row r="96" spans="1:10" x14ac:dyDescent="0.3">
      <c r="A96" s="5"/>
      <c r="B96" s="4" t="str">
        <f t="shared" si="6"/>
        <v/>
      </c>
      <c r="C96" s="17"/>
      <c r="D96" s="17"/>
      <c r="E96" s="17"/>
      <c r="F96" s="4" t="str">
        <f t="shared" si="7"/>
        <v/>
      </c>
      <c r="G96" s="10" t="str">
        <f t="shared" si="8"/>
        <v/>
      </c>
      <c r="H96" s="10" t="str">
        <f t="shared" si="9"/>
        <v/>
      </c>
      <c r="I96" s="10" t="str">
        <f t="shared" si="10"/>
        <v/>
      </c>
      <c r="J96" s="10" t="str">
        <f t="shared" si="11"/>
        <v/>
      </c>
    </row>
    <row r="97" spans="1:10" x14ac:dyDescent="0.3">
      <c r="A97" s="5"/>
      <c r="B97" s="4" t="str">
        <f t="shared" si="6"/>
        <v/>
      </c>
      <c r="C97" s="17"/>
      <c r="D97" s="17"/>
      <c r="E97" s="17"/>
      <c r="F97" s="4" t="str">
        <f t="shared" si="7"/>
        <v/>
      </c>
      <c r="G97" s="10" t="str">
        <f t="shared" si="8"/>
        <v/>
      </c>
      <c r="H97" s="10" t="str">
        <f t="shared" si="9"/>
        <v/>
      </c>
      <c r="I97" s="10" t="str">
        <f t="shared" si="10"/>
        <v/>
      </c>
      <c r="J97" s="10" t="str">
        <f t="shared" si="11"/>
        <v/>
      </c>
    </row>
    <row r="98" spans="1:10" x14ac:dyDescent="0.3">
      <c r="A98" s="5"/>
      <c r="B98" s="4" t="str">
        <f t="shared" si="6"/>
        <v/>
      </c>
      <c r="C98" s="17"/>
      <c r="D98" s="17"/>
      <c r="E98" s="17"/>
      <c r="F98" s="4" t="str">
        <f t="shared" si="7"/>
        <v/>
      </c>
      <c r="G98" s="10" t="str">
        <f t="shared" si="8"/>
        <v/>
      </c>
      <c r="H98" s="10" t="str">
        <f t="shared" si="9"/>
        <v/>
      </c>
      <c r="I98" s="10" t="str">
        <f t="shared" si="10"/>
        <v/>
      </c>
      <c r="J98" s="10" t="str">
        <f t="shared" si="11"/>
        <v/>
      </c>
    </row>
    <row r="99" spans="1:10" x14ac:dyDescent="0.3">
      <c r="A99" s="5"/>
      <c r="B99" s="4" t="str">
        <f t="shared" si="6"/>
        <v/>
      </c>
      <c r="C99" s="17"/>
      <c r="D99" s="17"/>
      <c r="E99" s="17"/>
      <c r="F99" s="4" t="str">
        <f t="shared" si="7"/>
        <v/>
      </c>
      <c r="G99" s="10" t="str">
        <f t="shared" si="8"/>
        <v/>
      </c>
      <c r="H99" s="10" t="str">
        <f t="shared" si="9"/>
        <v/>
      </c>
      <c r="I99" s="10" t="str">
        <f t="shared" si="10"/>
        <v/>
      </c>
      <c r="J99" s="10" t="str">
        <f t="shared" si="11"/>
        <v/>
      </c>
    </row>
    <row r="100" spans="1:10" x14ac:dyDescent="0.3">
      <c r="A100" s="5"/>
      <c r="B100" s="4" t="str">
        <f t="shared" si="6"/>
        <v/>
      </c>
      <c r="C100" s="17"/>
      <c r="D100" s="17"/>
      <c r="E100" s="17"/>
      <c r="F100" s="4" t="str">
        <f t="shared" si="7"/>
        <v/>
      </c>
      <c r="G100" s="10" t="str">
        <f t="shared" si="8"/>
        <v/>
      </c>
      <c r="H100" s="10" t="str">
        <f t="shared" si="9"/>
        <v/>
      </c>
      <c r="I100" s="10" t="str">
        <f t="shared" si="10"/>
        <v/>
      </c>
      <c r="J100" s="10" t="str">
        <f t="shared" si="11"/>
        <v/>
      </c>
    </row>
    <row r="101" spans="1:10" x14ac:dyDescent="0.3">
      <c r="A101" s="5"/>
      <c r="B101" s="4" t="str">
        <f t="shared" si="6"/>
        <v/>
      </c>
      <c r="C101" s="17"/>
      <c r="D101" s="17"/>
      <c r="E101" s="17"/>
      <c r="F101" s="4" t="str">
        <f t="shared" si="7"/>
        <v/>
      </c>
      <c r="G101" s="10" t="str">
        <f t="shared" si="8"/>
        <v/>
      </c>
      <c r="H101" s="10" t="str">
        <f t="shared" si="9"/>
        <v/>
      </c>
      <c r="I101" s="10" t="str">
        <f t="shared" si="10"/>
        <v/>
      </c>
      <c r="J101" s="10" t="str">
        <f t="shared" si="11"/>
        <v/>
      </c>
    </row>
    <row r="102" spans="1:10" x14ac:dyDescent="0.3">
      <c r="A102" s="5"/>
      <c r="B102" s="4" t="str">
        <f t="shared" si="6"/>
        <v/>
      </c>
      <c r="C102" s="17"/>
      <c r="D102" s="17"/>
      <c r="E102" s="17"/>
      <c r="F102" s="4" t="str">
        <f t="shared" si="7"/>
        <v/>
      </c>
      <c r="G102" s="10" t="str">
        <f t="shared" si="8"/>
        <v/>
      </c>
      <c r="H102" s="10" t="str">
        <f t="shared" si="9"/>
        <v/>
      </c>
      <c r="I102" s="10" t="str">
        <f t="shared" si="10"/>
        <v/>
      </c>
      <c r="J102" s="10" t="str">
        <f t="shared" si="11"/>
        <v/>
      </c>
    </row>
    <row r="103" spans="1:10" x14ac:dyDescent="0.3">
      <c r="A103" s="5"/>
      <c r="B103" s="4" t="str">
        <f t="shared" si="6"/>
        <v/>
      </c>
      <c r="C103" s="17"/>
      <c r="D103" s="17"/>
      <c r="E103" s="17"/>
      <c r="F103" s="4" t="str">
        <f t="shared" si="7"/>
        <v/>
      </c>
      <c r="G103" s="10" t="str">
        <f t="shared" si="8"/>
        <v/>
      </c>
      <c r="H103" s="10" t="str">
        <f t="shared" si="9"/>
        <v/>
      </c>
      <c r="I103" s="10" t="str">
        <f t="shared" si="10"/>
        <v/>
      </c>
      <c r="J103" s="10" t="str">
        <f t="shared" si="11"/>
        <v/>
      </c>
    </row>
    <row r="104" spans="1:10" x14ac:dyDescent="0.3">
      <c r="A104" s="5"/>
      <c r="B104" s="4" t="str">
        <f t="shared" si="6"/>
        <v/>
      </c>
      <c r="C104" s="17"/>
      <c r="D104" s="17"/>
      <c r="E104" s="17"/>
      <c r="F104" s="4" t="str">
        <f t="shared" si="7"/>
        <v/>
      </c>
      <c r="G104" s="10" t="str">
        <f t="shared" si="8"/>
        <v/>
      </c>
      <c r="H104" s="10" t="str">
        <f t="shared" si="9"/>
        <v/>
      </c>
      <c r="I104" s="10" t="str">
        <f t="shared" si="10"/>
        <v/>
      </c>
      <c r="J104" s="10" t="str">
        <f t="shared" si="11"/>
        <v/>
      </c>
    </row>
    <row r="105" spans="1:10" x14ac:dyDescent="0.3">
      <c r="A105" s="5"/>
      <c r="B105" s="4" t="str">
        <f t="shared" si="6"/>
        <v/>
      </c>
      <c r="C105" s="17"/>
      <c r="D105" s="17"/>
      <c r="E105" s="17"/>
      <c r="F105" s="4" t="str">
        <f t="shared" si="7"/>
        <v/>
      </c>
      <c r="G105" s="10" t="str">
        <f t="shared" si="8"/>
        <v/>
      </c>
      <c r="H105" s="10" t="str">
        <f t="shared" si="9"/>
        <v/>
      </c>
      <c r="I105" s="10" t="str">
        <f t="shared" si="10"/>
        <v/>
      </c>
      <c r="J105" s="10" t="str">
        <f t="shared" si="11"/>
        <v/>
      </c>
    </row>
    <row r="106" spans="1:10" x14ac:dyDescent="0.3">
      <c r="A106" s="5"/>
      <c r="B106" s="4" t="str">
        <f t="shared" si="6"/>
        <v/>
      </c>
      <c r="C106" s="17"/>
      <c r="D106" s="17"/>
      <c r="E106" s="17"/>
      <c r="F106" s="4" t="str">
        <f t="shared" si="7"/>
        <v/>
      </c>
      <c r="G106" s="10" t="str">
        <f t="shared" si="8"/>
        <v/>
      </c>
      <c r="H106" s="10" t="str">
        <f t="shared" si="9"/>
        <v/>
      </c>
      <c r="I106" s="10" t="str">
        <f t="shared" si="10"/>
        <v/>
      </c>
      <c r="J106" s="10" t="str">
        <f t="shared" si="11"/>
        <v/>
      </c>
    </row>
    <row r="107" spans="1:10" x14ac:dyDescent="0.3">
      <c r="A107" s="5"/>
      <c r="B107" s="4" t="str">
        <f t="shared" si="6"/>
        <v/>
      </c>
      <c r="C107" s="17"/>
      <c r="D107" s="17"/>
      <c r="E107" s="17"/>
      <c r="F107" s="4" t="str">
        <f t="shared" si="7"/>
        <v/>
      </c>
      <c r="G107" s="10" t="str">
        <f t="shared" si="8"/>
        <v/>
      </c>
      <c r="H107" s="10" t="str">
        <f t="shared" si="9"/>
        <v/>
      </c>
      <c r="I107" s="10" t="str">
        <f t="shared" si="10"/>
        <v/>
      </c>
      <c r="J107" s="10" t="str">
        <f t="shared" si="11"/>
        <v/>
      </c>
    </row>
    <row r="108" spans="1:10" x14ac:dyDescent="0.3">
      <c r="A108" s="5"/>
      <c r="B108" s="4" t="str">
        <f t="shared" si="6"/>
        <v/>
      </c>
      <c r="C108" s="17"/>
      <c r="D108" s="17"/>
      <c r="E108" s="17"/>
      <c r="F108" s="4" t="str">
        <f t="shared" si="7"/>
        <v/>
      </c>
      <c r="G108" s="10" t="str">
        <f t="shared" si="8"/>
        <v/>
      </c>
      <c r="H108" s="10" t="str">
        <f t="shared" si="9"/>
        <v/>
      </c>
      <c r="I108" s="10" t="str">
        <f t="shared" si="10"/>
        <v/>
      </c>
      <c r="J108" s="10" t="str">
        <f t="shared" si="11"/>
        <v/>
      </c>
    </row>
    <row r="109" spans="1:10" x14ac:dyDescent="0.3">
      <c r="A109" s="5"/>
      <c r="B109" s="4" t="str">
        <f t="shared" si="6"/>
        <v/>
      </c>
      <c r="C109" s="17"/>
      <c r="D109" s="17"/>
      <c r="E109" s="17"/>
      <c r="F109" s="4" t="str">
        <f t="shared" si="7"/>
        <v/>
      </c>
      <c r="G109" s="10" t="str">
        <f t="shared" si="8"/>
        <v/>
      </c>
      <c r="H109" s="10" t="str">
        <f t="shared" si="9"/>
        <v/>
      </c>
      <c r="I109" s="10" t="str">
        <f t="shared" si="10"/>
        <v/>
      </c>
      <c r="J109" s="10" t="str">
        <f t="shared" si="11"/>
        <v/>
      </c>
    </row>
    <row r="110" spans="1:10" x14ac:dyDescent="0.3">
      <c r="A110" s="5"/>
      <c r="B110" s="4" t="str">
        <f t="shared" si="6"/>
        <v/>
      </c>
      <c r="C110" s="17"/>
      <c r="D110" s="17"/>
      <c r="E110" s="17"/>
      <c r="F110" s="4" t="str">
        <f t="shared" si="7"/>
        <v/>
      </c>
      <c r="G110" s="10" t="str">
        <f t="shared" si="8"/>
        <v/>
      </c>
      <c r="H110" s="10" t="str">
        <f t="shared" si="9"/>
        <v/>
      </c>
      <c r="I110" s="10" t="str">
        <f t="shared" si="10"/>
        <v/>
      </c>
      <c r="J110" s="10" t="str">
        <f t="shared" si="11"/>
        <v/>
      </c>
    </row>
    <row r="111" spans="1:10" x14ac:dyDescent="0.3">
      <c r="A111" s="5"/>
      <c r="B111" s="4" t="str">
        <f t="shared" si="6"/>
        <v/>
      </c>
      <c r="C111" s="17"/>
      <c r="D111" s="17"/>
      <c r="E111" s="17"/>
      <c r="F111" s="4" t="str">
        <f t="shared" si="7"/>
        <v/>
      </c>
      <c r="G111" s="10" t="str">
        <f t="shared" si="8"/>
        <v/>
      </c>
      <c r="H111" s="10" t="str">
        <f t="shared" si="9"/>
        <v/>
      </c>
      <c r="I111" s="10" t="str">
        <f t="shared" si="10"/>
        <v/>
      </c>
      <c r="J111" s="10" t="str">
        <f t="shared" si="11"/>
        <v/>
      </c>
    </row>
    <row r="112" spans="1:10" x14ac:dyDescent="0.3">
      <c r="A112" s="5"/>
      <c r="B112" s="4" t="str">
        <f t="shared" si="6"/>
        <v/>
      </c>
      <c r="C112" s="17"/>
      <c r="D112" s="17"/>
      <c r="E112" s="17"/>
      <c r="F112" s="4" t="str">
        <f t="shared" si="7"/>
        <v/>
      </c>
      <c r="G112" s="10" t="str">
        <f t="shared" si="8"/>
        <v/>
      </c>
      <c r="H112" s="10" t="str">
        <f t="shared" si="9"/>
        <v/>
      </c>
      <c r="I112" s="10" t="str">
        <f t="shared" si="10"/>
        <v/>
      </c>
      <c r="J112" s="10" t="str">
        <f t="shared" si="11"/>
        <v/>
      </c>
    </row>
    <row r="113" spans="1:10" x14ac:dyDescent="0.3">
      <c r="A113" s="5"/>
      <c r="B113" s="4" t="str">
        <f t="shared" si="6"/>
        <v/>
      </c>
      <c r="C113" s="17"/>
      <c r="D113" s="17"/>
      <c r="E113" s="17"/>
      <c r="F113" s="4" t="str">
        <f t="shared" si="7"/>
        <v/>
      </c>
      <c r="G113" s="10" t="str">
        <f t="shared" si="8"/>
        <v/>
      </c>
      <c r="H113" s="10" t="str">
        <f t="shared" si="9"/>
        <v/>
      </c>
      <c r="I113" s="10" t="str">
        <f t="shared" si="10"/>
        <v/>
      </c>
      <c r="J113" s="10" t="str">
        <f t="shared" si="11"/>
        <v/>
      </c>
    </row>
    <row r="114" spans="1:10" x14ac:dyDescent="0.3">
      <c r="A114" s="5"/>
      <c r="B114" s="4" t="str">
        <f t="shared" si="6"/>
        <v/>
      </c>
      <c r="C114" s="17"/>
      <c r="D114" s="17"/>
      <c r="E114" s="17"/>
      <c r="F114" s="4" t="str">
        <f t="shared" si="7"/>
        <v/>
      </c>
      <c r="G114" s="10" t="str">
        <f t="shared" si="8"/>
        <v/>
      </c>
      <c r="H114" s="10" t="str">
        <f t="shared" si="9"/>
        <v/>
      </c>
      <c r="I114" s="10" t="str">
        <f t="shared" si="10"/>
        <v/>
      </c>
      <c r="J114" s="10" t="str">
        <f t="shared" si="11"/>
        <v/>
      </c>
    </row>
    <row r="115" spans="1:10" x14ac:dyDescent="0.3">
      <c r="A115" s="5"/>
      <c r="B115" s="4" t="str">
        <f t="shared" si="6"/>
        <v/>
      </c>
      <c r="C115" s="17"/>
      <c r="D115" s="17"/>
      <c r="E115" s="17"/>
      <c r="F115" s="4" t="str">
        <f t="shared" si="7"/>
        <v/>
      </c>
      <c r="G115" s="10" t="str">
        <f t="shared" si="8"/>
        <v/>
      </c>
      <c r="H115" s="10" t="str">
        <f t="shared" si="9"/>
        <v/>
      </c>
      <c r="I115" s="10" t="str">
        <f t="shared" si="10"/>
        <v/>
      </c>
      <c r="J115" s="10" t="str">
        <f t="shared" si="11"/>
        <v/>
      </c>
    </row>
    <row r="116" spans="1:10" x14ac:dyDescent="0.3">
      <c r="A116" s="5"/>
      <c r="B116" s="4" t="str">
        <f t="shared" si="6"/>
        <v/>
      </c>
      <c r="C116" s="17"/>
      <c r="D116" s="17"/>
      <c r="E116" s="17"/>
      <c r="F116" s="4" t="str">
        <f t="shared" si="7"/>
        <v/>
      </c>
      <c r="G116" s="10" t="str">
        <f t="shared" si="8"/>
        <v/>
      </c>
      <c r="H116" s="10" t="str">
        <f t="shared" si="9"/>
        <v/>
      </c>
      <c r="I116" s="10" t="str">
        <f t="shared" si="10"/>
        <v/>
      </c>
      <c r="J116" s="10" t="str">
        <f t="shared" si="11"/>
        <v/>
      </c>
    </row>
    <row r="117" spans="1:10" x14ac:dyDescent="0.3">
      <c r="A117" s="5"/>
      <c r="B117" s="4" t="str">
        <f t="shared" si="6"/>
        <v/>
      </c>
      <c r="C117" s="17"/>
      <c r="D117" s="17"/>
      <c r="E117" s="17"/>
      <c r="F117" s="4" t="str">
        <f t="shared" si="7"/>
        <v/>
      </c>
      <c r="G117" s="10" t="str">
        <f t="shared" si="8"/>
        <v/>
      </c>
      <c r="H117" s="10" t="str">
        <f t="shared" si="9"/>
        <v/>
      </c>
      <c r="I117" s="10" t="str">
        <f t="shared" si="10"/>
        <v/>
      </c>
      <c r="J117" s="10" t="str">
        <f t="shared" si="11"/>
        <v/>
      </c>
    </row>
    <row r="118" spans="1:10" x14ac:dyDescent="0.3">
      <c r="A118" s="5"/>
      <c r="B118" s="4" t="str">
        <f t="shared" si="6"/>
        <v/>
      </c>
      <c r="C118" s="17"/>
      <c r="D118" s="17"/>
      <c r="E118" s="17"/>
      <c r="F118" s="4" t="str">
        <f t="shared" si="7"/>
        <v/>
      </c>
      <c r="G118" s="10" t="str">
        <f t="shared" si="8"/>
        <v/>
      </c>
      <c r="H118" s="10" t="str">
        <f t="shared" si="9"/>
        <v/>
      </c>
      <c r="I118" s="10" t="str">
        <f t="shared" si="10"/>
        <v/>
      </c>
      <c r="J118" s="10" t="str">
        <f t="shared" si="11"/>
        <v/>
      </c>
    </row>
    <row r="119" spans="1:10" x14ac:dyDescent="0.3">
      <c r="A119" s="5"/>
      <c r="B119" s="4" t="str">
        <f t="shared" si="6"/>
        <v/>
      </c>
      <c r="C119" s="17"/>
      <c r="D119" s="17"/>
      <c r="E119" s="17"/>
      <c r="F119" s="4" t="str">
        <f t="shared" si="7"/>
        <v/>
      </c>
      <c r="G119" s="10" t="str">
        <f t="shared" si="8"/>
        <v/>
      </c>
      <c r="H119" s="10" t="str">
        <f t="shared" si="9"/>
        <v/>
      </c>
      <c r="I119" s="10" t="str">
        <f t="shared" si="10"/>
        <v/>
      </c>
      <c r="J119" s="10" t="str">
        <f t="shared" si="11"/>
        <v/>
      </c>
    </row>
    <row r="120" spans="1:10" x14ac:dyDescent="0.3">
      <c r="A120" s="5"/>
      <c r="B120" s="4" t="str">
        <f t="shared" si="6"/>
        <v/>
      </c>
      <c r="C120" s="17"/>
      <c r="D120" s="17"/>
      <c r="E120" s="17"/>
      <c r="F120" s="4" t="str">
        <f t="shared" si="7"/>
        <v/>
      </c>
      <c r="G120" s="10" t="str">
        <f t="shared" si="8"/>
        <v/>
      </c>
      <c r="H120" s="10" t="str">
        <f t="shared" si="9"/>
        <v/>
      </c>
      <c r="I120" s="10" t="str">
        <f t="shared" si="10"/>
        <v/>
      </c>
      <c r="J120" s="10" t="str">
        <f t="shared" si="11"/>
        <v/>
      </c>
    </row>
    <row r="121" spans="1:10" x14ac:dyDescent="0.3">
      <c r="A121" s="5"/>
      <c r="B121" s="4" t="str">
        <f t="shared" si="6"/>
        <v/>
      </c>
      <c r="C121" s="17"/>
      <c r="D121" s="17"/>
      <c r="E121" s="17"/>
      <c r="F121" s="4" t="str">
        <f t="shared" si="7"/>
        <v/>
      </c>
      <c r="G121" s="10" t="str">
        <f t="shared" si="8"/>
        <v/>
      </c>
      <c r="H121" s="10" t="str">
        <f t="shared" si="9"/>
        <v/>
      </c>
      <c r="I121" s="10" t="str">
        <f t="shared" si="10"/>
        <v/>
      </c>
      <c r="J121" s="10" t="str">
        <f t="shared" si="11"/>
        <v/>
      </c>
    </row>
    <row r="122" spans="1:10" x14ac:dyDescent="0.3">
      <c r="A122" s="5"/>
      <c r="B122" s="4" t="str">
        <f t="shared" si="6"/>
        <v/>
      </c>
      <c r="C122" s="17"/>
      <c r="D122" s="17"/>
      <c r="E122" s="17"/>
      <c r="F122" s="4" t="str">
        <f t="shared" si="7"/>
        <v/>
      </c>
      <c r="G122" s="10" t="str">
        <f t="shared" si="8"/>
        <v/>
      </c>
      <c r="H122" s="10" t="str">
        <f t="shared" si="9"/>
        <v/>
      </c>
      <c r="I122" s="10" t="str">
        <f t="shared" si="10"/>
        <v/>
      </c>
      <c r="J122" s="10" t="str">
        <f t="shared" si="11"/>
        <v/>
      </c>
    </row>
    <row r="123" spans="1:10" x14ac:dyDescent="0.3">
      <c r="A123" s="5"/>
      <c r="B123" s="4" t="str">
        <f t="shared" si="6"/>
        <v/>
      </c>
      <c r="C123" s="17"/>
      <c r="D123" s="17"/>
      <c r="E123" s="17"/>
      <c r="F123" s="4" t="str">
        <f t="shared" si="7"/>
        <v/>
      </c>
      <c r="G123" s="10" t="str">
        <f t="shared" si="8"/>
        <v/>
      </c>
      <c r="H123" s="10" t="str">
        <f t="shared" si="9"/>
        <v/>
      </c>
      <c r="I123" s="10" t="str">
        <f t="shared" si="10"/>
        <v/>
      </c>
      <c r="J123" s="10" t="str">
        <f t="shared" si="11"/>
        <v/>
      </c>
    </row>
    <row r="124" spans="1:10" x14ac:dyDescent="0.3">
      <c r="A124" s="5"/>
      <c r="B124" s="4" t="str">
        <f t="shared" si="6"/>
        <v/>
      </c>
      <c r="C124" s="17"/>
      <c r="D124" s="17"/>
      <c r="E124" s="17"/>
      <c r="F124" s="4" t="str">
        <f t="shared" si="7"/>
        <v/>
      </c>
      <c r="G124" s="10" t="str">
        <f t="shared" si="8"/>
        <v/>
      </c>
      <c r="H124" s="10" t="str">
        <f t="shared" si="9"/>
        <v/>
      </c>
      <c r="I124" s="10" t="str">
        <f t="shared" si="10"/>
        <v/>
      </c>
      <c r="J124" s="10" t="str">
        <f t="shared" si="11"/>
        <v/>
      </c>
    </row>
    <row r="125" spans="1:10" x14ac:dyDescent="0.3">
      <c r="A125" s="5"/>
      <c r="B125" s="4" t="str">
        <f t="shared" si="6"/>
        <v/>
      </c>
      <c r="C125" s="17"/>
      <c r="D125" s="17"/>
      <c r="E125" s="17"/>
      <c r="F125" s="4" t="str">
        <f t="shared" si="7"/>
        <v/>
      </c>
      <c r="G125" s="10" t="str">
        <f t="shared" si="8"/>
        <v/>
      </c>
      <c r="H125" s="10" t="str">
        <f t="shared" si="9"/>
        <v/>
      </c>
      <c r="I125" s="10" t="str">
        <f t="shared" si="10"/>
        <v/>
      </c>
      <c r="J125" s="10" t="str">
        <f t="shared" si="11"/>
        <v/>
      </c>
    </row>
    <row r="126" spans="1:10" x14ac:dyDescent="0.3">
      <c r="A126" s="5"/>
      <c r="B126" s="4" t="str">
        <f t="shared" si="6"/>
        <v/>
      </c>
      <c r="C126" s="17"/>
      <c r="D126" s="17"/>
      <c r="E126" s="17"/>
      <c r="F126" s="4" t="str">
        <f t="shared" si="7"/>
        <v/>
      </c>
      <c r="G126" s="10" t="str">
        <f t="shared" si="8"/>
        <v/>
      </c>
      <c r="H126" s="10" t="str">
        <f t="shared" si="9"/>
        <v/>
      </c>
      <c r="I126" s="10" t="str">
        <f t="shared" si="10"/>
        <v/>
      </c>
      <c r="J126" s="10" t="str">
        <f t="shared" si="11"/>
        <v/>
      </c>
    </row>
    <row r="127" spans="1:10" x14ac:dyDescent="0.3">
      <c r="A127" s="5"/>
      <c r="B127" s="4" t="str">
        <f t="shared" si="6"/>
        <v/>
      </c>
      <c r="C127" s="17"/>
      <c r="D127" s="17"/>
      <c r="E127" s="17"/>
      <c r="F127" s="4" t="str">
        <f t="shared" si="7"/>
        <v/>
      </c>
      <c r="G127" s="10" t="str">
        <f t="shared" si="8"/>
        <v/>
      </c>
      <c r="H127" s="10" t="str">
        <f t="shared" si="9"/>
        <v/>
      </c>
      <c r="I127" s="10" t="str">
        <f t="shared" si="10"/>
        <v/>
      </c>
      <c r="J127" s="10" t="str">
        <f t="shared" si="11"/>
        <v/>
      </c>
    </row>
    <row r="128" spans="1:10" x14ac:dyDescent="0.3">
      <c r="A128" s="5"/>
      <c r="B128" s="4" t="str">
        <f t="shared" si="6"/>
        <v/>
      </c>
      <c r="C128" s="17"/>
      <c r="D128" s="17"/>
      <c r="E128" s="17"/>
      <c r="F128" s="4" t="str">
        <f t="shared" si="7"/>
        <v/>
      </c>
      <c r="G128" s="10" t="str">
        <f t="shared" si="8"/>
        <v/>
      </c>
      <c r="H128" s="10" t="str">
        <f t="shared" si="9"/>
        <v/>
      </c>
      <c r="I128" s="10" t="str">
        <f t="shared" si="10"/>
        <v/>
      </c>
      <c r="J128" s="10" t="str">
        <f t="shared" si="11"/>
        <v/>
      </c>
    </row>
    <row r="129" spans="1:10" x14ac:dyDescent="0.3">
      <c r="A129" s="5"/>
      <c r="B129" s="4" t="str">
        <f t="shared" si="6"/>
        <v/>
      </c>
      <c r="C129" s="17"/>
      <c r="D129" s="17"/>
      <c r="E129" s="17"/>
      <c r="F129" s="4" t="str">
        <f t="shared" si="7"/>
        <v/>
      </c>
      <c r="G129" s="10" t="str">
        <f t="shared" si="8"/>
        <v/>
      </c>
      <c r="H129" s="10" t="str">
        <f t="shared" si="9"/>
        <v/>
      </c>
      <c r="I129" s="10" t="str">
        <f t="shared" si="10"/>
        <v/>
      </c>
      <c r="J129" s="10" t="str">
        <f t="shared" si="11"/>
        <v/>
      </c>
    </row>
    <row r="130" spans="1:10" x14ac:dyDescent="0.3">
      <c r="A130" s="5"/>
      <c r="B130" s="4" t="str">
        <f t="shared" si="6"/>
        <v/>
      </c>
      <c r="C130" s="17"/>
      <c r="D130" s="17"/>
      <c r="E130" s="17"/>
      <c r="F130" s="4" t="str">
        <f t="shared" si="7"/>
        <v/>
      </c>
      <c r="G130" s="10" t="str">
        <f t="shared" si="8"/>
        <v/>
      </c>
      <c r="H130" s="10" t="str">
        <f t="shared" si="9"/>
        <v/>
      </c>
      <c r="I130" s="10" t="str">
        <f t="shared" si="10"/>
        <v/>
      </c>
      <c r="J130" s="10" t="str">
        <f t="shared" si="11"/>
        <v/>
      </c>
    </row>
    <row r="131" spans="1:10" x14ac:dyDescent="0.3">
      <c r="A131" s="5"/>
      <c r="B131" s="4" t="str">
        <f t="shared" si="6"/>
        <v/>
      </c>
      <c r="C131" s="17"/>
      <c r="D131" s="17"/>
      <c r="E131" s="17"/>
      <c r="F131" s="4" t="str">
        <f t="shared" si="7"/>
        <v/>
      </c>
      <c r="G131" s="10" t="str">
        <f t="shared" si="8"/>
        <v/>
      </c>
      <c r="H131" s="10" t="str">
        <f t="shared" si="9"/>
        <v/>
      </c>
      <c r="I131" s="10" t="str">
        <f t="shared" si="10"/>
        <v/>
      </c>
      <c r="J131" s="10" t="str">
        <f t="shared" si="11"/>
        <v/>
      </c>
    </row>
    <row r="132" spans="1:10" x14ac:dyDescent="0.3">
      <c r="A132" s="5"/>
      <c r="B132" s="4" t="str">
        <f t="shared" si="6"/>
        <v/>
      </c>
      <c r="C132" s="17"/>
      <c r="D132" s="17"/>
      <c r="E132" s="17"/>
      <c r="F132" s="4" t="str">
        <f t="shared" si="7"/>
        <v/>
      </c>
      <c r="G132" s="10" t="str">
        <f t="shared" si="8"/>
        <v/>
      </c>
      <c r="H132" s="10" t="str">
        <f t="shared" si="9"/>
        <v/>
      </c>
      <c r="I132" s="10" t="str">
        <f t="shared" si="10"/>
        <v/>
      </c>
      <c r="J132" s="10" t="str">
        <f t="shared" si="11"/>
        <v/>
      </c>
    </row>
    <row r="133" spans="1:10" x14ac:dyDescent="0.3">
      <c r="A133" s="5"/>
      <c r="B133" s="4" t="str">
        <f t="shared" si="6"/>
        <v/>
      </c>
      <c r="C133" s="17"/>
      <c r="D133" s="17"/>
      <c r="E133" s="17"/>
      <c r="F133" s="4" t="str">
        <f t="shared" si="7"/>
        <v/>
      </c>
      <c r="G133" s="10" t="str">
        <f t="shared" si="8"/>
        <v/>
      </c>
      <c r="H133" s="10" t="str">
        <f t="shared" si="9"/>
        <v/>
      </c>
      <c r="I133" s="10" t="str">
        <f t="shared" si="10"/>
        <v/>
      </c>
      <c r="J133" s="10" t="str">
        <f t="shared" si="11"/>
        <v/>
      </c>
    </row>
    <row r="134" spans="1:10" x14ac:dyDescent="0.3">
      <c r="A134" s="5"/>
      <c r="B134" s="4" t="str">
        <f t="shared" ref="B134:B197" si="12">IF(A134="","",IFERROR(INDEX(COA_NAME,MATCH(A134,COA_ACCT,0))&amp;"",IFERROR(INDEX(DICT_ACTIVE,MATCH("TB.UNMAPPED",DICT_KEY,0)),"?")))</f>
        <v/>
      </c>
      <c r="C134" s="17"/>
      <c r="D134" s="17"/>
      <c r="E134" s="17"/>
      <c r="F134" s="4" t="str">
        <f t="shared" ref="F134:F197" si="13">IF(A134="","",IF(G134="",IFERROR(INDEX(DICT_ACTIVE,MATCH("TB.UNMAPPED",DICT_KEY,0)),"?"),""))</f>
        <v/>
      </c>
      <c r="G134" s="10" t="str">
        <f t="shared" ref="G134:G197" si="14">IF(A134="","",IFERROR(INDEX(COA_LINE_EFF,MATCH(A134,COA_ACCT,0))&amp;"",""))</f>
        <v/>
      </c>
      <c r="H134" s="10" t="str">
        <f t="shared" ref="H134:H197" si="15">IF(A134="","",IFERROR(INDEX(COA_CAT_FX,MATCH(A134,COA_ACCT,0))&amp;"",""))</f>
        <v/>
      </c>
      <c r="I134" s="10" t="str">
        <f t="shared" ref="I134:I197" si="16">IF(A134="","",IFERROR(INDEX(COA_CF,MATCH(A134,COA_ACCT,0))&amp;"","-"))</f>
        <v/>
      </c>
      <c r="J134" s="10" t="str">
        <f t="shared" ref="J134:J197" si="17">IF(A134="","",IFERROR(INDEX(COA_LINE_N,MATCH(A134,COA_ACCT,0))&amp;"",""))</f>
        <v/>
      </c>
    </row>
    <row r="135" spans="1:10" x14ac:dyDescent="0.3">
      <c r="A135" s="5"/>
      <c r="B135" s="4" t="str">
        <f t="shared" si="12"/>
        <v/>
      </c>
      <c r="C135" s="17"/>
      <c r="D135" s="17"/>
      <c r="E135" s="17"/>
      <c r="F135" s="4" t="str">
        <f t="shared" si="13"/>
        <v/>
      </c>
      <c r="G135" s="10" t="str">
        <f t="shared" si="14"/>
        <v/>
      </c>
      <c r="H135" s="10" t="str">
        <f t="shared" si="15"/>
        <v/>
      </c>
      <c r="I135" s="10" t="str">
        <f t="shared" si="16"/>
        <v/>
      </c>
      <c r="J135" s="10" t="str">
        <f t="shared" si="17"/>
        <v/>
      </c>
    </row>
    <row r="136" spans="1:10" x14ac:dyDescent="0.3">
      <c r="A136" s="5"/>
      <c r="B136" s="4" t="str">
        <f t="shared" si="12"/>
        <v/>
      </c>
      <c r="C136" s="17"/>
      <c r="D136" s="17"/>
      <c r="E136" s="17"/>
      <c r="F136" s="4" t="str">
        <f t="shared" si="13"/>
        <v/>
      </c>
      <c r="G136" s="10" t="str">
        <f t="shared" si="14"/>
        <v/>
      </c>
      <c r="H136" s="10" t="str">
        <f t="shared" si="15"/>
        <v/>
      </c>
      <c r="I136" s="10" t="str">
        <f t="shared" si="16"/>
        <v/>
      </c>
      <c r="J136" s="10" t="str">
        <f t="shared" si="17"/>
        <v/>
      </c>
    </row>
    <row r="137" spans="1:10" x14ac:dyDescent="0.3">
      <c r="A137" s="5"/>
      <c r="B137" s="4" t="str">
        <f t="shared" si="12"/>
        <v/>
      </c>
      <c r="C137" s="17"/>
      <c r="D137" s="17"/>
      <c r="E137" s="17"/>
      <c r="F137" s="4" t="str">
        <f t="shared" si="13"/>
        <v/>
      </c>
      <c r="G137" s="10" t="str">
        <f t="shared" si="14"/>
        <v/>
      </c>
      <c r="H137" s="10" t="str">
        <f t="shared" si="15"/>
        <v/>
      </c>
      <c r="I137" s="10" t="str">
        <f t="shared" si="16"/>
        <v/>
      </c>
      <c r="J137" s="10" t="str">
        <f t="shared" si="17"/>
        <v/>
      </c>
    </row>
    <row r="138" spans="1:10" x14ac:dyDescent="0.3">
      <c r="A138" s="5"/>
      <c r="B138" s="4" t="str">
        <f t="shared" si="12"/>
        <v/>
      </c>
      <c r="C138" s="17"/>
      <c r="D138" s="17"/>
      <c r="E138" s="17"/>
      <c r="F138" s="4" t="str">
        <f t="shared" si="13"/>
        <v/>
      </c>
      <c r="G138" s="10" t="str">
        <f t="shared" si="14"/>
        <v/>
      </c>
      <c r="H138" s="10" t="str">
        <f t="shared" si="15"/>
        <v/>
      </c>
      <c r="I138" s="10" t="str">
        <f t="shared" si="16"/>
        <v/>
      </c>
      <c r="J138" s="10" t="str">
        <f t="shared" si="17"/>
        <v/>
      </c>
    </row>
    <row r="139" spans="1:10" x14ac:dyDescent="0.3">
      <c r="A139" s="5"/>
      <c r="B139" s="4" t="str">
        <f t="shared" si="12"/>
        <v/>
      </c>
      <c r="C139" s="17"/>
      <c r="D139" s="17"/>
      <c r="E139" s="17"/>
      <c r="F139" s="4" t="str">
        <f t="shared" si="13"/>
        <v/>
      </c>
      <c r="G139" s="10" t="str">
        <f t="shared" si="14"/>
        <v/>
      </c>
      <c r="H139" s="10" t="str">
        <f t="shared" si="15"/>
        <v/>
      </c>
      <c r="I139" s="10" t="str">
        <f t="shared" si="16"/>
        <v/>
      </c>
      <c r="J139" s="10" t="str">
        <f t="shared" si="17"/>
        <v/>
      </c>
    </row>
    <row r="140" spans="1:10" x14ac:dyDescent="0.3">
      <c r="A140" s="5"/>
      <c r="B140" s="4" t="str">
        <f t="shared" si="12"/>
        <v/>
      </c>
      <c r="C140" s="17"/>
      <c r="D140" s="17"/>
      <c r="E140" s="17"/>
      <c r="F140" s="4" t="str">
        <f t="shared" si="13"/>
        <v/>
      </c>
      <c r="G140" s="10" t="str">
        <f t="shared" si="14"/>
        <v/>
      </c>
      <c r="H140" s="10" t="str">
        <f t="shared" si="15"/>
        <v/>
      </c>
      <c r="I140" s="10" t="str">
        <f t="shared" si="16"/>
        <v/>
      </c>
      <c r="J140" s="10" t="str">
        <f t="shared" si="17"/>
        <v/>
      </c>
    </row>
    <row r="141" spans="1:10" x14ac:dyDescent="0.3">
      <c r="A141" s="5"/>
      <c r="B141" s="4" t="str">
        <f t="shared" si="12"/>
        <v/>
      </c>
      <c r="C141" s="17"/>
      <c r="D141" s="17"/>
      <c r="E141" s="17"/>
      <c r="F141" s="4" t="str">
        <f t="shared" si="13"/>
        <v/>
      </c>
      <c r="G141" s="10" t="str">
        <f t="shared" si="14"/>
        <v/>
      </c>
      <c r="H141" s="10" t="str">
        <f t="shared" si="15"/>
        <v/>
      </c>
      <c r="I141" s="10" t="str">
        <f t="shared" si="16"/>
        <v/>
      </c>
      <c r="J141" s="10" t="str">
        <f t="shared" si="17"/>
        <v/>
      </c>
    </row>
    <row r="142" spans="1:10" x14ac:dyDescent="0.3">
      <c r="A142" s="5"/>
      <c r="B142" s="4" t="str">
        <f t="shared" si="12"/>
        <v/>
      </c>
      <c r="C142" s="17"/>
      <c r="D142" s="17"/>
      <c r="E142" s="17"/>
      <c r="F142" s="4" t="str">
        <f t="shared" si="13"/>
        <v/>
      </c>
      <c r="G142" s="10" t="str">
        <f t="shared" si="14"/>
        <v/>
      </c>
      <c r="H142" s="10" t="str">
        <f t="shared" si="15"/>
        <v/>
      </c>
      <c r="I142" s="10" t="str">
        <f t="shared" si="16"/>
        <v/>
      </c>
      <c r="J142" s="10" t="str">
        <f t="shared" si="17"/>
        <v/>
      </c>
    </row>
    <row r="143" spans="1:10" x14ac:dyDescent="0.3">
      <c r="A143" s="5"/>
      <c r="B143" s="4" t="str">
        <f t="shared" si="12"/>
        <v/>
      </c>
      <c r="C143" s="17"/>
      <c r="D143" s="17"/>
      <c r="E143" s="17"/>
      <c r="F143" s="4" t="str">
        <f t="shared" si="13"/>
        <v/>
      </c>
      <c r="G143" s="10" t="str">
        <f t="shared" si="14"/>
        <v/>
      </c>
      <c r="H143" s="10" t="str">
        <f t="shared" si="15"/>
        <v/>
      </c>
      <c r="I143" s="10" t="str">
        <f t="shared" si="16"/>
        <v/>
      </c>
      <c r="J143" s="10" t="str">
        <f t="shared" si="17"/>
        <v/>
      </c>
    </row>
    <row r="144" spans="1:10" x14ac:dyDescent="0.3">
      <c r="A144" s="5"/>
      <c r="B144" s="4" t="str">
        <f t="shared" si="12"/>
        <v/>
      </c>
      <c r="C144" s="17"/>
      <c r="D144" s="17"/>
      <c r="E144" s="17"/>
      <c r="F144" s="4" t="str">
        <f t="shared" si="13"/>
        <v/>
      </c>
      <c r="G144" s="10" t="str">
        <f t="shared" si="14"/>
        <v/>
      </c>
      <c r="H144" s="10" t="str">
        <f t="shared" si="15"/>
        <v/>
      </c>
      <c r="I144" s="10" t="str">
        <f t="shared" si="16"/>
        <v/>
      </c>
      <c r="J144" s="10" t="str">
        <f t="shared" si="17"/>
        <v/>
      </c>
    </row>
    <row r="145" spans="1:10" x14ac:dyDescent="0.3">
      <c r="A145" s="5"/>
      <c r="B145" s="4" t="str">
        <f t="shared" si="12"/>
        <v/>
      </c>
      <c r="C145" s="17"/>
      <c r="D145" s="17"/>
      <c r="E145" s="17"/>
      <c r="F145" s="4" t="str">
        <f t="shared" si="13"/>
        <v/>
      </c>
      <c r="G145" s="10" t="str">
        <f t="shared" si="14"/>
        <v/>
      </c>
      <c r="H145" s="10" t="str">
        <f t="shared" si="15"/>
        <v/>
      </c>
      <c r="I145" s="10" t="str">
        <f t="shared" si="16"/>
        <v/>
      </c>
      <c r="J145" s="10" t="str">
        <f t="shared" si="17"/>
        <v/>
      </c>
    </row>
    <row r="146" spans="1:10" x14ac:dyDescent="0.3">
      <c r="A146" s="5"/>
      <c r="B146" s="4" t="str">
        <f t="shared" si="12"/>
        <v/>
      </c>
      <c r="C146" s="17"/>
      <c r="D146" s="17"/>
      <c r="E146" s="17"/>
      <c r="F146" s="4" t="str">
        <f t="shared" si="13"/>
        <v/>
      </c>
      <c r="G146" s="10" t="str">
        <f t="shared" si="14"/>
        <v/>
      </c>
      <c r="H146" s="10" t="str">
        <f t="shared" si="15"/>
        <v/>
      </c>
      <c r="I146" s="10" t="str">
        <f t="shared" si="16"/>
        <v/>
      </c>
      <c r="J146" s="10" t="str">
        <f t="shared" si="17"/>
        <v/>
      </c>
    </row>
    <row r="147" spans="1:10" x14ac:dyDescent="0.3">
      <c r="A147" s="5"/>
      <c r="B147" s="4" t="str">
        <f t="shared" si="12"/>
        <v/>
      </c>
      <c r="C147" s="17"/>
      <c r="D147" s="17"/>
      <c r="E147" s="17"/>
      <c r="F147" s="4" t="str">
        <f t="shared" si="13"/>
        <v/>
      </c>
      <c r="G147" s="10" t="str">
        <f t="shared" si="14"/>
        <v/>
      </c>
      <c r="H147" s="10" t="str">
        <f t="shared" si="15"/>
        <v/>
      </c>
      <c r="I147" s="10" t="str">
        <f t="shared" si="16"/>
        <v/>
      </c>
      <c r="J147" s="10" t="str">
        <f t="shared" si="17"/>
        <v/>
      </c>
    </row>
    <row r="148" spans="1:10" x14ac:dyDescent="0.3">
      <c r="A148" s="5"/>
      <c r="B148" s="4" t="str">
        <f t="shared" si="12"/>
        <v/>
      </c>
      <c r="C148" s="17"/>
      <c r="D148" s="17"/>
      <c r="E148" s="17"/>
      <c r="F148" s="4" t="str">
        <f t="shared" si="13"/>
        <v/>
      </c>
      <c r="G148" s="10" t="str">
        <f t="shared" si="14"/>
        <v/>
      </c>
      <c r="H148" s="10" t="str">
        <f t="shared" si="15"/>
        <v/>
      </c>
      <c r="I148" s="10" t="str">
        <f t="shared" si="16"/>
        <v/>
      </c>
      <c r="J148" s="10" t="str">
        <f t="shared" si="17"/>
        <v/>
      </c>
    </row>
    <row r="149" spans="1:10" x14ac:dyDescent="0.3">
      <c r="A149" s="5"/>
      <c r="B149" s="4" t="str">
        <f t="shared" si="12"/>
        <v/>
      </c>
      <c r="C149" s="17"/>
      <c r="D149" s="17"/>
      <c r="E149" s="17"/>
      <c r="F149" s="4" t="str">
        <f t="shared" si="13"/>
        <v/>
      </c>
      <c r="G149" s="10" t="str">
        <f t="shared" si="14"/>
        <v/>
      </c>
      <c r="H149" s="10" t="str">
        <f t="shared" si="15"/>
        <v/>
      </c>
      <c r="I149" s="10" t="str">
        <f t="shared" si="16"/>
        <v/>
      </c>
      <c r="J149" s="10" t="str">
        <f t="shared" si="17"/>
        <v/>
      </c>
    </row>
    <row r="150" spans="1:10" x14ac:dyDescent="0.3">
      <c r="A150" s="5"/>
      <c r="B150" s="4" t="str">
        <f t="shared" si="12"/>
        <v/>
      </c>
      <c r="C150" s="17"/>
      <c r="D150" s="17"/>
      <c r="E150" s="17"/>
      <c r="F150" s="4" t="str">
        <f t="shared" si="13"/>
        <v/>
      </c>
      <c r="G150" s="10" t="str">
        <f t="shared" si="14"/>
        <v/>
      </c>
      <c r="H150" s="10" t="str">
        <f t="shared" si="15"/>
        <v/>
      </c>
      <c r="I150" s="10" t="str">
        <f t="shared" si="16"/>
        <v/>
      </c>
      <c r="J150" s="10" t="str">
        <f t="shared" si="17"/>
        <v/>
      </c>
    </row>
    <row r="151" spans="1:10" x14ac:dyDescent="0.3">
      <c r="A151" s="5"/>
      <c r="B151" s="4" t="str">
        <f t="shared" si="12"/>
        <v/>
      </c>
      <c r="C151" s="17"/>
      <c r="D151" s="17"/>
      <c r="E151" s="17"/>
      <c r="F151" s="4" t="str">
        <f t="shared" si="13"/>
        <v/>
      </c>
      <c r="G151" s="10" t="str">
        <f t="shared" si="14"/>
        <v/>
      </c>
      <c r="H151" s="10" t="str">
        <f t="shared" si="15"/>
        <v/>
      </c>
      <c r="I151" s="10" t="str">
        <f t="shared" si="16"/>
        <v/>
      </c>
      <c r="J151" s="10" t="str">
        <f t="shared" si="17"/>
        <v/>
      </c>
    </row>
    <row r="152" spans="1:10" x14ac:dyDescent="0.3">
      <c r="A152" s="5"/>
      <c r="B152" s="4" t="str">
        <f t="shared" si="12"/>
        <v/>
      </c>
      <c r="C152" s="17"/>
      <c r="D152" s="17"/>
      <c r="E152" s="17"/>
      <c r="F152" s="4" t="str">
        <f t="shared" si="13"/>
        <v/>
      </c>
      <c r="G152" s="10" t="str">
        <f t="shared" si="14"/>
        <v/>
      </c>
      <c r="H152" s="10" t="str">
        <f t="shared" si="15"/>
        <v/>
      </c>
      <c r="I152" s="10" t="str">
        <f t="shared" si="16"/>
        <v/>
      </c>
      <c r="J152" s="10" t="str">
        <f t="shared" si="17"/>
        <v/>
      </c>
    </row>
    <row r="153" spans="1:10" x14ac:dyDescent="0.3">
      <c r="A153" s="5"/>
      <c r="B153" s="4" t="str">
        <f t="shared" si="12"/>
        <v/>
      </c>
      <c r="C153" s="17"/>
      <c r="D153" s="17"/>
      <c r="E153" s="17"/>
      <c r="F153" s="4" t="str">
        <f t="shared" si="13"/>
        <v/>
      </c>
      <c r="G153" s="10" t="str">
        <f t="shared" si="14"/>
        <v/>
      </c>
      <c r="H153" s="10" t="str">
        <f t="shared" si="15"/>
        <v/>
      </c>
      <c r="I153" s="10" t="str">
        <f t="shared" si="16"/>
        <v/>
      </c>
      <c r="J153" s="10" t="str">
        <f t="shared" si="17"/>
        <v/>
      </c>
    </row>
    <row r="154" spans="1:10" x14ac:dyDescent="0.3">
      <c r="A154" s="5"/>
      <c r="B154" s="4" t="str">
        <f t="shared" si="12"/>
        <v/>
      </c>
      <c r="C154" s="17"/>
      <c r="D154" s="17"/>
      <c r="E154" s="17"/>
      <c r="F154" s="4" t="str">
        <f t="shared" si="13"/>
        <v/>
      </c>
      <c r="G154" s="10" t="str">
        <f t="shared" si="14"/>
        <v/>
      </c>
      <c r="H154" s="10" t="str">
        <f t="shared" si="15"/>
        <v/>
      </c>
      <c r="I154" s="10" t="str">
        <f t="shared" si="16"/>
        <v/>
      </c>
      <c r="J154" s="10" t="str">
        <f t="shared" si="17"/>
        <v/>
      </c>
    </row>
    <row r="155" spans="1:10" x14ac:dyDescent="0.3">
      <c r="A155" s="5"/>
      <c r="B155" s="4" t="str">
        <f t="shared" si="12"/>
        <v/>
      </c>
      <c r="C155" s="17"/>
      <c r="D155" s="17"/>
      <c r="E155" s="17"/>
      <c r="F155" s="4" t="str">
        <f t="shared" si="13"/>
        <v/>
      </c>
      <c r="G155" s="10" t="str">
        <f t="shared" si="14"/>
        <v/>
      </c>
      <c r="H155" s="10" t="str">
        <f t="shared" si="15"/>
        <v/>
      </c>
      <c r="I155" s="10" t="str">
        <f t="shared" si="16"/>
        <v/>
      </c>
      <c r="J155" s="10" t="str">
        <f t="shared" si="17"/>
        <v/>
      </c>
    </row>
    <row r="156" spans="1:10" x14ac:dyDescent="0.3">
      <c r="A156" s="5"/>
      <c r="B156" s="4" t="str">
        <f t="shared" si="12"/>
        <v/>
      </c>
      <c r="C156" s="17"/>
      <c r="D156" s="17"/>
      <c r="E156" s="17"/>
      <c r="F156" s="4" t="str">
        <f t="shared" si="13"/>
        <v/>
      </c>
      <c r="G156" s="10" t="str">
        <f t="shared" si="14"/>
        <v/>
      </c>
      <c r="H156" s="10" t="str">
        <f t="shared" si="15"/>
        <v/>
      </c>
      <c r="I156" s="10" t="str">
        <f t="shared" si="16"/>
        <v/>
      </c>
      <c r="J156" s="10" t="str">
        <f t="shared" si="17"/>
        <v/>
      </c>
    </row>
    <row r="157" spans="1:10" x14ac:dyDescent="0.3">
      <c r="A157" s="5"/>
      <c r="B157" s="4" t="str">
        <f t="shared" si="12"/>
        <v/>
      </c>
      <c r="C157" s="17"/>
      <c r="D157" s="17"/>
      <c r="E157" s="17"/>
      <c r="F157" s="4" t="str">
        <f t="shared" si="13"/>
        <v/>
      </c>
      <c r="G157" s="10" t="str">
        <f t="shared" si="14"/>
        <v/>
      </c>
      <c r="H157" s="10" t="str">
        <f t="shared" si="15"/>
        <v/>
      </c>
      <c r="I157" s="10" t="str">
        <f t="shared" si="16"/>
        <v/>
      </c>
      <c r="J157" s="10" t="str">
        <f t="shared" si="17"/>
        <v/>
      </c>
    </row>
    <row r="158" spans="1:10" x14ac:dyDescent="0.3">
      <c r="A158" s="5"/>
      <c r="B158" s="4" t="str">
        <f t="shared" si="12"/>
        <v/>
      </c>
      <c r="C158" s="17"/>
      <c r="D158" s="17"/>
      <c r="E158" s="17"/>
      <c r="F158" s="4" t="str">
        <f t="shared" si="13"/>
        <v/>
      </c>
      <c r="G158" s="10" t="str">
        <f t="shared" si="14"/>
        <v/>
      </c>
      <c r="H158" s="10" t="str">
        <f t="shared" si="15"/>
        <v/>
      </c>
      <c r="I158" s="10" t="str">
        <f t="shared" si="16"/>
        <v/>
      </c>
      <c r="J158" s="10" t="str">
        <f t="shared" si="17"/>
        <v/>
      </c>
    </row>
    <row r="159" spans="1:10" x14ac:dyDescent="0.3">
      <c r="A159" s="5"/>
      <c r="B159" s="4" t="str">
        <f t="shared" si="12"/>
        <v/>
      </c>
      <c r="C159" s="17"/>
      <c r="D159" s="17"/>
      <c r="E159" s="17"/>
      <c r="F159" s="4" t="str">
        <f t="shared" si="13"/>
        <v/>
      </c>
      <c r="G159" s="10" t="str">
        <f t="shared" si="14"/>
        <v/>
      </c>
      <c r="H159" s="10" t="str">
        <f t="shared" si="15"/>
        <v/>
      </c>
      <c r="I159" s="10" t="str">
        <f t="shared" si="16"/>
        <v/>
      </c>
      <c r="J159" s="10" t="str">
        <f t="shared" si="17"/>
        <v/>
      </c>
    </row>
    <row r="160" spans="1:10" x14ac:dyDescent="0.3">
      <c r="A160" s="5"/>
      <c r="B160" s="4" t="str">
        <f t="shared" si="12"/>
        <v/>
      </c>
      <c r="C160" s="17"/>
      <c r="D160" s="17"/>
      <c r="E160" s="17"/>
      <c r="F160" s="4" t="str">
        <f t="shared" si="13"/>
        <v/>
      </c>
      <c r="G160" s="10" t="str">
        <f t="shared" si="14"/>
        <v/>
      </c>
      <c r="H160" s="10" t="str">
        <f t="shared" si="15"/>
        <v/>
      </c>
      <c r="I160" s="10" t="str">
        <f t="shared" si="16"/>
        <v/>
      </c>
      <c r="J160" s="10" t="str">
        <f t="shared" si="17"/>
        <v/>
      </c>
    </row>
    <row r="161" spans="1:10" x14ac:dyDescent="0.3">
      <c r="A161" s="5"/>
      <c r="B161" s="4" t="str">
        <f t="shared" si="12"/>
        <v/>
      </c>
      <c r="C161" s="17"/>
      <c r="D161" s="17"/>
      <c r="E161" s="17"/>
      <c r="F161" s="4" t="str">
        <f t="shared" si="13"/>
        <v/>
      </c>
      <c r="G161" s="10" t="str">
        <f t="shared" si="14"/>
        <v/>
      </c>
      <c r="H161" s="10" t="str">
        <f t="shared" si="15"/>
        <v/>
      </c>
      <c r="I161" s="10" t="str">
        <f t="shared" si="16"/>
        <v/>
      </c>
      <c r="J161" s="10" t="str">
        <f t="shared" si="17"/>
        <v/>
      </c>
    </row>
    <row r="162" spans="1:10" x14ac:dyDescent="0.3">
      <c r="A162" s="5"/>
      <c r="B162" s="4" t="str">
        <f t="shared" si="12"/>
        <v/>
      </c>
      <c r="C162" s="17"/>
      <c r="D162" s="17"/>
      <c r="E162" s="17"/>
      <c r="F162" s="4" t="str">
        <f t="shared" si="13"/>
        <v/>
      </c>
      <c r="G162" s="10" t="str">
        <f t="shared" si="14"/>
        <v/>
      </c>
      <c r="H162" s="10" t="str">
        <f t="shared" si="15"/>
        <v/>
      </c>
      <c r="I162" s="10" t="str">
        <f t="shared" si="16"/>
        <v/>
      </c>
      <c r="J162" s="10" t="str">
        <f t="shared" si="17"/>
        <v/>
      </c>
    </row>
    <row r="163" spans="1:10" x14ac:dyDescent="0.3">
      <c r="A163" s="5"/>
      <c r="B163" s="4" t="str">
        <f t="shared" si="12"/>
        <v/>
      </c>
      <c r="C163" s="17"/>
      <c r="D163" s="17"/>
      <c r="E163" s="17"/>
      <c r="F163" s="4" t="str">
        <f t="shared" si="13"/>
        <v/>
      </c>
      <c r="G163" s="10" t="str">
        <f t="shared" si="14"/>
        <v/>
      </c>
      <c r="H163" s="10" t="str">
        <f t="shared" si="15"/>
        <v/>
      </c>
      <c r="I163" s="10" t="str">
        <f t="shared" si="16"/>
        <v/>
      </c>
      <c r="J163" s="10" t="str">
        <f t="shared" si="17"/>
        <v/>
      </c>
    </row>
    <row r="164" spans="1:10" x14ac:dyDescent="0.3">
      <c r="A164" s="5"/>
      <c r="B164" s="4" t="str">
        <f t="shared" si="12"/>
        <v/>
      </c>
      <c r="C164" s="17"/>
      <c r="D164" s="17"/>
      <c r="E164" s="17"/>
      <c r="F164" s="4" t="str">
        <f t="shared" si="13"/>
        <v/>
      </c>
      <c r="G164" s="10" t="str">
        <f t="shared" si="14"/>
        <v/>
      </c>
      <c r="H164" s="10" t="str">
        <f t="shared" si="15"/>
        <v/>
      </c>
      <c r="I164" s="10" t="str">
        <f t="shared" si="16"/>
        <v/>
      </c>
      <c r="J164" s="10" t="str">
        <f t="shared" si="17"/>
        <v/>
      </c>
    </row>
    <row r="165" spans="1:10" x14ac:dyDescent="0.3">
      <c r="A165" s="5"/>
      <c r="B165" s="4" t="str">
        <f t="shared" si="12"/>
        <v/>
      </c>
      <c r="C165" s="17"/>
      <c r="D165" s="17"/>
      <c r="E165" s="17"/>
      <c r="F165" s="4" t="str">
        <f t="shared" si="13"/>
        <v/>
      </c>
      <c r="G165" s="10" t="str">
        <f t="shared" si="14"/>
        <v/>
      </c>
      <c r="H165" s="10" t="str">
        <f t="shared" si="15"/>
        <v/>
      </c>
      <c r="I165" s="10" t="str">
        <f t="shared" si="16"/>
        <v/>
      </c>
      <c r="J165" s="10" t="str">
        <f t="shared" si="17"/>
        <v/>
      </c>
    </row>
    <row r="166" spans="1:10" x14ac:dyDescent="0.3">
      <c r="A166" s="5"/>
      <c r="B166" s="4" t="str">
        <f t="shared" si="12"/>
        <v/>
      </c>
      <c r="C166" s="17"/>
      <c r="D166" s="17"/>
      <c r="E166" s="17"/>
      <c r="F166" s="4" t="str">
        <f t="shared" si="13"/>
        <v/>
      </c>
      <c r="G166" s="10" t="str">
        <f t="shared" si="14"/>
        <v/>
      </c>
      <c r="H166" s="10" t="str">
        <f t="shared" si="15"/>
        <v/>
      </c>
      <c r="I166" s="10" t="str">
        <f t="shared" si="16"/>
        <v/>
      </c>
      <c r="J166" s="10" t="str">
        <f t="shared" si="17"/>
        <v/>
      </c>
    </row>
    <row r="167" spans="1:10" x14ac:dyDescent="0.3">
      <c r="A167" s="5"/>
      <c r="B167" s="4" t="str">
        <f t="shared" si="12"/>
        <v/>
      </c>
      <c r="C167" s="17"/>
      <c r="D167" s="17"/>
      <c r="E167" s="17"/>
      <c r="F167" s="4" t="str">
        <f t="shared" si="13"/>
        <v/>
      </c>
      <c r="G167" s="10" t="str">
        <f t="shared" si="14"/>
        <v/>
      </c>
      <c r="H167" s="10" t="str">
        <f t="shared" si="15"/>
        <v/>
      </c>
      <c r="I167" s="10" t="str">
        <f t="shared" si="16"/>
        <v/>
      </c>
      <c r="J167" s="10" t="str">
        <f t="shared" si="17"/>
        <v/>
      </c>
    </row>
    <row r="168" spans="1:10" x14ac:dyDescent="0.3">
      <c r="A168" s="5"/>
      <c r="B168" s="4" t="str">
        <f t="shared" si="12"/>
        <v/>
      </c>
      <c r="C168" s="17"/>
      <c r="D168" s="17"/>
      <c r="E168" s="17"/>
      <c r="F168" s="4" t="str">
        <f t="shared" si="13"/>
        <v/>
      </c>
      <c r="G168" s="10" t="str">
        <f t="shared" si="14"/>
        <v/>
      </c>
      <c r="H168" s="10" t="str">
        <f t="shared" si="15"/>
        <v/>
      </c>
      <c r="I168" s="10" t="str">
        <f t="shared" si="16"/>
        <v/>
      </c>
      <c r="J168" s="10" t="str">
        <f t="shared" si="17"/>
        <v/>
      </c>
    </row>
    <row r="169" spans="1:10" x14ac:dyDescent="0.3">
      <c r="A169" s="5"/>
      <c r="B169" s="4" t="str">
        <f t="shared" si="12"/>
        <v/>
      </c>
      <c r="C169" s="17"/>
      <c r="D169" s="17"/>
      <c r="E169" s="17"/>
      <c r="F169" s="4" t="str">
        <f t="shared" si="13"/>
        <v/>
      </c>
      <c r="G169" s="10" t="str">
        <f t="shared" si="14"/>
        <v/>
      </c>
      <c r="H169" s="10" t="str">
        <f t="shared" si="15"/>
        <v/>
      </c>
      <c r="I169" s="10" t="str">
        <f t="shared" si="16"/>
        <v/>
      </c>
      <c r="J169" s="10" t="str">
        <f t="shared" si="17"/>
        <v/>
      </c>
    </row>
    <row r="170" spans="1:10" x14ac:dyDescent="0.3">
      <c r="A170" s="5"/>
      <c r="B170" s="4" t="str">
        <f t="shared" si="12"/>
        <v/>
      </c>
      <c r="C170" s="17"/>
      <c r="D170" s="17"/>
      <c r="E170" s="17"/>
      <c r="F170" s="4" t="str">
        <f t="shared" si="13"/>
        <v/>
      </c>
      <c r="G170" s="10" t="str">
        <f t="shared" si="14"/>
        <v/>
      </c>
      <c r="H170" s="10" t="str">
        <f t="shared" si="15"/>
        <v/>
      </c>
      <c r="I170" s="10" t="str">
        <f t="shared" si="16"/>
        <v/>
      </c>
      <c r="J170" s="10" t="str">
        <f t="shared" si="17"/>
        <v/>
      </c>
    </row>
    <row r="171" spans="1:10" x14ac:dyDescent="0.3">
      <c r="A171" s="5"/>
      <c r="B171" s="4" t="str">
        <f t="shared" si="12"/>
        <v/>
      </c>
      <c r="C171" s="17"/>
      <c r="D171" s="17"/>
      <c r="E171" s="17"/>
      <c r="F171" s="4" t="str">
        <f t="shared" si="13"/>
        <v/>
      </c>
      <c r="G171" s="10" t="str">
        <f t="shared" si="14"/>
        <v/>
      </c>
      <c r="H171" s="10" t="str">
        <f t="shared" si="15"/>
        <v/>
      </c>
      <c r="I171" s="10" t="str">
        <f t="shared" si="16"/>
        <v/>
      </c>
      <c r="J171" s="10" t="str">
        <f t="shared" si="17"/>
        <v/>
      </c>
    </row>
    <row r="172" spans="1:10" x14ac:dyDescent="0.3">
      <c r="A172" s="5"/>
      <c r="B172" s="4" t="str">
        <f t="shared" si="12"/>
        <v/>
      </c>
      <c r="C172" s="17"/>
      <c r="D172" s="17"/>
      <c r="E172" s="17"/>
      <c r="F172" s="4" t="str">
        <f t="shared" si="13"/>
        <v/>
      </c>
      <c r="G172" s="10" t="str">
        <f t="shared" si="14"/>
        <v/>
      </c>
      <c r="H172" s="10" t="str">
        <f t="shared" si="15"/>
        <v/>
      </c>
      <c r="I172" s="10" t="str">
        <f t="shared" si="16"/>
        <v/>
      </c>
      <c r="J172" s="10" t="str">
        <f t="shared" si="17"/>
        <v/>
      </c>
    </row>
    <row r="173" spans="1:10" x14ac:dyDescent="0.3">
      <c r="A173" s="5"/>
      <c r="B173" s="4" t="str">
        <f t="shared" si="12"/>
        <v/>
      </c>
      <c r="C173" s="17"/>
      <c r="D173" s="17"/>
      <c r="E173" s="17"/>
      <c r="F173" s="4" t="str">
        <f t="shared" si="13"/>
        <v/>
      </c>
      <c r="G173" s="10" t="str">
        <f t="shared" si="14"/>
        <v/>
      </c>
      <c r="H173" s="10" t="str">
        <f t="shared" si="15"/>
        <v/>
      </c>
      <c r="I173" s="10" t="str">
        <f t="shared" si="16"/>
        <v/>
      </c>
      <c r="J173" s="10" t="str">
        <f t="shared" si="17"/>
        <v/>
      </c>
    </row>
    <row r="174" spans="1:10" x14ac:dyDescent="0.3">
      <c r="A174" s="5"/>
      <c r="B174" s="4" t="str">
        <f t="shared" si="12"/>
        <v/>
      </c>
      <c r="C174" s="17"/>
      <c r="D174" s="17"/>
      <c r="E174" s="17"/>
      <c r="F174" s="4" t="str">
        <f t="shared" si="13"/>
        <v/>
      </c>
      <c r="G174" s="10" t="str">
        <f t="shared" si="14"/>
        <v/>
      </c>
      <c r="H174" s="10" t="str">
        <f t="shared" si="15"/>
        <v/>
      </c>
      <c r="I174" s="10" t="str">
        <f t="shared" si="16"/>
        <v/>
      </c>
      <c r="J174" s="10" t="str">
        <f t="shared" si="17"/>
        <v/>
      </c>
    </row>
    <row r="175" spans="1:10" x14ac:dyDescent="0.3">
      <c r="A175" s="5"/>
      <c r="B175" s="4" t="str">
        <f t="shared" si="12"/>
        <v/>
      </c>
      <c r="C175" s="17"/>
      <c r="D175" s="17"/>
      <c r="E175" s="17"/>
      <c r="F175" s="4" t="str">
        <f t="shared" si="13"/>
        <v/>
      </c>
      <c r="G175" s="10" t="str">
        <f t="shared" si="14"/>
        <v/>
      </c>
      <c r="H175" s="10" t="str">
        <f t="shared" si="15"/>
        <v/>
      </c>
      <c r="I175" s="10" t="str">
        <f t="shared" si="16"/>
        <v/>
      </c>
      <c r="J175" s="10" t="str">
        <f t="shared" si="17"/>
        <v/>
      </c>
    </row>
    <row r="176" spans="1:10" x14ac:dyDescent="0.3">
      <c r="A176" s="5"/>
      <c r="B176" s="4" t="str">
        <f t="shared" si="12"/>
        <v/>
      </c>
      <c r="C176" s="17"/>
      <c r="D176" s="17"/>
      <c r="E176" s="17"/>
      <c r="F176" s="4" t="str">
        <f t="shared" si="13"/>
        <v/>
      </c>
      <c r="G176" s="10" t="str">
        <f t="shared" si="14"/>
        <v/>
      </c>
      <c r="H176" s="10" t="str">
        <f t="shared" si="15"/>
        <v/>
      </c>
      <c r="I176" s="10" t="str">
        <f t="shared" si="16"/>
        <v/>
      </c>
      <c r="J176" s="10" t="str">
        <f t="shared" si="17"/>
        <v/>
      </c>
    </row>
    <row r="177" spans="1:10" x14ac:dyDescent="0.3">
      <c r="A177" s="5"/>
      <c r="B177" s="4" t="str">
        <f t="shared" si="12"/>
        <v/>
      </c>
      <c r="C177" s="17"/>
      <c r="D177" s="17"/>
      <c r="E177" s="17"/>
      <c r="F177" s="4" t="str">
        <f t="shared" si="13"/>
        <v/>
      </c>
      <c r="G177" s="10" t="str">
        <f t="shared" si="14"/>
        <v/>
      </c>
      <c r="H177" s="10" t="str">
        <f t="shared" si="15"/>
        <v/>
      </c>
      <c r="I177" s="10" t="str">
        <f t="shared" si="16"/>
        <v/>
      </c>
      <c r="J177" s="10" t="str">
        <f t="shared" si="17"/>
        <v/>
      </c>
    </row>
    <row r="178" spans="1:10" x14ac:dyDescent="0.3">
      <c r="A178" s="5"/>
      <c r="B178" s="4" t="str">
        <f t="shared" si="12"/>
        <v/>
      </c>
      <c r="C178" s="17"/>
      <c r="D178" s="17"/>
      <c r="E178" s="17"/>
      <c r="F178" s="4" t="str">
        <f t="shared" si="13"/>
        <v/>
      </c>
      <c r="G178" s="10" t="str">
        <f t="shared" si="14"/>
        <v/>
      </c>
      <c r="H178" s="10" t="str">
        <f t="shared" si="15"/>
        <v/>
      </c>
      <c r="I178" s="10" t="str">
        <f t="shared" si="16"/>
        <v/>
      </c>
      <c r="J178" s="10" t="str">
        <f t="shared" si="17"/>
        <v/>
      </c>
    </row>
    <row r="179" spans="1:10" x14ac:dyDescent="0.3">
      <c r="A179" s="5"/>
      <c r="B179" s="4" t="str">
        <f t="shared" si="12"/>
        <v/>
      </c>
      <c r="C179" s="17"/>
      <c r="D179" s="17"/>
      <c r="E179" s="17"/>
      <c r="F179" s="4" t="str">
        <f t="shared" si="13"/>
        <v/>
      </c>
      <c r="G179" s="10" t="str">
        <f t="shared" si="14"/>
        <v/>
      </c>
      <c r="H179" s="10" t="str">
        <f t="shared" si="15"/>
        <v/>
      </c>
      <c r="I179" s="10" t="str">
        <f t="shared" si="16"/>
        <v/>
      </c>
      <c r="J179" s="10" t="str">
        <f t="shared" si="17"/>
        <v/>
      </c>
    </row>
    <row r="180" spans="1:10" x14ac:dyDescent="0.3">
      <c r="A180" s="5"/>
      <c r="B180" s="4" t="str">
        <f t="shared" si="12"/>
        <v/>
      </c>
      <c r="C180" s="17"/>
      <c r="D180" s="17"/>
      <c r="E180" s="17"/>
      <c r="F180" s="4" t="str">
        <f t="shared" si="13"/>
        <v/>
      </c>
      <c r="G180" s="10" t="str">
        <f t="shared" si="14"/>
        <v/>
      </c>
      <c r="H180" s="10" t="str">
        <f t="shared" si="15"/>
        <v/>
      </c>
      <c r="I180" s="10" t="str">
        <f t="shared" si="16"/>
        <v/>
      </c>
      <c r="J180" s="10" t="str">
        <f t="shared" si="17"/>
        <v/>
      </c>
    </row>
    <row r="181" spans="1:10" x14ac:dyDescent="0.3">
      <c r="A181" s="5"/>
      <c r="B181" s="4" t="str">
        <f t="shared" si="12"/>
        <v/>
      </c>
      <c r="C181" s="17"/>
      <c r="D181" s="17"/>
      <c r="E181" s="17"/>
      <c r="F181" s="4" t="str">
        <f t="shared" si="13"/>
        <v/>
      </c>
      <c r="G181" s="10" t="str">
        <f t="shared" si="14"/>
        <v/>
      </c>
      <c r="H181" s="10" t="str">
        <f t="shared" si="15"/>
        <v/>
      </c>
      <c r="I181" s="10" t="str">
        <f t="shared" si="16"/>
        <v/>
      </c>
      <c r="J181" s="10" t="str">
        <f t="shared" si="17"/>
        <v/>
      </c>
    </row>
    <row r="182" spans="1:10" x14ac:dyDescent="0.3">
      <c r="A182" s="5"/>
      <c r="B182" s="4" t="str">
        <f t="shared" si="12"/>
        <v/>
      </c>
      <c r="C182" s="17"/>
      <c r="D182" s="17"/>
      <c r="E182" s="17"/>
      <c r="F182" s="4" t="str">
        <f t="shared" si="13"/>
        <v/>
      </c>
      <c r="G182" s="10" t="str">
        <f t="shared" si="14"/>
        <v/>
      </c>
      <c r="H182" s="10" t="str">
        <f t="shared" si="15"/>
        <v/>
      </c>
      <c r="I182" s="10" t="str">
        <f t="shared" si="16"/>
        <v/>
      </c>
      <c r="J182" s="10" t="str">
        <f t="shared" si="17"/>
        <v/>
      </c>
    </row>
    <row r="183" spans="1:10" x14ac:dyDescent="0.3">
      <c r="A183" s="5"/>
      <c r="B183" s="4" t="str">
        <f t="shared" si="12"/>
        <v/>
      </c>
      <c r="C183" s="17"/>
      <c r="D183" s="17"/>
      <c r="E183" s="17"/>
      <c r="F183" s="4" t="str">
        <f t="shared" si="13"/>
        <v/>
      </c>
      <c r="G183" s="10" t="str">
        <f t="shared" si="14"/>
        <v/>
      </c>
      <c r="H183" s="10" t="str">
        <f t="shared" si="15"/>
        <v/>
      </c>
      <c r="I183" s="10" t="str">
        <f t="shared" si="16"/>
        <v/>
      </c>
      <c r="J183" s="10" t="str">
        <f t="shared" si="17"/>
        <v/>
      </c>
    </row>
    <row r="184" spans="1:10" x14ac:dyDescent="0.3">
      <c r="A184" s="5"/>
      <c r="B184" s="4" t="str">
        <f t="shared" si="12"/>
        <v/>
      </c>
      <c r="C184" s="17"/>
      <c r="D184" s="17"/>
      <c r="E184" s="17"/>
      <c r="F184" s="4" t="str">
        <f t="shared" si="13"/>
        <v/>
      </c>
      <c r="G184" s="10" t="str">
        <f t="shared" si="14"/>
        <v/>
      </c>
      <c r="H184" s="10" t="str">
        <f t="shared" si="15"/>
        <v/>
      </c>
      <c r="I184" s="10" t="str">
        <f t="shared" si="16"/>
        <v/>
      </c>
      <c r="J184" s="10" t="str">
        <f t="shared" si="17"/>
        <v/>
      </c>
    </row>
    <row r="185" spans="1:10" x14ac:dyDescent="0.3">
      <c r="A185" s="5"/>
      <c r="B185" s="4" t="str">
        <f t="shared" si="12"/>
        <v/>
      </c>
      <c r="C185" s="17"/>
      <c r="D185" s="17"/>
      <c r="E185" s="17"/>
      <c r="F185" s="4" t="str">
        <f t="shared" si="13"/>
        <v/>
      </c>
      <c r="G185" s="10" t="str">
        <f t="shared" si="14"/>
        <v/>
      </c>
      <c r="H185" s="10" t="str">
        <f t="shared" si="15"/>
        <v/>
      </c>
      <c r="I185" s="10" t="str">
        <f t="shared" si="16"/>
        <v/>
      </c>
      <c r="J185" s="10" t="str">
        <f t="shared" si="17"/>
        <v/>
      </c>
    </row>
    <row r="186" spans="1:10" x14ac:dyDescent="0.3">
      <c r="A186" s="5"/>
      <c r="B186" s="4" t="str">
        <f t="shared" si="12"/>
        <v/>
      </c>
      <c r="C186" s="17"/>
      <c r="D186" s="17"/>
      <c r="E186" s="17"/>
      <c r="F186" s="4" t="str">
        <f t="shared" si="13"/>
        <v/>
      </c>
      <c r="G186" s="10" t="str">
        <f t="shared" si="14"/>
        <v/>
      </c>
      <c r="H186" s="10" t="str">
        <f t="shared" si="15"/>
        <v/>
      </c>
      <c r="I186" s="10" t="str">
        <f t="shared" si="16"/>
        <v/>
      </c>
      <c r="J186" s="10" t="str">
        <f t="shared" si="17"/>
        <v/>
      </c>
    </row>
    <row r="187" spans="1:10" x14ac:dyDescent="0.3">
      <c r="A187" s="5"/>
      <c r="B187" s="4" t="str">
        <f t="shared" si="12"/>
        <v/>
      </c>
      <c r="C187" s="17"/>
      <c r="D187" s="17"/>
      <c r="E187" s="17"/>
      <c r="F187" s="4" t="str">
        <f t="shared" si="13"/>
        <v/>
      </c>
      <c r="G187" s="10" t="str">
        <f t="shared" si="14"/>
        <v/>
      </c>
      <c r="H187" s="10" t="str">
        <f t="shared" si="15"/>
        <v/>
      </c>
      <c r="I187" s="10" t="str">
        <f t="shared" si="16"/>
        <v/>
      </c>
      <c r="J187" s="10" t="str">
        <f t="shared" si="17"/>
        <v/>
      </c>
    </row>
    <row r="188" spans="1:10" x14ac:dyDescent="0.3">
      <c r="A188" s="5"/>
      <c r="B188" s="4" t="str">
        <f t="shared" si="12"/>
        <v/>
      </c>
      <c r="C188" s="17"/>
      <c r="D188" s="17"/>
      <c r="E188" s="17"/>
      <c r="F188" s="4" t="str">
        <f t="shared" si="13"/>
        <v/>
      </c>
      <c r="G188" s="10" t="str">
        <f t="shared" si="14"/>
        <v/>
      </c>
      <c r="H188" s="10" t="str">
        <f t="shared" si="15"/>
        <v/>
      </c>
      <c r="I188" s="10" t="str">
        <f t="shared" si="16"/>
        <v/>
      </c>
      <c r="J188" s="10" t="str">
        <f t="shared" si="17"/>
        <v/>
      </c>
    </row>
    <row r="189" spans="1:10" x14ac:dyDescent="0.3">
      <c r="A189" s="5"/>
      <c r="B189" s="4" t="str">
        <f t="shared" si="12"/>
        <v/>
      </c>
      <c r="C189" s="17"/>
      <c r="D189" s="17"/>
      <c r="E189" s="17"/>
      <c r="F189" s="4" t="str">
        <f t="shared" si="13"/>
        <v/>
      </c>
      <c r="G189" s="10" t="str">
        <f t="shared" si="14"/>
        <v/>
      </c>
      <c r="H189" s="10" t="str">
        <f t="shared" si="15"/>
        <v/>
      </c>
      <c r="I189" s="10" t="str">
        <f t="shared" si="16"/>
        <v/>
      </c>
      <c r="J189" s="10" t="str">
        <f t="shared" si="17"/>
        <v/>
      </c>
    </row>
    <row r="190" spans="1:10" x14ac:dyDescent="0.3">
      <c r="A190" s="5"/>
      <c r="B190" s="4" t="str">
        <f t="shared" si="12"/>
        <v/>
      </c>
      <c r="C190" s="17"/>
      <c r="D190" s="17"/>
      <c r="E190" s="17"/>
      <c r="F190" s="4" t="str">
        <f t="shared" si="13"/>
        <v/>
      </c>
      <c r="G190" s="10" t="str">
        <f t="shared" si="14"/>
        <v/>
      </c>
      <c r="H190" s="10" t="str">
        <f t="shared" si="15"/>
        <v/>
      </c>
      <c r="I190" s="10" t="str">
        <f t="shared" si="16"/>
        <v/>
      </c>
      <c r="J190" s="10" t="str">
        <f t="shared" si="17"/>
        <v/>
      </c>
    </row>
    <row r="191" spans="1:10" x14ac:dyDescent="0.3">
      <c r="A191" s="5"/>
      <c r="B191" s="4" t="str">
        <f t="shared" si="12"/>
        <v/>
      </c>
      <c r="C191" s="17"/>
      <c r="D191" s="17"/>
      <c r="E191" s="17"/>
      <c r="F191" s="4" t="str">
        <f t="shared" si="13"/>
        <v/>
      </c>
      <c r="G191" s="10" t="str">
        <f t="shared" si="14"/>
        <v/>
      </c>
      <c r="H191" s="10" t="str">
        <f t="shared" si="15"/>
        <v/>
      </c>
      <c r="I191" s="10" t="str">
        <f t="shared" si="16"/>
        <v/>
      </c>
      <c r="J191" s="10" t="str">
        <f t="shared" si="17"/>
        <v/>
      </c>
    </row>
    <row r="192" spans="1:10" x14ac:dyDescent="0.3">
      <c r="A192" s="5"/>
      <c r="B192" s="4" t="str">
        <f t="shared" si="12"/>
        <v/>
      </c>
      <c r="C192" s="17"/>
      <c r="D192" s="17"/>
      <c r="E192" s="17"/>
      <c r="F192" s="4" t="str">
        <f t="shared" si="13"/>
        <v/>
      </c>
      <c r="G192" s="10" t="str">
        <f t="shared" si="14"/>
        <v/>
      </c>
      <c r="H192" s="10" t="str">
        <f t="shared" si="15"/>
        <v/>
      </c>
      <c r="I192" s="10" t="str">
        <f t="shared" si="16"/>
        <v/>
      </c>
      <c r="J192" s="10" t="str">
        <f t="shared" si="17"/>
        <v/>
      </c>
    </row>
    <row r="193" spans="1:10" x14ac:dyDescent="0.3">
      <c r="A193" s="5"/>
      <c r="B193" s="4" t="str">
        <f t="shared" si="12"/>
        <v/>
      </c>
      <c r="C193" s="17"/>
      <c r="D193" s="17"/>
      <c r="E193" s="17"/>
      <c r="F193" s="4" t="str">
        <f t="shared" si="13"/>
        <v/>
      </c>
      <c r="G193" s="10" t="str">
        <f t="shared" si="14"/>
        <v/>
      </c>
      <c r="H193" s="10" t="str">
        <f t="shared" si="15"/>
        <v/>
      </c>
      <c r="I193" s="10" t="str">
        <f t="shared" si="16"/>
        <v/>
      </c>
      <c r="J193" s="10" t="str">
        <f t="shared" si="17"/>
        <v/>
      </c>
    </row>
    <row r="194" spans="1:10" x14ac:dyDescent="0.3">
      <c r="A194" s="5"/>
      <c r="B194" s="4" t="str">
        <f t="shared" si="12"/>
        <v/>
      </c>
      <c r="C194" s="17"/>
      <c r="D194" s="17"/>
      <c r="E194" s="17"/>
      <c r="F194" s="4" t="str">
        <f t="shared" si="13"/>
        <v/>
      </c>
      <c r="G194" s="10" t="str">
        <f t="shared" si="14"/>
        <v/>
      </c>
      <c r="H194" s="10" t="str">
        <f t="shared" si="15"/>
        <v/>
      </c>
      <c r="I194" s="10" t="str">
        <f t="shared" si="16"/>
        <v/>
      </c>
      <c r="J194" s="10" t="str">
        <f t="shared" si="17"/>
        <v/>
      </c>
    </row>
    <row r="195" spans="1:10" x14ac:dyDescent="0.3">
      <c r="A195" s="5"/>
      <c r="B195" s="4" t="str">
        <f t="shared" si="12"/>
        <v/>
      </c>
      <c r="C195" s="17"/>
      <c r="D195" s="17"/>
      <c r="E195" s="17"/>
      <c r="F195" s="4" t="str">
        <f t="shared" si="13"/>
        <v/>
      </c>
      <c r="G195" s="10" t="str">
        <f t="shared" si="14"/>
        <v/>
      </c>
      <c r="H195" s="10" t="str">
        <f t="shared" si="15"/>
        <v/>
      </c>
      <c r="I195" s="10" t="str">
        <f t="shared" si="16"/>
        <v/>
      </c>
      <c r="J195" s="10" t="str">
        <f t="shared" si="17"/>
        <v/>
      </c>
    </row>
    <row r="196" spans="1:10" x14ac:dyDescent="0.3">
      <c r="A196" s="5"/>
      <c r="B196" s="4" t="str">
        <f t="shared" si="12"/>
        <v/>
      </c>
      <c r="C196" s="17"/>
      <c r="D196" s="17"/>
      <c r="E196" s="17"/>
      <c r="F196" s="4" t="str">
        <f t="shared" si="13"/>
        <v/>
      </c>
      <c r="G196" s="10" t="str">
        <f t="shared" si="14"/>
        <v/>
      </c>
      <c r="H196" s="10" t="str">
        <f t="shared" si="15"/>
        <v/>
      </c>
      <c r="I196" s="10" t="str">
        <f t="shared" si="16"/>
        <v/>
      </c>
      <c r="J196" s="10" t="str">
        <f t="shared" si="17"/>
        <v/>
      </c>
    </row>
    <row r="197" spans="1:10" x14ac:dyDescent="0.3">
      <c r="A197" s="5"/>
      <c r="B197" s="4" t="str">
        <f t="shared" si="12"/>
        <v/>
      </c>
      <c r="C197" s="17"/>
      <c r="D197" s="17"/>
      <c r="E197" s="17"/>
      <c r="F197" s="4" t="str">
        <f t="shared" si="13"/>
        <v/>
      </c>
      <c r="G197" s="10" t="str">
        <f t="shared" si="14"/>
        <v/>
      </c>
      <c r="H197" s="10" t="str">
        <f t="shared" si="15"/>
        <v/>
      </c>
      <c r="I197" s="10" t="str">
        <f t="shared" si="16"/>
        <v/>
      </c>
      <c r="J197" s="10" t="str">
        <f t="shared" si="17"/>
        <v/>
      </c>
    </row>
    <row r="198" spans="1:10" x14ac:dyDescent="0.3">
      <c r="A198" s="5"/>
      <c r="B198" s="4" t="str">
        <f t="shared" ref="B198:B261" si="18">IF(A198="","",IFERROR(INDEX(COA_NAME,MATCH(A198,COA_ACCT,0))&amp;"",IFERROR(INDEX(DICT_ACTIVE,MATCH("TB.UNMAPPED",DICT_KEY,0)),"?")))</f>
        <v/>
      </c>
      <c r="C198" s="17"/>
      <c r="D198" s="17"/>
      <c r="E198" s="17"/>
      <c r="F198" s="4" t="str">
        <f t="shared" ref="F198:F261" si="19">IF(A198="","",IF(G198="",IFERROR(INDEX(DICT_ACTIVE,MATCH("TB.UNMAPPED",DICT_KEY,0)),"?"),""))</f>
        <v/>
      </c>
      <c r="G198" s="10" t="str">
        <f t="shared" ref="G198:G261" si="20">IF(A198="","",IFERROR(INDEX(COA_LINE_EFF,MATCH(A198,COA_ACCT,0))&amp;"",""))</f>
        <v/>
      </c>
      <c r="H198" s="10" t="str">
        <f t="shared" ref="H198:H261" si="21">IF(A198="","",IFERROR(INDEX(COA_CAT_FX,MATCH(A198,COA_ACCT,0))&amp;"",""))</f>
        <v/>
      </c>
      <c r="I198" s="10" t="str">
        <f t="shared" ref="I198:I261" si="22">IF(A198="","",IFERROR(INDEX(COA_CF,MATCH(A198,COA_ACCT,0))&amp;"","-"))</f>
        <v/>
      </c>
      <c r="J198" s="10" t="str">
        <f t="shared" ref="J198:J261" si="23">IF(A198="","",IFERROR(INDEX(COA_LINE_N,MATCH(A198,COA_ACCT,0))&amp;"",""))</f>
        <v/>
      </c>
    </row>
    <row r="199" spans="1:10" x14ac:dyDescent="0.3">
      <c r="A199" s="5"/>
      <c r="B199" s="4" t="str">
        <f t="shared" si="18"/>
        <v/>
      </c>
      <c r="C199" s="17"/>
      <c r="D199" s="17"/>
      <c r="E199" s="17"/>
      <c r="F199" s="4" t="str">
        <f t="shared" si="19"/>
        <v/>
      </c>
      <c r="G199" s="10" t="str">
        <f t="shared" si="20"/>
        <v/>
      </c>
      <c r="H199" s="10" t="str">
        <f t="shared" si="21"/>
        <v/>
      </c>
      <c r="I199" s="10" t="str">
        <f t="shared" si="22"/>
        <v/>
      </c>
      <c r="J199" s="10" t="str">
        <f t="shared" si="23"/>
        <v/>
      </c>
    </row>
    <row r="200" spans="1:10" x14ac:dyDescent="0.3">
      <c r="A200" s="5"/>
      <c r="B200" s="4" t="str">
        <f t="shared" si="18"/>
        <v/>
      </c>
      <c r="C200" s="17"/>
      <c r="D200" s="17"/>
      <c r="E200" s="17"/>
      <c r="F200" s="4" t="str">
        <f t="shared" si="19"/>
        <v/>
      </c>
      <c r="G200" s="10" t="str">
        <f t="shared" si="20"/>
        <v/>
      </c>
      <c r="H200" s="10" t="str">
        <f t="shared" si="21"/>
        <v/>
      </c>
      <c r="I200" s="10" t="str">
        <f t="shared" si="22"/>
        <v/>
      </c>
      <c r="J200" s="10" t="str">
        <f t="shared" si="23"/>
        <v/>
      </c>
    </row>
    <row r="201" spans="1:10" x14ac:dyDescent="0.3">
      <c r="A201" s="5"/>
      <c r="B201" s="4" t="str">
        <f t="shared" si="18"/>
        <v/>
      </c>
      <c r="C201" s="17"/>
      <c r="D201" s="17"/>
      <c r="E201" s="17"/>
      <c r="F201" s="4" t="str">
        <f t="shared" si="19"/>
        <v/>
      </c>
      <c r="G201" s="10" t="str">
        <f t="shared" si="20"/>
        <v/>
      </c>
      <c r="H201" s="10" t="str">
        <f t="shared" si="21"/>
        <v/>
      </c>
      <c r="I201" s="10" t="str">
        <f t="shared" si="22"/>
        <v/>
      </c>
      <c r="J201" s="10" t="str">
        <f t="shared" si="23"/>
        <v/>
      </c>
    </row>
    <row r="202" spans="1:10" x14ac:dyDescent="0.3">
      <c r="A202" s="5"/>
      <c r="B202" s="4" t="str">
        <f t="shared" si="18"/>
        <v/>
      </c>
      <c r="C202" s="17"/>
      <c r="D202" s="17"/>
      <c r="E202" s="17"/>
      <c r="F202" s="4" t="str">
        <f t="shared" si="19"/>
        <v/>
      </c>
      <c r="G202" s="10" t="str">
        <f t="shared" si="20"/>
        <v/>
      </c>
      <c r="H202" s="10" t="str">
        <f t="shared" si="21"/>
        <v/>
      </c>
      <c r="I202" s="10" t="str">
        <f t="shared" si="22"/>
        <v/>
      </c>
      <c r="J202" s="10" t="str">
        <f t="shared" si="23"/>
        <v/>
      </c>
    </row>
    <row r="203" spans="1:10" x14ac:dyDescent="0.3">
      <c r="A203" s="5"/>
      <c r="B203" s="4" t="str">
        <f t="shared" si="18"/>
        <v/>
      </c>
      <c r="C203" s="17"/>
      <c r="D203" s="17"/>
      <c r="E203" s="17"/>
      <c r="F203" s="4" t="str">
        <f t="shared" si="19"/>
        <v/>
      </c>
      <c r="G203" s="10" t="str">
        <f t="shared" si="20"/>
        <v/>
      </c>
      <c r="H203" s="10" t="str">
        <f t="shared" si="21"/>
        <v/>
      </c>
      <c r="I203" s="10" t="str">
        <f t="shared" si="22"/>
        <v/>
      </c>
      <c r="J203" s="10" t="str">
        <f t="shared" si="23"/>
        <v/>
      </c>
    </row>
    <row r="204" spans="1:10" x14ac:dyDescent="0.3">
      <c r="A204" s="5"/>
      <c r="B204" s="4" t="str">
        <f t="shared" si="18"/>
        <v/>
      </c>
      <c r="C204" s="17"/>
      <c r="D204" s="17"/>
      <c r="E204" s="17"/>
      <c r="F204" s="4" t="str">
        <f t="shared" si="19"/>
        <v/>
      </c>
      <c r="G204" s="10" t="str">
        <f t="shared" si="20"/>
        <v/>
      </c>
      <c r="H204" s="10" t="str">
        <f t="shared" si="21"/>
        <v/>
      </c>
      <c r="I204" s="10" t="str">
        <f t="shared" si="22"/>
        <v/>
      </c>
      <c r="J204" s="10" t="str">
        <f t="shared" si="23"/>
        <v/>
      </c>
    </row>
    <row r="205" spans="1:10" x14ac:dyDescent="0.3">
      <c r="A205" s="5"/>
      <c r="B205" s="4" t="str">
        <f t="shared" si="18"/>
        <v/>
      </c>
      <c r="C205" s="17"/>
      <c r="D205" s="17"/>
      <c r="E205" s="17"/>
      <c r="F205" s="4" t="str">
        <f t="shared" si="19"/>
        <v/>
      </c>
      <c r="G205" s="10" t="str">
        <f t="shared" si="20"/>
        <v/>
      </c>
      <c r="H205" s="10" t="str">
        <f t="shared" si="21"/>
        <v/>
      </c>
      <c r="I205" s="10" t="str">
        <f t="shared" si="22"/>
        <v/>
      </c>
      <c r="J205" s="10" t="str">
        <f t="shared" si="23"/>
        <v/>
      </c>
    </row>
    <row r="206" spans="1:10" x14ac:dyDescent="0.3">
      <c r="A206" s="5"/>
      <c r="B206" s="4" t="str">
        <f t="shared" si="18"/>
        <v/>
      </c>
      <c r="C206" s="17"/>
      <c r="D206" s="17"/>
      <c r="E206" s="17"/>
      <c r="F206" s="4" t="str">
        <f t="shared" si="19"/>
        <v/>
      </c>
      <c r="G206" s="10" t="str">
        <f t="shared" si="20"/>
        <v/>
      </c>
      <c r="H206" s="10" t="str">
        <f t="shared" si="21"/>
        <v/>
      </c>
      <c r="I206" s="10" t="str">
        <f t="shared" si="22"/>
        <v/>
      </c>
      <c r="J206" s="10" t="str">
        <f t="shared" si="23"/>
        <v/>
      </c>
    </row>
    <row r="207" spans="1:10" x14ac:dyDescent="0.3">
      <c r="A207" s="5"/>
      <c r="B207" s="4" t="str">
        <f t="shared" si="18"/>
        <v/>
      </c>
      <c r="C207" s="17"/>
      <c r="D207" s="17"/>
      <c r="E207" s="17"/>
      <c r="F207" s="4" t="str">
        <f t="shared" si="19"/>
        <v/>
      </c>
      <c r="G207" s="10" t="str">
        <f t="shared" si="20"/>
        <v/>
      </c>
      <c r="H207" s="10" t="str">
        <f t="shared" si="21"/>
        <v/>
      </c>
      <c r="I207" s="10" t="str">
        <f t="shared" si="22"/>
        <v/>
      </c>
      <c r="J207" s="10" t="str">
        <f t="shared" si="23"/>
        <v/>
      </c>
    </row>
    <row r="208" spans="1:10" x14ac:dyDescent="0.3">
      <c r="A208" s="5"/>
      <c r="B208" s="4" t="str">
        <f t="shared" si="18"/>
        <v/>
      </c>
      <c r="C208" s="17"/>
      <c r="D208" s="17"/>
      <c r="E208" s="17"/>
      <c r="F208" s="4" t="str">
        <f t="shared" si="19"/>
        <v/>
      </c>
      <c r="G208" s="10" t="str">
        <f t="shared" si="20"/>
        <v/>
      </c>
      <c r="H208" s="10" t="str">
        <f t="shared" si="21"/>
        <v/>
      </c>
      <c r="I208" s="10" t="str">
        <f t="shared" si="22"/>
        <v/>
      </c>
      <c r="J208" s="10" t="str">
        <f t="shared" si="23"/>
        <v/>
      </c>
    </row>
    <row r="209" spans="1:10" x14ac:dyDescent="0.3">
      <c r="A209" s="5"/>
      <c r="B209" s="4" t="str">
        <f t="shared" si="18"/>
        <v/>
      </c>
      <c r="C209" s="17"/>
      <c r="D209" s="17"/>
      <c r="E209" s="17"/>
      <c r="F209" s="4" t="str">
        <f t="shared" si="19"/>
        <v/>
      </c>
      <c r="G209" s="10" t="str">
        <f t="shared" si="20"/>
        <v/>
      </c>
      <c r="H209" s="10" t="str">
        <f t="shared" si="21"/>
        <v/>
      </c>
      <c r="I209" s="10" t="str">
        <f t="shared" si="22"/>
        <v/>
      </c>
      <c r="J209" s="10" t="str">
        <f t="shared" si="23"/>
        <v/>
      </c>
    </row>
    <row r="210" spans="1:10" x14ac:dyDescent="0.3">
      <c r="A210" s="5"/>
      <c r="B210" s="4" t="str">
        <f t="shared" si="18"/>
        <v/>
      </c>
      <c r="C210" s="17"/>
      <c r="D210" s="17"/>
      <c r="E210" s="17"/>
      <c r="F210" s="4" t="str">
        <f t="shared" si="19"/>
        <v/>
      </c>
      <c r="G210" s="10" t="str">
        <f t="shared" si="20"/>
        <v/>
      </c>
      <c r="H210" s="10" t="str">
        <f t="shared" si="21"/>
        <v/>
      </c>
      <c r="I210" s="10" t="str">
        <f t="shared" si="22"/>
        <v/>
      </c>
      <c r="J210" s="10" t="str">
        <f t="shared" si="23"/>
        <v/>
      </c>
    </row>
    <row r="211" spans="1:10" x14ac:dyDescent="0.3">
      <c r="A211" s="5"/>
      <c r="B211" s="4" t="str">
        <f t="shared" si="18"/>
        <v/>
      </c>
      <c r="C211" s="17"/>
      <c r="D211" s="17"/>
      <c r="E211" s="17"/>
      <c r="F211" s="4" t="str">
        <f t="shared" si="19"/>
        <v/>
      </c>
      <c r="G211" s="10" t="str">
        <f t="shared" si="20"/>
        <v/>
      </c>
      <c r="H211" s="10" t="str">
        <f t="shared" si="21"/>
        <v/>
      </c>
      <c r="I211" s="10" t="str">
        <f t="shared" si="22"/>
        <v/>
      </c>
      <c r="J211" s="10" t="str">
        <f t="shared" si="23"/>
        <v/>
      </c>
    </row>
    <row r="212" spans="1:10" x14ac:dyDescent="0.3">
      <c r="A212" s="5"/>
      <c r="B212" s="4" t="str">
        <f t="shared" si="18"/>
        <v/>
      </c>
      <c r="C212" s="17"/>
      <c r="D212" s="17"/>
      <c r="E212" s="17"/>
      <c r="F212" s="4" t="str">
        <f t="shared" si="19"/>
        <v/>
      </c>
      <c r="G212" s="10" t="str">
        <f t="shared" si="20"/>
        <v/>
      </c>
      <c r="H212" s="10" t="str">
        <f t="shared" si="21"/>
        <v/>
      </c>
      <c r="I212" s="10" t="str">
        <f t="shared" si="22"/>
        <v/>
      </c>
      <c r="J212" s="10" t="str">
        <f t="shared" si="23"/>
        <v/>
      </c>
    </row>
    <row r="213" spans="1:10" x14ac:dyDescent="0.3">
      <c r="A213" s="5"/>
      <c r="B213" s="4" t="str">
        <f t="shared" si="18"/>
        <v/>
      </c>
      <c r="C213" s="17"/>
      <c r="D213" s="17"/>
      <c r="E213" s="17"/>
      <c r="F213" s="4" t="str">
        <f t="shared" si="19"/>
        <v/>
      </c>
      <c r="G213" s="10" t="str">
        <f t="shared" si="20"/>
        <v/>
      </c>
      <c r="H213" s="10" t="str">
        <f t="shared" si="21"/>
        <v/>
      </c>
      <c r="I213" s="10" t="str">
        <f t="shared" si="22"/>
        <v/>
      </c>
      <c r="J213" s="10" t="str">
        <f t="shared" si="23"/>
        <v/>
      </c>
    </row>
    <row r="214" spans="1:10" x14ac:dyDescent="0.3">
      <c r="A214" s="5"/>
      <c r="B214" s="4" t="str">
        <f t="shared" si="18"/>
        <v/>
      </c>
      <c r="C214" s="17"/>
      <c r="D214" s="17"/>
      <c r="E214" s="17"/>
      <c r="F214" s="4" t="str">
        <f t="shared" si="19"/>
        <v/>
      </c>
      <c r="G214" s="10" t="str">
        <f t="shared" si="20"/>
        <v/>
      </c>
      <c r="H214" s="10" t="str">
        <f t="shared" si="21"/>
        <v/>
      </c>
      <c r="I214" s="10" t="str">
        <f t="shared" si="22"/>
        <v/>
      </c>
      <c r="J214" s="10" t="str">
        <f t="shared" si="23"/>
        <v/>
      </c>
    </row>
    <row r="215" spans="1:10" x14ac:dyDescent="0.3">
      <c r="A215" s="5"/>
      <c r="B215" s="4" t="str">
        <f t="shared" si="18"/>
        <v/>
      </c>
      <c r="C215" s="17"/>
      <c r="D215" s="17"/>
      <c r="E215" s="17"/>
      <c r="F215" s="4" t="str">
        <f t="shared" si="19"/>
        <v/>
      </c>
      <c r="G215" s="10" t="str">
        <f t="shared" si="20"/>
        <v/>
      </c>
      <c r="H215" s="10" t="str">
        <f t="shared" si="21"/>
        <v/>
      </c>
      <c r="I215" s="10" t="str">
        <f t="shared" si="22"/>
        <v/>
      </c>
      <c r="J215" s="10" t="str">
        <f t="shared" si="23"/>
        <v/>
      </c>
    </row>
    <row r="216" spans="1:10" x14ac:dyDescent="0.3">
      <c r="A216" s="5"/>
      <c r="B216" s="4" t="str">
        <f t="shared" si="18"/>
        <v/>
      </c>
      <c r="C216" s="17"/>
      <c r="D216" s="17"/>
      <c r="E216" s="17"/>
      <c r="F216" s="4" t="str">
        <f t="shared" si="19"/>
        <v/>
      </c>
      <c r="G216" s="10" t="str">
        <f t="shared" si="20"/>
        <v/>
      </c>
      <c r="H216" s="10" t="str">
        <f t="shared" si="21"/>
        <v/>
      </c>
      <c r="I216" s="10" t="str">
        <f t="shared" si="22"/>
        <v/>
      </c>
      <c r="J216" s="10" t="str">
        <f t="shared" si="23"/>
        <v/>
      </c>
    </row>
    <row r="217" spans="1:10" x14ac:dyDescent="0.3">
      <c r="A217" s="5"/>
      <c r="B217" s="4" t="str">
        <f t="shared" si="18"/>
        <v/>
      </c>
      <c r="C217" s="17"/>
      <c r="D217" s="17"/>
      <c r="E217" s="17"/>
      <c r="F217" s="4" t="str">
        <f t="shared" si="19"/>
        <v/>
      </c>
      <c r="G217" s="10" t="str">
        <f t="shared" si="20"/>
        <v/>
      </c>
      <c r="H217" s="10" t="str">
        <f t="shared" si="21"/>
        <v/>
      </c>
      <c r="I217" s="10" t="str">
        <f t="shared" si="22"/>
        <v/>
      </c>
      <c r="J217" s="10" t="str">
        <f t="shared" si="23"/>
        <v/>
      </c>
    </row>
    <row r="218" spans="1:10" x14ac:dyDescent="0.3">
      <c r="A218" s="5"/>
      <c r="B218" s="4" t="str">
        <f t="shared" si="18"/>
        <v/>
      </c>
      <c r="C218" s="17"/>
      <c r="D218" s="17"/>
      <c r="E218" s="17"/>
      <c r="F218" s="4" t="str">
        <f t="shared" si="19"/>
        <v/>
      </c>
      <c r="G218" s="10" t="str">
        <f t="shared" si="20"/>
        <v/>
      </c>
      <c r="H218" s="10" t="str">
        <f t="shared" si="21"/>
        <v/>
      </c>
      <c r="I218" s="10" t="str">
        <f t="shared" si="22"/>
        <v/>
      </c>
      <c r="J218" s="10" t="str">
        <f t="shared" si="23"/>
        <v/>
      </c>
    </row>
    <row r="219" spans="1:10" x14ac:dyDescent="0.3">
      <c r="A219" s="5"/>
      <c r="B219" s="4" t="str">
        <f t="shared" si="18"/>
        <v/>
      </c>
      <c r="C219" s="17"/>
      <c r="D219" s="17"/>
      <c r="E219" s="17"/>
      <c r="F219" s="4" t="str">
        <f t="shared" si="19"/>
        <v/>
      </c>
      <c r="G219" s="10" t="str">
        <f t="shared" si="20"/>
        <v/>
      </c>
      <c r="H219" s="10" t="str">
        <f t="shared" si="21"/>
        <v/>
      </c>
      <c r="I219" s="10" t="str">
        <f t="shared" si="22"/>
        <v/>
      </c>
      <c r="J219" s="10" t="str">
        <f t="shared" si="23"/>
        <v/>
      </c>
    </row>
    <row r="220" spans="1:10" x14ac:dyDescent="0.3">
      <c r="A220" s="5"/>
      <c r="B220" s="4" t="str">
        <f t="shared" si="18"/>
        <v/>
      </c>
      <c r="C220" s="17"/>
      <c r="D220" s="17"/>
      <c r="E220" s="17"/>
      <c r="F220" s="4" t="str">
        <f t="shared" si="19"/>
        <v/>
      </c>
      <c r="G220" s="10" t="str">
        <f t="shared" si="20"/>
        <v/>
      </c>
      <c r="H220" s="10" t="str">
        <f t="shared" si="21"/>
        <v/>
      </c>
      <c r="I220" s="10" t="str">
        <f t="shared" si="22"/>
        <v/>
      </c>
      <c r="J220" s="10" t="str">
        <f t="shared" si="23"/>
        <v/>
      </c>
    </row>
    <row r="221" spans="1:10" x14ac:dyDescent="0.3">
      <c r="A221" s="5"/>
      <c r="B221" s="4" t="str">
        <f t="shared" si="18"/>
        <v/>
      </c>
      <c r="C221" s="17"/>
      <c r="D221" s="17"/>
      <c r="E221" s="17"/>
      <c r="F221" s="4" t="str">
        <f t="shared" si="19"/>
        <v/>
      </c>
      <c r="G221" s="10" t="str">
        <f t="shared" si="20"/>
        <v/>
      </c>
      <c r="H221" s="10" t="str">
        <f t="shared" si="21"/>
        <v/>
      </c>
      <c r="I221" s="10" t="str">
        <f t="shared" si="22"/>
        <v/>
      </c>
      <c r="J221" s="10" t="str">
        <f t="shared" si="23"/>
        <v/>
      </c>
    </row>
    <row r="222" spans="1:10" x14ac:dyDescent="0.3">
      <c r="A222" s="5"/>
      <c r="B222" s="4" t="str">
        <f t="shared" si="18"/>
        <v/>
      </c>
      <c r="C222" s="17"/>
      <c r="D222" s="17"/>
      <c r="E222" s="17"/>
      <c r="F222" s="4" t="str">
        <f t="shared" si="19"/>
        <v/>
      </c>
      <c r="G222" s="10" t="str">
        <f t="shared" si="20"/>
        <v/>
      </c>
      <c r="H222" s="10" t="str">
        <f t="shared" si="21"/>
        <v/>
      </c>
      <c r="I222" s="10" t="str">
        <f t="shared" si="22"/>
        <v/>
      </c>
      <c r="J222" s="10" t="str">
        <f t="shared" si="23"/>
        <v/>
      </c>
    </row>
    <row r="223" spans="1:10" x14ac:dyDescent="0.3">
      <c r="A223" s="5"/>
      <c r="B223" s="4" t="str">
        <f t="shared" si="18"/>
        <v/>
      </c>
      <c r="C223" s="17"/>
      <c r="D223" s="17"/>
      <c r="E223" s="17"/>
      <c r="F223" s="4" t="str">
        <f t="shared" si="19"/>
        <v/>
      </c>
      <c r="G223" s="10" t="str">
        <f t="shared" si="20"/>
        <v/>
      </c>
      <c r="H223" s="10" t="str">
        <f t="shared" si="21"/>
        <v/>
      </c>
      <c r="I223" s="10" t="str">
        <f t="shared" si="22"/>
        <v/>
      </c>
      <c r="J223" s="10" t="str">
        <f t="shared" si="23"/>
        <v/>
      </c>
    </row>
    <row r="224" spans="1:10" x14ac:dyDescent="0.3">
      <c r="A224" s="5"/>
      <c r="B224" s="4" t="str">
        <f t="shared" si="18"/>
        <v/>
      </c>
      <c r="C224" s="17"/>
      <c r="D224" s="17"/>
      <c r="E224" s="17"/>
      <c r="F224" s="4" t="str">
        <f t="shared" si="19"/>
        <v/>
      </c>
      <c r="G224" s="10" t="str">
        <f t="shared" si="20"/>
        <v/>
      </c>
      <c r="H224" s="10" t="str">
        <f t="shared" si="21"/>
        <v/>
      </c>
      <c r="I224" s="10" t="str">
        <f t="shared" si="22"/>
        <v/>
      </c>
      <c r="J224" s="10" t="str">
        <f t="shared" si="23"/>
        <v/>
      </c>
    </row>
    <row r="225" spans="1:10" x14ac:dyDescent="0.3">
      <c r="A225" s="5"/>
      <c r="B225" s="4" t="str">
        <f t="shared" si="18"/>
        <v/>
      </c>
      <c r="C225" s="17"/>
      <c r="D225" s="17"/>
      <c r="E225" s="17"/>
      <c r="F225" s="4" t="str">
        <f t="shared" si="19"/>
        <v/>
      </c>
      <c r="G225" s="10" t="str">
        <f t="shared" si="20"/>
        <v/>
      </c>
      <c r="H225" s="10" t="str">
        <f t="shared" si="21"/>
        <v/>
      </c>
      <c r="I225" s="10" t="str">
        <f t="shared" si="22"/>
        <v/>
      </c>
      <c r="J225" s="10" t="str">
        <f t="shared" si="23"/>
        <v/>
      </c>
    </row>
    <row r="226" spans="1:10" x14ac:dyDescent="0.3">
      <c r="A226" s="5"/>
      <c r="B226" s="4" t="str">
        <f t="shared" si="18"/>
        <v/>
      </c>
      <c r="C226" s="17"/>
      <c r="D226" s="17"/>
      <c r="E226" s="17"/>
      <c r="F226" s="4" t="str">
        <f t="shared" si="19"/>
        <v/>
      </c>
      <c r="G226" s="10" t="str">
        <f t="shared" si="20"/>
        <v/>
      </c>
      <c r="H226" s="10" t="str">
        <f t="shared" si="21"/>
        <v/>
      </c>
      <c r="I226" s="10" t="str">
        <f t="shared" si="22"/>
        <v/>
      </c>
      <c r="J226" s="10" t="str">
        <f t="shared" si="23"/>
        <v/>
      </c>
    </row>
    <row r="227" spans="1:10" x14ac:dyDescent="0.3">
      <c r="A227" s="5"/>
      <c r="B227" s="4" t="str">
        <f t="shared" si="18"/>
        <v/>
      </c>
      <c r="C227" s="17"/>
      <c r="D227" s="17"/>
      <c r="E227" s="17"/>
      <c r="F227" s="4" t="str">
        <f t="shared" si="19"/>
        <v/>
      </c>
      <c r="G227" s="10" t="str">
        <f t="shared" si="20"/>
        <v/>
      </c>
      <c r="H227" s="10" t="str">
        <f t="shared" si="21"/>
        <v/>
      </c>
      <c r="I227" s="10" t="str">
        <f t="shared" si="22"/>
        <v/>
      </c>
      <c r="J227" s="10" t="str">
        <f t="shared" si="23"/>
        <v/>
      </c>
    </row>
    <row r="228" spans="1:10" x14ac:dyDescent="0.3">
      <c r="A228" s="5"/>
      <c r="B228" s="4" t="str">
        <f t="shared" si="18"/>
        <v/>
      </c>
      <c r="C228" s="17"/>
      <c r="D228" s="17"/>
      <c r="E228" s="17"/>
      <c r="F228" s="4" t="str">
        <f t="shared" si="19"/>
        <v/>
      </c>
      <c r="G228" s="10" t="str">
        <f t="shared" si="20"/>
        <v/>
      </c>
      <c r="H228" s="10" t="str">
        <f t="shared" si="21"/>
        <v/>
      </c>
      <c r="I228" s="10" t="str">
        <f t="shared" si="22"/>
        <v/>
      </c>
      <c r="J228" s="10" t="str">
        <f t="shared" si="23"/>
        <v/>
      </c>
    </row>
    <row r="229" spans="1:10" x14ac:dyDescent="0.3">
      <c r="A229" s="5"/>
      <c r="B229" s="4" t="str">
        <f t="shared" si="18"/>
        <v/>
      </c>
      <c r="C229" s="17"/>
      <c r="D229" s="17"/>
      <c r="E229" s="17"/>
      <c r="F229" s="4" t="str">
        <f t="shared" si="19"/>
        <v/>
      </c>
      <c r="G229" s="10" t="str">
        <f t="shared" si="20"/>
        <v/>
      </c>
      <c r="H229" s="10" t="str">
        <f t="shared" si="21"/>
        <v/>
      </c>
      <c r="I229" s="10" t="str">
        <f t="shared" si="22"/>
        <v/>
      </c>
      <c r="J229" s="10" t="str">
        <f t="shared" si="23"/>
        <v/>
      </c>
    </row>
    <row r="230" spans="1:10" x14ac:dyDescent="0.3">
      <c r="A230" s="5"/>
      <c r="B230" s="4" t="str">
        <f t="shared" si="18"/>
        <v/>
      </c>
      <c r="C230" s="17"/>
      <c r="D230" s="17"/>
      <c r="E230" s="17"/>
      <c r="F230" s="4" t="str">
        <f t="shared" si="19"/>
        <v/>
      </c>
      <c r="G230" s="10" t="str">
        <f t="shared" si="20"/>
        <v/>
      </c>
      <c r="H230" s="10" t="str">
        <f t="shared" si="21"/>
        <v/>
      </c>
      <c r="I230" s="10" t="str">
        <f t="shared" si="22"/>
        <v/>
      </c>
      <c r="J230" s="10" t="str">
        <f t="shared" si="23"/>
        <v/>
      </c>
    </row>
    <row r="231" spans="1:10" x14ac:dyDescent="0.3">
      <c r="A231" s="5"/>
      <c r="B231" s="4" t="str">
        <f t="shared" si="18"/>
        <v/>
      </c>
      <c r="C231" s="17"/>
      <c r="D231" s="17"/>
      <c r="E231" s="17"/>
      <c r="F231" s="4" t="str">
        <f t="shared" si="19"/>
        <v/>
      </c>
      <c r="G231" s="10" t="str">
        <f t="shared" si="20"/>
        <v/>
      </c>
      <c r="H231" s="10" t="str">
        <f t="shared" si="21"/>
        <v/>
      </c>
      <c r="I231" s="10" t="str">
        <f t="shared" si="22"/>
        <v/>
      </c>
      <c r="J231" s="10" t="str">
        <f t="shared" si="23"/>
        <v/>
      </c>
    </row>
    <row r="232" spans="1:10" x14ac:dyDescent="0.3">
      <c r="A232" s="5"/>
      <c r="B232" s="4" t="str">
        <f t="shared" si="18"/>
        <v/>
      </c>
      <c r="C232" s="17"/>
      <c r="D232" s="17"/>
      <c r="E232" s="17"/>
      <c r="F232" s="4" t="str">
        <f t="shared" si="19"/>
        <v/>
      </c>
      <c r="G232" s="10" t="str">
        <f t="shared" si="20"/>
        <v/>
      </c>
      <c r="H232" s="10" t="str">
        <f t="shared" si="21"/>
        <v/>
      </c>
      <c r="I232" s="10" t="str">
        <f t="shared" si="22"/>
        <v/>
      </c>
      <c r="J232" s="10" t="str">
        <f t="shared" si="23"/>
        <v/>
      </c>
    </row>
    <row r="233" spans="1:10" x14ac:dyDescent="0.3">
      <c r="A233" s="5"/>
      <c r="B233" s="4" t="str">
        <f t="shared" si="18"/>
        <v/>
      </c>
      <c r="C233" s="17"/>
      <c r="D233" s="17"/>
      <c r="E233" s="17"/>
      <c r="F233" s="4" t="str">
        <f t="shared" si="19"/>
        <v/>
      </c>
      <c r="G233" s="10" t="str">
        <f t="shared" si="20"/>
        <v/>
      </c>
      <c r="H233" s="10" t="str">
        <f t="shared" si="21"/>
        <v/>
      </c>
      <c r="I233" s="10" t="str">
        <f t="shared" si="22"/>
        <v/>
      </c>
      <c r="J233" s="10" t="str">
        <f t="shared" si="23"/>
        <v/>
      </c>
    </row>
    <row r="234" spans="1:10" x14ac:dyDescent="0.3">
      <c r="A234" s="5"/>
      <c r="B234" s="4" t="str">
        <f t="shared" si="18"/>
        <v/>
      </c>
      <c r="C234" s="17"/>
      <c r="D234" s="17"/>
      <c r="E234" s="17"/>
      <c r="F234" s="4" t="str">
        <f t="shared" si="19"/>
        <v/>
      </c>
      <c r="G234" s="10" t="str">
        <f t="shared" si="20"/>
        <v/>
      </c>
      <c r="H234" s="10" t="str">
        <f t="shared" si="21"/>
        <v/>
      </c>
      <c r="I234" s="10" t="str">
        <f t="shared" si="22"/>
        <v/>
      </c>
      <c r="J234" s="10" t="str">
        <f t="shared" si="23"/>
        <v/>
      </c>
    </row>
    <row r="235" spans="1:10" x14ac:dyDescent="0.3">
      <c r="A235" s="5"/>
      <c r="B235" s="4" t="str">
        <f t="shared" si="18"/>
        <v/>
      </c>
      <c r="C235" s="17"/>
      <c r="D235" s="17"/>
      <c r="E235" s="17"/>
      <c r="F235" s="4" t="str">
        <f t="shared" si="19"/>
        <v/>
      </c>
      <c r="G235" s="10" t="str">
        <f t="shared" si="20"/>
        <v/>
      </c>
      <c r="H235" s="10" t="str">
        <f t="shared" si="21"/>
        <v/>
      </c>
      <c r="I235" s="10" t="str">
        <f t="shared" si="22"/>
        <v/>
      </c>
      <c r="J235" s="10" t="str">
        <f t="shared" si="23"/>
        <v/>
      </c>
    </row>
    <row r="236" spans="1:10" x14ac:dyDescent="0.3">
      <c r="A236" s="5"/>
      <c r="B236" s="4" t="str">
        <f t="shared" si="18"/>
        <v/>
      </c>
      <c r="C236" s="17"/>
      <c r="D236" s="17"/>
      <c r="E236" s="17"/>
      <c r="F236" s="4" t="str">
        <f t="shared" si="19"/>
        <v/>
      </c>
      <c r="G236" s="10" t="str">
        <f t="shared" si="20"/>
        <v/>
      </c>
      <c r="H236" s="10" t="str">
        <f t="shared" si="21"/>
        <v/>
      </c>
      <c r="I236" s="10" t="str">
        <f t="shared" si="22"/>
        <v/>
      </c>
      <c r="J236" s="10" t="str">
        <f t="shared" si="23"/>
        <v/>
      </c>
    </row>
    <row r="237" spans="1:10" x14ac:dyDescent="0.3">
      <c r="A237" s="5"/>
      <c r="B237" s="4" t="str">
        <f t="shared" si="18"/>
        <v/>
      </c>
      <c r="C237" s="17"/>
      <c r="D237" s="17"/>
      <c r="E237" s="17"/>
      <c r="F237" s="4" t="str">
        <f t="shared" si="19"/>
        <v/>
      </c>
      <c r="G237" s="10" t="str">
        <f t="shared" si="20"/>
        <v/>
      </c>
      <c r="H237" s="10" t="str">
        <f t="shared" si="21"/>
        <v/>
      </c>
      <c r="I237" s="10" t="str">
        <f t="shared" si="22"/>
        <v/>
      </c>
      <c r="J237" s="10" t="str">
        <f t="shared" si="23"/>
        <v/>
      </c>
    </row>
    <row r="238" spans="1:10" x14ac:dyDescent="0.3">
      <c r="A238" s="5"/>
      <c r="B238" s="4" t="str">
        <f t="shared" si="18"/>
        <v/>
      </c>
      <c r="C238" s="17"/>
      <c r="D238" s="17"/>
      <c r="E238" s="17"/>
      <c r="F238" s="4" t="str">
        <f t="shared" si="19"/>
        <v/>
      </c>
      <c r="G238" s="10" t="str">
        <f t="shared" si="20"/>
        <v/>
      </c>
      <c r="H238" s="10" t="str">
        <f t="shared" si="21"/>
        <v/>
      </c>
      <c r="I238" s="10" t="str">
        <f t="shared" si="22"/>
        <v/>
      </c>
      <c r="J238" s="10" t="str">
        <f t="shared" si="23"/>
        <v/>
      </c>
    </row>
    <row r="239" spans="1:10" x14ac:dyDescent="0.3">
      <c r="A239" s="5"/>
      <c r="B239" s="4" t="str">
        <f t="shared" si="18"/>
        <v/>
      </c>
      <c r="C239" s="17"/>
      <c r="D239" s="17"/>
      <c r="E239" s="17"/>
      <c r="F239" s="4" t="str">
        <f t="shared" si="19"/>
        <v/>
      </c>
      <c r="G239" s="10" t="str">
        <f t="shared" si="20"/>
        <v/>
      </c>
      <c r="H239" s="10" t="str">
        <f t="shared" si="21"/>
        <v/>
      </c>
      <c r="I239" s="10" t="str">
        <f t="shared" si="22"/>
        <v/>
      </c>
      <c r="J239" s="10" t="str">
        <f t="shared" si="23"/>
        <v/>
      </c>
    </row>
    <row r="240" spans="1:10" x14ac:dyDescent="0.3">
      <c r="A240" s="5"/>
      <c r="B240" s="4" t="str">
        <f t="shared" si="18"/>
        <v/>
      </c>
      <c r="C240" s="17"/>
      <c r="D240" s="17"/>
      <c r="E240" s="17"/>
      <c r="F240" s="4" t="str">
        <f t="shared" si="19"/>
        <v/>
      </c>
      <c r="G240" s="10" t="str">
        <f t="shared" si="20"/>
        <v/>
      </c>
      <c r="H240" s="10" t="str">
        <f t="shared" si="21"/>
        <v/>
      </c>
      <c r="I240" s="10" t="str">
        <f t="shared" si="22"/>
        <v/>
      </c>
      <c r="J240" s="10" t="str">
        <f t="shared" si="23"/>
        <v/>
      </c>
    </row>
    <row r="241" spans="1:10" x14ac:dyDescent="0.3">
      <c r="A241" s="5"/>
      <c r="B241" s="4" t="str">
        <f t="shared" si="18"/>
        <v/>
      </c>
      <c r="C241" s="17"/>
      <c r="D241" s="17"/>
      <c r="E241" s="17"/>
      <c r="F241" s="4" t="str">
        <f t="shared" si="19"/>
        <v/>
      </c>
      <c r="G241" s="10" t="str">
        <f t="shared" si="20"/>
        <v/>
      </c>
      <c r="H241" s="10" t="str">
        <f t="shared" si="21"/>
        <v/>
      </c>
      <c r="I241" s="10" t="str">
        <f t="shared" si="22"/>
        <v/>
      </c>
      <c r="J241" s="10" t="str">
        <f t="shared" si="23"/>
        <v/>
      </c>
    </row>
    <row r="242" spans="1:10" x14ac:dyDescent="0.3">
      <c r="A242" s="5"/>
      <c r="B242" s="4" t="str">
        <f t="shared" si="18"/>
        <v/>
      </c>
      <c r="C242" s="17"/>
      <c r="D242" s="17"/>
      <c r="E242" s="17"/>
      <c r="F242" s="4" t="str">
        <f t="shared" si="19"/>
        <v/>
      </c>
      <c r="G242" s="10" t="str">
        <f t="shared" si="20"/>
        <v/>
      </c>
      <c r="H242" s="10" t="str">
        <f t="shared" si="21"/>
        <v/>
      </c>
      <c r="I242" s="10" t="str">
        <f t="shared" si="22"/>
        <v/>
      </c>
      <c r="J242" s="10" t="str">
        <f t="shared" si="23"/>
        <v/>
      </c>
    </row>
    <row r="243" spans="1:10" x14ac:dyDescent="0.3">
      <c r="A243" s="5"/>
      <c r="B243" s="4" t="str">
        <f t="shared" si="18"/>
        <v/>
      </c>
      <c r="C243" s="17"/>
      <c r="D243" s="17"/>
      <c r="E243" s="17"/>
      <c r="F243" s="4" t="str">
        <f t="shared" si="19"/>
        <v/>
      </c>
      <c r="G243" s="10" t="str">
        <f t="shared" si="20"/>
        <v/>
      </c>
      <c r="H243" s="10" t="str">
        <f t="shared" si="21"/>
        <v/>
      </c>
      <c r="I243" s="10" t="str">
        <f t="shared" si="22"/>
        <v/>
      </c>
      <c r="J243" s="10" t="str">
        <f t="shared" si="23"/>
        <v/>
      </c>
    </row>
    <row r="244" spans="1:10" x14ac:dyDescent="0.3">
      <c r="A244" s="5"/>
      <c r="B244" s="4" t="str">
        <f t="shared" si="18"/>
        <v/>
      </c>
      <c r="C244" s="17"/>
      <c r="D244" s="17"/>
      <c r="E244" s="17"/>
      <c r="F244" s="4" t="str">
        <f t="shared" si="19"/>
        <v/>
      </c>
      <c r="G244" s="10" t="str">
        <f t="shared" si="20"/>
        <v/>
      </c>
      <c r="H244" s="10" t="str">
        <f t="shared" si="21"/>
        <v/>
      </c>
      <c r="I244" s="10" t="str">
        <f t="shared" si="22"/>
        <v/>
      </c>
      <c r="J244" s="10" t="str">
        <f t="shared" si="23"/>
        <v/>
      </c>
    </row>
    <row r="245" spans="1:10" x14ac:dyDescent="0.3">
      <c r="A245" s="5"/>
      <c r="B245" s="4" t="str">
        <f t="shared" si="18"/>
        <v/>
      </c>
      <c r="C245" s="17"/>
      <c r="D245" s="17"/>
      <c r="E245" s="17"/>
      <c r="F245" s="4" t="str">
        <f t="shared" si="19"/>
        <v/>
      </c>
      <c r="G245" s="10" t="str">
        <f t="shared" si="20"/>
        <v/>
      </c>
      <c r="H245" s="10" t="str">
        <f t="shared" si="21"/>
        <v/>
      </c>
      <c r="I245" s="10" t="str">
        <f t="shared" si="22"/>
        <v/>
      </c>
      <c r="J245" s="10" t="str">
        <f t="shared" si="23"/>
        <v/>
      </c>
    </row>
    <row r="246" spans="1:10" x14ac:dyDescent="0.3">
      <c r="A246" s="5"/>
      <c r="B246" s="4" t="str">
        <f t="shared" si="18"/>
        <v/>
      </c>
      <c r="C246" s="17"/>
      <c r="D246" s="17"/>
      <c r="E246" s="17"/>
      <c r="F246" s="4" t="str">
        <f t="shared" si="19"/>
        <v/>
      </c>
      <c r="G246" s="10" t="str">
        <f t="shared" si="20"/>
        <v/>
      </c>
      <c r="H246" s="10" t="str">
        <f t="shared" si="21"/>
        <v/>
      </c>
      <c r="I246" s="10" t="str">
        <f t="shared" si="22"/>
        <v/>
      </c>
      <c r="J246" s="10" t="str">
        <f t="shared" si="23"/>
        <v/>
      </c>
    </row>
    <row r="247" spans="1:10" x14ac:dyDescent="0.3">
      <c r="A247" s="5"/>
      <c r="B247" s="4" t="str">
        <f t="shared" si="18"/>
        <v/>
      </c>
      <c r="C247" s="17"/>
      <c r="D247" s="17"/>
      <c r="E247" s="17"/>
      <c r="F247" s="4" t="str">
        <f t="shared" si="19"/>
        <v/>
      </c>
      <c r="G247" s="10" t="str">
        <f t="shared" si="20"/>
        <v/>
      </c>
      <c r="H247" s="10" t="str">
        <f t="shared" si="21"/>
        <v/>
      </c>
      <c r="I247" s="10" t="str">
        <f t="shared" si="22"/>
        <v/>
      </c>
      <c r="J247" s="10" t="str">
        <f t="shared" si="23"/>
        <v/>
      </c>
    </row>
    <row r="248" spans="1:10" x14ac:dyDescent="0.3">
      <c r="A248" s="5"/>
      <c r="B248" s="4" t="str">
        <f t="shared" si="18"/>
        <v/>
      </c>
      <c r="C248" s="17"/>
      <c r="D248" s="17"/>
      <c r="E248" s="17"/>
      <c r="F248" s="4" t="str">
        <f t="shared" si="19"/>
        <v/>
      </c>
      <c r="G248" s="10" t="str">
        <f t="shared" si="20"/>
        <v/>
      </c>
      <c r="H248" s="10" t="str">
        <f t="shared" si="21"/>
        <v/>
      </c>
      <c r="I248" s="10" t="str">
        <f t="shared" si="22"/>
        <v/>
      </c>
      <c r="J248" s="10" t="str">
        <f t="shared" si="23"/>
        <v/>
      </c>
    </row>
    <row r="249" spans="1:10" x14ac:dyDescent="0.3">
      <c r="A249" s="5"/>
      <c r="B249" s="4" t="str">
        <f t="shared" si="18"/>
        <v/>
      </c>
      <c r="C249" s="17"/>
      <c r="D249" s="17"/>
      <c r="E249" s="17"/>
      <c r="F249" s="4" t="str">
        <f t="shared" si="19"/>
        <v/>
      </c>
      <c r="G249" s="10" t="str">
        <f t="shared" si="20"/>
        <v/>
      </c>
      <c r="H249" s="10" t="str">
        <f t="shared" si="21"/>
        <v/>
      </c>
      <c r="I249" s="10" t="str">
        <f t="shared" si="22"/>
        <v/>
      </c>
      <c r="J249" s="10" t="str">
        <f t="shared" si="23"/>
        <v/>
      </c>
    </row>
    <row r="250" spans="1:10" x14ac:dyDescent="0.3">
      <c r="A250" s="5"/>
      <c r="B250" s="4" t="str">
        <f t="shared" si="18"/>
        <v/>
      </c>
      <c r="C250" s="17"/>
      <c r="D250" s="17"/>
      <c r="E250" s="17"/>
      <c r="F250" s="4" t="str">
        <f t="shared" si="19"/>
        <v/>
      </c>
      <c r="G250" s="10" t="str">
        <f t="shared" si="20"/>
        <v/>
      </c>
      <c r="H250" s="10" t="str">
        <f t="shared" si="21"/>
        <v/>
      </c>
      <c r="I250" s="10" t="str">
        <f t="shared" si="22"/>
        <v/>
      </c>
      <c r="J250" s="10" t="str">
        <f t="shared" si="23"/>
        <v/>
      </c>
    </row>
    <row r="251" spans="1:10" x14ac:dyDescent="0.3">
      <c r="A251" s="5"/>
      <c r="B251" s="4" t="str">
        <f t="shared" si="18"/>
        <v/>
      </c>
      <c r="C251" s="17"/>
      <c r="D251" s="17"/>
      <c r="E251" s="17"/>
      <c r="F251" s="4" t="str">
        <f t="shared" si="19"/>
        <v/>
      </c>
      <c r="G251" s="10" t="str">
        <f t="shared" si="20"/>
        <v/>
      </c>
      <c r="H251" s="10" t="str">
        <f t="shared" si="21"/>
        <v/>
      </c>
      <c r="I251" s="10" t="str">
        <f t="shared" si="22"/>
        <v/>
      </c>
      <c r="J251" s="10" t="str">
        <f t="shared" si="23"/>
        <v/>
      </c>
    </row>
    <row r="252" spans="1:10" x14ac:dyDescent="0.3">
      <c r="A252" s="5"/>
      <c r="B252" s="4" t="str">
        <f t="shared" si="18"/>
        <v/>
      </c>
      <c r="C252" s="17"/>
      <c r="D252" s="17"/>
      <c r="E252" s="17"/>
      <c r="F252" s="4" t="str">
        <f t="shared" si="19"/>
        <v/>
      </c>
      <c r="G252" s="10" t="str">
        <f t="shared" si="20"/>
        <v/>
      </c>
      <c r="H252" s="10" t="str">
        <f t="shared" si="21"/>
        <v/>
      </c>
      <c r="I252" s="10" t="str">
        <f t="shared" si="22"/>
        <v/>
      </c>
      <c r="J252" s="10" t="str">
        <f t="shared" si="23"/>
        <v/>
      </c>
    </row>
    <row r="253" spans="1:10" x14ac:dyDescent="0.3">
      <c r="A253" s="5"/>
      <c r="B253" s="4" t="str">
        <f t="shared" si="18"/>
        <v/>
      </c>
      <c r="C253" s="17"/>
      <c r="D253" s="17"/>
      <c r="E253" s="17"/>
      <c r="F253" s="4" t="str">
        <f t="shared" si="19"/>
        <v/>
      </c>
      <c r="G253" s="10" t="str">
        <f t="shared" si="20"/>
        <v/>
      </c>
      <c r="H253" s="10" t="str">
        <f t="shared" si="21"/>
        <v/>
      </c>
      <c r="I253" s="10" t="str">
        <f t="shared" si="22"/>
        <v/>
      </c>
      <c r="J253" s="10" t="str">
        <f t="shared" si="23"/>
        <v/>
      </c>
    </row>
    <row r="254" spans="1:10" x14ac:dyDescent="0.3">
      <c r="A254" s="5"/>
      <c r="B254" s="4" t="str">
        <f t="shared" si="18"/>
        <v/>
      </c>
      <c r="C254" s="17"/>
      <c r="D254" s="17"/>
      <c r="E254" s="17"/>
      <c r="F254" s="4" t="str">
        <f t="shared" si="19"/>
        <v/>
      </c>
      <c r="G254" s="10" t="str">
        <f t="shared" si="20"/>
        <v/>
      </c>
      <c r="H254" s="10" t="str">
        <f t="shared" si="21"/>
        <v/>
      </c>
      <c r="I254" s="10" t="str">
        <f t="shared" si="22"/>
        <v/>
      </c>
      <c r="J254" s="10" t="str">
        <f t="shared" si="23"/>
        <v/>
      </c>
    </row>
    <row r="255" spans="1:10" x14ac:dyDescent="0.3">
      <c r="A255" s="5"/>
      <c r="B255" s="4" t="str">
        <f t="shared" si="18"/>
        <v/>
      </c>
      <c r="C255" s="17"/>
      <c r="D255" s="17"/>
      <c r="E255" s="17"/>
      <c r="F255" s="4" t="str">
        <f t="shared" si="19"/>
        <v/>
      </c>
      <c r="G255" s="10" t="str">
        <f t="shared" si="20"/>
        <v/>
      </c>
      <c r="H255" s="10" t="str">
        <f t="shared" si="21"/>
        <v/>
      </c>
      <c r="I255" s="10" t="str">
        <f t="shared" si="22"/>
        <v/>
      </c>
      <c r="J255" s="10" t="str">
        <f t="shared" si="23"/>
        <v/>
      </c>
    </row>
    <row r="256" spans="1:10" x14ac:dyDescent="0.3">
      <c r="A256" s="5"/>
      <c r="B256" s="4" t="str">
        <f t="shared" si="18"/>
        <v/>
      </c>
      <c r="C256" s="17"/>
      <c r="D256" s="17"/>
      <c r="E256" s="17"/>
      <c r="F256" s="4" t="str">
        <f t="shared" si="19"/>
        <v/>
      </c>
      <c r="G256" s="10" t="str">
        <f t="shared" si="20"/>
        <v/>
      </c>
      <c r="H256" s="10" t="str">
        <f t="shared" si="21"/>
        <v/>
      </c>
      <c r="I256" s="10" t="str">
        <f t="shared" si="22"/>
        <v/>
      </c>
      <c r="J256" s="10" t="str">
        <f t="shared" si="23"/>
        <v/>
      </c>
    </row>
    <row r="257" spans="1:10" x14ac:dyDescent="0.3">
      <c r="A257" s="5"/>
      <c r="B257" s="4" t="str">
        <f t="shared" si="18"/>
        <v/>
      </c>
      <c r="C257" s="17"/>
      <c r="D257" s="17"/>
      <c r="E257" s="17"/>
      <c r="F257" s="4" t="str">
        <f t="shared" si="19"/>
        <v/>
      </c>
      <c r="G257" s="10" t="str">
        <f t="shared" si="20"/>
        <v/>
      </c>
      <c r="H257" s="10" t="str">
        <f t="shared" si="21"/>
        <v/>
      </c>
      <c r="I257" s="10" t="str">
        <f t="shared" si="22"/>
        <v/>
      </c>
      <c r="J257" s="10" t="str">
        <f t="shared" si="23"/>
        <v/>
      </c>
    </row>
    <row r="258" spans="1:10" x14ac:dyDescent="0.3">
      <c r="A258" s="5"/>
      <c r="B258" s="4" t="str">
        <f t="shared" si="18"/>
        <v/>
      </c>
      <c r="C258" s="17"/>
      <c r="D258" s="17"/>
      <c r="E258" s="17"/>
      <c r="F258" s="4" t="str">
        <f t="shared" si="19"/>
        <v/>
      </c>
      <c r="G258" s="10" t="str">
        <f t="shared" si="20"/>
        <v/>
      </c>
      <c r="H258" s="10" t="str">
        <f t="shared" si="21"/>
        <v/>
      </c>
      <c r="I258" s="10" t="str">
        <f t="shared" si="22"/>
        <v/>
      </c>
      <c r="J258" s="10" t="str">
        <f t="shared" si="23"/>
        <v/>
      </c>
    </row>
    <row r="259" spans="1:10" x14ac:dyDescent="0.3">
      <c r="A259" s="5"/>
      <c r="B259" s="4" t="str">
        <f t="shared" si="18"/>
        <v/>
      </c>
      <c r="C259" s="17"/>
      <c r="D259" s="17"/>
      <c r="E259" s="17"/>
      <c r="F259" s="4" t="str">
        <f t="shared" si="19"/>
        <v/>
      </c>
      <c r="G259" s="10" t="str">
        <f t="shared" si="20"/>
        <v/>
      </c>
      <c r="H259" s="10" t="str">
        <f t="shared" si="21"/>
        <v/>
      </c>
      <c r="I259" s="10" t="str">
        <f t="shared" si="22"/>
        <v/>
      </c>
      <c r="J259" s="10" t="str">
        <f t="shared" si="23"/>
        <v/>
      </c>
    </row>
    <row r="260" spans="1:10" x14ac:dyDescent="0.3">
      <c r="A260" s="5"/>
      <c r="B260" s="4" t="str">
        <f t="shared" si="18"/>
        <v/>
      </c>
      <c r="C260" s="17"/>
      <c r="D260" s="17"/>
      <c r="E260" s="17"/>
      <c r="F260" s="4" t="str">
        <f t="shared" si="19"/>
        <v/>
      </c>
      <c r="G260" s="10" t="str">
        <f t="shared" si="20"/>
        <v/>
      </c>
      <c r="H260" s="10" t="str">
        <f t="shared" si="21"/>
        <v/>
      </c>
      <c r="I260" s="10" t="str">
        <f t="shared" si="22"/>
        <v/>
      </c>
      <c r="J260" s="10" t="str">
        <f t="shared" si="23"/>
        <v/>
      </c>
    </row>
    <row r="261" spans="1:10" x14ac:dyDescent="0.3">
      <c r="A261" s="5"/>
      <c r="B261" s="4" t="str">
        <f t="shared" si="18"/>
        <v/>
      </c>
      <c r="C261" s="17"/>
      <c r="D261" s="17"/>
      <c r="E261" s="17"/>
      <c r="F261" s="4" t="str">
        <f t="shared" si="19"/>
        <v/>
      </c>
      <c r="G261" s="10" t="str">
        <f t="shared" si="20"/>
        <v/>
      </c>
      <c r="H261" s="10" t="str">
        <f t="shared" si="21"/>
        <v/>
      </c>
      <c r="I261" s="10" t="str">
        <f t="shared" si="22"/>
        <v/>
      </c>
      <c r="J261" s="10" t="str">
        <f t="shared" si="23"/>
        <v/>
      </c>
    </row>
    <row r="262" spans="1:10" x14ac:dyDescent="0.3">
      <c r="A262" s="5"/>
      <c r="B262" s="4" t="str">
        <f t="shared" ref="B262:B325" si="24">IF(A262="","",IFERROR(INDEX(COA_NAME,MATCH(A262,COA_ACCT,0))&amp;"",IFERROR(INDEX(DICT_ACTIVE,MATCH("TB.UNMAPPED",DICT_KEY,0)),"?")))</f>
        <v/>
      </c>
      <c r="C262" s="17"/>
      <c r="D262" s="17"/>
      <c r="E262" s="17"/>
      <c r="F262" s="4" t="str">
        <f t="shared" ref="F262:F325" si="25">IF(A262="","",IF(G262="",IFERROR(INDEX(DICT_ACTIVE,MATCH("TB.UNMAPPED",DICT_KEY,0)),"?"),""))</f>
        <v/>
      </c>
      <c r="G262" s="10" t="str">
        <f t="shared" ref="G262:G325" si="26">IF(A262="","",IFERROR(INDEX(COA_LINE_EFF,MATCH(A262,COA_ACCT,0))&amp;"",""))</f>
        <v/>
      </c>
      <c r="H262" s="10" t="str">
        <f t="shared" ref="H262:H325" si="27">IF(A262="","",IFERROR(INDEX(COA_CAT_FX,MATCH(A262,COA_ACCT,0))&amp;"",""))</f>
        <v/>
      </c>
      <c r="I262" s="10" t="str">
        <f t="shared" ref="I262:I325" si="28">IF(A262="","",IFERROR(INDEX(COA_CF,MATCH(A262,COA_ACCT,0))&amp;"","-"))</f>
        <v/>
      </c>
      <c r="J262" s="10" t="str">
        <f t="shared" ref="J262:J325" si="29">IF(A262="","",IFERROR(INDEX(COA_LINE_N,MATCH(A262,COA_ACCT,0))&amp;"",""))</f>
        <v/>
      </c>
    </row>
    <row r="263" spans="1:10" x14ac:dyDescent="0.3">
      <c r="A263" s="5"/>
      <c r="B263" s="4" t="str">
        <f t="shared" si="24"/>
        <v/>
      </c>
      <c r="C263" s="17"/>
      <c r="D263" s="17"/>
      <c r="E263" s="17"/>
      <c r="F263" s="4" t="str">
        <f t="shared" si="25"/>
        <v/>
      </c>
      <c r="G263" s="10" t="str">
        <f t="shared" si="26"/>
        <v/>
      </c>
      <c r="H263" s="10" t="str">
        <f t="shared" si="27"/>
        <v/>
      </c>
      <c r="I263" s="10" t="str">
        <f t="shared" si="28"/>
        <v/>
      </c>
      <c r="J263" s="10" t="str">
        <f t="shared" si="29"/>
        <v/>
      </c>
    </row>
    <row r="264" spans="1:10" x14ac:dyDescent="0.3">
      <c r="A264" s="5"/>
      <c r="B264" s="4" t="str">
        <f t="shared" si="24"/>
        <v/>
      </c>
      <c r="C264" s="17"/>
      <c r="D264" s="17"/>
      <c r="E264" s="17"/>
      <c r="F264" s="4" t="str">
        <f t="shared" si="25"/>
        <v/>
      </c>
      <c r="G264" s="10" t="str">
        <f t="shared" si="26"/>
        <v/>
      </c>
      <c r="H264" s="10" t="str">
        <f t="shared" si="27"/>
        <v/>
      </c>
      <c r="I264" s="10" t="str">
        <f t="shared" si="28"/>
        <v/>
      </c>
      <c r="J264" s="10" t="str">
        <f t="shared" si="29"/>
        <v/>
      </c>
    </row>
    <row r="265" spans="1:10" x14ac:dyDescent="0.3">
      <c r="A265" s="5"/>
      <c r="B265" s="4" t="str">
        <f t="shared" si="24"/>
        <v/>
      </c>
      <c r="C265" s="17"/>
      <c r="D265" s="17"/>
      <c r="E265" s="17"/>
      <c r="F265" s="4" t="str">
        <f t="shared" si="25"/>
        <v/>
      </c>
      <c r="G265" s="10" t="str">
        <f t="shared" si="26"/>
        <v/>
      </c>
      <c r="H265" s="10" t="str">
        <f t="shared" si="27"/>
        <v/>
      </c>
      <c r="I265" s="10" t="str">
        <f t="shared" si="28"/>
        <v/>
      </c>
      <c r="J265" s="10" t="str">
        <f t="shared" si="29"/>
        <v/>
      </c>
    </row>
    <row r="266" spans="1:10" x14ac:dyDescent="0.3">
      <c r="A266" s="5"/>
      <c r="B266" s="4" t="str">
        <f t="shared" si="24"/>
        <v/>
      </c>
      <c r="C266" s="17"/>
      <c r="D266" s="17"/>
      <c r="E266" s="17"/>
      <c r="F266" s="4" t="str">
        <f t="shared" si="25"/>
        <v/>
      </c>
      <c r="G266" s="10" t="str">
        <f t="shared" si="26"/>
        <v/>
      </c>
      <c r="H266" s="10" t="str">
        <f t="shared" si="27"/>
        <v/>
      </c>
      <c r="I266" s="10" t="str">
        <f t="shared" si="28"/>
        <v/>
      </c>
      <c r="J266" s="10" t="str">
        <f t="shared" si="29"/>
        <v/>
      </c>
    </row>
    <row r="267" spans="1:10" x14ac:dyDescent="0.3">
      <c r="A267" s="5"/>
      <c r="B267" s="4" t="str">
        <f t="shared" si="24"/>
        <v/>
      </c>
      <c r="C267" s="17"/>
      <c r="D267" s="17"/>
      <c r="E267" s="17"/>
      <c r="F267" s="4" t="str">
        <f t="shared" si="25"/>
        <v/>
      </c>
      <c r="G267" s="10" t="str">
        <f t="shared" si="26"/>
        <v/>
      </c>
      <c r="H267" s="10" t="str">
        <f t="shared" si="27"/>
        <v/>
      </c>
      <c r="I267" s="10" t="str">
        <f t="shared" si="28"/>
        <v/>
      </c>
      <c r="J267" s="10" t="str">
        <f t="shared" si="29"/>
        <v/>
      </c>
    </row>
    <row r="268" spans="1:10" x14ac:dyDescent="0.3">
      <c r="A268" s="5"/>
      <c r="B268" s="4" t="str">
        <f t="shared" si="24"/>
        <v/>
      </c>
      <c r="C268" s="17"/>
      <c r="D268" s="17"/>
      <c r="E268" s="17"/>
      <c r="F268" s="4" t="str">
        <f t="shared" si="25"/>
        <v/>
      </c>
      <c r="G268" s="10" t="str">
        <f t="shared" si="26"/>
        <v/>
      </c>
      <c r="H268" s="10" t="str">
        <f t="shared" si="27"/>
        <v/>
      </c>
      <c r="I268" s="10" t="str">
        <f t="shared" si="28"/>
        <v/>
      </c>
      <c r="J268" s="10" t="str">
        <f t="shared" si="29"/>
        <v/>
      </c>
    </row>
    <row r="269" spans="1:10" x14ac:dyDescent="0.3">
      <c r="A269" s="5"/>
      <c r="B269" s="4" t="str">
        <f t="shared" si="24"/>
        <v/>
      </c>
      <c r="C269" s="17"/>
      <c r="D269" s="17"/>
      <c r="E269" s="17"/>
      <c r="F269" s="4" t="str">
        <f t="shared" si="25"/>
        <v/>
      </c>
      <c r="G269" s="10" t="str">
        <f t="shared" si="26"/>
        <v/>
      </c>
      <c r="H269" s="10" t="str">
        <f t="shared" si="27"/>
        <v/>
      </c>
      <c r="I269" s="10" t="str">
        <f t="shared" si="28"/>
        <v/>
      </c>
      <c r="J269" s="10" t="str">
        <f t="shared" si="29"/>
        <v/>
      </c>
    </row>
    <row r="270" spans="1:10" x14ac:dyDescent="0.3">
      <c r="A270" s="5"/>
      <c r="B270" s="4" t="str">
        <f t="shared" si="24"/>
        <v/>
      </c>
      <c r="C270" s="17"/>
      <c r="D270" s="17"/>
      <c r="E270" s="17"/>
      <c r="F270" s="4" t="str">
        <f t="shared" si="25"/>
        <v/>
      </c>
      <c r="G270" s="10" t="str">
        <f t="shared" si="26"/>
        <v/>
      </c>
      <c r="H270" s="10" t="str">
        <f t="shared" si="27"/>
        <v/>
      </c>
      <c r="I270" s="10" t="str">
        <f t="shared" si="28"/>
        <v/>
      </c>
      <c r="J270" s="10" t="str">
        <f t="shared" si="29"/>
        <v/>
      </c>
    </row>
    <row r="271" spans="1:10" x14ac:dyDescent="0.3">
      <c r="A271" s="5"/>
      <c r="B271" s="4" t="str">
        <f t="shared" si="24"/>
        <v/>
      </c>
      <c r="C271" s="17"/>
      <c r="D271" s="17"/>
      <c r="E271" s="17"/>
      <c r="F271" s="4" t="str">
        <f t="shared" si="25"/>
        <v/>
      </c>
      <c r="G271" s="10" t="str">
        <f t="shared" si="26"/>
        <v/>
      </c>
      <c r="H271" s="10" t="str">
        <f t="shared" si="27"/>
        <v/>
      </c>
      <c r="I271" s="10" t="str">
        <f t="shared" si="28"/>
        <v/>
      </c>
      <c r="J271" s="10" t="str">
        <f t="shared" si="29"/>
        <v/>
      </c>
    </row>
    <row r="272" spans="1:10" x14ac:dyDescent="0.3">
      <c r="A272" s="5"/>
      <c r="B272" s="4" t="str">
        <f t="shared" si="24"/>
        <v/>
      </c>
      <c r="C272" s="17"/>
      <c r="D272" s="17"/>
      <c r="E272" s="17"/>
      <c r="F272" s="4" t="str">
        <f t="shared" si="25"/>
        <v/>
      </c>
      <c r="G272" s="10" t="str">
        <f t="shared" si="26"/>
        <v/>
      </c>
      <c r="H272" s="10" t="str">
        <f t="shared" si="27"/>
        <v/>
      </c>
      <c r="I272" s="10" t="str">
        <f t="shared" si="28"/>
        <v/>
      </c>
      <c r="J272" s="10" t="str">
        <f t="shared" si="29"/>
        <v/>
      </c>
    </row>
    <row r="273" spans="1:10" x14ac:dyDescent="0.3">
      <c r="A273" s="5"/>
      <c r="B273" s="4" t="str">
        <f t="shared" si="24"/>
        <v/>
      </c>
      <c r="C273" s="17"/>
      <c r="D273" s="17"/>
      <c r="E273" s="17"/>
      <c r="F273" s="4" t="str">
        <f t="shared" si="25"/>
        <v/>
      </c>
      <c r="G273" s="10" t="str">
        <f t="shared" si="26"/>
        <v/>
      </c>
      <c r="H273" s="10" t="str">
        <f t="shared" si="27"/>
        <v/>
      </c>
      <c r="I273" s="10" t="str">
        <f t="shared" si="28"/>
        <v/>
      </c>
      <c r="J273" s="10" t="str">
        <f t="shared" si="29"/>
        <v/>
      </c>
    </row>
    <row r="274" spans="1:10" x14ac:dyDescent="0.3">
      <c r="A274" s="5"/>
      <c r="B274" s="4" t="str">
        <f t="shared" si="24"/>
        <v/>
      </c>
      <c r="C274" s="17"/>
      <c r="D274" s="17"/>
      <c r="E274" s="17"/>
      <c r="F274" s="4" t="str">
        <f t="shared" si="25"/>
        <v/>
      </c>
      <c r="G274" s="10" t="str">
        <f t="shared" si="26"/>
        <v/>
      </c>
      <c r="H274" s="10" t="str">
        <f t="shared" si="27"/>
        <v/>
      </c>
      <c r="I274" s="10" t="str">
        <f t="shared" si="28"/>
        <v/>
      </c>
      <c r="J274" s="10" t="str">
        <f t="shared" si="29"/>
        <v/>
      </c>
    </row>
    <row r="275" spans="1:10" x14ac:dyDescent="0.3">
      <c r="A275" s="5"/>
      <c r="B275" s="4" t="str">
        <f t="shared" si="24"/>
        <v/>
      </c>
      <c r="C275" s="17"/>
      <c r="D275" s="17"/>
      <c r="E275" s="17"/>
      <c r="F275" s="4" t="str">
        <f t="shared" si="25"/>
        <v/>
      </c>
      <c r="G275" s="10" t="str">
        <f t="shared" si="26"/>
        <v/>
      </c>
      <c r="H275" s="10" t="str">
        <f t="shared" si="27"/>
        <v/>
      </c>
      <c r="I275" s="10" t="str">
        <f t="shared" si="28"/>
        <v/>
      </c>
      <c r="J275" s="10" t="str">
        <f t="shared" si="29"/>
        <v/>
      </c>
    </row>
    <row r="276" spans="1:10" x14ac:dyDescent="0.3">
      <c r="A276" s="5"/>
      <c r="B276" s="4" t="str">
        <f t="shared" si="24"/>
        <v/>
      </c>
      <c r="C276" s="17"/>
      <c r="D276" s="17"/>
      <c r="E276" s="17"/>
      <c r="F276" s="4" t="str">
        <f t="shared" si="25"/>
        <v/>
      </c>
      <c r="G276" s="10" t="str">
        <f t="shared" si="26"/>
        <v/>
      </c>
      <c r="H276" s="10" t="str">
        <f t="shared" si="27"/>
        <v/>
      </c>
      <c r="I276" s="10" t="str">
        <f t="shared" si="28"/>
        <v/>
      </c>
      <c r="J276" s="10" t="str">
        <f t="shared" si="29"/>
        <v/>
      </c>
    </row>
    <row r="277" spans="1:10" x14ac:dyDescent="0.3">
      <c r="A277" s="5"/>
      <c r="B277" s="4" t="str">
        <f t="shared" si="24"/>
        <v/>
      </c>
      <c r="C277" s="17"/>
      <c r="D277" s="17"/>
      <c r="E277" s="17"/>
      <c r="F277" s="4" t="str">
        <f t="shared" si="25"/>
        <v/>
      </c>
      <c r="G277" s="10" t="str">
        <f t="shared" si="26"/>
        <v/>
      </c>
      <c r="H277" s="10" t="str">
        <f t="shared" si="27"/>
        <v/>
      </c>
      <c r="I277" s="10" t="str">
        <f t="shared" si="28"/>
        <v/>
      </c>
      <c r="J277" s="10" t="str">
        <f t="shared" si="29"/>
        <v/>
      </c>
    </row>
    <row r="278" spans="1:10" x14ac:dyDescent="0.3">
      <c r="A278" s="5"/>
      <c r="B278" s="4" t="str">
        <f t="shared" si="24"/>
        <v/>
      </c>
      <c r="C278" s="17"/>
      <c r="D278" s="17"/>
      <c r="E278" s="17"/>
      <c r="F278" s="4" t="str">
        <f t="shared" si="25"/>
        <v/>
      </c>
      <c r="G278" s="10" t="str">
        <f t="shared" si="26"/>
        <v/>
      </c>
      <c r="H278" s="10" t="str">
        <f t="shared" si="27"/>
        <v/>
      </c>
      <c r="I278" s="10" t="str">
        <f t="shared" si="28"/>
        <v/>
      </c>
      <c r="J278" s="10" t="str">
        <f t="shared" si="29"/>
        <v/>
      </c>
    </row>
    <row r="279" spans="1:10" x14ac:dyDescent="0.3">
      <c r="A279" s="5"/>
      <c r="B279" s="4" t="str">
        <f t="shared" si="24"/>
        <v/>
      </c>
      <c r="C279" s="17"/>
      <c r="D279" s="17"/>
      <c r="E279" s="17"/>
      <c r="F279" s="4" t="str">
        <f t="shared" si="25"/>
        <v/>
      </c>
      <c r="G279" s="10" t="str">
        <f t="shared" si="26"/>
        <v/>
      </c>
      <c r="H279" s="10" t="str">
        <f t="shared" si="27"/>
        <v/>
      </c>
      <c r="I279" s="10" t="str">
        <f t="shared" si="28"/>
        <v/>
      </c>
      <c r="J279" s="10" t="str">
        <f t="shared" si="29"/>
        <v/>
      </c>
    </row>
    <row r="280" spans="1:10" x14ac:dyDescent="0.3">
      <c r="A280" s="5"/>
      <c r="B280" s="4" t="str">
        <f t="shared" si="24"/>
        <v/>
      </c>
      <c r="C280" s="17"/>
      <c r="D280" s="17"/>
      <c r="E280" s="17"/>
      <c r="F280" s="4" t="str">
        <f t="shared" si="25"/>
        <v/>
      </c>
      <c r="G280" s="10" t="str">
        <f t="shared" si="26"/>
        <v/>
      </c>
      <c r="H280" s="10" t="str">
        <f t="shared" si="27"/>
        <v/>
      </c>
      <c r="I280" s="10" t="str">
        <f t="shared" si="28"/>
        <v/>
      </c>
      <c r="J280" s="10" t="str">
        <f t="shared" si="29"/>
        <v/>
      </c>
    </row>
    <row r="281" spans="1:10" x14ac:dyDescent="0.3">
      <c r="A281" s="5"/>
      <c r="B281" s="4" t="str">
        <f t="shared" si="24"/>
        <v/>
      </c>
      <c r="C281" s="17"/>
      <c r="D281" s="17"/>
      <c r="E281" s="17"/>
      <c r="F281" s="4" t="str">
        <f t="shared" si="25"/>
        <v/>
      </c>
      <c r="G281" s="10" t="str">
        <f t="shared" si="26"/>
        <v/>
      </c>
      <c r="H281" s="10" t="str">
        <f t="shared" si="27"/>
        <v/>
      </c>
      <c r="I281" s="10" t="str">
        <f t="shared" si="28"/>
        <v/>
      </c>
      <c r="J281" s="10" t="str">
        <f t="shared" si="29"/>
        <v/>
      </c>
    </row>
    <row r="282" spans="1:10" x14ac:dyDescent="0.3">
      <c r="A282" s="5"/>
      <c r="B282" s="4" t="str">
        <f t="shared" si="24"/>
        <v/>
      </c>
      <c r="C282" s="17"/>
      <c r="D282" s="17"/>
      <c r="E282" s="17"/>
      <c r="F282" s="4" t="str">
        <f t="shared" si="25"/>
        <v/>
      </c>
      <c r="G282" s="10" t="str">
        <f t="shared" si="26"/>
        <v/>
      </c>
      <c r="H282" s="10" t="str">
        <f t="shared" si="27"/>
        <v/>
      </c>
      <c r="I282" s="10" t="str">
        <f t="shared" si="28"/>
        <v/>
      </c>
      <c r="J282" s="10" t="str">
        <f t="shared" si="29"/>
        <v/>
      </c>
    </row>
    <row r="283" spans="1:10" x14ac:dyDescent="0.3">
      <c r="A283" s="5"/>
      <c r="B283" s="4" t="str">
        <f t="shared" si="24"/>
        <v/>
      </c>
      <c r="C283" s="17"/>
      <c r="D283" s="17"/>
      <c r="E283" s="17"/>
      <c r="F283" s="4" t="str">
        <f t="shared" si="25"/>
        <v/>
      </c>
      <c r="G283" s="10" t="str">
        <f t="shared" si="26"/>
        <v/>
      </c>
      <c r="H283" s="10" t="str">
        <f t="shared" si="27"/>
        <v/>
      </c>
      <c r="I283" s="10" t="str">
        <f t="shared" si="28"/>
        <v/>
      </c>
      <c r="J283" s="10" t="str">
        <f t="shared" si="29"/>
        <v/>
      </c>
    </row>
    <row r="284" spans="1:10" x14ac:dyDescent="0.3">
      <c r="A284" s="5"/>
      <c r="B284" s="4" t="str">
        <f t="shared" si="24"/>
        <v/>
      </c>
      <c r="C284" s="17"/>
      <c r="D284" s="17"/>
      <c r="E284" s="17"/>
      <c r="F284" s="4" t="str">
        <f t="shared" si="25"/>
        <v/>
      </c>
      <c r="G284" s="10" t="str">
        <f t="shared" si="26"/>
        <v/>
      </c>
      <c r="H284" s="10" t="str">
        <f t="shared" si="27"/>
        <v/>
      </c>
      <c r="I284" s="10" t="str">
        <f t="shared" si="28"/>
        <v/>
      </c>
      <c r="J284" s="10" t="str">
        <f t="shared" si="29"/>
        <v/>
      </c>
    </row>
    <row r="285" spans="1:10" x14ac:dyDescent="0.3">
      <c r="A285" s="5"/>
      <c r="B285" s="4" t="str">
        <f t="shared" si="24"/>
        <v/>
      </c>
      <c r="C285" s="17"/>
      <c r="D285" s="17"/>
      <c r="E285" s="17"/>
      <c r="F285" s="4" t="str">
        <f t="shared" si="25"/>
        <v/>
      </c>
      <c r="G285" s="10" t="str">
        <f t="shared" si="26"/>
        <v/>
      </c>
      <c r="H285" s="10" t="str">
        <f t="shared" si="27"/>
        <v/>
      </c>
      <c r="I285" s="10" t="str">
        <f t="shared" si="28"/>
        <v/>
      </c>
      <c r="J285" s="10" t="str">
        <f t="shared" si="29"/>
        <v/>
      </c>
    </row>
    <row r="286" spans="1:10" x14ac:dyDescent="0.3">
      <c r="A286" s="5"/>
      <c r="B286" s="4" t="str">
        <f t="shared" si="24"/>
        <v/>
      </c>
      <c r="C286" s="17"/>
      <c r="D286" s="17"/>
      <c r="E286" s="17"/>
      <c r="F286" s="4" t="str">
        <f t="shared" si="25"/>
        <v/>
      </c>
      <c r="G286" s="10" t="str">
        <f t="shared" si="26"/>
        <v/>
      </c>
      <c r="H286" s="10" t="str">
        <f t="shared" si="27"/>
        <v/>
      </c>
      <c r="I286" s="10" t="str">
        <f t="shared" si="28"/>
        <v/>
      </c>
      <c r="J286" s="10" t="str">
        <f t="shared" si="29"/>
        <v/>
      </c>
    </row>
    <row r="287" spans="1:10" x14ac:dyDescent="0.3">
      <c r="A287" s="5"/>
      <c r="B287" s="4" t="str">
        <f t="shared" si="24"/>
        <v/>
      </c>
      <c r="C287" s="17"/>
      <c r="D287" s="17"/>
      <c r="E287" s="17"/>
      <c r="F287" s="4" t="str">
        <f t="shared" si="25"/>
        <v/>
      </c>
      <c r="G287" s="10" t="str">
        <f t="shared" si="26"/>
        <v/>
      </c>
      <c r="H287" s="10" t="str">
        <f t="shared" si="27"/>
        <v/>
      </c>
      <c r="I287" s="10" t="str">
        <f t="shared" si="28"/>
        <v/>
      </c>
      <c r="J287" s="10" t="str">
        <f t="shared" si="29"/>
        <v/>
      </c>
    </row>
    <row r="288" spans="1:10" x14ac:dyDescent="0.3">
      <c r="A288" s="5"/>
      <c r="B288" s="4" t="str">
        <f t="shared" si="24"/>
        <v/>
      </c>
      <c r="C288" s="17"/>
      <c r="D288" s="17"/>
      <c r="E288" s="17"/>
      <c r="F288" s="4" t="str">
        <f t="shared" si="25"/>
        <v/>
      </c>
      <c r="G288" s="10" t="str">
        <f t="shared" si="26"/>
        <v/>
      </c>
      <c r="H288" s="10" t="str">
        <f t="shared" si="27"/>
        <v/>
      </c>
      <c r="I288" s="10" t="str">
        <f t="shared" si="28"/>
        <v/>
      </c>
      <c r="J288" s="10" t="str">
        <f t="shared" si="29"/>
        <v/>
      </c>
    </row>
    <row r="289" spans="1:10" x14ac:dyDescent="0.3">
      <c r="A289" s="5"/>
      <c r="B289" s="4" t="str">
        <f t="shared" si="24"/>
        <v/>
      </c>
      <c r="C289" s="17"/>
      <c r="D289" s="17"/>
      <c r="E289" s="17"/>
      <c r="F289" s="4" t="str">
        <f t="shared" si="25"/>
        <v/>
      </c>
      <c r="G289" s="10" t="str">
        <f t="shared" si="26"/>
        <v/>
      </c>
      <c r="H289" s="10" t="str">
        <f t="shared" si="27"/>
        <v/>
      </c>
      <c r="I289" s="10" t="str">
        <f t="shared" si="28"/>
        <v/>
      </c>
      <c r="J289" s="10" t="str">
        <f t="shared" si="29"/>
        <v/>
      </c>
    </row>
    <row r="290" spans="1:10" x14ac:dyDescent="0.3">
      <c r="A290" s="5"/>
      <c r="B290" s="4" t="str">
        <f t="shared" si="24"/>
        <v/>
      </c>
      <c r="C290" s="17"/>
      <c r="D290" s="17"/>
      <c r="E290" s="17"/>
      <c r="F290" s="4" t="str">
        <f t="shared" si="25"/>
        <v/>
      </c>
      <c r="G290" s="10" t="str">
        <f t="shared" si="26"/>
        <v/>
      </c>
      <c r="H290" s="10" t="str">
        <f t="shared" si="27"/>
        <v/>
      </c>
      <c r="I290" s="10" t="str">
        <f t="shared" si="28"/>
        <v/>
      </c>
      <c r="J290" s="10" t="str">
        <f t="shared" si="29"/>
        <v/>
      </c>
    </row>
    <row r="291" spans="1:10" x14ac:dyDescent="0.3">
      <c r="A291" s="5"/>
      <c r="B291" s="4" t="str">
        <f t="shared" si="24"/>
        <v/>
      </c>
      <c r="C291" s="17"/>
      <c r="D291" s="17"/>
      <c r="E291" s="17"/>
      <c r="F291" s="4" t="str">
        <f t="shared" si="25"/>
        <v/>
      </c>
      <c r="G291" s="10" t="str">
        <f t="shared" si="26"/>
        <v/>
      </c>
      <c r="H291" s="10" t="str">
        <f t="shared" si="27"/>
        <v/>
      </c>
      <c r="I291" s="10" t="str">
        <f t="shared" si="28"/>
        <v/>
      </c>
      <c r="J291" s="10" t="str">
        <f t="shared" si="29"/>
        <v/>
      </c>
    </row>
    <row r="292" spans="1:10" x14ac:dyDescent="0.3">
      <c r="A292" s="5"/>
      <c r="B292" s="4" t="str">
        <f t="shared" si="24"/>
        <v/>
      </c>
      <c r="C292" s="17"/>
      <c r="D292" s="17"/>
      <c r="E292" s="17"/>
      <c r="F292" s="4" t="str">
        <f t="shared" si="25"/>
        <v/>
      </c>
      <c r="G292" s="10" t="str">
        <f t="shared" si="26"/>
        <v/>
      </c>
      <c r="H292" s="10" t="str">
        <f t="shared" si="27"/>
        <v/>
      </c>
      <c r="I292" s="10" t="str">
        <f t="shared" si="28"/>
        <v/>
      </c>
      <c r="J292" s="10" t="str">
        <f t="shared" si="29"/>
        <v/>
      </c>
    </row>
    <row r="293" spans="1:10" x14ac:dyDescent="0.3">
      <c r="A293" s="5"/>
      <c r="B293" s="4" t="str">
        <f t="shared" si="24"/>
        <v/>
      </c>
      <c r="C293" s="17"/>
      <c r="D293" s="17"/>
      <c r="E293" s="17"/>
      <c r="F293" s="4" t="str">
        <f t="shared" si="25"/>
        <v/>
      </c>
      <c r="G293" s="10" t="str">
        <f t="shared" si="26"/>
        <v/>
      </c>
      <c r="H293" s="10" t="str">
        <f t="shared" si="27"/>
        <v/>
      </c>
      <c r="I293" s="10" t="str">
        <f t="shared" si="28"/>
        <v/>
      </c>
      <c r="J293" s="10" t="str">
        <f t="shared" si="29"/>
        <v/>
      </c>
    </row>
    <row r="294" spans="1:10" x14ac:dyDescent="0.3">
      <c r="A294" s="5"/>
      <c r="B294" s="4" t="str">
        <f t="shared" si="24"/>
        <v/>
      </c>
      <c r="C294" s="17"/>
      <c r="D294" s="17"/>
      <c r="E294" s="17"/>
      <c r="F294" s="4" t="str">
        <f t="shared" si="25"/>
        <v/>
      </c>
      <c r="G294" s="10" t="str">
        <f t="shared" si="26"/>
        <v/>
      </c>
      <c r="H294" s="10" t="str">
        <f t="shared" si="27"/>
        <v/>
      </c>
      <c r="I294" s="10" t="str">
        <f t="shared" si="28"/>
        <v/>
      </c>
      <c r="J294" s="10" t="str">
        <f t="shared" si="29"/>
        <v/>
      </c>
    </row>
    <row r="295" spans="1:10" x14ac:dyDescent="0.3">
      <c r="A295" s="5"/>
      <c r="B295" s="4" t="str">
        <f t="shared" si="24"/>
        <v/>
      </c>
      <c r="C295" s="17"/>
      <c r="D295" s="17"/>
      <c r="E295" s="17"/>
      <c r="F295" s="4" t="str">
        <f t="shared" si="25"/>
        <v/>
      </c>
      <c r="G295" s="10" t="str">
        <f t="shared" si="26"/>
        <v/>
      </c>
      <c r="H295" s="10" t="str">
        <f t="shared" si="27"/>
        <v/>
      </c>
      <c r="I295" s="10" t="str">
        <f t="shared" si="28"/>
        <v/>
      </c>
      <c r="J295" s="10" t="str">
        <f t="shared" si="29"/>
        <v/>
      </c>
    </row>
    <row r="296" spans="1:10" x14ac:dyDescent="0.3">
      <c r="A296" s="5"/>
      <c r="B296" s="4" t="str">
        <f t="shared" si="24"/>
        <v/>
      </c>
      <c r="C296" s="17"/>
      <c r="D296" s="17"/>
      <c r="E296" s="17"/>
      <c r="F296" s="4" t="str">
        <f t="shared" si="25"/>
        <v/>
      </c>
      <c r="G296" s="10" t="str">
        <f t="shared" si="26"/>
        <v/>
      </c>
      <c r="H296" s="10" t="str">
        <f t="shared" si="27"/>
        <v/>
      </c>
      <c r="I296" s="10" t="str">
        <f t="shared" si="28"/>
        <v/>
      </c>
      <c r="J296" s="10" t="str">
        <f t="shared" si="29"/>
        <v/>
      </c>
    </row>
    <row r="297" spans="1:10" x14ac:dyDescent="0.3">
      <c r="A297" s="5"/>
      <c r="B297" s="4" t="str">
        <f t="shared" si="24"/>
        <v/>
      </c>
      <c r="C297" s="17"/>
      <c r="D297" s="17"/>
      <c r="E297" s="17"/>
      <c r="F297" s="4" t="str">
        <f t="shared" si="25"/>
        <v/>
      </c>
      <c r="G297" s="10" t="str">
        <f t="shared" si="26"/>
        <v/>
      </c>
      <c r="H297" s="10" t="str">
        <f t="shared" si="27"/>
        <v/>
      </c>
      <c r="I297" s="10" t="str">
        <f t="shared" si="28"/>
        <v/>
      </c>
      <c r="J297" s="10" t="str">
        <f t="shared" si="29"/>
        <v/>
      </c>
    </row>
    <row r="298" spans="1:10" x14ac:dyDescent="0.3">
      <c r="A298" s="5"/>
      <c r="B298" s="4" t="str">
        <f t="shared" si="24"/>
        <v/>
      </c>
      <c r="C298" s="17"/>
      <c r="D298" s="17"/>
      <c r="E298" s="17"/>
      <c r="F298" s="4" t="str">
        <f t="shared" si="25"/>
        <v/>
      </c>
      <c r="G298" s="10" t="str">
        <f t="shared" si="26"/>
        <v/>
      </c>
      <c r="H298" s="10" t="str">
        <f t="shared" si="27"/>
        <v/>
      </c>
      <c r="I298" s="10" t="str">
        <f t="shared" si="28"/>
        <v/>
      </c>
      <c r="J298" s="10" t="str">
        <f t="shared" si="29"/>
        <v/>
      </c>
    </row>
    <row r="299" spans="1:10" x14ac:dyDescent="0.3">
      <c r="A299" s="5"/>
      <c r="B299" s="4" t="str">
        <f t="shared" si="24"/>
        <v/>
      </c>
      <c r="C299" s="17"/>
      <c r="D299" s="17"/>
      <c r="E299" s="17"/>
      <c r="F299" s="4" t="str">
        <f t="shared" si="25"/>
        <v/>
      </c>
      <c r="G299" s="10" t="str">
        <f t="shared" si="26"/>
        <v/>
      </c>
      <c r="H299" s="10" t="str">
        <f t="shared" si="27"/>
        <v/>
      </c>
      <c r="I299" s="10" t="str">
        <f t="shared" si="28"/>
        <v/>
      </c>
      <c r="J299" s="10" t="str">
        <f t="shared" si="29"/>
        <v/>
      </c>
    </row>
    <row r="300" spans="1:10" x14ac:dyDescent="0.3">
      <c r="A300" s="5"/>
      <c r="B300" s="4" t="str">
        <f t="shared" si="24"/>
        <v/>
      </c>
      <c r="C300" s="17"/>
      <c r="D300" s="17"/>
      <c r="E300" s="17"/>
      <c r="F300" s="4" t="str">
        <f t="shared" si="25"/>
        <v/>
      </c>
      <c r="G300" s="10" t="str">
        <f t="shared" si="26"/>
        <v/>
      </c>
      <c r="H300" s="10" t="str">
        <f t="shared" si="27"/>
        <v/>
      </c>
      <c r="I300" s="10" t="str">
        <f t="shared" si="28"/>
        <v/>
      </c>
      <c r="J300" s="10" t="str">
        <f t="shared" si="29"/>
        <v/>
      </c>
    </row>
    <row r="301" spans="1:10" x14ac:dyDescent="0.3">
      <c r="A301" s="5"/>
      <c r="B301" s="4" t="str">
        <f t="shared" si="24"/>
        <v/>
      </c>
      <c r="C301" s="17"/>
      <c r="D301" s="17"/>
      <c r="E301" s="17"/>
      <c r="F301" s="4" t="str">
        <f t="shared" si="25"/>
        <v/>
      </c>
      <c r="G301" s="10" t="str">
        <f t="shared" si="26"/>
        <v/>
      </c>
      <c r="H301" s="10" t="str">
        <f t="shared" si="27"/>
        <v/>
      </c>
      <c r="I301" s="10" t="str">
        <f t="shared" si="28"/>
        <v/>
      </c>
      <c r="J301" s="10" t="str">
        <f t="shared" si="29"/>
        <v/>
      </c>
    </row>
    <row r="302" spans="1:10" x14ac:dyDescent="0.3">
      <c r="A302" s="5"/>
      <c r="B302" s="4" t="str">
        <f t="shared" si="24"/>
        <v/>
      </c>
      <c r="C302" s="17"/>
      <c r="D302" s="17"/>
      <c r="E302" s="17"/>
      <c r="F302" s="4" t="str">
        <f t="shared" si="25"/>
        <v/>
      </c>
      <c r="G302" s="10" t="str">
        <f t="shared" si="26"/>
        <v/>
      </c>
      <c r="H302" s="10" t="str">
        <f t="shared" si="27"/>
        <v/>
      </c>
      <c r="I302" s="10" t="str">
        <f t="shared" si="28"/>
        <v/>
      </c>
      <c r="J302" s="10" t="str">
        <f t="shared" si="29"/>
        <v/>
      </c>
    </row>
    <row r="303" spans="1:10" x14ac:dyDescent="0.3">
      <c r="A303" s="5"/>
      <c r="B303" s="4" t="str">
        <f t="shared" si="24"/>
        <v/>
      </c>
      <c r="C303" s="17"/>
      <c r="D303" s="17"/>
      <c r="E303" s="17"/>
      <c r="F303" s="4" t="str">
        <f t="shared" si="25"/>
        <v/>
      </c>
      <c r="G303" s="10" t="str">
        <f t="shared" si="26"/>
        <v/>
      </c>
      <c r="H303" s="10" t="str">
        <f t="shared" si="27"/>
        <v/>
      </c>
      <c r="I303" s="10" t="str">
        <f t="shared" si="28"/>
        <v/>
      </c>
      <c r="J303" s="10" t="str">
        <f t="shared" si="29"/>
        <v/>
      </c>
    </row>
    <row r="304" spans="1:10" x14ac:dyDescent="0.3">
      <c r="A304" s="5"/>
      <c r="B304" s="4" t="str">
        <f t="shared" si="24"/>
        <v/>
      </c>
      <c r="C304" s="17"/>
      <c r="D304" s="17"/>
      <c r="E304" s="17"/>
      <c r="F304" s="4" t="str">
        <f t="shared" si="25"/>
        <v/>
      </c>
      <c r="G304" s="10" t="str">
        <f t="shared" si="26"/>
        <v/>
      </c>
      <c r="H304" s="10" t="str">
        <f t="shared" si="27"/>
        <v/>
      </c>
      <c r="I304" s="10" t="str">
        <f t="shared" si="28"/>
        <v/>
      </c>
      <c r="J304" s="10" t="str">
        <f t="shared" si="29"/>
        <v/>
      </c>
    </row>
    <row r="305" spans="1:10" x14ac:dyDescent="0.3">
      <c r="A305" s="5"/>
      <c r="B305" s="4" t="str">
        <f t="shared" si="24"/>
        <v/>
      </c>
      <c r="C305" s="17"/>
      <c r="D305" s="17"/>
      <c r="E305" s="17"/>
      <c r="F305" s="4" t="str">
        <f t="shared" si="25"/>
        <v/>
      </c>
      <c r="G305" s="10" t="str">
        <f t="shared" si="26"/>
        <v/>
      </c>
      <c r="H305" s="10" t="str">
        <f t="shared" si="27"/>
        <v/>
      </c>
      <c r="I305" s="10" t="str">
        <f t="shared" si="28"/>
        <v/>
      </c>
      <c r="J305" s="10" t="str">
        <f t="shared" si="29"/>
        <v/>
      </c>
    </row>
    <row r="306" spans="1:10" x14ac:dyDescent="0.3">
      <c r="A306" s="5"/>
      <c r="B306" s="4" t="str">
        <f t="shared" si="24"/>
        <v/>
      </c>
      <c r="C306" s="17"/>
      <c r="D306" s="17"/>
      <c r="E306" s="17"/>
      <c r="F306" s="4" t="str">
        <f t="shared" si="25"/>
        <v/>
      </c>
      <c r="G306" s="10" t="str">
        <f t="shared" si="26"/>
        <v/>
      </c>
      <c r="H306" s="10" t="str">
        <f t="shared" si="27"/>
        <v/>
      </c>
      <c r="I306" s="10" t="str">
        <f t="shared" si="28"/>
        <v/>
      </c>
      <c r="J306" s="10" t="str">
        <f t="shared" si="29"/>
        <v/>
      </c>
    </row>
    <row r="307" spans="1:10" x14ac:dyDescent="0.3">
      <c r="A307" s="5"/>
      <c r="B307" s="4" t="str">
        <f t="shared" si="24"/>
        <v/>
      </c>
      <c r="C307" s="17"/>
      <c r="D307" s="17"/>
      <c r="E307" s="17"/>
      <c r="F307" s="4" t="str">
        <f t="shared" si="25"/>
        <v/>
      </c>
      <c r="G307" s="10" t="str">
        <f t="shared" si="26"/>
        <v/>
      </c>
      <c r="H307" s="10" t="str">
        <f t="shared" si="27"/>
        <v/>
      </c>
      <c r="I307" s="10" t="str">
        <f t="shared" si="28"/>
        <v/>
      </c>
      <c r="J307" s="10" t="str">
        <f t="shared" si="29"/>
        <v/>
      </c>
    </row>
    <row r="308" spans="1:10" x14ac:dyDescent="0.3">
      <c r="A308" s="5"/>
      <c r="B308" s="4" t="str">
        <f t="shared" si="24"/>
        <v/>
      </c>
      <c r="C308" s="17"/>
      <c r="D308" s="17"/>
      <c r="E308" s="17"/>
      <c r="F308" s="4" t="str">
        <f t="shared" si="25"/>
        <v/>
      </c>
      <c r="G308" s="10" t="str">
        <f t="shared" si="26"/>
        <v/>
      </c>
      <c r="H308" s="10" t="str">
        <f t="shared" si="27"/>
        <v/>
      </c>
      <c r="I308" s="10" t="str">
        <f t="shared" si="28"/>
        <v/>
      </c>
      <c r="J308" s="10" t="str">
        <f t="shared" si="29"/>
        <v/>
      </c>
    </row>
    <row r="309" spans="1:10" x14ac:dyDescent="0.3">
      <c r="A309" s="5"/>
      <c r="B309" s="4" t="str">
        <f t="shared" si="24"/>
        <v/>
      </c>
      <c r="C309" s="17"/>
      <c r="D309" s="17"/>
      <c r="E309" s="17"/>
      <c r="F309" s="4" t="str">
        <f t="shared" si="25"/>
        <v/>
      </c>
      <c r="G309" s="10" t="str">
        <f t="shared" si="26"/>
        <v/>
      </c>
      <c r="H309" s="10" t="str">
        <f t="shared" si="27"/>
        <v/>
      </c>
      <c r="I309" s="10" t="str">
        <f t="shared" si="28"/>
        <v/>
      </c>
      <c r="J309" s="10" t="str">
        <f t="shared" si="29"/>
        <v/>
      </c>
    </row>
    <row r="310" spans="1:10" x14ac:dyDescent="0.3">
      <c r="A310" s="5"/>
      <c r="B310" s="4" t="str">
        <f t="shared" si="24"/>
        <v/>
      </c>
      <c r="C310" s="17"/>
      <c r="D310" s="17"/>
      <c r="E310" s="17"/>
      <c r="F310" s="4" t="str">
        <f t="shared" si="25"/>
        <v/>
      </c>
      <c r="G310" s="10" t="str">
        <f t="shared" si="26"/>
        <v/>
      </c>
      <c r="H310" s="10" t="str">
        <f t="shared" si="27"/>
        <v/>
      </c>
      <c r="I310" s="10" t="str">
        <f t="shared" si="28"/>
        <v/>
      </c>
      <c r="J310" s="10" t="str">
        <f t="shared" si="29"/>
        <v/>
      </c>
    </row>
    <row r="311" spans="1:10" x14ac:dyDescent="0.3">
      <c r="A311" s="5"/>
      <c r="B311" s="4" t="str">
        <f t="shared" si="24"/>
        <v/>
      </c>
      <c r="C311" s="17"/>
      <c r="D311" s="17"/>
      <c r="E311" s="17"/>
      <c r="F311" s="4" t="str">
        <f t="shared" si="25"/>
        <v/>
      </c>
      <c r="G311" s="10" t="str">
        <f t="shared" si="26"/>
        <v/>
      </c>
      <c r="H311" s="10" t="str">
        <f t="shared" si="27"/>
        <v/>
      </c>
      <c r="I311" s="10" t="str">
        <f t="shared" si="28"/>
        <v/>
      </c>
      <c r="J311" s="10" t="str">
        <f t="shared" si="29"/>
        <v/>
      </c>
    </row>
    <row r="312" spans="1:10" x14ac:dyDescent="0.3">
      <c r="A312" s="5"/>
      <c r="B312" s="4" t="str">
        <f t="shared" si="24"/>
        <v/>
      </c>
      <c r="C312" s="17"/>
      <c r="D312" s="17"/>
      <c r="E312" s="17"/>
      <c r="F312" s="4" t="str">
        <f t="shared" si="25"/>
        <v/>
      </c>
      <c r="G312" s="10" t="str">
        <f t="shared" si="26"/>
        <v/>
      </c>
      <c r="H312" s="10" t="str">
        <f t="shared" si="27"/>
        <v/>
      </c>
      <c r="I312" s="10" t="str">
        <f t="shared" si="28"/>
        <v/>
      </c>
      <c r="J312" s="10" t="str">
        <f t="shared" si="29"/>
        <v/>
      </c>
    </row>
    <row r="313" spans="1:10" x14ac:dyDescent="0.3">
      <c r="A313" s="5"/>
      <c r="B313" s="4" t="str">
        <f t="shared" si="24"/>
        <v/>
      </c>
      <c r="C313" s="17"/>
      <c r="D313" s="17"/>
      <c r="E313" s="17"/>
      <c r="F313" s="4" t="str">
        <f t="shared" si="25"/>
        <v/>
      </c>
      <c r="G313" s="10" t="str">
        <f t="shared" si="26"/>
        <v/>
      </c>
      <c r="H313" s="10" t="str">
        <f t="shared" si="27"/>
        <v/>
      </c>
      <c r="I313" s="10" t="str">
        <f t="shared" si="28"/>
        <v/>
      </c>
      <c r="J313" s="10" t="str">
        <f t="shared" si="29"/>
        <v/>
      </c>
    </row>
    <row r="314" spans="1:10" x14ac:dyDescent="0.3">
      <c r="A314" s="5"/>
      <c r="B314" s="4" t="str">
        <f t="shared" si="24"/>
        <v/>
      </c>
      <c r="C314" s="17"/>
      <c r="D314" s="17"/>
      <c r="E314" s="17"/>
      <c r="F314" s="4" t="str">
        <f t="shared" si="25"/>
        <v/>
      </c>
      <c r="G314" s="10" t="str">
        <f t="shared" si="26"/>
        <v/>
      </c>
      <c r="H314" s="10" t="str">
        <f t="shared" si="27"/>
        <v/>
      </c>
      <c r="I314" s="10" t="str">
        <f t="shared" si="28"/>
        <v/>
      </c>
      <c r="J314" s="10" t="str">
        <f t="shared" si="29"/>
        <v/>
      </c>
    </row>
    <row r="315" spans="1:10" x14ac:dyDescent="0.3">
      <c r="A315" s="5"/>
      <c r="B315" s="4" t="str">
        <f t="shared" si="24"/>
        <v/>
      </c>
      <c r="C315" s="17"/>
      <c r="D315" s="17"/>
      <c r="E315" s="17"/>
      <c r="F315" s="4" t="str">
        <f t="shared" si="25"/>
        <v/>
      </c>
      <c r="G315" s="10" t="str">
        <f t="shared" si="26"/>
        <v/>
      </c>
      <c r="H315" s="10" t="str">
        <f t="shared" si="27"/>
        <v/>
      </c>
      <c r="I315" s="10" t="str">
        <f t="shared" si="28"/>
        <v/>
      </c>
      <c r="J315" s="10" t="str">
        <f t="shared" si="29"/>
        <v/>
      </c>
    </row>
    <row r="316" spans="1:10" x14ac:dyDescent="0.3">
      <c r="A316" s="5"/>
      <c r="B316" s="4" t="str">
        <f t="shared" si="24"/>
        <v/>
      </c>
      <c r="C316" s="17"/>
      <c r="D316" s="17"/>
      <c r="E316" s="17"/>
      <c r="F316" s="4" t="str">
        <f t="shared" si="25"/>
        <v/>
      </c>
      <c r="G316" s="10" t="str">
        <f t="shared" si="26"/>
        <v/>
      </c>
      <c r="H316" s="10" t="str">
        <f t="shared" si="27"/>
        <v/>
      </c>
      <c r="I316" s="10" t="str">
        <f t="shared" si="28"/>
        <v/>
      </c>
      <c r="J316" s="10" t="str">
        <f t="shared" si="29"/>
        <v/>
      </c>
    </row>
    <row r="317" spans="1:10" x14ac:dyDescent="0.3">
      <c r="A317" s="5"/>
      <c r="B317" s="4" t="str">
        <f t="shared" si="24"/>
        <v/>
      </c>
      <c r="C317" s="17"/>
      <c r="D317" s="17"/>
      <c r="E317" s="17"/>
      <c r="F317" s="4" t="str">
        <f t="shared" si="25"/>
        <v/>
      </c>
      <c r="G317" s="10" t="str">
        <f t="shared" si="26"/>
        <v/>
      </c>
      <c r="H317" s="10" t="str">
        <f t="shared" si="27"/>
        <v/>
      </c>
      <c r="I317" s="10" t="str">
        <f t="shared" si="28"/>
        <v/>
      </c>
      <c r="J317" s="10" t="str">
        <f t="shared" si="29"/>
        <v/>
      </c>
    </row>
    <row r="318" spans="1:10" x14ac:dyDescent="0.3">
      <c r="A318" s="5"/>
      <c r="B318" s="4" t="str">
        <f t="shared" si="24"/>
        <v/>
      </c>
      <c r="C318" s="17"/>
      <c r="D318" s="17"/>
      <c r="E318" s="17"/>
      <c r="F318" s="4" t="str">
        <f t="shared" si="25"/>
        <v/>
      </c>
      <c r="G318" s="10" t="str">
        <f t="shared" si="26"/>
        <v/>
      </c>
      <c r="H318" s="10" t="str">
        <f t="shared" si="27"/>
        <v/>
      </c>
      <c r="I318" s="10" t="str">
        <f t="shared" si="28"/>
        <v/>
      </c>
      <c r="J318" s="10" t="str">
        <f t="shared" si="29"/>
        <v/>
      </c>
    </row>
    <row r="319" spans="1:10" x14ac:dyDescent="0.3">
      <c r="A319" s="5"/>
      <c r="B319" s="4" t="str">
        <f t="shared" si="24"/>
        <v/>
      </c>
      <c r="C319" s="17"/>
      <c r="D319" s="17"/>
      <c r="E319" s="17"/>
      <c r="F319" s="4" t="str">
        <f t="shared" si="25"/>
        <v/>
      </c>
      <c r="G319" s="10" t="str">
        <f t="shared" si="26"/>
        <v/>
      </c>
      <c r="H319" s="10" t="str">
        <f t="shared" si="27"/>
        <v/>
      </c>
      <c r="I319" s="10" t="str">
        <f t="shared" si="28"/>
        <v/>
      </c>
      <c r="J319" s="10" t="str">
        <f t="shared" si="29"/>
        <v/>
      </c>
    </row>
    <row r="320" spans="1:10" x14ac:dyDescent="0.3">
      <c r="A320" s="5"/>
      <c r="B320" s="4" t="str">
        <f t="shared" si="24"/>
        <v/>
      </c>
      <c r="C320" s="17"/>
      <c r="D320" s="17"/>
      <c r="E320" s="17"/>
      <c r="F320" s="4" t="str">
        <f t="shared" si="25"/>
        <v/>
      </c>
      <c r="G320" s="10" t="str">
        <f t="shared" si="26"/>
        <v/>
      </c>
      <c r="H320" s="10" t="str">
        <f t="shared" si="27"/>
        <v/>
      </c>
      <c r="I320" s="10" t="str">
        <f t="shared" si="28"/>
        <v/>
      </c>
      <c r="J320" s="10" t="str">
        <f t="shared" si="29"/>
        <v/>
      </c>
    </row>
    <row r="321" spans="1:10" x14ac:dyDescent="0.3">
      <c r="A321" s="5"/>
      <c r="B321" s="4" t="str">
        <f t="shared" si="24"/>
        <v/>
      </c>
      <c r="C321" s="17"/>
      <c r="D321" s="17"/>
      <c r="E321" s="17"/>
      <c r="F321" s="4" t="str">
        <f t="shared" si="25"/>
        <v/>
      </c>
      <c r="G321" s="10" t="str">
        <f t="shared" si="26"/>
        <v/>
      </c>
      <c r="H321" s="10" t="str">
        <f t="shared" si="27"/>
        <v/>
      </c>
      <c r="I321" s="10" t="str">
        <f t="shared" si="28"/>
        <v/>
      </c>
      <c r="J321" s="10" t="str">
        <f t="shared" si="29"/>
        <v/>
      </c>
    </row>
    <row r="322" spans="1:10" x14ac:dyDescent="0.3">
      <c r="A322" s="5"/>
      <c r="B322" s="4" t="str">
        <f t="shared" si="24"/>
        <v/>
      </c>
      <c r="C322" s="17"/>
      <c r="D322" s="17"/>
      <c r="E322" s="17"/>
      <c r="F322" s="4" t="str">
        <f t="shared" si="25"/>
        <v/>
      </c>
      <c r="G322" s="10" t="str">
        <f t="shared" si="26"/>
        <v/>
      </c>
      <c r="H322" s="10" t="str">
        <f t="shared" si="27"/>
        <v/>
      </c>
      <c r="I322" s="10" t="str">
        <f t="shared" si="28"/>
        <v/>
      </c>
      <c r="J322" s="10" t="str">
        <f t="shared" si="29"/>
        <v/>
      </c>
    </row>
    <row r="323" spans="1:10" x14ac:dyDescent="0.3">
      <c r="A323" s="5"/>
      <c r="B323" s="4" t="str">
        <f t="shared" si="24"/>
        <v/>
      </c>
      <c r="C323" s="17"/>
      <c r="D323" s="17"/>
      <c r="E323" s="17"/>
      <c r="F323" s="4" t="str">
        <f t="shared" si="25"/>
        <v/>
      </c>
      <c r="G323" s="10" t="str">
        <f t="shared" si="26"/>
        <v/>
      </c>
      <c r="H323" s="10" t="str">
        <f t="shared" si="27"/>
        <v/>
      </c>
      <c r="I323" s="10" t="str">
        <f t="shared" si="28"/>
        <v/>
      </c>
      <c r="J323" s="10" t="str">
        <f t="shared" si="29"/>
        <v/>
      </c>
    </row>
    <row r="324" spans="1:10" x14ac:dyDescent="0.3">
      <c r="A324" s="5"/>
      <c r="B324" s="4" t="str">
        <f t="shared" si="24"/>
        <v/>
      </c>
      <c r="C324" s="17"/>
      <c r="D324" s="17"/>
      <c r="E324" s="17"/>
      <c r="F324" s="4" t="str">
        <f t="shared" si="25"/>
        <v/>
      </c>
      <c r="G324" s="10" t="str">
        <f t="shared" si="26"/>
        <v/>
      </c>
      <c r="H324" s="10" t="str">
        <f t="shared" si="27"/>
        <v/>
      </c>
      <c r="I324" s="10" t="str">
        <f t="shared" si="28"/>
        <v/>
      </c>
      <c r="J324" s="10" t="str">
        <f t="shared" si="29"/>
        <v/>
      </c>
    </row>
    <row r="325" spans="1:10" x14ac:dyDescent="0.3">
      <c r="A325" s="5"/>
      <c r="B325" s="4" t="str">
        <f t="shared" si="24"/>
        <v/>
      </c>
      <c r="C325" s="17"/>
      <c r="D325" s="17"/>
      <c r="E325" s="17"/>
      <c r="F325" s="4" t="str">
        <f t="shared" si="25"/>
        <v/>
      </c>
      <c r="G325" s="10" t="str">
        <f t="shared" si="26"/>
        <v/>
      </c>
      <c r="H325" s="10" t="str">
        <f t="shared" si="27"/>
        <v/>
      </c>
      <c r="I325" s="10" t="str">
        <f t="shared" si="28"/>
        <v/>
      </c>
      <c r="J325" s="10" t="str">
        <f t="shared" si="29"/>
        <v/>
      </c>
    </row>
    <row r="326" spans="1:10" x14ac:dyDescent="0.3">
      <c r="A326" s="5"/>
      <c r="B326" s="4" t="str">
        <f t="shared" ref="B326:B389" si="30">IF(A326="","",IFERROR(INDEX(COA_NAME,MATCH(A326,COA_ACCT,0))&amp;"",IFERROR(INDEX(DICT_ACTIVE,MATCH("TB.UNMAPPED",DICT_KEY,0)),"?")))</f>
        <v/>
      </c>
      <c r="C326" s="17"/>
      <c r="D326" s="17"/>
      <c r="E326" s="17"/>
      <c r="F326" s="4" t="str">
        <f t="shared" ref="F326:F389" si="31">IF(A326="","",IF(G326="",IFERROR(INDEX(DICT_ACTIVE,MATCH("TB.UNMAPPED",DICT_KEY,0)),"?"),""))</f>
        <v/>
      </c>
      <c r="G326" s="10" t="str">
        <f t="shared" ref="G326:G389" si="32">IF(A326="","",IFERROR(INDEX(COA_LINE_EFF,MATCH(A326,COA_ACCT,0))&amp;"",""))</f>
        <v/>
      </c>
      <c r="H326" s="10" t="str">
        <f t="shared" ref="H326:H389" si="33">IF(A326="","",IFERROR(INDEX(COA_CAT_FX,MATCH(A326,COA_ACCT,0))&amp;"",""))</f>
        <v/>
      </c>
      <c r="I326" s="10" t="str">
        <f t="shared" ref="I326:I389" si="34">IF(A326="","",IFERROR(INDEX(COA_CF,MATCH(A326,COA_ACCT,0))&amp;"","-"))</f>
        <v/>
      </c>
      <c r="J326" s="10" t="str">
        <f t="shared" ref="J326:J389" si="35">IF(A326="","",IFERROR(INDEX(COA_LINE_N,MATCH(A326,COA_ACCT,0))&amp;"",""))</f>
        <v/>
      </c>
    </row>
    <row r="327" spans="1:10" x14ac:dyDescent="0.3">
      <c r="A327" s="5"/>
      <c r="B327" s="4" t="str">
        <f t="shared" si="30"/>
        <v/>
      </c>
      <c r="C327" s="17"/>
      <c r="D327" s="17"/>
      <c r="E327" s="17"/>
      <c r="F327" s="4" t="str">
        <f t="shared" si="31"/>
        <v/>
      </c>
      <c r="G327" s="10" t="str">
        <f t="shared" si="32"/>
        <v/>
      </c>
      <c r="H327" s="10" t="str">
        <f t="shared" si="33"/>
        <v/>
      </c>
      <c r="I327" s="10" t="str">
        <f t="shared" si="34"/>
        <v/>
      </c>
      <c r="J327" s="10" t="str">
        <f t="shared" si="35"/>
        <v/>
      </c>
    </row>
    <row r="328" spans="1:10" x14ac:dyDescent="0.3">
      <c r="A328" s="5"/>
      <c r="B328" s="4" t="str">
        <f t="shared" si="30"/>
        <v/>
      </c>
      <c r="C328" s="17"/>
      <c r="D328" s="17"/>
      <c r="E328" s="17"/>
      <c r="F328" s="4" t="str">
        <f t="shared" si="31"/>
        <v/>
      </c>
      <c r="G328" s="10" t="str">
        <f t="shared" si="32"/>
        <v/>
      </c>
      <c r="H328" s="10" t="str">
        <f t="shared" si="33"/>
        <v/>
      </c>
      <c r="I328" s="10" t="str">
        <f t="shared" si="34"/>
        <v/>
      </c>
      <c r="J328" s="10" t="str">
        <f t="shared" si="35"/>
        <v/>
      </c>
    </row>
    <row r="329" spans="1:10" x14ac:dyDescent="0.3">
      <c r="A329" s="5"/>
      <c r="B329" s="4" t="str">
        <f t="shared" si="30"/>
        <v/>
      </c>
      <c r="C329" s="17"/>
      <c r="D329" s="17"/>
      <c r="E329" s="17"/>
      <c r="F329" s="4" t="str">
        <f t="shared" si="31"/>
        <v/>
      </c>
      <c r="G329" s="10" t="str">
        <f t="shared" si="32"/>
        <v/>
      </c>
      <c r="H329" s="10" t="str">
        <f t="shared" si="33"/>
        <v/>
      </c>
      <c r="I329" s="10" t="str">
        <f t="shared" si="34"/>
        <v/>
      </c>
      <c r="J329" s="10" t="str">
        <f t="shared" si="35"/>
        <v/>
      </c>
    </row>
    <row r="330" spans="1:10" x14ac:dyDescent="0.3">
      <c r="A330" s="5"/>
      <c r="B330" s="4" t="str">
        <f t="shared" si="30"/>
        <v/>
      </c>
      <c r="C330" s="17"/>
      <c r="D330" s="17"/>
      <c r="E330" s="17"/>
      <c r="F330" s="4" t="str">
        <f t="shared" si="31"/>
        <v/>
      </c>
      <c r="G330" s="10" t="str">
        <f t="shared" si="32"/>
        <v/>
      </c>
      <c r="H330" s="10" t="str">
        <f t="shared" si="33"/>
        <v/>
      </c>
      <c r="I330" s="10" t="str">
        <f t="shared" si="34"/>
        <v/>
      </c>
      <c r="J330" s="10" t="str">
        <f t="shared" si="35"/>
        <v/>
      </c>
    </row>
    <row r="331" spans="1:10" x14ac:dyDescent="0.3">
      <c r="A331" s="5"/>
      <c r="B331" s="4" t="str">
        <f t="shared" si="30"/>
        <v/>
      </c>
      <c r="C331" s="17"/>
      <c r="D331" s="17"/>
      <c r="E331" s="17"/>
      <c r="F331" s="4" t="str">
        <f t="shared" si="31"/>
        <v/>
      </c>
      <c r="G331" s="10" t="str">
        <f t="shared" si="32"/>
        <v/>
      </c>
      <c r="H331" s="10" t="str">
        <f t="shared" si="33"/>
        <v/>
      </c>
      <c r="I331" s="10" t="str">
        <f t="shared" si="34"/>
        <v/>
      </c>
      <c r="J331" s="10" t="str">
        <f t="shared" si="35"/>
        <v/>
      </c>
    </row>
    <row r="332" spans="1:10" x14ac:dyDescent="0.3">
      <c r="A332" s="5"/>
      <c r="B332" s="4" t="str">
        <f t="shared" si="30"/>
        <v/>
      </c>
      <c r="C332" s="17"/>
      <c r="D332" s="17"/>
      <c r="E332" s="17"/>
      <c r="F332" s="4" t="str">
        <f t="shared" si="31"/>
        <v/>
      </c>
      <c r="G332" s="10" t="str">
        <f t="shared" si="32"/>
        <v/>
      </c>
      <c r="H332" s="10" t="str">
        <f t="shared" si="33"/>
        <v/>
      </c>
      <c r="I332" s="10" t="str">
        <f t="shared" si="34"/>
        <v/>
      </c>
      <c r="J332" s="10" t="str">
        <f t="shared" si="35"/>
        <v/>
      </c>
    </row>
    <row r="333" spans="1:10" x14ac:dyDescent="0.3">
      <c r="A333" s="5"/>
      <c r="B333" s="4" t="str">
        <f t="shared" si="30"/>
        <v/>
      </c>
      <c r="C333" s="17"/>
      <c r="D333" s="17"/>
      <c r="E333" s="17"/>
      <c r="F333" s="4" t="str">
        <f t="shared" si="31"/>
        <v/>
      </c>
      <c r="G333" s="10" t="str">
        <f t="shared" si="32"/>
        <v/>
      </c>
      <c r="H333" s="10" t="str">
        <f t="shared" si="33"/>
        <v/>
      </c>
      <c r="I333" s="10" t="str">
        <f t="shared" si="34"/>
        <v/>
      </c>
      <c r="J333" s="10" t="str">
        <f t="shared" si="35"/>
        <v/>
      </c>
    </row>
    <row r="334" spans="1:10" x14ac:dyDescent="0.3">
      <c r="A334" s="5"/>
      <c r="B334" s="4" t="str">
        <f t="shared" si="30"/>
        <v/>
      </c>
      <c r="C334" s="17"/>
      <c r="D334" s="17"/>
      <c r="E334" s="17"/>
      <c r="F334" s="4" t="str">
        <f t="shared" si="31"/>
        <v/>
      </c>
      <c r="G334" s="10" t="str">
        <f t="shared" si="32"/>
        <v/>
      </c>
      <c r="H334" s="10" t="str">
        <f t="shared" si="33"/>
        <v/>
      </c>
      <c r="I334" s="10" t="str">
        <f t="shared" si="34"/>
        <v/>
      </c>
      <c r="J334" s="10" t="str">
        <f t="shared" si="35"/>
        <v/>
      </c>
    </row>
    <row r="335" spans="1:10" x14ac:dyDescent="0.3">
      <c r="A335" s="5"/>
      <c r="B335" s="4" t="str">
        <f t="shared" si="30"/>
        <v/>
      </c>
      <c r="C335" s="17"/>
      <c r="D335" s="17"/>
      <c r="E335" s="17"/>
      <c r="F335" s="4" t="str">
        <f t="shared" si="31"/>
        <v/>
      </c>
      <c r="G335" s="10" t="str">
        <f t="shared" si="32"/>
        <v/>
      </c>
      <c r="H335" s="10" t="str">
        <f t="shared" si="33"/>
        <v/>
      </c>
      <c r="I335" s="10" t="str">
        <f t="shared" si="34"/>
        <v/>
      </c>
      <c r="J335" s="10" t="str">
        <f t="shared" si="35"/>
        <v/>
      </c>
    </row>
    <row r="336" spans="1:10" x14ac:dyDescent="0.3">
      <c r="A336" s="5"/>
      <c r="B336" s="4" t="str">
        <f t="shared" si="30"/>
        <v/>
      </c>
      <c r="C336" s="17"/>
      <c r="D336" s="17"/>
      <c r="E336" s="17"/>
      <c r="F336" s="4" t="str">
        <f t="shared" si="31"/>
        <v/>
      </c>
      <c r="G336" s="10" t="str">
        <f t="shared" si="32"/>
        <v/>
      </c>
      <c r="H336" s="10" t="str">
        <f t="shared" si="33"/>
        <v/>
      </c>
      <c r="I336" s="10" t="str">
        <f t="shared" si="34"/>
        <v/>
      </c>
      <c r="J336" s="10" t="str">
        <f t="shared" si="35"/>
        <v/>
      </c>
    </row>
    <row r="337" spans="1:10" x14ac:dyDescent="0.3">
      <c r="A337" s="5"/>
      <c r="B337" s="4" t="str">
        <f t="shared" si="30"/>
        <v/>
      </c>
      <c r="C337" s="17"/>
      <c r="D337" s="17"/>
      <c r="E337" s="17"/>
      <c r="F337" s="4" t="str">
        <f t="shared" si="31"/>
        <v/>
      </c>
      <c r="G337" s="10" t="str">
        <f t="shared" si="32"/>
        <v/>
      </c>
      <c r="H337" s="10" t="str">
        <f t="shared" si="33"/>
        <v/>
      </c>
      <c r="I337" s="10" t="str">
        <f t="shared" si="34"/>
        <v/>
      </c>
      <c r="J337" s="10" t="str">
        <f t="shared" si="35"/>
        <v/>
      </c>
    </row>
    <row r="338" spans="1:10" x14ac:dyDescent="0.3">
      <c r="A338" s="5"/>
      <c r="B338" s="4" t="str">
        <f t="shared" si="30"/>
        <v/>
      </c>
      <c r="C338" s="17"/>
      <c r="D338" s="17"/>
      <c r="E338" s="17"/>
      <c r="F338" s="4" t="str">
        <f t="shared" si="31"/>
        <v/>
      </c>
      <c r="G338" s="10" t="str">
        <f t="shared" si="32"/>
        <v/>
      </c>
      <c r="H338" s="10" t="str">
        <f t="shared" si="33"/>
        <v/>
      </c>
      <c r="I338" s="10" t="str">
        <f t="shared" si="34"/>
        <v/>
      </c>
      <c r="J338" s="10" t="str">
        <f t="shared" si="35"/>
        <v/>
      </c>
    </row>
    <row r="339" spans="1:10" x14ac:dyDescent="0.3">
      <c r="A339" s="5"/>
      <c r="B339" s="4" t="str">
        <f t="shared" si="30"/>
        <v/>
      </c>
      <c r="C339" s="17"/>
      <c r="D339" s="17"/>
      <c r="E339" s="17"/>
      <c r="F339" s="4" t="str">
        <f t="shared" si="31"/>
        <v/>
      </c>
      <c r="G339" s="10" t="str">
        <f t="shared" si="32"/>
        <v/>
      </c>
      <c r="H339" s="10" t="str">
        <f t="shared" si="33"/>
        <v/>
      </c>
      <c r="I339" s="10" t="str">
        <f t="shared" si="34"/>
        <v/>
      </c>
      <c r="J339" s="10" t="str">
        <f t="shared" si="35"/>
        <v/>
      </c>
    </row>
    <row r="340" spans="1:10" x14ac:dyDescent="0.3">
      <c r="A340" s="5"/>
      <c r="B340" s="4" t="str">
        <f t="shared" si="30"/>
        <v/>
      </c>
      <c r="C340" s="17"/>
      <c r="D340" s="17"/>
      <c r="E340" s="17"/>
      <c r="F340" s="4" t="str">
        <f t="shared" si="31"/>
        <v/>
      </c>
      <c r="G340" s="10" t="str">
        <f t="shared" si="32"/>
        <v/>
      </c>
      <c r="H340" s="10" t="str">
        <f t="shared" si="33"/>
        <v/>
      </c>
      <c r="I340" s="10" t="str">
        <f t="shared" si="34"/>
        <v/>
      </c>
      <c r="J340" s="10" t="str">
        <f t="shared" si="35"/>
        <v/>
      </c>
    </row>
    <row r="341" spans="1:10" x14ac:dyDescent="0.3">
      <c r="A341" s="5"/>
      <c r="B341" s="4" t="str">
        <f t="shared" si="30"/>
        <v/>
      </c>
      <c r="C341" s="17"/>
      <c r="D341" s="17"/>
      <c r="E341" s="17"/>
      <c r="F341" s="4" t="str">
        <f t="shared" si="31"/>
        <v/>
      </c>
      <c r="G341" s="10" t="str">
        <f t="shared" si="32"/>
        <v/>
      </c>
      <c r="H341" s="10" t="str">
        <f t="shared" si="33"/>
        <v/>
      </c>
      <c r="I341" s="10" t="str">
        <f t="shared" si="34"/>
        <v/>
      </c>
      <c r="J341" s="10" t="str">
        <f t="shared" si="35"/>
        <v/>
      </c>
    </row>
    <row r="342" spans="1:10" x14ac:dyDescent="0.3">
      <c r="A342" s="5"/>
      <c r="B342" s="4" t="str">
        <f t="shared" si="30"/>
        <v/>
      </c>
      <c r="C342" s="17"/>
      <c r="D342" s="17"/>
      <c r="E342" s="17"/>
      <c r="F342" s="4" t="str">
        <f t="shared" si="31"/>
        <v/>
      </c>
      <c r="G342" s="10" t="str">
        <f t="shared" si="32"/>
        <v/>
      </c>
      <c r="H342" s="10" t="str">
        <f t="shared" si="33"/>
        <v/>
      </c>
      <c r="I342" s="10" t="str">
        <f t="shared" si="34"/>
        <v/>
      </c>
      <c r="J342" s="10" t="str">
        <f t="shared" si="35"/>
        <v/>
      </c>
    </row>
    <row r="343" spans="1:10" x14ac:dyDescent="0.3">
      <c r="A343" s="5"/>
      <c r="B343" s="4" t="str">
        <f t="shared" si="30"/>
        <v/>
      </c>
      <c r="C343" s="17"/>
      <c r="D343" s="17"/>
      <c r="E343" s="17"/>
      <c r="F343" s="4" t="str">
        <f t="shared" si="31"/>
        <v/>
      </c>
      <c r="G343" s="10" t="str">
        <f t="shared" si="32"/>
        <v/>
      </c>
      <c r="H343" s="10" t="str">
        <f t="shared" si="33"/>
        <v/>
      </c>
      <c r="I343" s="10" t="str">
        <f t="shared" si="34"/>
        <v/>
      </c>
      <c r="J343" s="10" t="str">
        <f t="shared" si="35"/>
        <v/>
      </c>
    </row>
    <row r="344" spans="1:10" x14ac:dyDescent="0.3">
      <c r="A344" s="5"/>
      <c r="B344" s="4" t="str">
        <f t="shared" si="30"/>
        <v/>
      </c>
      <c r="C344" s="17"/>
      <c r="D344" s="17"/>
      <c r="E344" s="17"/>
      <c r="F344" s="4" t="str">
        <f t="shared" si="31"/>
        <v/>
      </c>
      <c r="G344" s="10" t="str">
        <f t="shared" si="32"/>
        <v/>
      </c>
      <c r="H344" s="10" t="str">
        <f t="shared" si="33"/>
        <v/>
      </c>
      <c r="I344" s="10" t="str">
        <f t="shared" si="34"/>
        <v/>
      </c>
      <c r="J344" s="10" t="str">
        <f t="shared" si="35"/>
        <v/>
      </c>
    </row>
    <row r="345" spans="1:10" x14ac:dyDescent="0.3">
      <c r="A345" s="5"/>
      <c r="B345" s="4" t="str">
        <f t="shared" si="30"/>
        <v/>
      </c>
      <c r="C345" s="17"/>
      <c r="D345" s="17"/>
      <c r="E345" s="17"/>
      <c r="F345" s="4" t="str">
        <f t="shared" si="31"/>
        <v/>
      </c>
      <c r="G345" s="10" t="str">
        <f t="shared" si="32"/>
        <v/>
      </c>
      <c r="H345" s="10" t="str">
        <f t="shared" si="33"/>
        <v/>
      </c>
      <c r="I345" s="10" t="str">
        <f t="shared" si="34"/>
        <v/>
      </c>
      <c r="J345" s="10" t="str">
        <f t="shared" si="35"/>
        <v/>
      </c>
    </row>
    <row r="346" spans="1:10" x14ac:dyDescent="0.3">
      <c r="A346" s="5"/>
      <c r="B346" s="4" t="str">
        <f t="shared" si="30"/>
        <v/>
      </c>
      <c r="C346" s="17"/>
      <c r="D346" s="17"/>
      <c r="E346" s="17"/>
      <c r="F346" s="4" t="str">
        <f t="shared" si="31"/>
        <v/>
      </c>
      <c r="G346" s="10" t="str">
        <f t="shared" si="32"/>
        <v/>
      </c>
      <c r="H346" s="10" t="str">
        <f t="shared" si="33"/>
        <v/>
      </c>
      <c r="I346" s="10" t="str">
        <f t="shared" si="34"/>
        <v/>
      </c>
      <c r="J346" s="10" t="str">
        <f t="shared" si="35"/>
        <v/>
      </c>
    </row>
    <row r="347" spans="1:10" x14ac:dyDescent="0.3">
      <c r="A347" s="5"/>
      <c r="B347" s="4" t="str">
        <f t="shared" si="30"/>
        <v/>
      </c>
      <c r="C347" s="17"/>
      <c r="D347" s="17"/>
      <c r="E347" s="17"/>
      <c r="F347" s="4" t="str">
        <f t="shared" si="31"/>
        <v/>
      </c>
      <c r="G347" s="10" t="str">
        <f t="shared" si="32"/>
        <v/>
      </c>
      <c r="H347" s="10" t="str">
        <f t="shared" si="33"/>
        <v/>
      </c>
      <c r="I347" s="10" t="str">
        <f t="shared" si="34"/>
        <v/>
      </c>
      <c r="J347" s="10" t="str">
        <f t="shared" si="35"/>
        <v/>
      </c>
    </row>
    <row r="348" spans="1:10" x14ac:dyDescent="0.3">
      <c r="A348" s="5"/>
      <c r="B348" s="4" t="str">
        <f t="shared" si="30"/>
        <v/>
      </c>
      <c r="C348" s="17"/>
      <c r="D348" s="17"/>
      <c r="E348" s="17"/>
      <c r="F348" s="4" t="str">
        <f t="shared" si="31"/>
        <v/>
      </c>
      <c r="G348" s="10" t="str">
        <f t="shared" si="32"/>
        <v/>
      </c>
      <c r="H348" s="10" t="str">
        <f t="shared" si="33"/>
        <v/>
      </c>
      <c r="I348" s="10" t="str">
        <f t="shared" si="34"/>
        <v/>
      </c>
      <c r="J348" s="10" t="str">
        <f t="shared" si="35"/>
        <v/>
      </c>
    </row>
    <row r="349" spans="1:10" x14ac:dyDescent="0.3">
      <c r="A349" s="5"/>
      <c r="B349" s="4" t="str">
        <f t="shared" si="30"/>
        <v/>
      </c>
      <c r="C349" s="17"/>
      <c r="D349" s="17"/>
      <c r="E349" s="17"/>
      <c r="F349" s="4" t="str">
        <f t="shared" si="31"/>
        <v/>
      </c>
      <c r="G349" s="10" t="str">
        <f t="shared" si="32"/>
        <v/>
      </c>
      <c r="H349" s="10" t="str">
        <f t="shared" si="33"/>
        <v/>
      </c>
      <c r="I349" s="10" t="str">
        <f t="shared" si="34"/>
        <v/>
      </c>
      <c r="J349" s="10" t="str">
        <f t="shared" si="35"/>
        <v/>
      </c>
    </row>
    <row r="350" spans="1:10" x14ac:dyDescent="0.3">
      <c r="A350" s="5"/>
      <c r="B350" s="4" t="str">
        <f t="shared" si="30"/>
        <v/>
      </c>
      <c r="C350" s="17"/>
      <c r="D350" s="17"/>
      <c r="E350" s="17"/>
      <c r="F350" s="4" t="str">
        <f t="shared" si="31"/>
        <v/>
      </c>
      <c r="G350" s="10" t="str">
        <f t="shared" si="32"/>
        <v/>
      </c>
      <c r="H350" s="10" t="str">
        <f t="shared" si="33"/>
        <v/>
      </c>
      <c r="I350" s="10" t="str">
        <f t="shared" si="34"/>
        <v/>
      </c>
      <c r="J350" s="10" t="str">
        <f t="shared" si="35"/>
        <v/>
      </c>
    </row>
    <row r="351" spans="1:10" x14ac:dyDescent="0.3">
      <c r="A351" s="5"/>
      <c r="B351" s="4" t="str">
        <f t="shared" si="30"/>
        <v/>
      </c>
      <c r="C351" s="17"/>
      <c r="D351" s="17"/>
      <c r="E351" s="17"/>
      <c r="F351" s="4" t="str">
        <f t="shared" si="31"/>
        <v/>
      </c>
      <c r="G351" s="10" t="str">
        <f t="shared" si="32"/>
        <v/>
      </c>
      <c r="H351" s="10" t="str">
        <f t="shared" si="33"/>
        <v/>
      </c>
      <c r="I351" s="10" t="str">
        <f t="shared" si="34"/>
        <v/>
      </c>
      <c r="J351" s="10" t="str">
        <f t="shared" si="35"/>
        <v/>
      </c>
    </row>
    <row r="352" spans="1:10" x14ac:dyDescent="0.3">
      <c r="A352" s="5"/>
      <c r="B352" s="4" t="str">
        <f t="shared" si="30"/>
        <v/>
      </c>
      <c r="C352" s="17"/>
      <c r="D352" s="17"/>
      <c r="E352" s="17"/>
      <c r="F352" s="4" t="str">
        <f t="shared" si="31"/>
        <v/>
      </c>
      <c r="G352" s="10" t="str">
        <f t="shared" si="32"/>
        <v/>
      </c>
      <c r="H352" s="10" t="str">
        <f t="shared" si="33"/>
        <v/>
      </c>
      <c r="I352" s="10" t="str">
        <f t="shared" si="34"/>
        <v/>
      </c>
      <c r="J352" s="10" t="str">
        <f t="shared" si="35"/>
        <v/>
      </c>
    </row>
    <row r="353" spans="1:10" x14ac:dyDescent="0.3">
      <c r="A353" s="5"/>
      <c r="B353" s="4" t="str">
        <f t="shared" si="30"/>
        <v/>
      </c>
      <c r="C353" s="17"/>
      <c r="D353" s="17"/>
      <c r="E353" s="17"/>
      <c r="F353" s="4" t="str">
        <f t="shared" si="31"/>
        <v/>
      </c>
      <c r="G353" s="10" t="str">
        <f t="shared" si="32"/>
        <v/>
      </c>
      <c r="H353" s="10" t="str">
        <f t="shared" si="33"/>
        <v/>
      </c>
      <c r="I353" s="10" t="str">
        <f t="shared" si="34"/>
        <v/>
      </c>
      <c r="J353" s="10" t="str">
        <f t="shared" si="35"/>
        <v/>
      </c>
    </row>
    <row r="354" spans="1:10" x14ac:dyDescent="0.3">
      <c r="A354" s="5"/>
      <c r="B354" s="4" t="str">
        <f t="shared" si="30"/>
        <v/>
      </c>
      <c r="C354" s="17"/>
      <c r="D354" s="17"/>
      <c r="E354" s="17"/>
      <c r="F354" s="4" t="str">
        <f t="shared" si="31"/>
        <v/>
      </c>
      <c r="G354" s="10" t="str">
        <f t="shared" si="32"/>
        <v/>
      </c>
      <c r="H354" s="10" t="str">
        <f t="shared" si="33"/>
        <v/>
      </c>
      <c r="I354" s="10" t="str">
        <f t="shared" si="34"/>
        <v/>
      </c>
      <c r="J354" s="10" t="str">
        <f t="shared" si="35"/>
        <v/>
      </c>
    </row>
    <row r="355" spans="1:10" x14ac:dyDescent="0.3">
      <c r="A355" s="5"/>
      <c r="B355" s="4" t="str">
        <f t="shared" si="30"/>
        <v/>
      </c>
      <c r="C355" s="17"/>
      <c r="D355" s="17"/>
      <c r="E355" s="17"/>
      <c r="F355" s="4" t="str">
        <f t="shared" si="31"/>
        <v/>
      </c>
      <c r="G355" s="10" t="str">
        <f t="shared" si="32"/>
        <v/>
      </c>
      <c r="H355" s="10" t="str">
        <f t="shared" si="33"/>
        <v/>
      </c>
      <c r="I355" s="10" t="str">
        <f t="shared" si="34"/>
        <v/>
      </c>
      <c r="J355" s="10" t="str">
        <f t="shared" si="35"/>
        <v/>
      </c>
    </row>
    <row r="356" spans="1:10" x14ac:dyDescent="0.3">
      <c r="A356" s="5"/>
      <c r="B356" s="4" t="str">
        <f t="shared" si="30"/>
        <v/>
      </c>
      <c r="C356" s="17"/>
      <c r="D356" s="17"/>
      <c r="E356" s="17"/>
      <c r="F356" s="4" t="str">
        <f t="shared" si="31"/>
        <v/>
      </c>
      <c r="G356" s="10" t="str">
        <f t="shared" si="32"/>
        <v/>
      </c>
      <c r="H356" s="10" t="str">
        <f t="shared" si="33"/>
        <v/>
      </c>
      <c r="I356" s="10" t="str">
        <f t="shared" si="34"/>
        <v/>
      </c>
      <c r="J356" s="10" t="str">
        <f t="shared" si="35"/>
        <v/>
      </c>
    </row>
    <row r="357" spans="1:10" x14ac:dyDescent="0.3">
      <c r="A357" s="5"/>
      <c r="B357" s="4" t="str">
        <f t="shared" si="30"/>
        <v/>
      </c>
      <c r="C357" s="17"/>
      <c r="D357" s="17"/>
      <c r="E357" s="17"/>
      <c r="F357" s="4" t="str">
        <f t="shared" si="31"/>
        <v/>
      </c>
      <c r="G357" s="10" t="str">
        <f t="shared" si="32"/>
        <v/>
      </c>
      <c r="H357" s="10" t="str">
        <f t="shared" si="33"/>
        <v/>
      </c>
      <c r="I357" s="10" t="str">
        <f t="shared" si="34"/>
        <v/>
      </c>
      <c r="J357" s="10" t="str">
        <f t="shared" si="35"/>
        <v/>
      </c>
    </row>
    <row r="358" spans="1:10" x14ac:dyDescent="0.3">
      <c r="A358" s="5"/>
      <c r="B358" s="4" t="str">
        <f t="shared" si="30"/>
        <v/>
      </c>
      <c r="C358" s="17"/>
      <c r="D358" s="17"/>
      <c r="E358" s="17"/>
      <c r="F358" s="4" t="str">
        <f t="shared" si="31"/>
        <v/>
      </c>
      <c r="G358" s="10" t="str">
        <f t="shared" si="32"/>
        <v/>
      </c>
      <c r="H358" s="10" t="str">
        <f t="shared" si="33"/>
        <v/>
      </c>
      <c r="I358" s="10" t="str">
        <f t="shared" si="34"/>
        <v/>
      </c>
      <c r="J358" s="10" t="str">
        <f t="shared" si="35"/>
        <v/>
      </c>
    </row>
    <row r="359" spans="1:10" x14ac:dyDescent="0.3">
      <c r="A359" s="5"/>
      <c r="B359" s="4" t="str">
        <f t="shared" si="30"/>
        <v/>
      </c>
      <c r="C359" s="17"/>
      <c r="D359" s="17"/>
      <c r="E359" s="17"/>
      <c r="F359" s="4" t="str">
        <f t="shared" si="31"/>
        <v/>
      </c>
      <c r="G359" s="10" t="str">
        <f t="shared" si="32"/>
        <v/>
      </c>
      <c r="H359" s="10" t="str">
        <f t="shared" si="33"/>
        <v/>
      </c>
      <c r="I359" s="10" t="str">
        <f t="shared" si="34"/>
        <v/>
      </c>
      <c r="J359" s="10" t="str">
        <f t="shared" si="35"/>
        <v/>
      </c>
    </row>
    <row r="360" spans="1:10" x14ac:dyDescent="0.3">
      <c r="A360" s="5"/>
      <c r="B360" s="4" t="str">
        <f t="shared" si="30"/>
        <v/>
      </c>
      <c r="C360" s="17"/>
      <c r="D360" s="17"/>
      <c r="E360" s="17"/>
      <c r="F360" s="4" t="str">
        <f t="shared" si="31"/>
        <v/>
      </c>
      <c r="G360" s="10" t="str">
        <f t="shared" si="32"/>
        <v/>
      </c>
      <c r="H360" s="10" t="str">
        <f t="shared" si="33"/>
        <v/>
      </c>
      <c r="I360" s="10" t="str">
        <f t="shared" si="34"/>
        <v/>
      </c>
      <c r="J360" s="10" t="str">
        <f t="shared" si="35"/>
        <v/>
      </c>
    </row>
    <row r="361" spans="1:10" x14ac:dyDescent="0.3">
      <c r="A361" s="5"/>
      <c r="B361" s="4" t="str">
        <f t="shared" si="30"/>
        <v/>
      </c>
      <c r="C361" s="17"/>
      <c r="D361" s="17"/>
      <c r="E361" s="17"/>
      <c r="F361" s="4" t="str">
        <f t="shared" si="31"/>
        <v/>
      </c>
      <c r="G361" s="10" t="str">
        <f t="shared" si="32"/>
        <v/>
      </c>
      <c r="H361" s="10" t="str">
        <f t="shared" si="33"/>
        <v/>
      </c>
      <c r="I361" s="10" t="str">
        <f t="shared" si="34"/>
        <v/>
      </c>
      <c r="J361" s="10" t="str">
        <f t="shared" si="35"/>
        <v/>
      </c>
    </row>
    <row r="362" spans="1:10" x14ac:dyDescent="0.3">
      <c r="A362" s="5"/>
      <c r="B362" s="4" t="str">
        <f t="shared" si="30"/>
        <v/>
      </c>
      <c r="C362" s="17"/>
      <c r="D362" s="17"/>
      <c r="E362" s="17"/>
      <c r="F362" s="4" t="str">
        <f t="shared" si="31"/>
        <v/>
      </c>
      <c r="G362" s="10" t="str">
        <f t="shared" si="32"/>
        <v/>
      </c>
      <c r="H362" s="10" t="str">
        <f t="shared" si="33"/>
        <v/>
      </c>
      <c r="I362" s="10" t="str">
        <f t="shared" si="34"/>
        <v/>
      </c>
      <c r="J362" s="10" t="str">
        <f t="shared" si="35"/>
        <v/>
      </c>
    </row>
    <row r="363" spans="1:10" x14ac:dyDescent="0.3">
      <c r="A363" s="5"/>
      <c r="B363" s="4" t="str">
        <f t="shared" si="30"/>
        <v/>
      </c>
      <c r="C363" s="17"/>
      <c r="D363" s="17"/>
      <c r="E363" s="17"/>
      <c r="F363" s="4" t="str">
        <f t="shared" si="31"/>
        <v/>
      </c>
      <c r="G363" s="10" t="str">
        <f t="shared" si="32"/>
        <v/>
      </c>
      <c r="H363" s="10" t="str">
        <f t="shared" si="33"/>
        <v/>
      </c>
      <c r="I363" s="10" t="str">
        <f t="shared" si="34"/>
        <v/>
      </c>
      <c r="J363" s="10" t="str">
        <f t="shared" si="35"/>
        <v/>
      </c>
    </row>
    <row r="364" spans="1:10" x14ac:dyDescent="0.3">
      <c r="A364" s="5"/>
      <c r="B364" s="4" t="str">
        <f t="shared" si="30"/>
        <v/>
      </c>
      <c r="C364" s="17"/>
      <c r="D364" s="17"/>
      <c r="E364" s="17"/>
      <c r="F364" s="4" t="str">
        <f t="shared" si="31"/>
        <v/>
      </c>
      <c r="G364" s="10" t="str">
        <f t="shared" si="32"/>
        <v/>
      </c>
      <c r="H364" s="10" t="str">
        <f t="shared" si="33"/>
        <v/>
      </c>
      <c r="I364" s="10" t="str">
        <f t="shared" si="34"/>
        <v/>
      </c>
      <c r="J364" s="10" t="str">
        <f t="shared" si="35"/>
        <v/>
      </c>
    </row>
    <row r="365" spans="1:10" x14ac:dyDescent="0.3">
      <c r="A365" s="5"/>
      <c r="B365" s="4" t="str">
        <f t="shared" si="30"/>
        <v/>
      </c>
      <c r="C365" s="17"/>
      <c r="D365" s="17"/>
      <c r="E365" s="17"/>
      <c r="F365" s="4" t="str">
        <f t="shared" si="31"/>
        <v/>
      </c>
      <c r="G365" s="10" t="str">
        <f t="shared" si="32"/>
        <v/>
      </c>
      <c r="H365" s="10" t="str">
        <f t="shared" si="33"/>
        <v/>
      </c>
      <c r="I365" s="10" t="str">
        <f t="shared" si="34"/>
        <v/>
      </c>
      <c r="J365" s="10" t="str">
        <f t="shared" si="35"/>
        <v/>
      </c>
    </row>
    <row r="366" spans="1:10" x14ac:dyDescent="0.3">
      <c r="A366" s="5"/>
      <c r="B366" s="4" t="str">
        <f t="shared" si="30"/>
        <v/>
      </c>
      <c r="C366" s="17"/>
      <c r="D366" s="17"/>
      <c r="E366" s="17"/>
      <c r="F366" s="4" t="str">
        <f t="shared" si="31"/>
        <v/>
      </c>
      <c r="G366" s="10" t="str">
        <f t="shared" si="32"/>
        <v/>
      </c>
      <c r="H366" s="10" t="str">
        <f t="shared" si="33"/>
        <v/>
      </c>
      <c r="I366" s="10" t="str">
        <f t="shared" si="34"/>
        <v/>
      </c>
      <c r="J366" s="10" t="str">
        <f t="shared" si="35"/>
        <v/>
      </c>
    </row>
    <row r="367" spans="1:10" x14ac:dyDescent="0.3">
      <c r="A367" s="5"/>
      <c r="B367" s="4" t="str">
        <f t="shared" si="30"/>
        <v/>
      </c>
      <c r="C367" s="17"/>
      <c r="D367" s="17"/>
      <c r="E367" s="17"/>
      <c r="F367" s="4" t="str">
        <f t="shared" si="31"/>
        <v/>
      </c>
      <c r="G367" s="10" t="str">
        <f t="shared" si="32"/>
        <v/>
      </c>
      <c r="H367" s="10" t="str">
        <f t="shared" si="33"/>
        <v/>
      </c>
      <c r="I367" s="10" t="str">
        <f t="shared" si="34"/>
        <v/>
      </c>
      <c r="J367" s="10" t="str">
        <f t="shared" si="35"/>
        <v/>
      </c>
    </row>
    <row r="368" spans="1:10" x14ac:dyDescent="0.3">
      <c r="A368" s="5"/>
      <c r="B368" s="4" t="str">
        <f t="shared" si="30"/>
        <v/>
      </c>
      <c r="C368" s="17"/>
      <c r="D368" s="17"/>
      <c r="E368" s="17"/>
      <c r="F368" s="4" t="str">
        <f t="shared" si="31"/>
        <v/>
      </c>
      <c r="G368" s="10" t="str">
        <f t="shared" si="32"/>
        <v/>
      </c>
      <c r="H368" s="10" t="str">
        <f t="shared" si="33"/>
        <v/>
      </c>
      <c r="I368" s="10" t="str">
        <f t="shared" si="34"/>
        <v/>
      </c>
      <c r="J368" s="10" t="str">
        <f t="shared" si="35"/>
        <v/>
      </c>
    </row>
    <row r="369" spans="1:10" x14ac:dyDescent="0.3">
      <c r="A369" s="5"/>
      <c r="B369" s="4" t="str">
        <f t="shared" si="30"/>
        <v/>
      </c>
      <c r="C369" s="17"/>
      <c r="D369" s="17"/>
      <c r="E369" s="17"/>
      <c r="F369" s="4" t="str">
        <f t="shared" si="31"/>
        <v/>
      </c>
      <c r="G369" s="10" t="str">
        <f t="shared" si="32"/>
        <v/>
      </c>
      <c r="H369" s="10" t="str">
        <f t="shared" si="33"/>
        <v/>
      </c>
      <c r="I369" s="10" t="str">
        <f t="shared" si="34"/>
        <v/>
      </c>
      <c r="J369" s="10" t="str">
        <f t="shared" si="35"/>
        <v/>
      </c>
    </row>
    <row r="370" spans="1:10" x14ac:dyDescent="0.3">
      <c r="A370" s="5"/>
      <c r="B370" s="4" t="str">
        <f t="shared" si="30"/>
        <v/>
      </c>
      <c r="C370" s="17"/>
      <c r="D370" s="17"/>
      <c r="E370" s="17"/>
      <c r="F370" s="4" t="str">
        <f t="shared" si="31"/>
        <v/>
      </c>
      <c r="G370" s="10" t="str">
        <f t="shared" si="32"/>
        <v/>
      </c>
      <c r="H370" s="10" t="str">
        <f t="shared" si="33"/>
        <v/>
      </c>
      <c r="I370" s="10" t="str">
        <f t="shared" si="34"/>
        <v/>
      </c>
      <c r="J370" s="10" t="str">
        <f t="shared" si="35"/>
        <v/>
      </c>
    </row>
    <row r="371" spans="1:10" x14ac:dyDescent="0.3">
      <c r="A371" s="5"/>
      <c r="B371" s="4" t="str">
        <f t="shared" si="30"/>
        <v/>
      </c>
      <c r="C371" s="17"/>
      <c r="D371" s="17"/>
      <c r="E371" s="17"/>
      <c r="F371" s="4" t="str">
        <f t="shared" si="31"/>
        <v/>
      </c>
      <c r="G371" s="10" t="str">
        <f t="shared" si="32"/>
        <v/>
      </c>
      <c r="H371" s="10" t="str">
        <f t="shared" si="33"/>
        <v/>
      </c>
      <c r="I371" s="10" t="str">
        <f t="shared" si="34"/>
        <v/>
      </c>
      <c r="J371" s="10" t="str">
        <f t="shared" si="35"/>
        <v/>
      </c>
    </row>
    <row r="372" spans="1:10" x14ac:dyDescent="0.3">
      <c r="A372" s="5"/>
      <c r="B372" s="4" t="str">
        <f t="shared" si="30"/>
        <v/>
      </c>
      <c r="C372" s="17"/>
      <c r="D372" s="17"/>
      <c r="E372" s="17"/>
      <c r="F372" s="4" t="str">
        <f t="shared" si="31"/>
        <v/>
      </c>
      <c r="G372" s="10" t="str">
        <f t="shared" si="32"/>
        <v/>
      </c>
      <c r="H372" s="10" t="str">
        <f t="shared" si="33"/>
        <v/>
      </c>
      <c r="I372" s="10" t="str">
        <f t="shared" si="34"/>
        <v/>
      </c>
      <c r="J372" s="10" t="str">
        <f t="shared" si="35"/>
        <v/>
      </c>
    </row>
    <row r="373" spans="1:10" x14ac:dyDescent="0.3">
      <c r="A373" s="5"/>
      <c r="B373" s="4" t="str">
        <f t="shared" si="30"/>
        <v/>
      </c>
      <c r="C373" s="17"/>
      <c r="D373" s="17"/>
      <c r="E373" s="17"/>
      <c r="F373" s="4" t="str">
        <f t="shared" si="31"/>
        <v/>
      </c>
      <c r="G373" s="10" t="str">
        <f t="shared" si="32"/>
        <v/>
      </c>
      <c r="H373" s="10" t="str">
        <f t="shared" si="33"/>
        <v/>
      </c>
      <c r="I373" s="10" t="str">
        <f t="shared" si="34"/>
        <v/>
      </c>
      <c r="J373" s="10" t="str">
        <f t="shared" si="35"/>
        <v/>
      </c>
    </row>
    <row r="374" spans="1:10" x14ac:dyDescent="0.3">
      <c r="A374" s="5"/>
      <c r="B374" s="4" t="str">
        <f t="shared" si="30"/>
        <v/>
      </c>
      <c r="C374" s="17"/>
      <c r="D374" s="17"/>
      <c r="E374" s="17"/>
      <c r="F374" s="4" t="str">
        <f t="shared" si="31"/>
        <v/>
      </c>
      <c r="G374" s="10" t="str">
        <f t="shared" si="32"/>
        <v/>
      </c>
      <c r="H374" s="10" t="str">
        <f t="shared" si="33"/>
        <v/>
      </c>
      <c r="I374" s="10" t="str">
        <f t="shared" si="34"/>
        <v/>
      </c>
      <c r="J374" s="10" t="str">
        <f t="shared" si="35"/>
        <v/>
      </c>
    </row>
    <row r="375" spans="1:10" x14ac:dyDescent="0.3">
      <c r="A375" s="5"/>
      <c r="B375" s="4" t="str">
        <f t="shared" si="30"/>
        <v/>
      </c>
      <c r="C375" s="17"/>
      <c r="D375" s="17"/>
      <c r="E375" s="17"/>
      <c r="F375" s="4" t="str">
        <f t="shared" si="31"/>
        <v/>
      </c>
      <c r="G375" s="10" t="str">
        <f t="shared" si="32"/>
        <v/>
      </c>
      <c r="H375" s="10" t="str">
        <f t="shared" si="33"/>
        <v/>
      </c>
      <c r="I375" s="10" t="str">
        <f t="shared" si="34"/>
        <v/>
      </c>
      <c r="J375" s="10" t="str">
        <f t="shared" si="35"/>
        <v/>
      </c>
    </row>
    <row r="376" spans="1:10" x14ac:dyDescent="0.3">
      <c r="A376" s="5"/>
      <c r="B376" s="4" t="str">
        <f t="shared" si="30"/>
        <v/>
      </c>
      <c r="C376" s="17"/>
      <c r="D376" s="17"/>
      <c r="E376" s="17"/>
      <c r="F376" s="4" t="str">
        <f t="shared" si="31"/>
        <v/>
      </c>
      <c r="G376" s="10" t="str">
        <f t="shared" si="32"/>
        <v/>
      </c>
      <c r="H376" s="10" t="str">
        <f t="shared" si="33"/>
        <v/>
      </c>
      <c r="I376" s="10" t="str">
        <f t="shared" si="34"/>
        <v/>
      </c>
      <c r="J376" s="10" t="str">
        <f t="shared" si="35"/>
        <v/>
      </c>
    </row>
    <row r="377" spans="1:10" x14ac:dyDescent="0.3">
      <c r="A377" s="5"/>
      <c r="B377" s="4" t="str">
        <f t="shared" si="30"/>
        <v/>
      </c>
      <c r="C377" s="17"/>
      <c r="D377" s="17"/>
      <c r="E377" s="17"/>
      <c r="F377" s="4" t="str">
        <f t="shared" si="31"/>
        <v/>
      </c>
      <c r="G377" s="10" t="str">
        <f t="shared" si="32"/>
        <v/>
      </c>
      <c r="H377" s="10" t="str">
        <f t="shared" si="33"/>
        <v/>
      </c>
      <c r="I377" s="10" t="str">
        <f t="shared" si="34"/>
        <v/>
      </c>
      <c r="J377" s="10" t="str">
        <f t="shared" si="35"/>
        <v/>
      </c>
    </row>
    <row r="378" spans="1:10" x14ac:dyDescent="0.3">
      <c r="A378" s="5"/>
      <c r="B378" s="4" t="str">
        <f t="shared" si="30"/>
        <v/>
      </c>
      <c r="C378" s="17"/>
      <c r="D378" s="17"/>
      <c r="E378" s="17"/>
      <c r="F378" s="4" t="str">
        <f t="shared" si="31"/>
        <v/>
      </c>
      <c r="G378" s="10" t="str">
        <f t="shared" si="32"/>
        <v/>
      </c>
      <c r="H378" s="10" t="str">
        <f t="shared" si="33"/>
        <v/>
      </c>
      <c r="I378" s="10" t="str">
        <f t="shared" si="34"/>
        <v/>
      </c>
      <c r="J378" s="10" t="str">
        <f t="shared" si="35"/>
        <v/>
      </c>
    </row>
    <row r="379" spans="1:10" x14ac:dyDescent="0.3">
      <c r="A379" s="5"/>
      <c r="B379" s="4" t="str">
        <f t="shared" si="30"/>
        <v/>
      </c>
      <c r="C379" s="17"/>
      <c r="D379" s="17"/>
      <c r="E379" s="17"/>
      <c r="F379" s="4" t="str">
        <f t="shared" si="31"/>
        <v/>
      </c>
      <c r="G379" s="10" t="str">
        <f t="shared" si="32"/>
        <v/>
      </c>
      <c r="H379" s="10" t="str">
        <f t="shared" si="33"/>
        <v/>
      </c>
      <c r="I379" s="10" t="str">
        <f t="shared" si="34"/>
        <v/>
      </c>
      <c r="J379" s="10" t="str">
        <f t="shared" si="35"/>
        <v/>
      </c>
    </row>
    <row r="380" spans="1:10" x14ac:dyDescent="0.3">
      <c r="A380" s="5"/>
      <c r="B380" s="4" t="str">
        <f t="shared" si="30"/>
        <v/>
      </c>
      <c r="C380" s="17"/>
      <c r="D380" s="17"/>
      <c r="E380" s="17"/>
      <c r="F380" s="4" t="str">
        <f t="shared" si="31"/>
        <v/>
      </c>
      <c r="G380" s="10" t="str">
        <f t="shared" si="32"/>
        <v/>
      </c>
      <c r="H380" s="10" t="str">
        <f t="shared" si="33"/>
        <v/>
      </c>
      <c r="I380" s="10" t="str">
        <f t="shared" si="34"/>
        <v/>
      </c>
      <c r="J380" s="10" t="str">
        <f t="shared" si="35"/>
        <v/>
      </c>
    </row>
    <row r="381" spans="1:10" x14ac:dyDescent="0.3">
      <c r="A381" s="5"/>
      <c r="B381" s="4" t="str">
        <f t="shared" si="30"/>
        <v/>
      </c>
      <c r="C381" s="17"/>
      <c r="D381" s="17"/>
      <c r="E381" s="17"/>
      <c r="F381" s="4" t="str">
        <f t="shared" si="31"/>
        <v/>
      </c>
      <c r="G381" s="10" t="str">
        <f t="shared" si="32"/>
        <v/>
      </c>
      <c r="H381" s="10" t="str">
        <f t="shared" si="33"/>
        <v/>
      </c>
      <c r="I381" s="10" t="str">
        <f t="shared" si="34"/>
        <v/>
      </c>
      <c r="J381" s="10" t="str">
        <f t="shared" si="35"/>
        <v/>
      </c>
    </row>
    <row r="382" spans="1:10" x14ac:dyDescent="0.3">
      <c r="A382" s="5"/>
      <c r="B382" s="4" t="str">
        <f t="shared" si="30"/>
        <v/>
      </c>
      <c r="C382" s="17"/>
      <c r="D382" s="17"/>
      <c r="E382" s="17"/>
      <c r="F382" s="4" t="str">
        <f t="shared" si="31"/>
        <v/>
      </c>
      <c r="G382" s="10" t="str">
        <f t="shared" si="32"/>
        <v/>
      </c>
      <c r="H382" s="10" t="str">
        <f t="shared" si="33"/>
        <v/>
      </c>
      <c r="I382" s="10" t="str">
        <f t="shared" si="34"/>
        <v/>
      </c>
      <c r="J382" s="10" t="str">
        <f t="shared" si="35"/>
        <v/>
      </c>
    </row>
    <row r="383" spans="1:10" x14ac:dyDescent="0.3">
      <c r="A383" s="5"/>
      <c r="B383" s="4" t="str">
        <f t="shared" si="30"/>
        <v/>
      </c>
      <c r="C383" s="17"/>
      <c r="D383" s="17"/>
      <c r="E383" s="17"/>
      <c r="F383" s="4" t="str">
        <f t="shared" si="31"/>
        <v/>
      </c>
      <c r="G383" s="10" t="str">
        <f t="shared" si="32"/>
        <v/>
      </c>
      <c r="H383" s="10" t="str">
        <f t="shared" si="33"/>
        <v/>
      </c>
      <c r="I383" s="10" t="str">
        <f t="shared" si="34"/>
        <v/>
      </c>
      <c r="J383" s="10" t="str">
        <f t="shared" si="35"/>
        <v/>
      </c>
    </row>
    <row r="384" spans="1:10" x14ac:dyDescent="0.3">
      <c r="A384" s="5"/>
      <c r="B384" s="4" t="str">
        <f t="shared" si="30"/>
        <v/>
      </c>
      <c r="C384" s="17"/>
      <c r="D384" s="17"/>
      <c r="E384" s="17"/>
      <c r="F384" s="4" t="str">
        <f t="shared" si="31"/>
        <v/>
      </c>
      <c r="G384" s="10" t="str">
        <f t="shared" si="32"/>
        <v/>
      </c>
      <c r="H384" s="10" t="str">
        <f t="shared" si="33"/>
        <v/>
      </c>
      <c r="I384" s="10" t="str">
        <f t="shared" si="34"/>
        <v/>
      </c>
      <c r="J384" s="10" t="str">
        <f t="shared" si="35"/>
        <v/>
      </c>
    </row>
    <row r="385" spans="1:10" x14ac:dyDescent="0.3">
      <c r="A385" s="5"/>
      <c r="B385" s="4" t="str">
        <f t="shared" si="30"/>
        <v/>
      </c>
      <c r="C385" s="17"/>
      <c r="D385" s="17"/>
      <c r="E385" s="17"/>
      <c r="F385" s="4" t="str">
        <f t="shared" si="31"/>
        <v/>
      </c>
      <c r="G385" s="10" t="str">
        <f t="shared" si="32"/>
        <v/>
      </c>
      <c r="H385" s="10" t="str">
        <f t="shared" si="33"/>
        <v/>
      </c>
      <c r="I385" s="10" t="str">
        <f t="shared" si="34"/>
        <v/>
      </c>
      <c r="J385" s="10" t="str">
        <f t="shared" si="35"/>
        <v/>
      </c>
    </row>
    <row r="386" spans="1:10" x14ac:dyDescent="0.3">
      <c r="A386" s="5"/>
      <c r="B386" s="4" t="str">
        <f t="shared" si="30"/>
        <v/>
      </c>
      <c r="C386" s="17"/>
      <c r="D386" s="17"/>
      <c r="E386" s="17"/>
      <c r="F386" s="4" t="str">
        <f t="shared" si="31"/>
        <v/>
      </c>
      <c r="G386" s="10" t="str">
        <f t="shared" si="32"/>
        <v/>
      </c>
      <c r="H386" s="10" t="str">
        <f t="shared" si="33"/>
        <v/>
      </c>
      <c r="I386" s="10" t="str">
        <f t="shared" si="34"/>
        <v/>
      </c>
      <c r="J386" s="10" t="str">
        <f t="shared" si="35"/>
        <v/>
      </c>
    </row>
    <row r="387" spans="1:10" x14ac:dyDescent="0.3">
      <c r="A387" s="5"/>
      <c r="B387" s="4" t="str">
        <f t="shared" si="30"/>
        <v/>
      </c>
      <c r="C387" s="17"/>
      <c r="D387" s="17"/>
      <c r="E387" s="17"/>
      <c r="F387" s="4" t="str">
        <f t="shared" si="31"/>
        <v/>
      </c>
      <c r="G387" s="10" t="str">
        <f t="shared" si="32"/>
        <v/>
      </c>
      <c r="H387" s="10" t="str">
        <f t="shared" si="33"/>
        <v/>
      </c>
      <c r="I387" s="10" t="str">
        <f t="shared" si="34"/>
        <v/>
      </c>
      <c r="J387" s="10" t="str">
        <f t="shared" si="35"/>
        <v/>
      </c>
    </row>
    <row r="388" spans="1:10" x14ac:dyDescent="0.3">
      <c r="A388" s="5"/>
      <c r="B388" s="4" t="str">
        <f t="shared" si="30"/>
        <v/>
      </c>
      <c r="C388" s="17"/>
      <c r="D388" s="17"/>
      <c r="E388" s="17"/>
      <c r="F388" s="4" t="str">
        <f t="shared" si="31"/>
        <v/>
      </c>
      <c r="G388" s="10" t="str">
        <f t="shared" si="32"/>
        <v/>
      </c>
      <c r="H388" s="10" t="str">
        <f t="shared" si="33"/>
        <v/>
      </c>
      <c r="I388" s="10" t="str">
        <f t="shared" si="34"/>
        <v/>
      </c>
      <c r="J388" s="10" t="str">
        <f t="shared" si="35"/>
        <v/>
      </c>
    </row>
    <row r="389" spans="1:10" x14ac:dyDescent="0.3">
      <c r="A389" s="5"/>
      <c r="B389" s="4" t="str">
        <f t="shared" si="30"/>
        <v/>
      </c>
      <c r="C389" s="17"/>
      <c r="D389" s="17"/>
      <c r="E389" s="17"/>
      <c r="F389" s="4" t="str">
        <f t="shared" si="31"/>
        <v/>
      </c>
      <c r="G389" s="10" t="str">
        <f t="shared" si="32"/>
        <v/>
      </c>
      <c r="H389" s="10" t="str">
        <f t="shared" si="33"/>
        <v/>
      </c>
      <c r="I389" s="10" t="str">
        <f t="shared" si="34"/>
        <v/>
      </c>
      <c r="J389" s="10" t="str">
        <f t="shared" si="35"/>
        <v/>
      </c>
    </row>
    <row r="390" spans="1:10" x14ac:dyDescent="0.3">
      <c r="A390" s="5"/>
      <c r="B390" s="4" t="str">
        <f t="shared" ref="B390:B453" si="36">IF(A390="","",IFERROR(INDEX(COA_NAME,MATCH(A390,COA_ACCT,0))&amp;"",IFERROR(INDEX(DICT_ACTIVE,MATCH("TB.UNMAPPED",DICT_KEY,0)),"?")))</f>
        <v/>
      </c>
      <c r="C390" s="17"/>
      <c r="D390" s="17"/>
      <c r="E390" s="17"/>
      <c r="F390" s="4" t="str">
        <f t="shared" ref="F390:F453" si="37">IF(A390="","",IF(G390="",IFERROR(INDEX(DICT_ACTIVE,MATCH("TB.UNMAPPED",DICT_KEY,0)),"?"),""))</f>
        <v/>
      </c>
      <c r="G390" s="10" t="str">
        <f t="shared" ref="G390:G453" si="38">IF(A390="","",IFERROR(INDEX(COA_LINE_EFF,MATCH(A390,COA_ACCT,0))&amp;"",""))</f>
        <v/>
      </c>
      <c r="H390" s="10" t="str">
        <f t="shared" ref="H390:H453" si="39">IF(A390="","",IFERROR(INDEX(COA_CAT_FX,MATCH(A390,COA_ACCT,0))&amp;"",""))</f>
        <v/>
      </c>
      <c r="I390" s="10" t="str">
        <f t="shared" ref="I390:I453" si="40">IF(A390="","",IFERROR(INDEX(COA_CF,MATCH(A390,COA_ACCT,0))&amp;"","-"))</f>
        <v/>
      </c>
      <c r="J390" s="10" t="str">
        <f t="shared" ref="J390:J453" si="41">IF(A390="","",IFERROR(INDEX(COA_LINE_N,MATCH(A390,COA_ACCT,0))&amp;"",""))</f>
        <v/>
      </c>
    </row>
    <row r="391" spans="1:10" x14ac:dyDescent="0.3">
      <c r="A391" s="5"/>
      <c r="B391" s="4" t="str">
        <f t="shared" si="36"/>
        <v/>
      </c>
      <c r="C391" s="17"/>
      <c r="D391" s="17"/>
      <c r="E391" s="17"/>
      <c r="F391" s="4" t="str">
        <f t="shared" si="37"/>
        <v/>
      </c>
      <c r="G391" s="10" t="str">
        <f t="shared" si="38"/>
        <v/>
      </c>
      <c r="H391" s="10" t="str">
        <f t="shared" si="39"/>
        <v/>
      </c>
      <c r="I391" s="10" t="str">
        <f t="shared" si="40"/>
        <v/>
      </c>
      <c r="J391" s="10" t="str">
        <f t="shared" si="41"/>
        <v/>
      </c>
    </row>
    <row r="392" spans="1:10" x14ac:dyDescent="0.3">
      <c r="A392" s="5"/>
      <c r="B392" s="4" t="str">
        <f t="shared" si="36"/>
        <v/>
      </c>
      <c r="C392" s="17"/>
      <c r="D392" s="17"/>
      <c r="E392" s="17"/>
      <c r="F392" s="4" t="str">
        <f t="shared" si="37"/>
        <v/>
      </c>
      <c r="G392" s="10" t="str">
        <f t="shared" si="38"/>
        <v/>
      </c>
      <c r="H392" s="10" t="str">
        <f t="shared" si="39"/>
        <v/>
      </c>
      <c r="I392" s="10" t="str">
        <f t="shared" si="40"/>
        <v/>
      </c>
      <c r="J392" s="10" t="str">
        <f t="shared" si="41"/>
        <v/>
      </c>
    </row>
    <row r="393" spans="1:10" x14ac:dyDescent="0.3">
      <c r="A393" s="5"/>
      <c r="B393" s="4" t="str">
        <f t="shared" si="36"/>
        <v/>
      </c>
      <c r="C393" s="17"/>
      <c r="D393" s="17"/>
      <c r="E393" s="17"/>
      <c r="F393" s="4" t="str">
        <f t="shared" si="37"/>
        <v/>
      </c>
      <c r="G393" s="10" t="str">
        <f t="shared" si="38"/>
        <v/>
      </c>
      <c r="H393" s="10" t="str">
        <f t="shared" si="39"/>
        <v/>
      </c>
      <c r="I393" s="10" t="str">
        <f t="shared" si="40"/>
        <v/>
      </c>
      <c r="J393" s="10" t="str">
        <f t="shared" si="41"/>
        <v/>
      </c>
    </row>
    <row r="394" spans="1:10" x14ac:dyDescent="0.3">
      <c r="A394" s="5"/>
      <c r="B394" s="4" t="str">
        <f t="shared" si="36"/>
        <v/>
      </c>
      <c r="C394" s="17"/>
      <c r="D394" s="17"/>
      <c r="E394" s="17"/>
      <c r="F394" s="4" t="str">
        <f t="shared" si="37"/>
        <v/>
      </c>
      <c r="G394" s="10" t="str">
        <f t="shared" si="38"/>
        <v/>
      </c>
      <c r="H394" s="10" t="str">
        <f t="shared" si="39"/>
        <v/>
      </c>
      <c r="I394" s="10" t="str">
        <f t="shared" si="40"/>
        <v/>
      </c>
      <c r="J394" s="10" t="str">
        <f t="shared" si="41"/>
        <v/>
      </c>
    </row>
    <row r="395" spans="1:10" x14ac:dyDescent="0.3">
      <c r="A395" s="5"/>
      <c r="B395" s="4" t="str">
        <f t="shared" si="36"/>
        <v/>
      </c>
      <c r="C395" s="17"/>
      <c r="D395" s="17"/>
      <c r="E395" s="17"/>
      <c r="F395" s="4" t="str">
        <f t="shared" si="37"/>
        <v/>
      </c>
      <c r="G395" s="10" t="str">
        <f t="shared" si="38"/>
        <v/>
      </c>
      <c r="H395" s="10" t="str">
        <f t="shared" si="39"/>
        <v/>
      </c>
      <c r="I395" s="10" t="str">
        <f t="shared" si="40"/>
        <v/>
      </c>
      <c r="J395" s="10" t="str">
        <f t="shared" si="41"/>
        <v/>
      </c>
    </row>
    <row r="396" spans="1:10" x14ac:dyDescent="0.3">
      <c r="A396" s="5"/>
      <c r="B396" s="4" t="str">
        <f t="shared" si="36"/>
        <v/>
      </c>
      <c r="C396" s="17"/>
      <c r="D396" s="17"/>
      <c r="E396" s="17"/>
      <c r="F396" s="4" t="str">
        <f t="shared" si="37"/>
        <v/>
      </c>
      <c r="G396" s="10" t="str">
        <f t="shared" si="38"/>
        <v/>
      </c>
      <c r="H396" s="10" t="str">
        <f t="shared" si="39"/>
        <v/>
      </c>
      <c r="I396" s="10" t="str">
        <f t="shared" si="40"/>
        <v/>
      </c>
      <c r="J396" s="10" t="str">
        <f t="shared" si="41"/>
        <v/>
      </c>
    </row>
    <row r="397" spans="1:10" x14ac:dyDescent="0.3">
      <c r="A397" s="5"/>
      <c r="B397" s="4" t="str">
        <f t="shared" si="36"/>
        <v/>
      </c>
      <c r="C397" s="17"/>
      <c r="D397" s="17"/>
      <c r="E397" s="17"/>
      <c r="F397" s="4" t="str">
        <f t="shared" si="37"/>
        <v/>
      </c>
      <c r="G397" s="10" t="str">
        <f t="shared" si="38"/>
        <v/>
      </c>
      <c r="H397" s="10" t="str">
        <f t="shared" si="39"/>
        <v/>
      </c>
      <c r="I397" s="10" t="str">
        <f t="shared" si="40"/>
        <v/>
      </c>
      <c r="J397" s="10" t="str">
        <f t="shared" si="41"/>
        <v/>
      </c>
    </row>
    <row r="398" spans="1:10" x14ac:dyDescent="0.3">
      <c r="A398" s="5"/>
      <c r="B398" s="4" t="str">
        <f t="shared" si="36"/>
        <v/>
      </c>
      <c r="C398" s="17"/>
      <c r="D398" s="17"/>
      <c r="E398" s="17"/>
      <c r="F398" s="4" t="str">
        <f t="shared" si="37"/>
        <v/>
      </c>
      <c r="G398" s="10" t="str">
        <f t="shared" si="38"/>
        <v/>
      </c>
      <c r="H398" s="10" t="str">
        <f t="shared" si="39"/>
        <v/>
      </c>
      <c r="I398" s="10" t="str">
        <f t="shared" si="40"/>
        <v/>
      </c>
      <c r="J398" s="10" t="str">
        <f t="shared" si="41"/>
        <v/>
      </c>
    </row>
    <row r="399" spans="1:10" x14ac:dyDescent="0.3">
      <c r="A399" s="5"/>
      <c r="B399" s="4" t="str">
        <f t="shared" si="36"/>
        <v/>
      </c>
      <c r="C399" s="17"/>
      <c r="D399" s="17"/>
      <c r="E399" s="17"/>
      <c r="F399" s="4" t="str">
        <f t="shared" si="37"/>
        <v/>
      </c>
      <c r="G399" s="10" t="str">
        <f t="shared" si="38"/>
        <v/>
      </c>
      <c r="H399" s="10" t="str">
        <f t="shared" si="39"/>
        <v/>
      </c>
      <c r="I399" s="10" t="str">
        <f t="shared" si="40"/>
        <v/>
      </c>
      <c r="J399" s="10" t="str">
        <f t="shared" si="41"/>
        <v/>
      </c>
    </row>
    <row r="400" spans="1:10" x14ac:dyDescent="0.3">
      <c r="A400" s="5"/>
      <c r="B400" s="4" t="str">
        <f t="shared" si="36"/>
        <v/>
      </c>
      <c r="C400" s="17"/>
      <c r="D400" s="17"/>
      <c r="E400" s="17"/>
      <c r="F400" s="4" t="str">
        <f t="shared" si="37"/>
        <v/>
      </c>
      <c r="G400" s="10" t="str">
        <f t="shared" si="38"/>
        <v/>
      </c>
      <c r="H400" s="10" t="str">
        <f t="shared" si="39"/>
        <v/>
      </c>
      <c r="I400" s="10" t="str">
        <f t="shared" si="40"/>
        <v/>
      </c>
      <c r="J400" s="10" t="str">
        <f t="shared" si="41"/>
        <v/>
      </c>
    </row>
    <row r="401" spans="1:10" x14ac:dyDescent="0.3">
      <c r="A401" s="5"/>
      <c r="B401" s="4" t="str">
        <f t="shared" si="36"/>
        <v/>
      </c>
      <c r="C401" s="17"/>
      <c r="D401" s="17"/>
      <c r="E401" s="17"/>
      <c r="F401" s="4" t="str">
        <f t="shared" si="37"/>
        <v/>
      </c>
      <c r="G401" s="10" t="str">
        <f t="shared" si="38"/>
        <v/>
      </c>
      <c r="H401" s="10" t="str">
        <f t="shared" si="39"/>
        <v/>
      </c>
      <c r="I401" s="10" t="str">
        <f t="shared" si="40"/>
        <v/>
      </c>
      <c r="J401" s="10" t="str">
        <f t="shared" si="41"/>
        <v/>
      </c>
    </row>
    <row r="402" spans="1:10" x14ac:dyDescent="0.3">
      <c r="A402" s="5"/>
      <c r="B402" s="4" t="str">
        <f t="shared" si="36"/>
        <v/>
      </c>
      <c r="C402" s="17"/>
      <c r="D402" s="17"/>
      <c r="E402" s="17"/>
      <c r="F402" s="4" t="str">
        <f t="shared" si="37"/>
        <v/>
      </c>
      <c r="G402" s="10" t="str">
        <f t="shared" si="38"/>
        <v/>
      </c>
      <c r="H402" s="10" t="str">
        <f t="shared" si="39"/>
        <v/>
      </c>
      <c r="I402" s="10" t="str">
        <f t="shared" si="40"/>
        <v/>
      </c>
      <c r="J402" s="10" t="str">
        <f t="shared" si="41"/>
        <v/>
      </c>
    </row>
    <row r="403" spans="1:10" x14ac:dyDescent="0.3">
      <c r="A403" s="5"/>
      <c r="B403" s="4" t="str">
        <f t="shared" si="36"/>
        <v/>
      </c>
      <c r="C403" s="17"/>
      <c r="D403" s="17"/>
      <c r="E403" s="17"/>
      <c r="F403" s="4" t="str">
        <f t="shared" si="37"/>
        <v/>
      </c>
      <c r="G403" s="10" t="str">
        <f t="shared" si="38"/>
        <v/>
      </c>
      <c r="H403" s="10" t="str">
        <f t="shared" si="39"/>
        <v/>
      </c>
      <c r="I403" s="10" t="str">
        <f t="shared" si="40"/>
        <v/>
      </c>
      <c r="J403" s="10" t="str">
        <f t="shared" si="41"/>
        <v/>
      </c>
    </row>
    <row r="404" spans="1:10" x14ac:dyDescent="0.3">
      <c r="A404" s="5"/>
      <c r="B404" s="4" t="str">
        <f t="shared" si="36"/>
        <v/>
      </c>
      <c r="C404" s="17"/>
      <c r="D404" s="17"/>
      <c r="E404" s="17"/>
      <c r="F404" s="4" t="str">
        <f t="shared" si="37"/>
        <v/>
      </c>
      <c r="G404" s="10" t="str">
        <f t="shared" si="38"/>
        <v/>
      </c>
      <c r="H404" s="10" t="str">
        <f t="shared" si="39"/>
        <v/>
      </c>
      <c r="I404" s="10" t="str">
        <f t="shared" si="40"/>
        <v/>
      </c>
      <c r="J404" s="10" t="str">
        <f t="shared" si="41"/>
        <v/>
      </c>
    </row>
    <row r="405" spans="1:10" x14ac:dyDescent="0.3">
      <c r="A405" s="5"/>
      <c r="B405" s="4" t="str">
        <f t="shared" si="36"/>
        <v/>
      </c>
      <c r="C405" s="17"/>
      <c r="D405" s="17"/>
      <c r="E405" s="17"/>
      <c r="F405" s="4" t="str">
        <f t="shared" si="37"/>
        <v/>
      </c>
      <c r="G405" s="10" t="str">
        <f t="shared" si="38"/>
        <v/>
      </c>
      <c r="H405" s="10" t="str">
        <f t="shared" si="39"/>
        <v/>
      </c>
      <c r="I405" s="10" t="str">
        <f t="shared" si="40"/>
        <v/>
      </c>
      <c r="J405" s="10" t="str">
        <f t="shared" si="41"/>
        <v/>
      </c>
    </row>
    <row r="406" spans="1:10" x14ac:dyDescent="0.3">
      <c r="A406" s="5"/>
      <c r="B406" s="4" t="str">
        <f t="shared" si="36"/>
        <v/>
      </c>
      <c r="C406" s="17"/>
      <c r="D406" s="17"/>
      <c r="E406" s="17"/>
      <c r="F406" s="4" t="str">
        <f t="shared" si="37"/>
        <v/>
      </c>
      <c r="G406" s="10" t="str">
        <f t="shared" si="38"/>
        <v/>
      </c>
      <c r="H406" s="10" t="str">
        <f t="shared" si="39"/>
        <v/>
      </c>
      <c r="I406" s="10" t="str">
        <f t="shared" si="40"/>
        <v/>
      </c>
      <c r="J406" s="10" t="str">
        <f t="shared" si="41"/>
        <v/>
      </c>
    </row>
    <row r="407" spans="1:10" x14ac:dyDescent="0.3">
      <c r="A407" s="5"/>
      <c r="B407" s="4" t="str">
        <f t="shared" si="36"/>
        <v/>
      </c>
      <c r="C407" s="17"/>
      <c r="D407" s="17"/>
      <c r="E407" s="17"/>
      <c r="F407" s="4" t="str">
        <f t="shared" si="37"/>
        <v/>
      </c>
      <c r="G407" s="10" t="str">
        <f t="shared" si="38"/>
        <v/>
      </c>
      <c r="H407" s="10" t="str">
        <f t="shared" si="39"/>
        <v/>
      </c>
      <c r="I407" s="10" t="str">
        <f t="shared" si="40"/>
        <v/>
      </c>
      <c r="J407" s="10" t="str">
        <f t="shared" si="41"/>
        <v/>
      </c>
    </row>
    <row r="408" spans="1:10" x14ac:dyDescent="0.3">
      <c r="A408" s="5"/>
      <c r="B408" s="4" t="str">
        <f t="shared" si="36"/>
        <v/>
      </c>
      <c r="C408" s="17"/>
      <c r="D408" s="17"/>
      <c r="E408" s="17"/>
      <c r="F408" s="4" t="str">
        <f t="shared" si="37"/>
        <v/>
      </c>
      <c r="G408" s="10" t="str">
        <f t="shared" si="38"/>
        <v/>
      </c>
      <c r="H408" s="10" t="str">
        <f t="shared" si="39"/>
        <v/>
      </c>
      <c r="I408" s="10" t="str">
        <f t="shared" si="40"/>
        <v/>
      </c>
      <c r="J408" s="10" t="str">
        <f t="shared" si="41"/>
        <v/>
      </c>
    </row>
    <row r="409" spans="1:10" x14ac:dyDescent="0.3">
      <c r="A409" s="5"/>
      <c r="B409" s="4" t="str">
        <f t="shared" si="36"/>
        <v/>
      </c>
      <c r="C409" s="17"/>
      <c r="D409" s="17"/>
      <c r="E409" s="17"/>
      <c r="F409" s="4" t="str">
        <f t="shared" si="37"/>
        <v/>
      </c>
      <c r="G409" s="10" t="str">
        <f t="shared" si="38"/>
        <v/>
      </c>
      <c r="H409" s="10" t="str">
        <f t="shared" si="39"/>
        <v/>
      </c>
      <c r="I409" s="10" t="str">
        <f t="shared" si="40"/>
        <v/>
      </c>
      <c r="J409" s="10" t="str">
        <f t="shared" si="41"/>
        <v/>
      </c>
    </row>
    <row r="410" spans="1:10" x14ac:dyDescent="0.3">
      <c r="A410" s="5"/>
      <c r="B410" s="4" t="str">
        <f t="shared" si="36"/>
        <v/>
      </c>
      <c r="C410" s="17"/>
      <c r="D410" s="17"/>
      <c r="E410" s="17"/>
      <c r="F410" s="4" t="str">
        <f t="shared" si="37"/>
        <v/>
      </c>
      <c r="G410" s="10" t="str">
        <f t="shared" si="38"/>
        <v/>
      </c>
      <c r="H410" s="10" t="str">
        <f t="shared" si="39"/>
        <v/>
      </c>
      <c r="I410" s="10" t="str">
        <f t="shared" si="40"/>
        <v/>
      </c>
      <c r="J410" s="10" t="str">
        <f t="shared" si="41"/>
        <v/>
      </c>
    </row>
    <row r="411" spans="1:10" x14ac:dyDescent="0.3">
      <c r="A411" s="5"/>
      <c r="B411" s="4" t="str">
        <f t="shared" si="36"/>
        <v/>
      </c>
      <c r="C411" s="17"/>
      <c r="D411" s="17"/>
      <c r="E411" s="17"/>
      <c r="F411" s="4" t="str">
        <f t="shared" si="37"/>
        <v/>
      </c>
      <c r="G411" s="10" t="str">
        <f t="shared" si="38"/>
        <v/>
      </c>
      <c r="H411" s="10" t="str">
        <f t="shared" si="39"/>
        <v/>
      </c>
      <c r="I411" s="10" t="str">
        <f t="shared" si="40"/>
        <v/>
      </c>
      <c r="J411" s="10" t="str">
        <f t="shared" si="41"/>
        <v/>
      </c>
    </row>
    <row r="412" spans="1:10" x14ac:dyDescent="0.3">
      <c r="A412" s="5"/>
      <c r="B412" s="4" t="str">
        <f t="shared" si="36"/>
        <v/>
      </c>
      <c r="C412" s="17"/>
      <c r="D412" s="17"/>
      <c r="E412" s="17"/>
      <c r="F412" s="4" t="str">
        <f t="shared" si="37"/>
        <v/>
      </c>
      <c r="G412" s="10" t="str">
        <f t="shared" si="38"/>
        <v/>
      </c>
      <c r="H412" s="10" t="str">
        <f t="shared" si="39"/>
        <v/>
      </c>
      <c r="I412" s="10" t="str">
        <f t="shared" si="40"/>
        <v/>
      </c>
      <c r="J412" s="10" t="str">
        <f t="shared" si="41"/>
        <v/>
      </c>
    </row>
    <row r="413" spans="1:10" x14ac:dyDescent="0.3">
      <c r="A413" s="5"/>
      <c r="B413" s="4" t="str">
        <f t="shared" si="36"/>
        <v/>
      </c>
      <c r="C413" s="17"/>
      <c r="D413" s="17"/>
      <c r="E413" s="17"/>
      <c r="F413" s="4" t="str">
        <f t="shared" si="37"/>
        <v/>
      </c>
      <c r="G413" s="10" t="str">
        <f t="shared" si="38"/>
        <v/>
      </c>
      <c r="H413" s="10" t="str">
        <f t="shared" si="39"/>
        <v/>
      </c>
      <c r="I413" s="10" t="str">
        <f t="shared" si="40"/>
        <v/>
      </c>
      <c r="J413" s="10" t="str">
        <f t="shared" si="41"/>
        <v/>
      </c>
    </row>
    <row r="414" spans="1:10" x14ac:dyDescent="0.3">
      <c r="A414" s="5"/>
      <c r="B414" s="4" t="str">
        <f t="shared" si="36"/>
        <v/>
      </c>
      <c r="C414" s="17"/>
      <c r="D414" s="17"/>
      <c r="E414" s="17"/>
      <c r="F414" s="4" t="str">
        <f t="shared" si="37"/>
        <v/>
      </c>
      <c r="G414" s="10" t="str">
        <f t="shared" si="38"/>
        <v/>
      </c>
      <c r="H414" s="10" t="str">
        <f t="shared" si="39"/>
        <v/>
      </c>
      <c r="I414" s="10" t="str">
        <f t="shared" si="40"/>
        <v/>
      </c>
      <c r="J414" s="10" t="str">
        <f t="shared" si="41"/>
        <v/>
      </c>
    </row>
    <row r="415" spans="1:10" x14ac:dyDescent="0.3">
      <c r="A415" s="5"/>
      <c r="B415" s="4" t="str">
        <f t="shared" si="36"/>
        <v/>
      </c>
      <c r="C415" s="17"/>
      <c r="D415" s="17"/>
      <c r="E415" s="17"/>
      <c r="F415" s="4" t="str">
        <f t="shared" si="37"/>
        <v/>
      </c>
      <c r="G415" s="10" t="str">
        <f t="shared" si="38"/>
        <v/>
      </c>
      <c r="H415" s="10" t="str">
        <f t="shared" si="39"/>
        <v/>
      </c>
      <c r="I415" s="10" t="str">
        <f t="shared" si="40"/>
        <v/>
      </c>
      <c r="J415" s="10" t="str">
        <f t="shared" si="41"/>
        <v/>
      </c>
    </row>
    <row r="416" spans="1:10" x14ac:dyDescent="0.3">
      <c r="A416" s="5"/>
      <c r="B416" s="4" t="str">
        <f t="shared" si="36"/>
        <v/>
      </c>
      <c r="C416" s="17"/>
      <c r="D416" s="17"/>
      <c r="E416" s="17"/>
      <c r="F416" s="4" t="str">
        <f t="shared" si="37"/>
        <v/>
      </c>
      <c r="G416" s="10" t="str">
        <f t="shared" si="38"/>
        <v/>
      </c>
      <c r="H416" s="10" t="str">
        <f t="shared" si="39"/>
        <v/>
      </c>
      <c r="I416" s="10" t="str">
        <f t="shared" si="40"/>
        <v/>
      </c>
      <c r="J416" s="10" t="str">
        <f t="shared" si="41"/>
        <v/>
      </c>
    </row>
    <row r="417" spans="1:10" x14ac:dyDescent="0.3">
      <c r="A417" s="5"/>
      <c r="B417" s="4" t="str">
        <f t="shared" si="36"/>
        <v/>
      </c>
      <c r="C417" s="17"/>
      <c r="D417" s="17"/>
      <c r="E417" s="17"/>
      <c r="F417" s="4" t="str">
        <f t="shared" si="37"/>
        <v/>
      </c>
      <c r="G417" s="10" t="str">
        <f t="shared" si="38"/>
        <v/>
      </c>
      <c r="H417" s="10" t="str">
        <f t="shared" si="39"/>
        <v/>
      </c>
      <c r="I417" s="10" t="str">
        <f t="shared" si="40"/>
        <v/>
      </c>
      <c r="J417" s="10" t="str">
        <f t="shared" si="41"/>
        <v/>
      </c>
    </row>
    <row r="418" spans="1:10" x14ac:dyDescent="0.3">
      <c r="A418" s="5"/>
      <c r="B418" s="4" t="str">
        <f t="shared" si="36"/>
        <v/>
      </c>
      <c r="C418" s="17"/>
      <c r="D418" s="17"/>
      <c r="E418" s="17"/>
      <c r="F418" s="4" t="str">
        <f t="shared" si="37"/>
        <v/>
      </c>
      <c r="G418" s="10" t="str">
        <f t="shared" si="38"/>
        <v/>
      </c>
      <c r="H418" s="10" t="str">
        <f t="shared" si="39"/>
        <v/>
      </c>
      <c r="I418" s="10" t="str">
        <f t="shared" si="40"/>
        <v/>
      </c>
      <c r="J418" s="10" t="str">
        <f t="shared" si="41"/>
        <v/>
      </c>
    </row>
    <row r="419" spans="1:10" x14ac:dyDescent="0.3">
      <c r="A419" s="5"/>
      <c r="B419" s="4" t="str">
        <f t="shared" si="36"/>
        <v/>
      </c>
      <c r="C419" s="17"/>
      <c r="D419" s="17"/>
      <c r="E419" s="17"/>
      <c r="F419" s="4" t="str">
        <f t="shared" si="37"/>
        <v/>
      </c>
      <c r="G419" s="10" t="str">
        <f t="shared" si="38"/>
        <v/>
      </c>
      <c r="H419" s="10" t="str">
        <f t="shared" si="39"/>
        <v/>
      </c>
      <c r="I419" s="10" t="str">
        <f t="shared" si="40"/>
        <v/>
      </c>
      <c r="J419" s="10" t="str">
        <f t="shared" si="41"/>
        <v/>
      </c>
    </row>
    <row r="420" spans="1:10" x14ac:dyDescent="0.3">
      <c r="A420" s="5"/>
      <c r="B420" s="4" t="str">
        <f t="shared" si="36"/>
        <v/>
      </c>
      <c r="C420" s="17"/>
      <c r="D420" s="17"/>
      <c r="E420" s="17"/>
      <c r="F420" s="4" t="str">
        <f t="shared" si="37"/>
        <v/>
      </c>
      <c r="G420" s="10" t="str">
        <f t="shared" si="38"/>
        <v/>
      </c>
      <c r="H420" s="10" t="str">
        <f t="shared" si="39"/>
        <v/>
      </c>
      <c r="I420" s="10" t="str">
        <f t="shared" si="40"/>
        <v/>
      </c>
      <c r="J420" s="10" t="str">
        <f t="shared" si="41"/>
        <v/>
      </c>
    </row>
    <row r="421" spans="1:10" x14ac:dyDescent="0.3">
      <c r="A421" s="5"/>
      <c r="B421" s="4" t="str">
        <f t="shared" si="36"/>
        <v/>
      </c>
      <c r="C421" s="17"/>
      <c r="D421" s="17"/>
      <c r="E421" s="17"/>
      <c r="F421" s="4" t="str">
        <f t="shared" si="37"/>
        <v/>
      </c>
      <c r="G421" s="10" t="str">
        <f t="shared" si="38"/>
        <v/>
      </c>
      <c r="H421" s="10" t="str">
        <f t="shared" si="39"/>
        <v/>
      </c>
      <c r="I421" s="10" t="str">
        <f t="shared" si="40"/>
        <v/>
      </c>
      <c r="J421" s="10" t="str">
        <f t="shared" si="41"/>
        <v/>
      </c>
    </row>
    <row r="422" spans="1:10" x14ac:dyDescent="0.3">
      <c r="A422" s="5"/>
      <c r="B422" s="4" t="str">
        <f t="shared" si="36"/>
        <v/>
      </c>
      <c r="C422" s="17"/>
      <c r="D422" s="17"/>
      <c r="E422" s="17"/>
      <c r="F422" s="4" t="str">
        <f t="shared" si="37"/>
        <v/>
      </c>
      <c r="G422" s="10" t="str">
        <f t="shared" si="38"/>
        <v/>
      </c>
      <c r="H422" s="10" t="str">
        <f t="shared" si="39"/>
        <v/>
      </c>
      <c r="I422" s="10" t="str">
        <f t="shared" si="40"/>
        <v/>
      </c>
      <c r="J422" s="10" t="str">
        <f t="shared" si="41"/>
        <v/>
      </c>
    </row>
    <row r="423" spans="1:10" x14ac:dyDescent="0.3">
      <c r="A423" s="5"/>
      <c r="B423" s="4" t="str">
        <f t="shared" si="36"/>
        <v/>
      </c>
      <c r="C423" s="17"/>
      <c r="D423" s="17"/>
      <c r="E423" s="17"/>
      <c r="F423" s="4" t="str">
        <f t="shared" si="37"/>
        <v/>
      </c>
      <c r="G423" s="10" t="str">
        <f t="shared" si="38"/>
        <v/>
      </c>
      <c r="H423" s="10" t="str">
        <f t="shared" si="39"/>
        <v/>
      </c>
      <c r="I423" s="10" t="str">
        <f t="shared" si="40"/>
        <v/>
      </c>
      <c r="J423" s="10" t="str">
        <f t="shared" si="41"/>
        <v/>
      </c>
    </row>
    <row r="424" spans="1:10" x14ac:dyDescent="0.3">
      <c r="A424" s="5"/>
      <c r="B424" s="4" t="str">
        <f t="shared" si="36"/>
        <v/>
      </c>
      <c r="C424" s="17"/>
      <c r="D424" s="17"/>
      <c r="E424" s="17"/>
      <c r="F424" s="4" t="str">
        <f t="shared" si="37"/>
        <v/>
      </c>
      <c r="G424" s="10" t="str">
        <f t="shared" si="38"/>
        <v/>
      </c>
      <c r="H424" s="10" t="str">
        <f t="shared" si="39"/>
        <v/>
      </c>
      <c r="I424" s="10" t="str">
        <f t="shared" si="40"/>
        <v/>
      </c>
      <c r="J424" s="10" t="str">
        <f t="shared" si="41"/>
        <v/>
      </c>
    </row>
    <row r="425" spans="1:10" x14ac:dyDescent="0.3">
      <c r="A425" s="5"/>
      <c r="B425" s="4" t="str">
        <f t="shared" si="36"/>
        <v/>
      </c>
      <c r="C425" s="17"/>
      <c r="D425" s="17"/>
      <c r="E425" s="17"/>
      <c r="F425" s="4" t="str">
        <f t="shared" si="37"/>
        <v/>
      </c>
      <c r="G425" s="10" t="str">
        <f t="shared" si="38"/>
        <v/>
      </c>
      <c r="H425" s="10" t="str">
        <f t="shared" si="39"/>
        <v/>
      </c>
      <c r="I425" s="10" t="str">
        <f t="shared" si="40"/>
        <v/>
      </c>
      <c r="J425" s="10" t="str">
        <f t="shared" si="41"/>
        <v/>
      </c>
    </row>
    <row r="426" spans="1:10" x14ac:dyDescent="0.3">
      <c r="A426" s="5"/>
      <c r="B426" s="4" t="str">
        <f t="shared" si="36"/>
        <v/>
      </c>
      <c r="C426" s="17"/>
      <c r="D426" s="17"/>
      <c r="E426" s="17"/>
      <c r="F426" s="4" t="str">
        <f t="shared" si="37"/>
        <v/>
      </c>
      <c r="G426" s="10" t="str">
        <f t="shared" si="38"/>
        <v/>
      </c>
      <c r="H426" s="10" t="str">
        <f t="shared" si="39"/>
        <v/>
      </c>
      <c r="I426" s="10" t="str">
        <f t="shared" si="40"/>
        <v/>
      </c>
      <c r="J426" s="10" t="str">
        <f t="shared" si="41"/>
        <v/>
      </c>
    </row>
    <row r="427" spans="1:10" x14ac:dyDescent="0.3">
      <c r="A427" s="5"/>
      <c r="B427" s="4" t="str">
        <f t="shared" si="36"/>
        <v/>
      </c>
      <c r="C427" s="17"/>
      <c r="D427" s="17"/>
      <c r="E427" s="17"/>
      <c r="F427" s="4" t="str">
        <f t="shared" si="37"/>
        <v/>
      </c>
      <c r="G427" s="10" t="str">
        <f t="shared" si="38"/>
        <v/>
      </c>
      <c r="H427" s="10" t="str">
        <f t="shared" si="39"/>
        <v/>
      </c>
      <c r="I427" s="10" t="str">
        <f t="shared" si="40"/>
        <v/>
      </c>
      <c r="J427" s="10" t="str">
        <f t="shared" si="41"/>
        <v/>
      </c>
    </row>
    <row r="428" spans="1:10" x14ac:dyDescent="0.3">
      <c r="A428" s="5"/>
      <c r="B428" s="4" t="str">
        <f t="shared" si="36"/>
        <v/>
      </c>
      <c r="C428" s="17"/>
      <c r="D428" s="17"/>
      <c r="E428" s="17"/>
      <c r="F428" s="4" t="str">
        <f t="shared" si="37"/>
        <v/>
      </c>
      <c r="G428" s="10" t="str">
        <f t="shared" si="38"/>
        <v/>
      </c>
      <c r="H428" s="10" t="str">
        <f t="shared" si="39"/>
        <v/>
      </c>
      <c r="I428" s="10" t="str">
        <f t="shared" si="40"/>
        <v/>
      </c>
      <c r="J428" s="10" t="str">
        <f t="shared" si="41"/>
        <v/>
      </c>
    </row>
    <row r="429" spans="1:10" x14ac:dyDescent="0.3">
      <c r="A429" s="5"/>
      <c r="B429" s="4" t="str">
        <f t="shared" si="36"/>
        <v/>
      </c>
      <c r="C429" s="17"/>
      <c r="D429" s="17"/>
      <c r="E429" s="17"/>
      <c r="F429" s="4" t="str">
        <f t="shared" si="37"/>
        <v/>
      </c>
      <c r="G429" s="10" t="str">
        <f t="shared" si="38"/>
        <v/>
      </c>
      <c r="H429" s="10" t="str">
        <f t="shared" si="39"/>
        <v/>
      </c>
      <c r="I429" s="10" t="str">
        <f t="shared" si="40"/>
        <v/>
      </c>
      <c r="J429" s="10" t="str">
        <f t="shared" si="41"/>
        <v/>
      </c>
    </row>
    <row r="430" spans="1:10" x14ac:dyDescent="0.3">
      <c r="A430" s="5"/>
      <c r="B430" s="4" t="str">
        <f t="shared" si="36"/>
        <v/>
      </c>
      <c r="C430" s="17"/>
      <c r="D430" s="17"/>
      <c r="E430" s="17"/>
      <c r="F430" s="4" t="str">
        <f t="shared" si="37"/>
        <v/>
      </c>
      <c r="G430" s="10" t="str">
        <f t="shared" si="38"/>
        <v/>
      </c>
      <c r="H430" s="10" t="str">
        <f t="shared" si="39"/>
        <v/>
      </c>
      <c r="I430" s="10" t="str">
        <f t="shared" si="40"/>
        <v/>
      </c>
      <c r="J430" s="10" t="str">
        <f t="shared" si="41"/>
        <v/>
      </c>
    </row>
    <row r="431" spans="1:10" x14ac:dyDescent="0.3">
      <c r="A431" s="5"/>
      <c r="B431" s="4" t="str">
        <f t="shared" si="36"/>
        <v/>
      </c>
      <c r="C431" s="17"/>
      <c r="D431" s="17"/>
      <c r="E431" s="17"/>
      <c r="F431" s="4" t="str">
        <f t="shared" si="37"/>
        <v/>
      </c>
      <c r="G431" s="10" t="str">
        <f t="shared" si="38"/>
        <v/>
      </c>
      <c r="H431" s="10" t="str">
        <f t="shared" si="39"/>
        <v/>
      </c>
      <c r="I431" s="10" t="str">
        <f t="shared" si="40"/>
        <v/>
      </c>
      <c r="J431" s="10" t="str">
        <f t="shared" si="41"/>
        <v/>
      </c>
    </row>
    <row r="432" spans="1:10" x14ac:dyDescent="0.3">
      <c r="A432" s="5"/>
      <c r="B432" s="4" t="str">
        <f t="shared" si="36"/>
        <v/>
      </c>
      <c r="C432" s="17"/>
      <c r="D432" s="17"/>
      <c r="E432" s="17"/>
      <c r="F432" s="4" t="str">
        <f t="shared" si="37"/>
        <v/>
      </c>
      <c r="G432" s="10" t="str">
        <f t="shared" si="38"/>
        <v/>
      </c>
      <c r="H432" s="10" t="str">
        <f t="shared" si="39"/>
        <v/>
      </c>
      <c r="I432" s="10" t="str">
        <f t="shared" si="40"/>
        <v/>
      </c>
      <c r="J432" s="10" t="str">
        <f t="shared" si="41"/>
        <v/>
      </c>
    </row>
    <row r="433" spans="1:10" x14ac:dyDescent="0.3">
      <c r="A433" s="5"/>
      <c r="B433" s="4" t="str">
        <f t="shared" si="36"/>
        <v/>
      </c>
      <c r="C433" s="17"/>
      <c r="D433" s="17"/>
      <c r="E433" s="17"/>
      <c r="F433" s="4" t="str">
        <f t="shared" si="37"/>
        <v/>
      </c>
      <c r="G433" s="10" t="str">
        <f t="shared" si="38"/>
        <v/>
      </c>
      <c r="H433" s="10" t="str">
        <f t="shared" si="39"/>
        <v/>
      </c>
      <c r="I433" s="10" t="str">
        <f t="shared" si="40"/>
        <v/>
      </c>
      <c r="J433" s="10" t="str">
        <f t="shared" si="41"/>
        <v/>
      </c>
    </row>
    <row r="434" spans="1:10" x14ac:dyDescent="0.3">
      <c r="A434" s="5"/>
      <c r="B434" s="4" t="str">
        <f t="shared" si="36"/>
        <v/>
      </c>
      <c r="C434" s="17"/>
      <c r="D434" s="17"/>
      <c r="E434" s="17"/>
      <c r="F434" s="4" t="str">
        <f t="shared" si="37"/>
        <v/>
      </c>
      <c r="G434" s="10" t="str">
        <f t="shared" si="38"/>
        <v/>
      </c>
      <c r="H434" s="10" t="str">
        <f t="shared" si="39"/>
        <v/>
      </c>
      <c r="I434" s="10" t="str">
        <f t="shared" si="40"/>
        <v/>
      </c>
      <c r="J434" s="10" t="str">
        <f t="shared" si="41"/>
        <v/>
      </c>
    </row>
    <row r="435" spans="1:10" x14ac:dyDescent="0.3">
      <c r="A435" s="5"/>
      <c r="B435" s="4" t="str">
        <f t="shared" si="36"/>
        <v/>
      </c>
      <c r="C435" s="17"/>
      <c r="D435" s="17"/>
      <c r="E435" s="17"/>
      <c r="F435" s="4" t="str">
        <f t="shared" si="37"/>
        <v/>
      </c>
      <c r="G435" s="10" t="str">
        <f t="shared" si="38"/>
        <v/>
      </c>
      <c r="H435" s="10" t="str">
        <f t="shared" si="39"/>
        <v/>
      </c>
      <c r="I435" s="10" t="str">
        <f t="shared" si="40"/>
        <v/>
      </c>
      <c r="J435" s="10" t="str">
        <f t="shared" si="41"/>
        <v/>
      </c>
    </row>
    <row r="436" spans="1:10" x14ac:dyDescent="0.3">
      <c r="A436" s="5"/>
      <c r="B436" s="4" t="str">
        <f t="shared" si="36"/>
        <v/>
      </c>
      <c r="C436" s="17"/>
      <c r="D436" s="17"/>
      <c r="E436" s="17"/>
      <c r="F436" s="4" t="str">
        <f t="shared" si="37"/>
        <v/>
      </c>
      <c r="G436" s="10" t="str">
        <f t="shared" si="38"/>
        <v/>
      </c>
      <c r="H436" s="10" t="str">
        <f t="shared" si="39"/>
        <v/>
      </c>
      <c r="I436" s="10" t="str">
        <f t="shared" si="40"/>
        <v/>
      </c>
      <c r="J436" s="10" t="str">
        <f t="shared" si="41"/>
        <v/>
      </c>
    </row>
    <row r="437" spans="1:10" x14ac:dyDescent="0.3">
      <c r="A437" s="5"/>
      <c r="B437" s="4" t="str">
        <f t="shared" si="36"/>
        <v/>
      </c>
      <c r="C437" s="17"/>
      <c r="D437" s="17"/>
      <c r="E437" s="17"/>
      <c r="F437" s="4" t="str">
        <f t="shared" si="37"/>
        <v/>
      </c>
      <c r="G437" s="10" t="str">
        <f t="shared" si="38"/>
        <v/>
      </c>
      <c r="H437" s="10" t="str">
        <f t="shared" si="39"/>
        <v/>
      </c>
      <c r="I437" s="10" t="str">
        <f t="shared" si="40"/>
        <v/>
      </c>
      <c r="J437" s="10" t="str">
        <f t="shared" si="41"/>
        <v/>
      </c>
    </row>
    <row r="438" spans="1:10" x14ac:dyDescent="0.3">
      <c r="A438" s="5"/>
      <c r="B438" s="4" t="str">
        <f t="shared" si="36"/>
        <v/>
      </c>
      <c r="C438" s="17"/>
      <c r="D438" s="17"/>
      <c r="E438" s="17"/>
      <c r="F438" s="4" t="str">
        <f t="shared" si="37"/>
        <v/>
      </c>
      <c r="G438" s="10" t="str">
        <f t="shared" si="38"/>
        <v/>
      </c>
      <c r="H438" s="10" t="str">
        <f t="shared" si="39"/>
        <v/>
      </c>
      <c r="I438" s="10" t="str">
        <f t="shared" si="40"/>
        <v/>
      </c>
      <c r="J438" s="10" t="str">
        <f t="shared" si="41"/>
        <v/>
      </c>
    </row>
    <row r="439" spans="1:10" x14ac:dyDescent="0.3">
      <c r="A439" s="5"/>
      <c r="B439" s="4" t="str">
        <f t="shared" si="36"/>
        <v/>
      </c>
      <c r="C439" s="17"/>
      <c r="D439" s="17"/>
      <c r="E439" s="17"/>
      <c r="F439" s="4" t="str">
        <f t="shared" si="37"/>
        <v/>
      </c>
      <c r="G439" s="10" t="str">
        <f t="shared" si="38"/>
        <v/>
      </c>
      <c r="H439" s="10" t="str">
        <f t="shared" si="39"/>
        <v/>
      </c>
      <c r="I439" s="10" t="str">
        <f t="shared" si="40"/>
        <v/>
      </c>
      <c r="J439" s="10" t="str">
        <f t="shared" si="41"/>
        <v/>
      </c>
    </row>
    <row r="440" spans="1:10" x14ac:dyDescent="0.3">
      <c r="A440" s="5"/>
      <c r="B440" s="4" t="str">
        <f t="shared" si="36"/>
        <v/>
      </c>
      <c r="C440" s="17"/>
      <c r="D440" s="17"/>
      <c r="E440" s="17"/>
      <c r="F440" s="4" t="str">
        <f t="shared" si="37"/>
        <v/>
      </c>
      <c r="G440" s="10" t="str">
        <f t="shared" si="38"/>
        <v/>
      </c>
      <c r="H440" s="10" t="str">
        <f t="shared" si="39"/>
        <v/>
      </c>
      <c r="I440" s="10" t="str">
        <f t="shared" si="40"/>
        <v/>
      </c>
      <c r="J440" s="10" t="str">
        <f t="shared" si="41"/>
        <v/>
      </c>
    </row>
    <row r="441" spans="1:10" x14ac:dyDescent="0.3">
      <c r="A441" s="5"/>
      <c r="B441" s="4" t="str">
        <f t="shared" si="36"/>
        <v/>
      </c>
      <c r="C441" s="17"/>
      <c r="D441" s="17"/>
      <c r="E441" s="17"/>
      <c r="F441" s="4" t="str">
        <f t="shared" si="37"/>
        <v/>
      </c>
      <c r="G441" s="10" t="str">
        <f t="shared" si="38"/>
        <v/>
      </c>
      <c r="H441" s="10" t="str">
        <f t="shared" si="39"/>
        <v/>
      </c>
      <c r="I441" s="10" t="str">
        <f t="shared" si="40"/>
        <v/>
      </c>
      <c r="J441" s="10" t="str">
        <f t="shared" si="41"/>
        <v/>
      </c>
    </row>
    <row r="442" spans="1:10" x14ac:dyDescent="0.3">
      <c r="A442" s="5"/>
      <c r="B442" s="4" t="str">
        <f t="shared" si="36"/>
        <v/>
      </c>
      <c r="C442" s="17"/>
      <c r="D442" s="17"/>
      <c r="E442" s="17"/>
      <c r="F442" s="4" t="str">
        <f t="shared" si="37"/>
        <v/>
      </c>
      <c r="G442" s="10" t="str">
        <f t="shared" si="38"/>
        <v/>
      </c>
      <c r="H442" s="10" t="str">
        <f t="shared" si="39"/>
        <v/>
      </c>
      <c r="I442" s="10" t="str">
        <f t="shared" si="40"/>
        <v/>
      </c>
      <c r="J442" s="10" t="str">
        <f t="shared" si="41"/>
        <v/>
      </c>
    </row>
    <row r="443" spans="1:10" x14ac:dyDescent="0.3">
      <c r="A443" s="5"/>
      <c r="B443" s="4" t="str">
        <f t="shared" si="36"/>
        <v/>
      </c>
      <c r="C443" s="17"/>
      <c r="D443" s="17"/>
      <c r="E443" s="17"/>
      <c r="F443" s="4" t="str">
        <f t="shared" si="37"/>
        <v/>
      </c>
      <c r="G443" s="10" t="str">
        <f t="shared" si="38"/>
        <v/>
      </c>
      <c r="H443" s="10" t="str">
        <f t="shared" si="39"/>
        <v/>
      </c>
      <c r="I443" s="10" t="str">
        <f t="shared" si="40"/>
        <v/>
      </c>
      <c r="J443" s="10" t="str">
        <f t="shared" si="41"/>
        <v/>
      </c>
    </row>
    <row r="444" spans="1:10" x14ac:dyDescent="0.3">
      <c r="A444" s="5"/>
      <c r="B444" s="4" t="str">
        <f t="shared" si="36"/>
        <v/>
      </c>
      <c r="C444" s="17"/>
      <c r="D444" s="17"/>
      <c r="E444" s="17"/>
      <c r="F444" s="4" t="str">
        <f t="shared" si="37"/>
        <v/>
      </c>
      <c r="G444" s="10" t="str">
        <f t="shared" si="38"/>
        <v/>
      </c>
      <c r="H444" s="10" t="str">
        <f t="shared" si="39"/>
        <v/>
      </c>
      <c r="I444" s="10" t="str">
        <f t="shared" si="40"/>
        <v/>
      </c>
      <c r="J444" s="10" t="str">
        <f t="shared" si="41"/>
        <v/>
      </c>
    </row>
    <row r="445" spans="1:10" x14ac:dyDescent="0.3">
      <c r="A445" s="5"/>
      <c r="B445" s="4" t="str">
        <f t="shared" si="36"/>
        <v/>
      </c>
      <c r="C445" s="17"/>
      <c r="D445" s="17"/>
      <c r="E445" s="17"/>
      <c r="F445" s="4" t="str">
        <f t="shared" si="37"/>
        <v/>
      </c>
      <c r="G445" s="10" t="str">
        <f t="shared" si="38"/>
        <v/>
      </c>
      <c r="H445" s="10" t="str">
        <f t="shared" si="39"/>
        <v/>
      </c>
      <c r="I445" s="10" t="str">
        <f t="shared" si="40"/>
        <v/>
      </c>
      <c r="J445" s="10" t="str">
        <f t="shared" si="41"/>
        <v/>
      </c>
    </row>
    <row r="446" spans="1:10" x14ac:dyDescent="0.3">
      <c r="A446" s="5"/>
      <c r="B446" s="4" t="str">
        <f t="shared" si="36"/>
        <v/>
      </c>
      <c r="C446" s="17"/>
      <c r="D446" s="17"/>
      <c r="E446" s="17"/>
      <c r="F446" s="4" t="str">
        <f t="shared" si="37"/>
        <v/>
      </c>
      <c r="G446" s="10" t="str">
        <f t="shared" si="38"/>
        <v/>
      </c>
      <c r="H446" s="10" t="str">
        <f t="shared" si="39"/>
        <v/>
      </c>
      <c r="I446" s="10" t="str">
        <f t="shared" si="40"/>
        <v/>
      </c>
      <c r="J446" s="10" t="str">
        <f t="shared" si="41"/>
        <v/>
      </c>
    </row>
    <row r="447" spans="1:10" x14ac:dyDescent="0.3">
      <c r="A447" s="5"/>
      <c r="B447" s="4" t="str">
        <f t="shared" si="36"/>
        <v/>
      </c>
      <c r="C447" s="17"/>
      <c r="D447" s="17"/>
      <c r="E447" s="17"/>
      <c r="F447" s="4" t="str">
        <f t="shared" si="37"/>
        <v/>
      </c>
      <c r="G447" s="10" t="str">
        <f t="shared" si="38"/>
        <v/>
      </c>
      <c r="H447" s="10" t="str">
        <f t="shared" si="39"/>
        <v/>
      </c>
      <c r="I447" s="10" t="str">
        <f t="shared" si="40"/>
        <v/>
      </c>
      <c r="J447" s="10" t="str">
        <f t="shared" si="41"/>
        <v/>
      </c>
    </row>
    <row r="448" spans="1:10" x14ac:dyDescent="0.3">
      <c r="A448" s="5"/>
      <c r="B448" s="4" t="str">
        <f t="shared" si="36"/>
        <v/>
      </c>
      <c r="C448" s="17"/>
      <c r="D448" s="17"/>
      <c r="E448" s="17"/>
      <c r="F448" s="4" t="str">
        <f t="shared" si="37"/>
        <v/>
      </c>
      <c r="G448" s="10" t="str">
        <f t="shared" si="38"/>
        <v/>
      </c>
      <c r="H448" s="10" t="str">
        <f t="shared" si="39"/>
        <v/>
      </c>
      <c r="I448" s="10" t="str">
        <f t="shared" si="40"/>
        <v/>
      </c>
      <c r="J448" s="10" t="str">
        <f t="shared" si="41"/>
        <v/>
      </c>
    </row>
    <row r="449" spans="1:10" x14ac:dyDescent="0.3">
      <c r="A449" s="5"/>
      <c r="B449" s="4" t="str">
        <f t="shared" si="36"/>
        <v/>
      </c>
      <c r="C449" s="17"/>
      <c r="D449" s="17"/>
      <c r="E449" s="17"/>
      <c r="F449" s="4" t="str">
        <f t="shared" si="37"/>
        <v/>
      </c>
      <c r="G449" s="10" t="str">
        <f t="shared" si="38"/>
        <v/>
      </c>
      <c r="H449" s="10" t="str">
        <f t="shared" si="39"/>
        <v/>
      </c>
      <c r="I449" s="10" t="str">
        <f t="shared" si="40"/>
        <v/>
      </c>
      <c r="J449" s="10" t="str">
        <f t="shared" si="41"/>
        <v/>
      </c>
    </row>
    <row r="450" spans="1:10" x14ac:dyDescent="0.3">
      <c r="A450" s="5"/>
      <c r="B450" s="4" t="str">
        <f t="shared" si="36"/>
        <v/>
      </c>
      <c r="C450" s="17"/>
      <c r="D450" s="17"/>
      <c r="E450" s="17"/>
      <c r="F450" s="4" t="str">
        <f t="shared" si="37"/>
        <v/>
      </c>
      <c r="G450" s="10" t="str">
        <f t="shared" si="38"/>
        <v/>
      </c>
      <c r="H450" s="10" t="str">
        <f t="shared" si="39"/>
        <v/>
      </c>
      <c r="I450" s="10" t="str">
        <f t="shared" si="40"/>
        <v/>
      </c>
      <c r="J450" s="10" t="str">
        <f t="shared" si="41"/>
        <v/>
      </c>
    </row>
    <row r="451" spans="1:10" x14ac:dyDescent="0.3">
      <c r="A451" s="5"/>
      <c r="B451" s="4" t="str">
        <f t="shared" si="36"/>
        <v/>
      </c>
      <c r="C451" s="17"/>
      <c r="D451" s="17"/>
      <c r="E451" s="17"/>
      <c r="F451" s="4" t="str">
        <f t="shared" si="37"/>
        <v/>
      </c>
      <c r="G451" s="10" t="str">
        <f t="shared" si="38"/>
        <v/>
      </c>
      <c r="H451" s="10" t="str">
        <f t="shared" si="39"/>
        <v/>
      </c>
      <c r="I451" s="10" t="str">
        <f t="shared" si="40"/>
        <v/>
      </c>
      <c r="J451" s="10" t="str">
        <f t="shared" si="41"/>
        <v/>
      </c>
    </row>
    <row r="452" spans="1:10" x14ac:dyDescent="0.3">
      <c r="A452" s="5"/>
      <c r="B452" s="4" t="str">
        <f t="shared" si="36"/>
        <v/>
      </c>
      <c r="C452" s="17"/>
      <c r="D452" s="17"/>
      <c r="E452" s="17"/>
      <c r="F452" s="4" t="str">
        <f t="shared" si="37"/>
        <v/>
      </c>
      <c r="G452" s="10" t="str">
        <f t="shared" si="38"/>
        <v/>
      </c>
      <c r="H452" s="10" t="str">
        <f t="shared" si="39"/>
        <v/>
      </c>
      <c r="I452" s="10" t="str">
        <f t="shared" si="40"/>
        <v/>
      </c>
      <c r="J452" s="10" t="str">
        <f t="shared" si="41"/>
        <v/>
      </c>
    </row>
    <row r="453" spans="1:10" x14ac:dyDescent="0.3">
      <c r="A453" s="5"/>
      <c r="B453" s="4" t="str">
        <f t="shared" si="36"/>
        <v/>
      </c>
      <c r="C453" s="17"/>
      <c r="D453" s="17"/>
      <c r="E453" s="17"/>
      <c r="F453" s="4" t="str">
        <f t="shared" si="37"/>
        <v/>
      </c>
      <c r="G453" s="10" t="str">
        <f t="shared" si="38"/>
        <v/>
      </c>
      <c r="H453" s="10" t="str">
        <f t="shared" si="39"/>
        <v/>
      </c>
      <c r="I453" s="10" t="str">
        <f t="shared" si="40"/>
        <v/>
      </c>
      <c r="J453" s="10" t="str">
        <f t="shared" si="41"/>
        <v/>
      </c>
    </row>
    <row r="454" spans="1:10" x14ac:dyDescent="0.3">
      <c r="A454" s="5"/>
      <c r="B454" s="4" t="str">
        <f t="shared" ref="B454:B505" si="42">IF(A454="","",IFERROR(INDEX(COA_NAME,MATCH(A454,COA_ACCT,0))&amp;"",IFERROR(INDEX(DICT_ACTIVE,MATCH("TB.UNMAPPED",DICT_KEY,0)),"?")))</f>
        <v/>
      </c>
      <c r="C454" s="17"/>
      <c r="D454" s="17"/>
      <c r="E454" s="17"/>
      <c r="F454" s="4" t="str">
        <f t="shared" ref="F454:F505" si="43">IF(A454="","",IF(G454="",IFERROR(INDEX(DICT_ACTIVE,MATCH("TB.UNMAPPED",DICT_KEY,0)),"?"),""))</f>
        <v/>
      </c>
      <c r="G454" s="10" t="str">
        <f t="shared" ref="G454:G505" si="44">IF(A454="","",IFERROR(INDEX(COA_LINE_EFF,MATCH(A454,COA_ACCT,0))&amp;"",""))</f>
        <v/>
      </c>
      <c r="H454" s="10" t="str">
        <f t="shared" ref="H454:H505" si="45">IF(A454="","",IFERROR(INDEX(COA_CAT_FX,MATCH(A454,COA_ACCT,0))&amp;"",""))</f>
        <v/>
      </c>
      <c r="I454" s="10" t="str">
        <f t="shared" ref="I454:I505" si="46">IF(A454="","",IFERROR(INDEX(COA_CF,MATCH(A454,COA_ACCT,0))&amp;"","-"))</f>
        <v/>
      </c>
      <c r="J454" s="10" t="str">
        <f t="shared" ref="J454:J505" si="47">IF(A454="","",IFERROR(INDEX(COA_LINE_N,MATCH(A454,COA_ACCT,0))&amp;"",""))</f>
        <v/>
      </c>
    </row>
    <row r="455" spans="1:10" x14ac:dyDescent="0.3">
      <c r="A455" s="5"/>
      <c r="B455" s="4" t="str">
        <f t="shared" si="42"/>
        <v/>
      </c>
      <c r="C455" s="17"/>
      <c r="D455" s="17"/>
      <c r="E455" s="17"/>
      <c r="F455" s="4" t="str">
        <f t="shared" si="43"/>
        <v/>
      </c>
      <c r="G455" s="10" t="str">
        <f t="shared" si="44"/>
        <v/>
      </c>
      <c r="H455" s="10" t="str">
        <f t="shared" si="45"/>
        <v/>
      </c>
      <c r="I455" s="10" t="str">
        <f t="shared" si="46"/>
        <v/>
      </c>
      <c r="J455" s="10" t="str">
        <f t="shared" si="47"/>
        <v/>
      </c>
    </row>
    <row r="456" spans="1:10" x14ac:dyDescent="0.3">
      <c r="A456" s="5"/>
      <c r="B456" s="4" t="str">
        <f t="shared" si="42"/>
        <v/>
      </c>
      <c r="C456" s="17"/>
      <c r="D456" s="17"/>
      <c r="E456" s="17"/>
      <c r="F456" s="4" t="str">
        <f t="shared" si="43"/>
        <v/>
      </c>
      <c r="G456" s="10" t="str">
        <f t="shared" si="44"/>
        <v/>
      </c>
      <c r="H456" s="10" t="str">
        <f t="shared" si="45"/>
        <v/>
      </c>
      <c r="I456" s="10" t="str">
        <f t="shared" si="46"/>
        <v/>
      </c>
      <c r="J456" s="10" t="str">
        <f t="shared" si="47"/>
        <v/>
      </c>
    </row>
    <row r="457" spans="1:10" x14ac:dyDescent="0.3">
      <c r="A457" s="5"/>
      <c r="B457" s="4" t="str">
        <f t="shared" si="42"/>
        <v/>
      </c>
      <c r="C457" s="17"/>
      <c r="D457" s="17"/>
      <c r="E457" s="17"/>
      <c r="F457" s="4" t="str">
        <f t="shared" si="43"/>
        <v/>
      </c>
      <c r="G457" s="10" t="str">
        <f t="shared" si="44"/>
        <v/>
      </c>
      <c r="H457" s="10" t="str">
        <f t="shared" si="45"/>
        <v/>
      </c>
      <c r="I457" s="10" t="str">
        <f t="shared" si="46"/>
        <v/>
      </c>
      <c r="J457" s="10" t="str">
        <f t="shared" si="47"/>
        <v/>
      </c>
    </row>
    <row r="458" spans="1:10" x14ac:dyDescent="0.3">
      <c r="A458" s="5"/>
      <c r="B458" s="4" t="str">
        <f t="shared" si="42"/>
        <v/>
      </c>
      <c r="C458" s="17"/>
      <c r="D458" s="17"/>
      <c r="E458" s="17"/>
      <c r="F458" s="4" t="str">
        <f t="shared" si="43"/>
        <v/>
      </c>
      <c r="G458" s="10" t="str">
        <f t="shared" si="44"/>
        <v/>
      </c>
      <c r="H458" s="10" t="str">
        <f t="shared" si="45"/>
        <v/>
      </c>
      <c r="I458" s="10" t="str">
        <f t="shared" si="46"/>
        <v/>
      </c>
      <c r="J458" s="10" t="str">
        <f t="shared" si="47"/>
        <v/>
      </c>
    </row>
    <row r="459" spans="1:10" x14ac:dyDescent="0.3">
      <c r="A459" s="5"/>
      <c r="B459" s="4" t="str">
        <f t="shared" si="42"/>
        <v/>
      </c>
      <c r="C459" s="17"/>
      <c r="D459" s="17"/>
      <c r="E459" s="17"/>
      <c r="F459" s="4" t="str">
        <f t="shared" si="43"/>
        <v/>
      </c>
      <c r="G459" s="10" t="str">
        <f t="shared" si="44"/>
        <v/>
      </c>
      <c r="H459" s="10" t="str">
        <f t="shared" si="45"/>
        <v/>
      </c>
      <c r="I459" s="10" t="str">
        <f t="shared" si="46"/>
        <v/>
      </c>
      <c r="J459" s="10" t="str">
        <f t="shared" si="47"/>
        <v/>
      </c>
    </row>
    <row r="460" spans="1:10" x14ac:dyDescent="0.3">
      <c r="A460" s="5"/>
      <c r="B460" s="4" t="str">
        <f t="shared" si="42"/>
        <v/>
      </c>
      <c r="C460" s="17"/>
      <c r="D460" s="17"/>
      <c r="E460" s="17"/>
      <c r="F460" s="4" t="str">
        <f t="shared" si="43"/>
        <v/>
      </c>
      <c r="G460" s="10" t="str">
        <f t="shared" si="44"/>
        <v/>
      </c>
      <c r="H460" s="10" t="str">
        <f t="shared" si="45"/>
        <v/>
      </c>
      <c r="I460" s="10" t="str">
        <f t="shared" si="46"/>
        <v/>
      </c>
      <c r="J460" s="10" t="str">
        <f t="shared" si="47"/>
        <v/>
      </c>
    </row>
    <row r="461" spans="1:10" x14ac:dyDescent="0.3">
      <c r="A461" s="5"/>
      <c r="B461" s="4" t="str">
        <f t="shared" si="42"/>
        <v/>
      </c>
      <c r="C461" s="17"/>
      <c r="D461" s="17"/>
      <c r="E461" s="17"/>
      <c r="F461" s="4" t="str">
        <f t="shared" si="43"/>
        <v/>
      </c>
      <c r="G461" s="10" t="str">
        <f t="shared" si="44"/>
        <v/>
      </c>
      <c r="H461" s="10" t="str">
        <f t="shared" si="45"/>
        <v/>
      </c>
      <c r="I461" s="10" t="str">
        <f t="shared" si="46"/>
        <v/>
      </c>
      <c r="J461" s="10" t="str">
        <f t="shared" si="47"/>
        <v/>
      </c>
    </row>
    <row r="462" spans="1:10" x14ac:dyDescent="0.3">
      <c r="A462" s="5"/>
      <c r="B462" s="4" t="str">
        <f t="shared" si="42"/>
        <v/>
      </c>
      <c r="C462" s="17"/>
      <c r="D462" s="17"/>
      <c r="E462" s="17"/>
      <c r="F462" s="4" t="str">
        <f t="shared" si="43"/>
        <v/>
      </c>
      <c r="G462" s="10" t="str">
        <f t="shared" si="44"/>
        <v/>
      </c>
      <c r="H462" s="10" t="str">
        <f t="shared" si="45"/>
        <v/>
      </c>
      <c r="I462" s="10" t="str">
        <f t="shared" si="46"/>
        <v/>
      </c>
      <c r="J462" s="10" t="str">
        <f t="shared" si="47"/>
        <v/>
      </c>
    </row>
    <row r="463" spans="1:10" x14ac:dyDescent="0.3">
      <c r="A463" s="5"/>
      <c r="B463" s="4" t="str">
        <f t="shared" si="42"/>
        <v/>
      </c>
      <c r="C463" s="17"/>
      <c r="D463" s="17"/>
      <c r="E463" s="17"/>
      <c r="F463" s="4" t="str">
        <f t="shared" si="43"/>
        <v/>
      </c>
      <c r="G463" s="10" t="str">
        <f t="shared" si="44"/>
        <v/>
      </c>
      <c r="H463" s="10" t="str">
        <f t="shared" si="45"/>
        <v/>
      </c>
      <c r="I463" s="10" t="str">
        <f t="shared" si="46"/>
        <v/>
      </c>
      <c r="J463" s="10" t="str">
        <f t="shared" si="47"/>
        <v/>
      </c>
    </row>
    <row r="464" spans="1:10" x14ac:dyDescent="0.3">
      <c r="A464" s="5"/>
      <c r="B464" s="4" t="str">
        <f t="shared" si="42"/>
        <v/>
      </c>
      <c r="C464" s="17"/>
      <c r="D464" s="17"/>
      <c r="E464" s="17"/>
      <c r="F464" s="4" t="str">
        <f t="shared" si="43"/>
        <v/>
      </c>
      <c r="G464" s="10" t="str">
        <f t="shared" si="44"/>
        <v/>
      </c>
      <c r="H464" s="10" t="str">
        <f t="shared" si="45"/>
        <v/>
      </c>
      <c r="I464" s="10" t="str">
        <f t="shared" si="46"/>
        <v/>
      </c>
      <c r="J464" s="10" t="str">
        <f t="shared" si="47"/>
        <v/>
      </c>
    </row>
    <row r="465" spans="1:10" x14ac:dyDescent="0.3">
      <c r="A465" s="5"/>
      <c r="B465" s="4" t="str">
        <f t="shared" si="42"/>
        <v/>
      </c>
      <c r="C465" s="17"/>
      <c r="D465" s="17"/>
      <c r="E465" s="17"/>
      <c r="F465" s="4" t="str">
        <f t="shared" si="43"/>
        <v/>
      </c>
      <c r="G465" s="10" t="str">
        <f t="shared" si="44"/>
        <v/>
      </c>
      <c r="H465" s="10" t="str">
        <f t="shared" si="45"/>
        <v/>
      </c>
      <c r="I465" s="10" t="str">
        <f t="shared" si="46"/>
        <v/>
      </c>
      <c r="J465" s="10" t="str">
        <f t="shared" si="47"/>
        <v/>
      </c>
    </row>
    <row r="466" spans="1:10" x14ac:dyDescent="0.3">
      <c r="A466" s="5"/>
      <c r="B466" s="4" t="str">
        <f t="shared" si="42"/>
        <v/>
      </c>
      <c r="C466" s="17"/>
      <c r="D466" s="17"/>
      <c r="E466" s="17"/>
      <c r="F466" s="4" t="str">
        <f t="shared" si="43"/>
        <v/>
      </c>
      <c r="G466" s="10" t="str">
        <f t="shared" si="44"/>
        <v/>
      </c>
      <c r="H466" s="10" t="str">
        <f t="shared" si="45"/>
        <v/>
      </c>
      <c r="I466" s="10" t="str">
        <f t="shared" si="46"/>
        <v/>
      </c>
      <c r="J466" s="10" t="str">
        <f t="shared" si="47"/>
        <v/>
      </c>
    </row>
    <row r="467" spans="1:10" x14ac:dyDescent="0.3">
      <c r="A467" s="5"/>
      <c r="B467" s="4" t="str">
        <f t="shared" si="42"/>
        <v/>
      </c>
      <c r="C467" s="17"/>
      <c r="D467" s="17"/>
      <c r="E467" s="17"/>
      <c r="F467" s="4" t="str">
        <f t="shared" si="43"/>
        <v/>
      </c>
      <c r="G467" s="10" t="str">
        <f t="shared" si="44"/>
        <v/>
      </c>
      <c r="H467" s="10" t="str">
        <f t="shared" si="45"/>
        <v/>
      </c>
      <c r="I467" s="10" t="str">
        <f t="shared" si="46"/>
        <v/>
      </c>
      <c r="J467" s="10" t="str">
        <f t="shared" si="47"/>
        <v/>
      </c>
    </row>
    <row r="468" spans="1:10" x14ac:dyDescent="0.3">
      <c r="A468" s="5"/>
      <c r="B468" s="4" t="str">
        <f t="shared" si="42"/>
        <v/>
      </c>
      <c r="C468" s="17"/>
      <c r="D468" s="17"/>
      <c r="E468" s="17"/>
      <c r="F468" s="4" t="str">
        <f t="shared" si="43"/>
        <v/>
      </c>
      <c r="G468" s="10" t="str">
        <f t="shared" si="44"/>
        <v/>
      </c>
      <c r="H468" s="10" t="str">
        <f t="shared" si="45"/>
        <v/>
      </c>
      <c r="I468" s="10" t="str">
        <f t="shared" si="46"/>
        <v/>
      </c>
      <c r="J468" s="10" t="str">
        <f t="shared" si="47"/>
        <v/>
      </c>
    </row>
    <row r="469" spans="1:10" x14ac:dyDescent="0.3">
      <c r="A469" s="5"/>
      <c r="B469" s="4" t="str">
        <f t="shared" si="42"/>
        <v/>
      </c>
      <c r="C469" s="17"/>
      <c r="D469" s="17"/>
      <c r="E469" s="17"/>
      <c r="F469" s="4" t="str">
        <f t="shared" si="43"/>
        <v/>
      </c>
      <c r="G469" s="10" t="str">
        <f t="shared" si="44"/>
        <v/>
      </c>
      <c r="H469" s="10" t="str">
        <f t="shared" si="45"/>
        <v/>
      </c>
      <c r="I469" s="10" t="str">
        <f t="shared" si="46"/>
        <v/>
      </c>
      <c r="J469" s="10" t="str">
        <f t="shared" si="47"/>
        <v/>
      </c>
    </row>
    <row r="470" spans="1:10" x14ac:dyDescent="0.3">
      <c r="A470" s="5"/>
      <c r="B470" s="4" t="str">
        <f t="shared" si="42"/>
        <v/>
      </c>
      <c r="C470" s="17"/>
      <c r="D470" s="17"/>
      <c r="E470" s="17"/>
      <c r="F470" s="4" t="str">
        <f t="shared" si="43"/>
        <v/>
      </c>
      <c r="G470" s="10" t="str">
        <f t="shared" si="44"/>
        <v/>
      </c>
      <c r="H470" s="10" t="str">
        <f t="shared" si="45"/>
        <v/>
      </c>
      <c r="I470" s="10" t="str">
        <f t="shared" si="46"/>
        <v/>
      </c>
      <c r="J470" s="10" t="str">
        <f t="shared" si="47"/>
        <v/>
      </c>
    </row>
    <row r="471" spans="1:10" x14ac:dyDescent="0.3">
      <c r="A471" s="5"/>
      <c r="B471" s="4" t="str">
        <f t="shared" si="42"/>
        <v/>
      </c>
      <c r="C471" s="17"/>
      <c r="D471" s="17"/>
      <c r="E471" s="17"/>
      <c r="F471" s="4" t="str">
        <f t="shared" si="43"/>
        <v/>
      </c>
      <c r="G471" s="10" t="str">
        <f t="shared" si="44"/>
        <v/>
      </c>
      <c r="H471" s="10" t="str">
        <f t="shared" si="45"/>
        <v/>
      </c>
      <c r="I471" s="10" t="str">
        <f t="shared" si="46"/>
        <v/>
      </c>
      <c r="J471" s="10" t="str">
        <f t="shared" si="47"/>
        <v/>
      </c>
    </row>
    <row r="472" spans="1:10" x14ac:dyDescent="0.3">
      <c r="A472" s="5"/>
      <c r="B472" s="4" t="str">
        <f t="shared" si="42"/>
        <v/>
      </c>
      <c r="C472" s="17"/>
      <c r="D472" s="17"/>
      <c r="E472" s="17"/>
      <c r="F472" s="4" t="str">
        <f t="shared" si="43"/>
        <v/>
      </c>
      <c r="G472" s="10" t="str">
        <f t="shared" si="44"/>
        <v/>
      </c>
      <c r="H472" s="10" t="str">
        <f t="shared" si="45"/>
        <v/>
      </c>
      <c r="I472" s="10" t="str">
        <f t="shared" si="46"/>
        <v/>
      </c>
      <c r="J472" s="10" t="str">
        <f t="shared" si="47"/>
        <v/>
      </c>
    </row>
    <row r="473" spans="1:10" x14ac:dyDescent="0.3">
      <c r="A473" s="5"/>
      <c r="B473" s="4" t="str">
        <f t="shared" si="42"/>
        <v/>
      </c>
      <c r="C473" s="17"/>
      <c r="D473" s="17"/>
      <c r="E473" s="17"/>
      <c r="F473" s="4" t="str">
        <f t="shared" si="43"/>
        <v/>
      </c>
      <c r="G473" s="10" t="str">
        <f t="shared" si="44"/>
        <v/>
      </c>
      <c r="H473" s="10" t="str">
        <f t="shared" si="45"/>
        <v/>
      </c>
      <c r="I473" s="10" t="str">
        <f t="shared" si="46"/>
        <v/>
      </c>
      <c r="J473" s="10" t="str">
        <f t="shared" si="47"/>
        <v/>
      </c>
    </row>
    <row r="474" spans="1:10" x14ac:dyDescent="0.3">
      <c r="A474" s="5"/>
      <c r="B474" s="4" t="str">
        <f t="shared" si="42"/>
        <v/>
      </c>
      <c r="C474" s="17"/>
      <c r="D474" s="17"/>
      <c r="E474" s="17"/>
      <c r="F474" s="4" t="str">
        <f t="shared" si="43"/>
        <v/>
      </c>
      <c r="G474" s="10" t="str">
        <f t="shared" si="44"/>
        <v/>
      </c>
      <c r="H474" s="10" t="str">
        <f t="shared" si="45"/>
        <v/>
      </c>
      <c r="I474" s="10" t="str">
        <f t="shared" si="46"/>
        <v/>
      </c>
      <c r="J474" s="10" t="str">
        <f t="shared" si="47"/>
        <v/>
      </c>
    </row>
    <row r="475" spans="1:10" x14ac:dyDescent="0.3">
      <c r="A475" s="5"/>
      <c r="B475" s="4" t="str">
        <f t="shared" si="42"/>
        <v/>
      </c>
      <c r="C475" s="17"/>
      <c r="D475" s="17"/>
      <c r="E475" s="17"/>
      <c r="F475" s="4" t="str">
        <f t="shared" si="43"/>
        <v/>
      </c>
      <c r="G475" s="10" t="str">
        <f t="shared" si="44"/>
        <v/>
      </c>
      <c r="H475" s="10" t="str">
        <f t="shared" si="45"/>
        <v/>
      </c>
      <c r="I475" s="10" t="str">
        <f t="shared" si="46"/>
        <v/>
      </c>
      <c r="J475" s="10" t="str">
        <f t="shared" si="47"/>
        <v/>
      </c>
    </row>
    <row r="476" spans="1:10" x14ac:dyDescent="0.3">
      <c r="A476" s="5"/>
      <c r="B476" s="4" t="str">
        <f t="shared" si="42"/>
        <v/>
      </c>
      <c r="C476" s="17"/>
      <c r="D476" s="17"/>
      <c r="E476" s="17"/>
      <c r="F476" s="4" t="str">
        <f t="shared" si="43"/>
        <v/>
      </c>
      <c r="G476" s="10" t="str">
        <f t="shared" si="44"/>
        <v/>
      </c>
      <c r="H476" s="10" t="str">
        <f t="shared" si="45"/>
        <v/>
      </c>
      <c r="I476" s="10" t="str">
        <f t="shared" si="46"/>
        <v/>
      </c>
      <c r="J476" s="10" t="str">
        <f t="shared" si="47"/>
        <v/>
      </c>
    </row>
    <row r="477" spans="1:10" x14ac:dyDescent="0.3">
      <c r="A477" s="5"/>
      <c r="B477" s="4" t="str">
        <f t="shared" si="42"/>
        <v/>
      </c>
      <c r="C477" s="17"/>
      <c r="D477" s="17"/>
      <c r="E477" s="17"/>
      <c r="F477" s="4" t="str">
        <f t="shared" si="43"/>
        <v/>
      </c>
      <c r="G477" s="10" t="str">
        <f t="shared" si="44"/>
        <v/>
      </c>
      <c r="H477" s="10" t="str">
        <f t="shared" si="45"/>
        <v/>
      </c>
      <c r="I477" s="10" t="str">
        <f t="shared" si="46"/>
        <v/>
      </c>
      <c r="J477" s="10" t="str">
        <f t="shared" si="47"/>
        <v/>
      </c>
    </row>
    <row r="478" spans="1:10" x14ac:dyDescent="0.3">
      <c r="A478" s="5"/>
      <c r="B478" s="4" t="str">
        <f t="shared" si="42"/>
        <v/>
      </c>
      <c r="C478" s="17"/>
      <c r="D478" s="17"/>
      <c r="E478" s="17"/>
      <c r="F478" s="4" t="str">
        <f t="shared" si="43"/>
        <v/>
      </c>
      <c r="G478" s="10" t="str">
        <f t="shared" si="44"/>
        <v/>
      </c>
      <c r="H478" s="10" t="str">
        <f t="shared" si="45"/>
        <v/>
      </c>
      <c r="I478" s="10" t="str">
        <f t="shared" si="46"/>
        <v/>
      </c>
      <c r="J478" s="10" t="str">
        <f t="shared" si="47"/>
        <v/>
      </c>
    </row>
    <row r="479" spans="1:10" x14ac:dyDescent="0.3">
      <c r="A479" s="5"/>
      <c r="B479" s="4" t="str">
        <f t="shared" si="42"/>
        <v/>
      </c>
      <c r="C479" s="17"/>
      <c r="D479" s="17"/>
      <c r="E479" s="17"/>
      <c r="F479" s="4" t="str">
        <f t="shared" si="43"/>
        <v/>
      </c>
      <c r="G479" s="10" t="str">
        <f t="shared" si="44"/>
        <v/>
      </c>
      <c r="H479" s="10" t="str">
        <f t="shared" si="45"/>
        <v/>
      </c>
      <c r="I479" s="10" t="str">
        <f t="shared" si="46"/>
        <v/>
      </c>
      <c r="J479" s="10" t="str">
        <f t="shared" si="47"/>
        <v/>
      </c>
    </row>
    <row r="480" spans="1:10" x14ac:dyDescent="0.3">
      <c r="A480" s="5"/>
      <c r="B480" s="4" t="str">
        <f t="shared" si="42"/>
        <v/>
      </c>
      <c r="C480" s="17"/>
      <c r="D480" s="17"/>
      <c r="E480" s="17"/>
      <c r="F480" s="4" t="str">
        <f t="shared" si="43"/>
        <v/>
      </c>
      <c r="G480" s="10" t="str">
        <f t="shared" si="44"/>
        <v/>
      </c>
      <c r="H480" s="10" t="str">
        <f t="shared" si="45"/>
        <v/>
      </c>
      <c r="I480" s="10" t="str">
        <f t="shared" si="46"/>
        <v/>
      </c>
      <c r="J480" s="10" t="str">
        <f t="shared" si="47"/>
        <v/>
      </c>
    </row>
    <row r="481" spans="1:10" x14ac:dyDescent="0.3">
      <c r="A481" s="5"/>
      <c r="B481" s="4" t="str">
        <f t="shared" si="42"/>
        <v/>
      </c>
      <c r="C481" s="17"/>
      <c r="D481" s="17"/>
      <c r="E481" s="17"/>
      <c r="F481" s="4" t="str">
        <f t="shared" si="43"/>
        <v/>
      </c>
      <c r="G481" s="10" t="str">
        <f t="shared" si="44"/>
        <v/>
      </c>
      <c r="H481" s="10" t="str">
        <f t="shared" si="45"/>
        <v/>
      </c>
      <c r="I481" s="10" t="str">
        <f t="shared" si="46"/>
        <v/>
      </c>
      <c r="J481" s="10" t="str">
        <f t="shared" si="47"/>
        <v/>
      </c>
    </row>
    <row r="482" spans="1:10" x14ac:dyDescent="0.3">
      <c r="A482" s="5"/>
      <c r="B482" s="4" t="str">
        <f t="shared" si="42"/>
        <v/>
      </c>
      <c r="C482" s="17"/>
      <c r="D482" s="17"/>
      <c r="E482" s="17"/>
      <c r="F482" s="4" t="str">
        <f t="shared" si="43"/>
        <v/>
      </c>
      <c r="G482" s="10" t="str">
        <f t="shared" si="44"/>
        <v/>
      </c>
      <c r="H482" s="10" t="str">
        <f t="shared" si="45"/>
        <v/>
      </c>
      <c r="I482" s="10" t="str">
        <f t="shared" si="46"/>
        <v/>
      </c>
      <c r="J482" s="10" t="str">
        <f t="shared" si="47"/>
        <v/>
      </c>
    </row>
    <row r="483" spans="1:10" x14ac:dyDescent="0.3">
      <c r="A483" s="5"/>
      <c r="B483" s="4" t="str">
        <f t="shared" si="42"/>
        <v/>
      </c>
      <c r="C483" s="17"/>
      <c r="D483" s="17"/>
      <c r="E483" s="17"/>
      <c r="F483" s="4" t="str">
        <f t="shared" si="43"/>
        <v/>
      </c>
      <c r="G483" s="10" t="str">
        <f t="shared" si="44"/>
        <v/>
      </c>
      <c r="H483" s="10" t="str">
        <f t="shared" si="45"/>
        <v/>
      </c>
      <c r="I483" s="10" t="str">
        <f t="shared" si="46"/>
        <v/>
      </c>
      <c r="J483" s="10" t="str">
        <f t="shared" si="47"/>
        <v/>
      </c>
    </row>
    <row r="484" spans="1:10" x14ac:dyDescent="0.3">
      <c r="A484" s="5"/>
      <c r="B484" s="4" t="str">
        <f t="shared" si="42"/>
        <v/>
      </c>
      <c r="C484" s="17"/>
      <c r="D484" s="17"/>
      <c r="E484" s="17"/>
      <c r="F484" s="4" t="str">
        <f t="shared" si="43"/>
        <v/>
      </c>
      <c r="G484" s="10" t="str">
        <f t="shared" si="44"/>
        <v/>
      </c>
      <c r="H484" s="10" t="str">
        <f t="shared" si="45"/>
        <v/>
      </c>
      <c r="I484" s="10" t="str">
        <f t="shared" si="46"/>
        <v/>
      </c>
      <c r="J484" s="10" t="str">
        <f t="shared" si="47"/>
        <v/>
      </c>
    </row>
    <row r="485" spans="1:10" x14ac:dyDescent="0.3">
      <c r="A485" s="5"/>
      <c r="B485" s="4" t="str">
        <f t="shared" si="42"/>
        <v/>
      </c>
      <c r="C485" s="17"/>
      <c r="D485" s="17"/>
      <c r="E485" s="17"/>
      <c r="F485" s="4" t="str">
        <f t="shared" si="43"/>
        <v/>
      </c>
      <c r="G485" s="10" t="str">
        <f t="shared" si="44"/>
        <v/>
      </c>
      <c r="H485" s="10" t="str">
        <f t="shared" si="45"/>
        <v/>
      </c>
      <c r="I485" s="10" t="str">
        <f t="shared" si="46"/>
        <v/>
      </c>
      <c r="J485" s="10" t="str">
        <f t="shared" si="47"/>
        <v/>
      </c>
    </row>
    <row r="486" spans="1:10" x14ac:dyDescent="0.3">
      <c r="A486" s="5"/>
      <c r="B486" s="4" t="str">
        <f t="shared" si="42"/>
        <v/>
      </c>
      <c r="C486" s="17"/>
      <c r="D486" s="17"/>
      <c r="E486" s="17"/>
      <c r="F486" s="4" t="str">
        <f t="shared" si="43"/>
        <v/>
      </c>
      <c r="G486" s="10" t="str">
        <f t="shared" si="44"/>
        <v/>
      </c>
      <c r="H486" s="10" t="str">
        <f t="shared" si="45"/>
        <v/>
      </c>
      <c r="I486" s="10" t="str">
        <f t="shared" si="46"/>
        <v/>
      </c>
      <c r="J486" s="10" t="str">
        <f t="shared" si="47"/>
        <v/>
      </c>
    </row>
    <row r="487" spans="1:10" x14ac:dyDescent="0.3">
      <c r="A487" s="5"/>
      <c r="B487" s="4" t="str">
        <f t="shared" si="42"/>
        <v/>
      </c>
      <c r="C487" s="17"/>
      <c r="D487" s="17"/>
      <c r="E487" s="17"/>
      <c r="F487" s="4" t="str">
        <f t="shared" si="43"/>
        <v/>
      </c>
      <c r="G487" s="10" t="str">
        <f t="shared" si="44"/>
        <v/>
      </c>
      <c r="H487" s="10" t="str">
        <f t="shared" si="45"/>
        <v/>
      </c>
      <c r="I487" s="10" t="str">
        <f t="shared" si="46"/>
        <v/>
      </c>
      <c r="J487" s="10" t="str">
        <f t="shared" si="47"/>
        <v/>
      </c>
    </row>
    <row r="488" spans="1:10" x14ac:dyDescent="0.3">
      <c r="A488" s="5"/>
      <c r="B488" s="4" t="str">
        <f t="shared" si="42"/>
        <v/>
      </c>
      <c r="C488" s="17"/>
      <c r="D488" s="17"/>
      <c r="E488" s="17"/>
      <c r="F488" s="4" t="str">
        <f t="shared" si="43"/>
        <v/>
      </c>
      <c r="G488" s="10" t="str">
        <f t="shared" si="44"/>
        <v/>
      </c>
      <c r="H488" s="10" t="str">
        <f t="shared" si="45"/>
        <v/>
      </c>
      <c r="I488" s="10" t="str">
        <f t="shared" si="46"/>
        <v/>
      </c>
      <c r="J488" s="10" t="str">
        <f t="shared" si="47"/>
        <v/>
      </c>
    </row>
    <row r="489" spans="1:10" x14ac:dyDescent="0.3">
      <c r="A489" s="5"/>
      <c r="B489" s="4" t="str">
        <f t="shared" si="42"/>
        <v/>
      </c>
      <c r="C489" s="17"/>
      <c r="D489" s="17"/>
      <c r="E489" s="17"/>
      <c r="F489" s="4" t="str">
        <f t="shared" si="43"/>
        <v/>
      </c>
      <c r="G489" s="10" t="str">
        <f t="shared" si="44"/>
        <v/>
      </c>
      <c r="H489" s="10" t="str">
        <f t="shared" si="45"/>
        <v/>
      </c>
      <c r="I489" s="10" t="str">
        <f t="shared" si="46"/>
        <v/>
      </c>
      <c r="J489" s="10" t="str">
        <f t="shared" si="47"/>
        <v/>
      </c>
    </row>
    <row r="490" spans="1:10" x14ac:dyDescent="0.3">
      <c r="A490" s="5"/>
      <c r="B490" s="4" t="str">
        <f t="shared" si="42"/>
        <v/>
      </c>
      <c r="C490" s="17"/>
      <c r="D490" s="17"/>
      <c r="E490" s="17"/>
      <c r="F490" s="4" t="str">
        <f t="shared" si="43"/>
        <v/>
      </c>
      <c r="G490" s="10" t="str">
        <f t="shared" si="44"/>
        <v/>
      </c>
      <c r="H490" s="10" t="str">
        <f t="shared" si="45"/>
        <v/>
      </c>
      <c r="I490" s="10" t="str">
        <f t="shared" si="46"/>
        <v/>
      </c>
      <c r="J490" s="10" t="str">
        <f t="shared" si="47"/>
        <v/>
      </c>
    </row>
    <row r="491" spans="1:10" x14ac:dyDescent="0.3">
      <c r="A491" s="5"/>
      <c r="B491" s="4" t="str">
        <f t="shared" si="42"/>
        <v/>
      </c>
      <c r="C491" s="17"/>
      <c r="D491" s="17"/>
      <c r="E491" s="17"/>
      <c r="F491" s="4" t="str">
        <f t="shared" si="43"/>
        <v/>
      </c>
      <c r="G491" s="10" t="str">
        <f t="shared" si="44"/>
        <v/>
      </c>
      <c r="H491" s="10" t="str">
        <f t="shared" si="45"/>
        <v/>
      </c>
      <c r="I491" s="10" t="str">
        <f t="shared" si="46"/>
        <v/>
      </c>
      <c r="J491" s="10" t="str">
        <f t="shared" si="47"/>
        <v/>
      </c>
    </row>
    <row r="492" spans="1:10" x14ac:dyDescent="0.3">
      <c r="A492" s="5"/>
      <c r="B492" s="4" t="str">
        <f t="shared" si="42"/>
        <v/>
      </c>
      <c r="C492" s="17"/>
      <c r="D492" s="17"/>
      <c r="E492" s="17"/>
      <c r="F492" s="4" t="str">
        <f t="shared" si="43"/>
        <v/>
      </c>
      <c r="G492" s="10" t="str">
        <f t="shared" si="44"/>
        <v/>
      </c>
      <c r="H492" s="10" t="str">
        <f t="shared" si="45"/>
        <v/>
      </c>
      <c r="I492" s="10" t="str">
        <f t="shared" si="46"/>
        <v/>
      </c>
      <c r="J492" s="10" t="str">
        <f t="shared" si="47"/>
        <v/>
      </c>
    </row>
    <row r="493" spans="1:10" x14ac:dyDescent="0.3">
      <c r="A493" s="5"/>
      <c r="B493" s="4" t="str">
        <f t="shared" si="42"/>
        <v/>
      </c>
      <c r="C493" s="17"/>
      <c r="D493" s="17"/>
      <c r="E493" s="17"/>
      <c r="F493" s="4" t="str">
        <f t="shared" si="43"/>
        <v/>
      </c>
      <c r="G493" s="10" t="str">
        <f t="shared" si="44"/>
        <v/>
      </c>
      <c r="H493" s="10" t="str">
        <f t="shared" si="45"/>
        <v/>
      </c>
      <c r="I493" s="10" t="str">
        <f t="shared" si="46"/>
        <v/>
      </c>
      <c r="J493" s="10" t="str">
        <f t="shared" si="47"/>
        <v/>
      </c>
    </row>
    <row r="494" spans="1:10" x14ac:dyDescent="0.3">
      <c r="A494" s="5"/>
      <c r="B494" s="4" t="str">
        <f t="shared" si="42"/>
        <v/>
      </c>
      <c r="C494" s="17"/>
      <c r="D494" s="17"/>
      <c r="E494" s="17"/>
      <c r="F494" s="4" t="str">
        <f t="shared" si="43"/>
        <v/>
      </c>
      <c r="G494" s="10" t="str">
        <f t="shared" si="44"/>
        <v/>
      </c>
      <c r="H494" s="10" t="str">
        <f t="shared" si="45"/>
        <v/>
      </c>
      <c r="I494" s="10" t="str">
        <f t="shared" si="46"/>
        <v/>
      </c>
      <c r="J494" s="10" t="str">
        <f t="shared" si="47"/>
        <v/>
      </c>
    </row>
    <row r="495" spans="1:10" x14ac:dyDescent="0.3">
      <c r="A495" s="5"/>
      <c r="B495" s="4" t="str">
        <f t="shared" si="42"/>
        <v/>
      </c>
      <c r="C495" s="17"/>
      <c r="D495" s="17"/>
      <c r="E495" s="17"/>
      <c r="F495" s="4" t="str">
        <f t="shared" si="43"/>
        <v/>
      </c>
      <c r="G495" s="10" t="str">
        <f t="shared" si="44"/>
        <v/>
      </c>
      <c r="H495" s="10" t="str">
        <f t="shared" si="45"/>
        <v/>
      </c>
      <c r="I495" s="10" t="str">
        <f t="shared" si="46"/>
        <v/>
      </c>
      <c r="J495" s="10" t="str">
        <f t="shared" si="47"/>
        <v/>
      </c>
    </row>
    <row r="496" spans="1:10" x14ac:dyDescent="0.3">
      <c r="A496" s="5"/>
      <c r="B496" s="4" t="str">
        <f t="shared" si="42"/>
        <v/>
      </c>
      <c r="C496" s="17"/>
      <c r="D496" s="17"/>
      <c r="E496" s="17"/>
      <c r="F496" s="4" t="str">
        <f t="shared" si="43"/>
        <v/>
      </c>
      <c r="G496" s="10" t="str">
        <f t="shared" si="44"/>
        <v/>
      </c>
      <c r="H496" s="10" t="str">
        <f t="shared" si="45"/>
        <v/>
      </c>
      <c r="I496" s="10" t="str">
        <f t="shared" si="46"/>
        <v/>
      </c>
      <c r="J496" s="10" t="str">
        <f t="shared" si="47"/>
        <v/>
      </c>
    </row>
    <row r="497" spans="1:10" x14ac:dyDescent="0.3">
      <c r="A497" s="5"/>
      <c r="B497" s="4" t="str">
        <f t="shared" si="42"/>
        <v/>
      </c>
      <c r="C497" s="17"/>
      <c r="D497" s="17"/>
      <c r="E497" s="17"/>
      <c r="F497" s="4" t="str">
        <f t="shared" si="43"/>
        <v/>
      </c>
      <c r="G497" s="10" t="str">
        <f t="shared" si="44"/>
        <v/>
      </c>
      <c r="H497" s="10" t="str">
        <f t="shared" si="45"/>
        <v/>
      </c>
      <c r="I497" s="10" t="str">
        <f t="shared" si="46"/>
        <v/>
      </c>
      <c r="J497" s="10" t="str">
        <f t="shared" si="47"/>
        <v/>
      </c>
    </row>
    <row r="498" spans="1:10" x14ac:dyDescent="0.3">
      <c r="A498" s="5"/>
      <c r="B498" s="4" t="str">
        <f t="shared" si="42"/>
        <v/>
      </c>
      <c r="C498" s="17"/>
      <c r="D498" s="17"/>
      <c r="E498" s="17"/>
      <c r="F498" s="4" t="str">
        <f t="shared" si="43"/>
        <v/>
      </c>
      <c r="G498" s="10" t="str">
        <f t="shared" si="44"/>
        <v/>
      </c>
      <c r="H498" s="10" t="str">
        <f t="shared" si="45"/>
        <v/>
      </c>
      <c r="I498" s="10" t="str">
        <f t="shared" si="46"/>
        <v/>
      </c>
      <c r="J498" s="10" t="str">
        <f t="shared" si="47"/>
        <v/>
      </c>
    </row>
    <row r="499" spans="1:10" x14ac:dyDescent="0.3">
      <c r="A499" s="5"/>
      <c r="B499" s="4" t="str">
        <f t="shared" si="42"/>
        <v/>
      </c>
      <c r="C499" s="17"/>
      <c r="D499" s="17"/>
      <c r="E499" s="17"/>
      <c r="F499" s="4" t="str">
        <f t="shared" si="43"/>
        <v/>
      </c>
      <c r="G499" s="10" t="str">
        <f t="shared" si="44"/>
        <v/>
      </c>
      <c r="H499" s="10" t="str">
        <f t="shared" si="45"/>
        <v/>
      </c>
      <c r="I499" s="10" t="str">
        <f t="shared" si="46"/>
        <v/>
      </c>
      <c r="J499" s="10" t="str">
        <f t="shared" si="47"/>
        <v/>
      </c>
    </row>
    <row r="500" spans="1:10" x14ac:dyDescent="0.3">
      <c r="A500" s="5"/>
      <c r="B500" s="4" t="str">
        <f t="shared" si="42"/>
        <v/>
      </c>
      <c r="C500" s="17"/>
      <c r="D500" s="17"/>
      <c r="E500" s="17"/>
      <c r="F500" s="4" t="str">
        <f t="shared" si="43"/>
        <v/>
      </c>
      <c r="G500" s="10" t="str">
        <f t="shared" si="44"/>
        <v/>
      </c>
      <c r="H500" s="10" t="str">
        <f t="shared" si="45"/>
        <v/>
      </c>
      <c r="I500" s="10" t="str">
        <f t="shared" si="46"/>
        <v/>
      </c>
      <c r="J500" s="10" t="str">
        <f t="shared" si="47"/>
        <v/>
      </c>
    </row>
    <row r="501" spans="1:10" x14ac:dyDescent="0.3">
      <c r="A501" s="5"/>
      <c r="B501" s="4" t="str">
        <f t="shared" si="42"/>
        <v/>
      </c>
      <c r="C501" s="17"/>
      <c r="D501" s="17"/>
      <c r="E501" s="17"/>
      <c r="F501" s="4" t="str">
        <f t="shared" si="43"/>
        <v/>
      </c>
      <c r="G501" s="10" t="str">
        <f t="shared" si="44"/>
        <v/>
      </c>
      <c r="H501" s="10" t="str">
        <f t="shared" si="45"/>
        <v/>
      </c>
      <c r="I501" s="10" t="str">
        <f t="shared" si="46"/>
        <v/>
      </c>
      <c r="J501" s="10" t="str">
        <f t="shared" si="47"/>
        <v/>
      </c>
    </row>
    <row r="502" spans="1:10" x14ac:dyDescent="0.3">
      <c r="A502" s="5"/>
      <c r="B502" s="4" t="str">
        <f t="shared" si="42"/>
        <v/>
      </c>
      <c r="C502" s="17"/>
      <c r="D502" s="17"/>
      <c r="E502" s="17"/>
      <c r="F502" s="4" t="str">
        <f t="shared" si="43"/>
        <v/>
      </c>
      <c r="G502" s="10" t="str">
        <f t="shared" si="44"/>
        <v/>
      </c>
      <c r="H502" s="10" t="str">
        <f t="shared" si="45"/>
        <v/>
      </c>
      <c r="I502" s="10" t="str">
        <f t="shared" si="46"/>
        <v/>
      </c>
      <c r="J502" s="10" t="str">
        <f t="shared" si="47"/>
        <v/>
      </c>
    </row>
    <row r="503" spans="1:10" x14ac:dyDescent="0.3">
      <c r="A503" s="5"/>
      <c r="B503" s="4" t="str">
        <f t="shared" si="42"/>
        <v/>
      </c>
      <c r="C503" s="17"/>
      <c r="D503" s="17"/>
      <c r="E503" s="17"/>
      <c r="F503" s="4" t="str">
        <f t="shared" si="43"/>
        <v/>
      </c>
      <c r="G503" s="10" t="str">
        <f t="shared" si="44"/>
        <v/>
      </c>
      <c r="H503" s="10" t="str">
        <f t="shared" si="45"/>
        <v/>
      </c>
      <c r="I503" s="10" t="str">
        <f t="shared" si="46"/>
        <v/>
      </c>
      <c r="J503" s="10" t="str">
        <f t="shared" si="47"/>
        <v/>
      </c>
    </row>
    <row r="504" spans="1:10" x14ac:dyDescent="0.3">
      <c r="A504" s="5"/>
      <c r="B504" s="4" t="str">
        <f t="shared" si="42"/>
        <v/>
      </c>
      <c r="C504" s="17"/>
      <c r="D504" s="17"/>
      <c r="E504" s="17"/>
      <c r="F504" s="4" t="str">
        <f t="shared" si="43"/>
        <v/>
      </c>
      <c r="G504" s="10" t="str">
        <f t="shared" si="44"/>
        <v/>
      </c>
      <c r="H504" s="10" t="str">
        <f t="shared" si="45"/>
        <v/>
      </c>
      <c r="I504" s="10" t="str">
        <f t="shared" si="46"/>
        <v/>
      </c>
      <c r="J504" s="10" t="str">
        <f t="shared" si="47"/>
        <v/>
      </c>
    </row>
    <row r="505" spans="1:10" x14ac:dyDescent="0.3">
      <c r="A505" s="5"/>
      <c r="B505" s="4" t="str">
        <f t="shared" si="42"/>
        <v/>
      </c>
      <c r="C505" s="17"/>
      <c r="D505" s="17"/>
      <c r="E505" s="17"/>
      <c r="F505" s="4" t="str">
        <f t="shared" si="43"/>
        <v/>
      </c>
      <c r="G505" s="10" t="str">
        <f t="shared" si="44"/>
        <v/>
      </c>
      <c r="H505" s="10" t="str">
        <f t="shared" si="45"/>
        <v/>
      </c>
      <c r="I505" s="10" t="str">
        <f t="shared" si="46"/>
        <v/>
      </c>
      <c r="J505" s="10" t="str">
        <f t="shared" si="47"/>
        <v/>
      </c>
    </row>
    <row r="507" spans="1:10" x14ac:dyDescent="0.3">
      <c r="B507" s="18" t="str">
        <f>IFERROR(INDEX(DICT_ACTIVE,MATCH("TB.DRCR",DICT_KEY,0))&amp;"","??TB.DRCR")</f>
        <v>Debit - credit difference (must be zero)</v>
      </c>
      <c r="C507" s="19">
        <f>ROUND(SUM(C6:C505),2)</f>
        <v>0</v>
      </c>
      <c r="D507" s="19">
        <f>ROUND(SUM(D6:D505),2)</f>
        <v>0</v>
      </c>
      <c r="E507" s="19">
        <f>ROUND(SUM(E6:E505),2)</f>
        <v>0</v>
      </c>
    </row>
  </sheetData>
  <sheetProtection algorithmName="SHA-512" hashValue="Kq+bGJYpV7mrANhE5/1OTZkmasTjYqr2Si6bnMFplgZbelBHIy1VFfGr/PNuK67mQam7/qfyuNrnam+0ISFbHg==" saltValue="uerqRT2D+j8Hlyi4wZk03w==" spinCount="100000" sheet="1" objects="1" scenarios="1" formatCells="0" autoFilter="0" pivotTables="0"/>
  <conditionalFormatting sqref="C507:E507">
    <cfRule type="expression" dxfId="19" priority="1">
      <formula>C507&lt;&gt;0</formula>
    </cfRule>
  </conditionalFormatting>
  <conditionalFormatting sqref="F6:F505">
    <cfRule type="expression" dxfId="18" priority="4">
      <formula>F6&lt;&gt;""</formula>
    </cfRule>
  </conditionalFormatting>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Munka5"/>
  <dimension ref="A1:L303"/>
  <sheetViews>
    <sheetView showGridLines="0" workbookViewId="0">
      <pane ySplit="3" topLeftCell="A4" activePane="bottomLeft" state="frozen"/>
      <selection pane="bottomLeft" activeCell="D1" sqref="D1"/>
    </sheetView>
  </sheetViews>
  <sheetFormatPr defaultRowHeight="14.4" x14ac:dyDescent="0.3"/>
  <cols>
    <col min="1" max="1" width="10" customWidth="1"/>
    <col min="2" max="2" width="16" customWidth="1"/>
    <col min="3" max="3" width="13" hidden="1" customWidth="1"/>
    <col min="4" max="4" width="12" customWidth="1"/>
    <col min="5" max="6" width="14" customWidth="1"/>
    <col min="7" max="7" width="50" customWidth="1"/>
    <col min="8" max="11" width="13" hidden="1" customWidth="1"/>
    <col min="12" max="12" width="28" customWidth="1"/>
  </cols>
  <sheetData>
    <row r="1" spans="1:12" ht="17.399999999999999" x14ac:dyDescent="0.3">
      <c r="A1" s="1" t="str">
        <f>IFERROR(INDEX(DICT_ACTIVE,MATCH("UI.SHEET.ADJ",DICT_KEY,0))&amp;"","??UI.SHEET.ADJ")</f>
        <v>Adjustments journal</v>
      </c>
    </row>
    <row r="2" spans="1:12" x14ac:dyDescent="0.3">
      <c r="A2" s="2" t="str">
        <f>IFERROR(INDEX(DICT_ACTIVE,MATCH("ADJ.HINT",DICT_KEY,0))&amp;"","??ADJ.HINT")</f>
        <v>Post adjustments to accounts, not to line keys; every entry ID must net to zero.</v>
      </c>
    </row>
    <row r="3" spans="1:12" x14ac:dyDescent="0.3">
      <c r="A3" s="3" t="str">
        <f>IFERROR(INDEX(DICT_ACTIVE,MATCH("ADJ.ID",DICT_KEY,0))&amp;"","??ADJ.ID")</f>
        <v>Entry ID</v>
      </c>
      <c r="B3" s="3" t="str">
        <f>IFERROR(INDEX(DICT_ACTIVE,MATCH("ADJ.PER",DICT_KEY,0))&amp;"","??ADJ.PER")</f>
        <v>Period</v>
      </c>
      <c r="C3" s="3" t="str">
        <f>IFERROR(INDEX(DICT_ACTIVE,MATCH("UI.CODE",DICT_KEY,0))&amp;"","??UI.CODE")</f>
        <v>code</v>
      </c>
      <c r="D3" s="3" t="str">
        <f>IFERROR(INDEX(DICT_ACTIVE,MATCH("ADJ.ACCT",DICT_KEY,0))&amp;"","??ADJ.ACCT")</f>
        <v>Account</v>
      </c>
      <c r="E3" s="3" t="str">
        <f>IFERROR(INDEX(DICT_ACTIVE,MATCH("ADJ.DR",DICT_KEY,0))&amp;"","??ADJ.DR")</f>
        <v>Debit</v>
      </c>
      <c r="F3" s="3" t="str">
        <f>IFERROR(INDEX(DICT_ACTIVE,MATCH("ADJ.CR",DICT_KEY,0))&amp;"","??ADJ.CR")</f>
        <v>Credit</v>
      </c>
      <c r="G3" s="3" t="str">
        <f>IFERROR(INDEX(DICT_ACTIVE,MATCH("ADJ.DESC",DICT_KEY,0))&amp;"","??ADJ.DESC")</f>
        <v>Description</v>
      </c>
      <c r="H3" s="3" t="str">
        <f>IFERROR(INDEX(DICT_ACTIVE,MATCH("UI.CODE",DICT_KEY,0))&amp;"","??UI.CODE")</f>
        <v>code</v>
      </c>
      <c r="I3" s="3" t="str">
        <f>IFERROR(INDEX(DICT_ACTIVE,MATCH("COA.LINE.EFF",DICT_KEY,0))&amp;"","??COA.LINE.EFF")</f>
        <v>Effective line key</v>
      </c>
      <c r="J3" s="3" t="str">
        <f>IFERROR(INDEX(DICT_ACTIVE,MATCH("COA.LINE.N",DICT_KEY,0))&amp;"","??COA.LINE.N")</f>
        <v>Line key - by nature</v>
      </c>
      <c r="K3" s="3" t="str">
        <f>IFERROR(INDEX(DICT_ACTIVE,MATCH("COA.CF",DICT_KEY,0))&amp;"","??COA.CF")</f>
        <v>Cash flow tag</v>
      </c>
      <c r="L3" s="3" t="str">
        <f>IFERROR(INDEX(DICT_ACTIVE,MATCH("ADJ.CHK",DICT_KEY,0))&amp;"","??ADJ.CHK")</f>
        <v>Check</v>
      </c>
    </row>
    <row r="4" spans="1:12" x14ac:dyDescent="0.3">
      <c r="A4" s="5" t="s">
        <v>1388</v>
      </c>
      <c r="B4" s="5" t="s">
        <v>16</v>
      </c>
      <c r="C4" s="10" t="str">
        <f t="shared" ref="C4:C67" si="0">IF(A4="","",IFERROR(INDEX(LIST_PER_CODE,MATCH(B4,LIST_PER_EN,0)),IFERROR(INDEX(LIST_PER_CODE,MATCH(B4,LIST_PER_HU,0)),"")))</f>
        <v>CY</v>
      </c>
      <c r="D4" s="5" t="s">
        <v>1295</v>
      </c>
      <c r="E4" s="17">
        <v>0</v>
      </c>
      <c r="F4" s="17">
        <v>200</v>
      </c>
      <c r="G4" s="5" t="s">
        <v>1389</v>
      </c>
      <c r="H4" s="10">
        <f t="shared" ref="H4:H67" si="1">IF(A4="",0,N(E4)-N(F4))</f>
        <v>-200</v>
      </c>
      <c r="I4" s="10" t="str">
        <f t="shared" ref="I4:I67" si="2">IF(D4="","",IFERROR(INDEX(COA_LINE_EFF,MATCH(D4,COA_ACCT,0))&amp;"",""))</f>
        <v>SFP.CA.OTHERREC</v>
      </c>
      <c r="J4" s="10" t="str">
        <f t="shared" ref="J4:J67" si="3">IF(D4="","",IFERROR(INDEX(COA_LINE_N,MATCH(D4,COA_ACCT,0))&amp;"",""))</f>
        <v/>
      </c>
      <c r="K4" s="10" t="str">
        <f t="shared" ref="K4:K67" si="4">IF(D4="","",IFERROR(INDEX(COA_CF,MATCH(D4,COA_ACCT,0))&amp;"","-"))</f>
        <v>WC.OTHERREC</v>
      </c>
      <c r="L4" s="4" t="str">
        <f t="shared" ref="L4:L67" si="5">IF(A4="","",TRIM(IF(ROUND(SUMIF(ADJ_ID,A4,ADJ_NET),2)&lt;&gt;0,IFERROR(INDEX(DICT_ACTIVE,MATCH("ADJ.UNBAL",DICT_KEY,0)),"")&amp;" ","")&amp;IF(C4="",IFERROR(INDEX(DICT_ACTIVE,MATCH("ADJ.NOPER",DICT_KEY,0)),"")&amp;" ","")&amp;IF(I4="",IFERROR(INDEX(DICT_ACTIVE,MATCH("TB.UNMAPPED",DICT_KEY,0)),"")&amp;" ","")))</f>
        <v/>
      </c>
    </row>
    <row r="5" spans="1:12" x14ac:dyDescent="0.3">
      <c r="A5" s="5" t="s">
        <v>1388</v>
      </c>
      <c r="B5" s="5" t="s">
        <v>16</v>
      </c>
      <c r="C5" s="10" t="str">
        <f t="shared" si="0"/>
        <v>CY</v>
      </c>
      <c r="D5" s="5" t="s">
        <v>1288</v>
      </c>
      <c r="E5" s="17">
        <v>200</v>
      </c>
      <c r="F5" s="17">
        <v>0</v>
      </c>
      <c r="G5" s="5" t="s">
        <v>1390</v>
      </c>
      <c r="H5" s="10">
        <f t="shared" si="1"/>
        <v>200</v>
      </c>
      <c r="I5" s="10" t="str">
        <f t="shared" si="2"/>
        <v>SFP.CA.TRADEREC</v>
      </c>
      <c r="J5" s="10" t="str">
        <f t="shared" si="3"/>
        <v/>
      </c>
      <c r="K5" s="10" t="str">
        <f t="shared" si="4"/>
        <v>WC.TRADEREC</v>
      </c>
      <c r="L5" s="4" t="str">
        <f t="shared" si="5"/>
        <v/>
      </c>
    </row>
    <row r="6" spans="1:12" x14ac:dyDescent="0.3">
      <c r="A6" s="5"/>
      <c r="B6" s="5"/>
      <c r="C6" s="10" t="str">
        <f t="shared" si="0"/>
        <v/>
      </c>
      <c r="D6" s="5"/>
      <c r="E6" s="17"/>
      <c r="F6" s="17"/>
      <c r="G6" s="5"/>
      <c r="H6" s="10">
        <f t="shared" si="1"/>
        <v>0</v>
      </c>
      <c r="I6" s="10" t="str">
        <f t="shared" si="2"/>
        <v/>
      </c>
      <c r="J6" s="10" t="str">
        <f t="shared" si="3"/>
        <v/>
      </c>
      <c r="K6" s="10" t="str">
        <f t="shared" si="4"/>
        <v/>
      </c>
      <c r="L6" s="4" t="str">
        <f t="shared" si="5"/>
        <v/>
      </c>
    </row>
    <row r="7" spans="1:12" x14ac:dyDescent="0.3">
      <c r="A7" s="5"/>
      <c r="B7" s="5"/>
      <c r="C7" s="10" t="str">
        <f t="shared" si="0"/>
        <v/>
      </c>
      <c r="D7" s="5"/>
      <c r="E7" s="17"/>
      <c r="F7" s="17"/>
      <c r="G7" s="5"/>
      <c r="H7" s="10">
        <f t="shared" si="1"/>
        <v>0</v>
      </c>
      <c r="I7" s="10" t="str">
        <f t="shared" si="2"/>
        <v/>
      </c>
      <c r="J7" s="10" t="str">
        <f t="shared" si="3"/>
        <v/>
      </c>
      <c r="K7" s="10" t="str">
        <f t="shared" si="4"/>
        <v/>
      </c>
      <c r="L7" s="4" t="str">
        <f t="shared" si="5"/>
        <v/>
      </c>
    </row>
    <row r="8" spans="1:12" x14ac:dyDescent="0.3">
      <c r="A8" s="5"/>
      <c r="B8" s="5"/>
      <c r="C8" s="10" t="str">
        <f t="shared" si="0"/>
        <v/>
      </c>
      <c r="D8" s="5"/>
      <c r="E8" s="17"/>
      <c r="F8" s="17"/>
      <c r="G8" s="5"/>
      <c r="H8" s="10">
        <f t="shared" si="1"/>
        <v>0</v>
      </c>
      <c r="I8" s="10" t="str">
        <f t="shared" si="2"/>
        <v/>
      </c>
      <c r="J8" s="10" t="str">
        <f t="shared" si="3"/>
        <v/>
      </c>
      <c r="K8" s="10" t="str">
        <f t="shared" si="4"/>
        <v/>
      </c>
      <c r="L8" s="4" t="str">
        <f t="shared" si="5"/>
        <v/>
      </c>
    </row>
    <row r="9" spans="1:12" x14ac:dyDescent="0.3">
      <c r="A9" s="5"/>
      <c r="B9" s="5"/>
      <c r="C9" s="10" t="str">
        <f t="shared" si="0"/>
        <v/>
      </c>
      <c r="D9" s="5"/>
      <c r="E9" s="17"/>
      <c r="F9" s="17"/>
      <c r="G9" s="5"/>
      <c r="H9" s="10">
        <f t="shared" si="1"/>
        <v>0</v>
      </c>
      <c r="I9" s="10" t="str">
        <f t="shared" si="2"/>
        <v/>
      </c>
      <c r="J9" s="10" t="str">
        <f t="shared" si="3"/>
        <v/>
      </c>
      <c r="K9" s="10" t="str">
        <f t="shared" si="4"/>
        <v/>
      </c>
      <c r="L9" s="4" t="str">
        <f t="shared" si="5"/>
        <v/>
      </c>
    </row>
    <row r="10" spans="1:12" x14ac:dyDescent="0.3">
      <c r="A10" s="5"/>
      <c r="B10" s="5"/>
      <c r="C10" s="10" t="str">
        <f t="shared" si="0"/>
        <v/>
      </c>
      <c r="D10" s="5"/>
      <c r="E10" s="17"/>
      <c r="F10" s="17"/>
      <c r="G10" s="5"/>
      <c r="H10" s="10">
        <f t="shared" si="1"/>
        <v>0</v>
      </c>
      <c r="I10" s="10" t="str">
        <f t="shared" si="2"/>
        <v/>
      </c>
      <c r="J10" s="10" t="str">
        <f t="shared" si="3"/>
        <v/>
      </c>
      <c r="K10" s="10" t="str">
        <f t="shared" si="4"/>
        <v/>
      </c>
      <c r="L10" s="4" t="str">
        <f t="shared" si="5"/>
        <v/>
      </c>
    </row>
    <row r="11" spans="1:12" x14ac:dyDescent="0.3">
      <c r="A11" s="5"/>
      <c r="B11" s="5"/>
      <c r="C11" s="10" t="str">
        <f t="shared" si="0"/>
        <v/>
      </c>
      <c r="D11" s="5"/>
      <c r="E11" s="17"/>
      <c r="F11" s="17"/>
      <c r="G11" s="5"/>
      <c r="H11" s="10">
        <f t="shared" si="1"/>
        <v>0</v>
      </c>
      <c r="I11" s="10" t="str">
        <f t="shared" si="2"/>
        <v/>
      </c>
      <c r="J11" s="10" t="str">
        <f t="shared" si="3"/>
        <v/>
      </c>
      <c r="K11" s="10" t="str">
        <f t="shared" si="4"/>
        <v/>
      </c>
      <c r="L11" s="4" t="str">
        <f t="shared" si="5"/>
        <v/>
      </c>
    </row>
    <row r="12" spans="1:12" x14ac:dyDescent="0.3">
      <c r="A12" s="5"/>
      <c r="B12" s="5"/>
      <c r="C12" s="10" t="str">
        <f t="shared" si="0"/>
        <v/>
      </c>
      <c r="D12" s="5"/>
      <c r="E12" s="17"/>
      <c r="F12" s="17"/>
      <c r="G12" s="5"/>
      <c r="H12" s="10">
        <f t="shared" si="1"/>
        <v>0</v>
      </c>
      <c r="I12" s="10" t="str">
        <f t="shared" si="2"/>
        <v/>
      </c>
      <c r="J12" s="10" t="str">
        <f t="shared" si="3"/>
        <v/>
      </c>
      <c r="K12" s="10" t="str">
        <f t="shared" si="4"/>
        <v/>
      </c>
      <c r="L12" s="4" t="str">
        <f t="shared" si="5"/>
        <v/>
      </c>
    </row>
    <row r="13" spans="1:12" x14ac:dyDescent="0.3">
      <c r="A13" s="5"/>
      <c r="B13" s="5"/>
      <c r="C13" s="10" t="str">
        <f t="shared" si="0"/>
        <v/>
      </c>
      <c r="D13" s="5"/>
      <c r="E13" s="17"/>
      <c r="F13" s="17"/>
      <c r="G13" s="5"/>
      <c r="H13" s="10">
        <f t="shared" si="1"/>
        <v>0</v>
      </c>
      <c r="I13" s="10" t="str">
        <f t="shared" si="2"/>
        <v/>
      </c>
      <c r="J13" s="10" t="str">
        <f t="shared" si="3"/>
        <v/>
      </c>
      <c r="K13" s="10" t="str">
        <f t="shared" si="4"/>
        <v/>
      </c>
      <c r="L13" s="4" t="str">
        <f t="shared" si="5"/>
        <v/>
      </c>
    </row>
    <row r="14" spans="1:12" x14ac:dyDescent="0.3">
      <c r="A14" s="5"/>
      <c r="B14" s="5"/>
      <c r="C14" s="10" t="str">
        <f t="shared" si="0"/>
        <v/>
      </c>
      <c r="D14" s="5"/>
      <c r="E14" s="17"/>
      <c r="F14" s="17"/>
      <c r="G14" s="5"/>
      <c r="H14" s="10">
        <f t="shared" si="1"/>
        <v>0</v>
      </c>
      <c r="I14" s="10" t="str">
        <f t="shared" si="2"/>
        <v/>
      </c>
      <c r="J14" s="10" t="str">
        <f t="shared" si="3"/>
        <v/>
      </c>
      <c r="K14" s="10" t="str">
        <f t="shared" si="4"/>
        <v/>
      </c>
      <c r="L14" s="4" t="str">
        <f t="shared" si="5"/>
        <v/>
      </c>
    </row>
    <row r="15" spans="1:12" x14ac:dyDescent="0.3">
      <c r="A15" s="5"/>
      <c r="B15" s="5"/>
      <c r="C15" s="10" t="str">
        <f t="shared" si="0"/>
        <v/>
      </c>
      <c r="D15" s="5"/>
      <c r="E15" s="17"/>
      <c r="F15" s="17"/>
      <c r="G15" s="5"/>
      <c r="H15" s="10">
        <f t="shared" si="1"/>
        <v>0</v>
      </c>
      <c r="I15" s="10" t="str">
        <f t="shared" si="2"/>
        <v/>
      </c>
      <c r="J15" s="10" t="str">
        <f t="shared" si="3"/>
        <v/>
      </c>
      <c r="K15" s="10" t="str">
        <f t="shared" si="4"/>
        <v/>
      </c>
      <c r="L15" s="4" t="str">
        <f t="shared" si="5"/>
        <v/>
      </c>
    </row>
    <row r="16" spans="1:12" x14ac:dyDescent="0.3">
      <c r="A16" s="5"/>
      <c r="B16" s="5"/>
      <c r="C16" s="10" t="str">
        <f t="shared" si="0"/>
        <v/>
      </c>
      <c r="D16" s="5"/>
      <c r="E16" s="17"/>
      <c r="F16" s="17"/>
      <c r="G16" s="5"/>
      <c r="H16" s="10">
        <f t="shared" si="1"/>
        <v>0</v>
      </c>
      <c r="I16" s="10" t="str">
        <f t="shared" si="2"/>
        <v/>
      </c>
      <c r="J16" s="10" t="str">
        <f t="shared" si="3"/>
        <v/>
      </c>
      <c r="K16" s="10" t="str">
        <f t="shared" si="4"/>
        <v/>
      </c>
      <c r="L16" s="4" t="str">
        <f t="shared" si="5"/>
        <v/>
      </c>
    </row>
    <row r="17" spans="1:12" x14ac:dyDescent="0.3">
      <c r="A17" s="5"/>
      <c r="B17" s="5"/>
      <c r="C17" s="10" t="str">
        <f t="shared" si="0"/>
        <v/>
      </c>
      <c r="D17" s="5"/>
      <c r="E17" s="17"/>
      <c r="F17" s="17"/>
      <c r="G17" s="5"/>
      <c r="H17" s="10">
        <f t="shared" si="1"/>
        <v>0</v>
      </c>
      <c r="I17" s="10" t="str">
        <f t="shared" si="2"/>
        <v/>
      </c>
      <c r="J17" s="10" t="str">
        <f t="shared" si="3"/>
        <v/>
      </c>
      <c r="K17" s="10" t="str">
        <f t="shared" si="4"/>
        <v/>
      </c>
      <c r="L17" s="4" t="str">
        <f t="shared" si="5"/>
        <v/>
      </c>
    </row>
    <row r="18" spans="1:12" x14ac:dyDescent="0.3">
      <c r="A18" s="5"/>
      <c r="B18" s="5"/>
      <c r="C18" s="10" t="str">
        <f t="shared" si="0"/>
        <v/>
      </c>
      <c r="D18" s="5"/>
      <c r="E18" s="17"/>
      <c r="F18" s="17"/>
      <c r="G18" s="5"/>
      <c r="H18" s="10">
        <f t="shared" si="1"/>
        <v>0</v>
      </c>
      <c r="I18" s="10" t="str">
        <f t="shared" si="2"/>
        <v/>
      </c>
      <c r="J18" s="10" t="str">
        <f t="shared" si="3"/>
        <v/>
      </c>
      <c r="K18" s="10" t="str">
        <f t="shared" si="4"/>
        <v/>
      </c>
      <c r="L18" s="4" t="str">
        <f t="shared" si="5"/>
        <v/>
      </c>
    </row>
    <row r="19" spans="1:12" x14ac:dyDescent="0.3">
      <c r="A19" s="5"/>
      <c r="B19" s="5"/>
      <c r="C19" s="10" t="str">
        <f t="shared" si="0"/>
        <v/>
      </c>
      <c r="D19" s="5"/>
      <c r="E19" s="17"/>
      <c r="F19" s="17"/>
      <c r="G19" s="5"/>
      <c r="H19" s="10">
        <f t="shared" si="1"/>
        <v>0</v>
      </c>
      <c r="I19" s="10" t="str">
        <f t="shared" si="2"/>
        <v/>
      </c>
      <c r="J19" s="10" t="str">
        <f t="shared" si="3"/>
        <v/>
      </c>
      <c r="K19" s="10" t="str">
        <f t="shared" si="4"/>
        <v/>
      </c>
      <c r="L19" s="4" t="str">
        <f t="shared" si="5"/>
        <v/>
      </c>
    </row>
    <row r="20" spans="1:12" x14ac:dyDescent="0.3">
      <c r="A20" s="5"/>
      <c r="B20" s="5"/>
      <c r="C20" s="10" t="str">
        <f t="shared" si="0"/>
        <v/>
      </c>
      <c r="D20" s="5"/>
      <c r="E20" s="17"/>
      <c r="F20" s="17"/>
      <c r="G20" s="5"/>
      <c r="H20" s="10">
        <f t="shared" si="1"/>
        <v>0</v>
      </c>
      <c r="I20" s="10" t="str">
        <f t="shared" si="2"/>
        <v/>
      </c>
      <c r="J20" s="10" t="str">
        <f t="shared" si="3"/>
        <v/>
      </c>
      <c r="K20" s="10" t="str">
        <f t="shared" si="4"/>
        <v/>
      </c>
      <c r="L20" s="4" t="str">
        <f t="shared" si="5"/>
        <v/>
      </c>
    </row>
    <row r="21" spans="1:12" x14ac:dyDescent="0.3">
      <c r="A21" s="5"/>
      <c r="B21" s="5"/>
      <c r="C21" s="10" t="str">
        <f t="shared" si="0"/>
        <v/>
      </c>
      <c r="D21" s="5"/>
      <c r="E21" s="17"/>
      <c r="F21" s="17"/>
      <c r="G21" s="5"/>
      <c r="H21" s="10">
        <f t="shared" si="1"/>
        <v>0</v>
      </c>
      <c r="I21" s="10" t="str">
        <f t="shared" si="2"/>
        <v/>
      </c>
      <c r="J21" s="10" t="str">
        <f t="shared" si="3"/>
        <v/>
      </c>
      <c r="K21" s="10" t="str">
        <f t="shared" si="4"/>
        <v/>
      </c>
      <c r="L21" s="4" t="str">
        <f t="shared" si="5"/>
        <v/>
      </c>
    </row>
    <row r="22" spans="1:12" x14ac:dyDescent="0.3">
      <c r="A22" s="5"/>
      <c r="B22" s="5"/>
      <c r="C22" s="10" t="str">
        <f t="shared" si="0"/>
        <v/>
      </c>
      <c r="D22" s="5"/>
      <c r="E22" s="17"/>
      <c r="F22" s="17"/>
      <c r="G22" s="5"/>
      <c r="H22" s="10">
        <f t="shared" si="1"/>
        <v>0</v>
      </c>
      <c r="I22" s="10" t="str">
        <f t="shared" si="2"/>
        <v/>
      </c>
      <c r="J22" s="10" t="str">
        <f t="shared" si="3"/>
        <v/>
      </c>
      <c r="K22" s="10" t="str">
        <f t="shared" si="4"/>
        <v/>
      </c>
      <c r="L22" s="4" t="str">
        <f t="shared" si="5"/>
        <v/>
      </c>
    </row>
    <row r="23" spans="1:12" x14ac:dyDescent="0.3">
      <c r="A23" s="5"/>
      <c r="B23" s="5"/>
      <c r="C23" s="10" t="str">
        <f t="shared" si="0"/>
        <v/>
      </c>
      <c r="D23" s="5"/>
      <c r="E23" s="17"/>
      <c r="F23" s="17"/>
      <c r="G23" s="5"/>
      <c r="H23" s="10">
        <f t="shared" si="1"/>
        <v>0</v>
      </c>
      <c r="I23" s="10" t="str">
        <f t="shared" si="2"/>
        <v/>
      </c>
      <c r="J23" s="10" t="str">
        <f t="shared" si="3"/>
        <v/>
      </c>
      <c r="K23" s="10" t="str">
        <f t="shared" si="4"/>
        <v/>
      </c>
      <c r="L23" s="4" t="str">
        <f t="shared" si="5"/>
        <v/>
      </c>
    </row>
    <row r="24" spans="1:12" x14ac:dyDescent="0.3">
      <c r="A24" s="5"/>
      <c r="B24" s="5"/>
      <c r="C24" s="10" t="str">
        <f t="shared" si="0"/>
        <v/>
      </c>
      <c r="D24" s="5"/>
      <c r="E24" s="17"/>
      <c r="F24" s="17"/>
      <c r="G24" s="5"/>
      <c r="H24" s="10">
        <f t="shared" si="1"/>
        <v>0</v>
      </c>
      <c r="I24" s="10" t="str">
        <f t="shared" si="2"/>
        <v/>
      </c>
      <c r="J24" s="10" t="str">
        <f t="shared" si="3"/>
        <v/>
      </c>
      <c r="K24" s="10" t="str">
        <f t="shared" si="4"/>
        <v/>
      </c>
      <c r="L24" s="4" t="str">
        <f t="shared" si="5"/>
        <v/>
      </c>
    </row>
    <row r="25" spans="1:12" x14ac:dyDescent="0.3">
      <c r="A25" s="5"/>
      <c r="B25" s="5"/>
      <c r="C25" s="10" t="str">
        <f t="shared" si="0"/>
        <v/>
      </c>
      <c r="D25" s="5"/>
      <c r="E25" s="17"/>
      <c r="F25" s="17"/>
      <c r="G25" s="5"/>
      <c r="H25" s="10">
        <f t="shared" si="1"/>
        <v>0</v>
      </c>
      <c r="I25" s="10" t="str">
        <f t="shared" si="2"/>
        <v/>
      </c>
      <c r="J25" s="10" t="str">
        <f t="shared" si="3"/>
        <v/>
      </c>
      <c r="K25" s="10" t="str">
        <f t="shared" si="4"/>
        <v/>
      </c>
      <c r="L25" s="4" t="str">
        <f t="shared" si="5"/>
        <v/>
      </c>
    </row>
    <row r="26" spans="1:12" x14ac:dyDescent="0.3">
      <c r="A26" s="5"/>
      <c r="B26" s="5"/>
      <c r="C26" s="10" t="str">
        <f t="shared" si="0"/>
        <v/>
      </c>
      <c r="D26" s="5"/>
      <c r="E26" s="17"/>
      <c r="F26" s="17"/>
      <c r="G26" s="5"/>
      <c r="H26" s="10">
        <f t="shared" si="1"/>
        <v>0</v>
      </c>
      <c r="I26" s="10" t="str">
        <f t="shared" si="2"/>
        <v/>
      </c>
      <c r="J26" s="10" t="str">
        <f t="shared" si="3"/>
        <v/>
      </c>
      <c r="K26" s="10" t="str">
        <f t="shared" si="4"/>
        <v/>
      </c>
      <c r="L26" s="4" t="str">
        <f t="shared" si="5"/>
        <v/>
      </c>
    </row>
    <row r="27" spans="1:12" x14ac:dyDescent="0.3">
      <c r="A27" s="5"/>
      <c r="B27" s="5"/>
      <c r="C27" s="10" t="str">
        <f t="shared" si="0"/>
        <v/>
      </c>
      <c r="D27" s="5"/>
      <c r="E27" s="17"/>
      <c r="F27" s="17"/>
      <c r="G27" s="5"/>
      <c r="H27" s="10">
        <f t="shared" si="1"/>
        <v>0</v>
      </c>
      <c r="I27" s="10" t="str">
        <f t="shared" si="2"/>
        <v/>
      </c>
      <c r="J27" s="10" t="str">
        <f t="shared" si="3"/>
        <v/>
      </c>
      <c r="K27" s="10" t="str">
        <f t="shared" si="4"/>
        <v/>
      </c>
      <c r="L27" s="4" t="str">
        <f t="shared" si="5"/>
        <v/>
      </c>
    </row>
    <row r="28" spans="1:12" x14ac:dyDescent="0.3">
      <c r="A28" s="5"/>
      <c r="B28" s="5"/>
      <c r="C28" s="10" t="str">
        <f t="shared" si="0"/>
        <v/>
      </c>
      <c r="D28" s="5"/>
      <c r="E28" s="17"/>
      <c r="F28" s="17"/>
      <c r="G28" s="5"/>
      <c r="H28" s="10">
        <f t="shared" si="1"/>
        <v>0</v>
      </c>
      <c r="I28" s="10" t="str">
        <f t="shared" si="2"/>
        <v/>
      </c>
      <c r="J28" s="10" t="str">
        <f t="shared" si="3"/>
        <v/>
      </c>
      <c r="K28" s="10" t="str">
        <f t="shared" si="4"/>
        <v/>
      </c>
      <c r="L28" s="4" t="str">
        <f t="shared" si="5"/>
        <v/>
      </c>
    </row>
    <row r="29" spans="1:12" x14ac:dyDescent="0.3">
      <c r="A29" s="5"/>
      <c r="B29" s="5"/>
      <c r="C29" s="10" t="str">
        <f t="shared" si="0"/>
        <v/>
      </c>
      <c r="D29" s="5"/>
      <c r="E29" s="17"/>
      <c r="F29" s="17"/>
      <c r="G29" s="5"/>
      <c r="H29" s="10">
        <f t="shared" si="1"/>
        <v>0</v>
      </c>
      <c r="I29" s="10" t="str">
        <f t="shared" si="2"/>
        <v/>
      </c>
      <c r="J29" s="10" t="str">
        <f t="shared" si="3"/>
        <v/>
      </c>
      <c r="K29" s="10" t="str">
        <f t="shared" si="4"/>
        <v/>
      </c>
      <c r="L29" s="4" t="str">
        <f t="shared" si="5"/>
        <v/>
      </c>
    </row>
    <row r="30" spans="1:12" x14ac:dyDescent="0.3">
      <c r="A30" s="5"/>
      <c r="B30" s="5"/>
      <c r="C30" s="10" t="str">
        <f t="shared" si="0"/>
        <v/>
      </c>
      <c r="D30" s="5"/>
      <c r="E30" s="17"/>
      <c r="F30" s="17"/>
      <c r="G30" s="5"/>
      <c r="H30" s="10">
        <f t="shared" si="1"/>
        <v>0</v>
      </c>
      <c r="I30" s="10" t="str">
        <f t="shared" si="2"/>
        <v/>
      </c>
      <c r="J30" s="10" t="str">
        <f t="shared" si="3"/>
        <v/>
      </c>
      <c r="K30" s="10" t="str">
        <f t="shared" si="4"/>
        <v/>
      </c>
      <c r="L30" s="4" t="str">
        <f t="shared" si="5"/>
        <v/>
      </c>
    </row>
    <row r="31" spans="1:12" x14ac:dyDescent="0.3">
      <c r="A31" s="5"/>
      <c r="B31" s="5"/>
      <c r="C31" s="10" t="str">
        <f t="shared" si="0"/>
        <v/>
      </c>
      <c r="D31" s="5"/>
      <c r="E31" s="17"/>
      <c r="F31" s="17"/>
      <c r="G31" s="5"/>
      <c r="H31" s="10">
        <f t="shared" si="1"/>
        <v>0</v>
      </c>
      <c r="I31" s="10" t="str">
        <f t="shared" si="2"/>
        <v/>
      </c>
      <c r="J31" s="10" t="str">
        <f t="shared" si="3"/>
        <v/>
      </c>
      <c r="K31" s="10" t="str">
        <f t="shared" si="4"/>
        <v/>
      </c>
      <c r="L31" s="4" t="str">
        <f t="shared" si="5"/>
        <v/>
      </c>
    </row>
    <row r="32" spans="1:12" x14ac:dyDescent="0.3">
      <c r="A32" s="5"/>
      <c r="B32" s="5"/>
      <c r="C32" s="10" t="str">
        <f t="shared" si="0"/>
        <v/>
      </c>
      <c r="D32" s="5"/>
      <c r="E32" s="17"/>
      <c r="F32" s="17"/>
      <c r="G32" s="5"/>
      <c r="H32" s="10">
        <f t="shared" si="1"/>
        <v>0</v>
      </c>
      <c r="I32" s="10" t="str">
        <f t="shared" si="2"/>
        <v/>
      </c>
      <c r="J32" s="10" t="str">
        <f t="shared" si="3"/>
        <v/>
      </c>
      <c r="K32" s="10" t="str">
        <f t="shared" si="4"/>
        <v/>
      </c>
      <c r="L32" s="4" t="str">
        <f t="shared" si="5"/>
        <v/>
      </c>
    </row>
    <row r="33" spans="1:12" x14ac:dyDescent="0.3">
      <c r="A33" s="5"/>
      <c r="B33" s="5"/>
      <c r="C33" s="10" t="str">
        <f t="shared" si="0"/>
        <v/>
      </c>
      <c r="D33" s="5"/>
      <c r="E33" s="17"/>
      <c r="F33" s="17"/>
      <c r="G33" s="5"/>
      <c r="H33" s="10">
        <f t="shared" si="1"/>
        <v>0</v>
      </c>
      <c r="I33" s="10" t="str">
        <f t="shared" si="2"/>
        <v/>
      </c>
      <c r="J33" s="10" t="str">
        <f t="shared" si="3"/>
        <v/>
      </c>
      <c r="K33" s="10" t="str">
        <f t="shared" si="4"/>
        <v/>
      </c>
      <c r="L33" s="4" t="str">
        <f t="shared" si="5"/>
        <v/>
      </c>
    </row>
    <row r="34" spans="1:12" x14ac:dyDescent="0.3">
      <c r="A34" s="5"/>
      <c r="B34" s="5"/>
      <c r="C34" s="10" t="str">
        <f t="shared" si="0"/>
        <v/>
      </c>
      <c r="D34" s="5"/>
      <c r="E34" s="17"/>
      <c r="F34" s="17"/>
      <c r="G34" s="5"/>
      <c r="H34" s="10">
        <f t="shared" si="1"/>
        <v>0</v>
      </c>
      <c r="I34" s="10" t="str">
        <f t="shared" si="2"/>
        <v/>
      </c>
      <c r="J34" s="10" t="str">
        <f t="shared" si="3"/>
        <v/>
      </c>
      <c r="K34" s="10" t="str">
        <f t="shared" si="4"/>
        <v/>
      </c>
      <c r="L34" s="4" t="str">
        <f t="shared" si="5"/>
        <v/>
      </c>
    </row>
    <row r="35" spans="1:12" x14ac:dyDescent="0.3">
      <c r="A35" s="5"/>
      <c r="B35" s="5"/>
      <c r="C35" s="10" t="str">
        <f t="shared" si="0"/>
        <v/>
      </c>
      <c r="D35" s="5"/>
      <c r="E35" s="17"/>
      <c r="F35" s="17"/>
      <c r="G35" s="5"/>
      <c r="H35" s="10">
        <f t="shared" si="1"/>
        <v>0</v>
      </c>
      <c r="I35" s="10" t="str">
        <f t="shared" si="2"/>
        <v/>
      </c>
      <c r="J35" s="10" t="str">
        <f t="shared" si="3"/>
        <v/>
      </c>
      <c r="K35" s="10" t="str">
        <f t="shared" si="4"/>
        <v/>
      </c>
      <c r="L35" s="4" t="str">
        <f t="shared" si="5"/>
        <v/>
      </c>
    </row>
    <row r="36" spans="1:12" x14ac:dyDescent="0.3">
      <c r="A36" s="5"/>
      <c r="B36" s="5"/>
      <c r="C36" s="10" t="str">
        <f t="shared" si="0"/>
        <v/>
      </c>
      <c r="D36" s="5"/>
      <c r="E36" s="17"/>
      <c r="F36" s="17"/>
      <c r="G36" s="5"/>
      <c r="H36" s="10">
        <f t="shared" si="1"/>
        <v>0</v>
      </c>
      <c r="I36" s="10" t="str">
        <f t="shared" si="2"/>
        <v/>
      </c>
      <c r="J36" s="10" t="str">
        <f t="shared" si="3"/>
        <v/>
      </c>
      <c r="K36" s="10" t="str">
        <f t="shared" si="4"/>
        <v/>
      </c>
      <c r="L36" s="4" t="str">
        <f t="shared" si="5"/>
        <v/>
      </c>
    </row>
    <row r="37" spans="1:12" x14ac:dyDescent="0.3">
      <c r="A37" s="5"/>
      <c r="B37" s="5"/>
      <c r="C37" s="10" t="str">
        <f t="shared" si="0"/>
        <v/>
      </c>
      <c r="D37" s="5"/>
      <c r="E37" s="17"/>
      <c r="F37" s="17"/>
      <c r="G37" s="5"/>
      <c r="H37" s="10">
        <f t="shared" si="1"/>
        <v>0</v>
      </c>
      <c r="I37" s="10" t="str">
        <f t="shared" si="2"/>
        <v/>
      </c>
      <c r="J37" s="10" t="str">
        <f t="shared" si="3"/>
        <v/>
      </c>
      <c r="K37" s="10" t="str">
        <f t="shared" si="4"/>
        <v/>
      </c>
      <c r="L37" s="4" t="str">
        <f t="shared" si="5"/>
        <v/>
      </c>
    </row>
    <row r="38" spans="1:12" x14ac:dyDescent="0.3">
      <c r="A38" s="5"/>
      <c r="B38" s="5"/>
      <c r="C38" s="10" t="str">
        <f t="shared" si="0"/>
        <v/>
      </c>
      <c r="D38" s="5"/>
      <c r="E38" s="17"/>
      <c r="F38" s="17"/>
      <c r="G38" s="5"/>
      <c r="H38" s="10">
        <f t="shared" si="1"/>
        <v>0</v>
      </c>
      <c r="I38" s="10" t="str">
        <f t="shared" si="2"/>
        <v/>
      </c>
      <c r="J38" s="10" t="str">
        <f t="shared" si="3"/>
        <v/>
      </c>
      <c r="K38" s="10" t="str">
        <f t="shared" si="4"/>
        <v/>
      </c>
      <c r="L38" s="4" t="str">
        <f t="shared" si="5"/>
        <v/>
      </c>
    </row>
    <row r="39" spans="1:12" x14ac:dyDescent="0.3">
      <c r="A39" s="5"/>
      <c r="B39" s="5"/>
      <c r="C39" s="10" t="str">
        <f t="shared" si="0"/>
        <v/>
      </c>
      <c r="D39" s="5"/>
      <c r="E39" s="17"/>
      <c r="F39" s="17"/>
      <c r="G39" s="5"/>
      <c r="H39" s="10">
        <f t="shared" si="1"/>
        <v>0</v>
      </c>
      <c r="I39" s="10" t="str">
        <f t="shared" si="2"/>
        <v/>
      </c>
      <c r="J39" s="10" t="str">
        <f t="shared" si="3"/>
        <v/>
      </c>
      <c r="K39" s="10" t="str">
        <f t="shared" si="4"/>
        <v/>
      </c>
      <c r="L39" s="4" t="str">
        <f t="shared" si="5"/>
        <v/>
      </c>
    </row>
    <row r="40" spans="1:12" x14ac:dyDescent="0.3">
      <c r="A40" s="5"/>
      <c r="B40" s="5"/>
      <c r="C40" s="10" t="str">
        <f t="shared" si="0"/>
        <v/>
      </c>
      <c r="D40" s="5"/>
      <c r="E40" s="17"/>
      <c r="F40" s="17"/>
      <c r="G40" s="5"/>
      <c r="H40" s="10">
        <f t="shared" si="1"/>
        <v>0</v>
      </c>
      <c r="I40" s="10" t="str">
        <f t="shared" si="2"/>
        <v/>
      </c>
      <c r="J40" s="10" t="str">
        <f t="shared" si="3"/>
        <v/>
      </c>
      <c r="K40" s="10" t="str">
        <f t="shared" si="4"/>
        <v/>
      </c>
      <c r="L40" s="4" t="str">
        <f t="shared" si="5"/>
        <v/>
      </c>
    </row>
    <row r="41" spans="1:12" x14ac:dyDescent="0.3">
      <c r="A41" s="5"/>
      <c r="B41" s="5"/>
      <c r="C41" s="10" t="str">
        <f t="shared" si="0"/>
        <v/>
      </c>
      <c r="D41" s="5"/>
      <c r="E41" s="17"/>
      <c r="F41" s="17"/>
      <c r="G41" s="5"/>
      <c r="H41" s="10">
        <f t="shared" si="1"/>
        <v>0</v>
      </c>
      <c r="I41" s="10" t="str">
        <f t="shared" si="2"/>
        <v/>
      </c>
      <c r="J41" s="10" t="str">
        <f t="shared" si="3"/>
        <v/>
      </c>
      <c r="K41" s="10" t="str">
        <f t="shared" si="4"/>
        <v/>
      </c>
      <c r="L41" s="4" t="str">
        <f t="shared" si="5"/>
        <v/>
      </c>
    </row>
    <row r="42" spans="1:12" x14ac:dyDescent="0.3">
      <c r="A42" s="5"/>
      <c r="B42" s="5"/>
      <c r="C42" s="10" t="str">
        <f t="shared" si="0"/>
        <v/>
      </c>
      <c r="D42" s="5"/>
      <c r="E42" s="17"/>
      <c r="F42" s="17"/>
      <c r="G42" s="5"/>
      <c r="H42" s="10">
        <f t="shared" si="1"/>
        <v>0</v>
      </c>
      <c r="I42" s="10" t="str">
        <f t="shared" si="2"/>
        <v/>
      </c>
      <c r="J42" s="10" t="str">
        <f t="shared" si="3"/>
        <v/>
      </c>
      <c r="K42" s="10" t="str">
        <f t="shared" si="4"/>
        <v/>
      </c>
      <c r="L42" s="4" t="str">
        <f t="shared" si="5"/>
        <v/>
      </c>
    </row>
    <row r="43" spans="1:12" x14ac:dyDescent="0.3">
      <c r="A43" s="5"/>
      <c r="B43" s="5"/>
      <c r="C43" s="10" t="str">
        <f t="shared" si="0"/>
        <v/>
      </c>
      <c r="D43" s="5"/>
      <c r="E43" s="17"/>
      <c r="F43" s="17"/>
      <c r="G43" s="5"/>
      <c r="H43" s="10">
        <f t="shared" si="1"/>
        <v>0</v>
      </c>
      <c r="I43" s="10" t="str">
        <f t="shared" si="2"/>
        <v/>
      </c>
      <c r="J43" s="10" t="str">
        <f t="shared" si="3"/>
        <v/>
      </c>
      <c r="K43" s="10" t="str">
        <f t="shared" si="4"/>
        <v/>
      </c>
      <c r="L43" s="4" t="str">
        <f t="shared" si="5"/>
        <v/>
      </c>
    </row>
    <row r="44" spans="1:12" x14ac:dyDescent="0.3">
      <c r="A44" s="5"/>
      <c r="B44" s="5"/>
      <c r="C44" s="10" t="str">
        <f t="shared" si="0"/>
        <v/>
      </c>
      <c r="D44" s="5"/>
      <c r="E44" s="17"/>
      <c r="F44" s="17"/>
      <c r="G44" s="5"/>
      <c r="H44" s="10">
        <f t="shared" si="1"/>
        <v>0</v>
      </c>
      <c r="I44" s="10" t="str">
        <f t="shared" si="2"/>
        <v/>
      </c>
      <c r="J44" s="10" t="str">
        <f t="shared" si="3"/>
        <v/>
      </c>
      <c r="K44" s="10" t="str">
        <f t="shared" si="4"/>
        <v/>
      </c>
      <c r="L44" s="4" t="str">
        <f t="shared" si="5"/>
        <v/>
      </c>
    </row>
    <row r="45" spans="1:12" x14ac:dyDescent="0.3">
      <c r="A45" s="5"/>
      <c r="B45" s="5"/>
      <c r="C45" s="10" t="str">
        <f t="shared" si="0"/>
        <v/>
      </c>
      <c r="D45" s="5"/>
      <c r="E45" s="17"/>
      <c r="F45" s="17"/>
      <c r="G45" s="5"/>
      <c r="H45" s="10">
        <f t="shared" si="1"/>
        <v>0</v>
      </c>
      <c r="I45" s="10" t="str">
        <f t="shared" si="2"/>
        <v/>
      </c>
      <c r="J45" s="10" t="str">
        <f t="shared" si="3"/>
        <v/>
      </c>
      <c r="K45" s="10" t="str">
        <f t="shared" si="4"/>
        <v/>
      </c>
      <c r="L45" s="4" t="str">
        <f t="shared" si="5"/>
        <v/>
      </c>
    </row>
    <row r="46" spans="1:12" x14ac:dyDescent="0.3">
      <c r="A46" s="5"/>
      <c r="B46" s="5"/>
      <c r="C46" s="10" t="str">
        <f t="shared" si="0"/>
        <v/>
      </c>
      <c r="D46" s="5"/>
      <c r="E46" s="17"/>
      <c r="F46" s="17"/>
      <c r="G46" s="5"/>
      <c r="H46" s="10">
        <f t="shared" si="1"/>
        <v>0</v>
      </c>
      <c r="I46" s="10" t="str">
        <f t="shared" si="2"/>
        <v/>
      </c>
      <c r="J46" s="10" t="str">
        <f t="shared" si="3"/>
        <v/>
      </c>
      <c r="K46" s="10" t="str">
        <f t="shared" si="4"/>
        <v/>
      </c>
      <c r="L46" s="4" t="str">
        <f t="shared" si="5"/>
        <v/>
      </c>
    </row>
    <row r="47" spans="1:12" x14ac:dyDescent="0.3">
      <c r="A47" s="5"/>
      <c r="B47" s="5"/>
      <c r="C47" s="10" t="str">
        <f t="shared" si="0"/>
        <v/>
      </c>
      <c r="D47" s="5"/>
      <c r="E47" s="17"/>
      <c r="F47" s="17"/>
      <c r="G47" s="5"/>
      <c r="H47" s="10">
        <f t="shared" si="1"/>
        <v>0</v>
      </c>
      <c r="I47" s="10" t="str">
        <f t="shared" si="2"/>
        <v/>
      </c>
      <c r="J47" s="10" t="str">
        <f t="shared" si="3"/>
        <v/>
      </c>
      <c r="K47" s="10" t="str">
        <f t="shared" si="4"/>
        <v/>
      </c>
      <c r="L47" s="4" t="str">
        <f t="shared" si="5"/>
        <v/>
      </c>
    </row>
    <row r="48" spans="1:12" x14ac:dyDescent="0.3">
      <c r="A48" s="5"/>
      <c r="B48" s="5"/>
      <c r="C48" s="10" t="str">
        <f t="shared" si="0"/>
        <v/>
      </c>
      <c r="D48" s="5"/>
      <c r="E48" s="17"/>
      <c r="F48" s="17"/>
      <c r="G48" s="5"/>
      <c r="H48" s="10">
        <f t="shared" si="1"/>
        <v>0</v>
      </c>
      <c r="I48" s="10" t="str">
        <f t="shared" si="2"/>
        <v/>
      </c>
      <c r="J48" s="10" t="str">
        <f t="shared" si="3"/>
        <v/>
      </c>
      <c r="K48" s="10" t="str">
        <f t="shared" si="4"/>
        <v/>
      </c>
      <c r="L48" s="4" t="str">
        <f t="shared" si="5"/>
        <v/>
      </c>
    </row>
    <row r="49" spans="1:12" x14ac:dyDescent="0.3">
      <c r="A49" s="5"/>
      <c r="B49" s="5"/>
      <c r="C49" s="10" t="str">
        <f t="shared" si="0"/>
        <v/>
      </c>
      <c r="D49" s="5"/>
      <c r="E49" s="17"/>
      <c r="F49" s="17"/>
      <c r="G49" s="5"/>
      <c r="H49" s="10">
        <f t="shared" si="1"/>
        <v>0</v>
      </c>
      <c r="I49" s="10" t="str">
        <f t="shared" si="2"/>
        <v/>
      </c>
      <c r="J49" s="10" t="str">
        <f t="shared" si="3"/>
        <v/>
      </c>
      <c r="K49" s="10" t="str">
        <f t="shared" si="4"/>
        <v/>
      </c>
      <c r="L49" s="4" t="str">
        <f t="shared" si="5"/>
        <v/>
      </c>
    </row>
    <row r="50" spans="1:12" x14ac:dyDescent="0.3">
      <c r="A50" s="5"/>
      <c r="B50" s="5"/>
      <c r="C50" s="10" t="str">
        <f t="shared" si="0"/>
        <v/>
      </c>
      <c r="D50" s="5"/>
      <c r="E50" s="17"/>
      <c r="F50" s="17"/>
      <c r="G50" s="5"/>
      <c r="H50" s="10">
        <f t="shared" si="1"/>
        <v>0</v>
      </c>
      <c r="I50" s="10" t="str">
        <f t="shared" si="2"/>
        <v/>
      </c>
      <c r="J50" s="10" t="str">
        <f t="shared" si="3"/>
        <v/>
      </c>
      <c r="K50" s="10" t="str">
        <f t="shared" si="4"/>
        <v/>
      </c>
      <c r="L50" s="4" t="str">
        <f t="shared" si="5"/>
        <v/>
      </c>
    </row>
    <row r="51" spans="1:12" x14ac:dyDescent="0.3">
      <c r="A51" s="5"/>
      <c r="B51" s="5"/>
      <c r="C51" s="10" t="str">
        <f t="shared" si="0"/>
        <v/>
      </c>
      <c r="D51" s="5"/>
      <c r="E51" s="17"/>
      <c r="F51" s="17"/>
      <c r="G51" s="5"/>
      <c r="H51" s="10">
        <f t="shared" si="1"/>
        <v>0</v>
      </c>
      <c r="I51" s="10" t="str">
        <f t="shared" si="2"/>
        <v/>
      </c>
      <c r="J51" s="10" t="str">
        <f t="shared" si="3"/>
        <v/>
      </c>
      <c r="K51" s="10" t="str">
        <f t="shared" si="4"/>
        <v/>
      </c>
      <c r="L51" s="4" t="str">
        <f t="shared" si="5"/>
        <v/>
      </c>
    </row>
    <row r="52" spans="1:12" x14ac:dyDescent="0.3">
      <c r="A52" s="5"/>
      <c r="B52" s="5"/>
      <c r="C52" s="10" t="str">
        <f t="shared" si="0"/>
        <v/>
      </c>
      <c r="D52" s="5"/>
      <c r="E52" s="17"/>
      <c r="F52" s="17"/>
      <c r="G52" s="5"/>
      <c r="H52" s="10">
        <f t="shared" si="1"/>
        <v>0</v>
      </c>
      <c r="I52" s="10" t="str">
        <f t="shared" si="2"/>
        <v/>
      </c>
      <c r="J52" s="10" t="str">
        <f t="shared" si="3"/>
        <v/>
      </c>
      <c r="K52" s="10" t="str">
        <f t="shared" si="4"/>
        <v/>
      </c>
      <c r="L52" s="4" t="str">
        <f t="shared" si="5"/>
        <v/>
      </c>
    </row>
    <row r="53" spans="1:12" x14ac:dyDescent="0.3">
      <c r="A53" s="5"/>
      <c r="B53" s="5"/>
      <c r="C53" s="10" t="str">
        <f t="shared" si="0"/>
        <v/>
      </c>
      <c r="D53" s="5"/>
      <c r="E53" s="17"/>
      <c r="F53" s="17"/>
      <c r="G53" s="5"/>
      <c r="H53" s="10">
        <f t="shared" si="1"/>
        <v>0</v>
      </c>
      <c r="I53" s="10" t="str">
        <f t="shared" si="2"/>
        <v/>
      </c>
      <c r="J53" s="10" t="str">
        <f t="shared" si="3"/>
        <v/>
      </c>
      <c r="K53" s="10" t="str">
        <f t="shared" si="4"/>
        <v/>
      </c>
      <c r="L53" s="4" t="str">
        <f t="shared" si="5"/>
        <v/>
      </c>
    </row>
    <row r="54" spans="1:12" x14ac:dyDescent="0.3">
      <c r="A54" s="5"/>
      <c r="B54" s="5"/>
      <c r="C54" s="10" t="str">
        <f t="shared" si="0"/>
        <v/>
      </c>
      <c r="D54" s="5"/>
      <c r="E54" s="17"/>
      <c r="F54" s="17"/>
      <c r="G54" s="5"/>
      <c r="H54" s="10">
        <f t="shared" si="1"/>
        <v>0</v>
      </c>
      <c r="I54" s="10" t="str">
        <f t="shared" si="2"/>
        <v/>
      </c>
      <c r="J54" s="10" t="str">
        <f t="shared" si="3"/>
        <v/>
      </c>
      <c r="K54" s="10" t="str">
        <f t="shared" si="4"/>
        <v/>
      </c>
      <c r="L54" s="4" t="str">
        <f t="shared" si="5"/>
        <v/>
      </c>
    </row>
    <row r="55" spans="1:12" x14ac:dyDescent="0.3">
      <c r="A55" s="5"/>
      <c r="B55" s="5"/>
      <c r="C55" s="10" t="str">
        <f t="shared" si="0"/>
        <v/>
      </c>
      <c r="D55" s="5"/>
      <c r="E55" s="17"/>
      <c r="F55" s="17"/>
      <c r="G55" s="5"/>
      <c r="H55" s="10">
        <f t="shared" si="1"/>
        <v>0</v>
      </c>
      <c r="I55" s="10" t="str">
        <f t="shared" si="2"/>
        <v/>
      </c>
      <c r="J55" s="10" t="str">
        <f t="shared" si="3"/>
        <v/>
      </c>
      <c r="K55" s="10" t="str">
        <f t="shared" si="4"/>
        <v/>
      </c>
      <c r="L55" s="4" t="str">
        <f t="shared" si="5"/>
        <v/>
      </c>
    </row>
    <row r="56" spans="1:12" x14ac:dyDescent="0.3">
      <c r="A56" s="5"/>
      <c r="B56" s="5"/>
      <c r="C56" s="10" t="str">
        <f t="shared" si="0"/>
        <v/>
      </c>
      <c r="D56" s="5"/>
      <c r="E56" s="17"/>
      <c r="F56" s="17"/>
      <c r="G56" s="5"/>
      <c r="H56" s="10">
        <f t="shared" si="1"/>
        <v>0</v>
      </c>
      <c r="I56" s="10" t="str">
        <f t="shared" si="2"/>
        <v/>
      </c>
      <c r="J56" s="10" t="str">
        <f t="shared" si="3"/>
        <v/>
      </c>
      <c r="K56" s="10" t="str">
        <f t="shared" si="4"/>
        <v/>
      </c>
      <c r="L56" s="4" t="str">
        <f t="shared" si="5"/>
        <v/>
      </c>
    </row>
    <row r="57" spans="1:12" x14ac:dyDescent="0.3">
      <c r="A57" s="5"/>
      <c r="B57" s="5"/>
      <c r="C57" s="10" t="str">
        <f t="shared" si="0"/>
        <v/>
      </c>
      <c r="D57" s="5"/>
      <c r="E57" s="17"/>
      <c r="F57" s="17"/>
      <c r="G57" s="5"/>
      <c r="H57" s="10">
        <f t="shared" si="1"/>
        <v>0</v>
      </c>
      <c r="I57" s="10" t="str">
        <f t="shared" si="2"/>
        <v/>
      </c>
      <c r="J57" s="10" t="str">
        <f t="shared" si="3"/>
        <v/>
      </c>
      <c r="K57" s="10" t="str">
        <f t="shared" si="4"/>
        <v/>
      </c>
      <c r="L57" s="4" t="str">
        <f t="shared" si="5"/>
        <v/>
      </c>
    </row>
    <row r="58" spans="1:12" x14ac:dyDescent="0.3">
      <c r="A58" s="5"/>
      <c r="B58" s="5"/>
      <c r="C58" s="10" t="str">
        <f t="shared" si="0"/>
        <v/>
      </c>
      <c r="D58" s="5"/>
      <c r="E58" s="17"/>
      <c r="F58" s="17"/>
      <c r="G58" s="5"/>
      <c r="H58" s="10">
        <f t="shared" si="1"/>
        <v>0</v>
      </c>
      <c r="I58" s="10" t="str">
        <f t="shared" si="2"/>
        <v/>
      </c>
      <c r="J58" s="10" t="str">
        <f t="shared" si="3"/>
        <v/>
      </c>
      <c r="K58" s="10" t="str">
        <f t="shared" si="4"/>
        <v/>
      </c>
      <c r="L58" s="4" t="str">
        <f t="shared" si="5"/>
        <v/>
      </c>
    </row>
    <row r="59" spans="1:12" x14ac:dyDescent="0.3">
      <c r="A59" s="5"/>
      <c r="B59" s="5"/>
      <c r="C59" s="10" t="str">
        <f t="shared" si="0"/>
        <v/>
      </c>
      <c r="D59" s="5"/>
      <c r="E59" s="17"/>
      <c r="F59" s="17"/>
      <c r="G59" s="5"/>
      <c r="H59" s="10">
        <f t="shared" si="1"/>
        <v>0</v>
      </c>
      <c r="I59" s="10" t="str">
        <f t="shared" si="2"/>
        <v/>
      </c>
      <c r="J59" s="10" t="str">
        <f t="shared" si="3"/>
        <v/>
      </c>
      <c r="K59" s="10" t="str">
        <f t="shared" si="4"/>
        <v/>
      </c>
      <c r="L59" s="4" t="str">
        <f t="shared" si="5"/>
        <v/>
      </c>
    </row>
    <row r="60" spans="1:12" x14ac:dyDescent="0.3">
      <c r="A60" s="5"/>
      <c r="B60" s="5"/>
      <c r="C60" s="10" t="str">
        <f t="shared" si="0"/>
        <v/>
      </c>
      <c r="D60" s="5"/>
      <c r="E60" s="17"/>
      <c r="F60" s="17"/>
      <c r="G60" s="5"/>
      <c r="H60" s="10">
        <f t="shared" si="1"/>
        <v>0</v>
      </c>
      <c r="I60" s="10" t="str">
        <f t="shared" si="2"/>
        <v/>
      </c>
      <c r="J60" s="10" t="str">
        <f t="shared" si="3"/>
        <v/>
      </c>
      <c r="K60" s="10" t="str">
        <f t="shared" si="4"/>
        <v/>
      </c>
      <c r="L60" s="4" t="str">
        <f t="shared" si="5"/>
        <v/>
      </c>
    </row>
    <row r="61" spans="1:12" x14ac:dyDescent="0.3">
      <c r="A61" s="5"/>
      <c r="B61" s="5"/>
      <c r="C61" s="10" t="str">
        <f t="shared" si="0"/>
        <v/>
      </c>
      <c r="D61" s="5"/>
      <c r="E61" s="17"/>
      <c r="F61" s="17"/>
      <c r="G61" s="5"/>
      <c r="H61" s="10">
        <f t="shared" si="1"/>
        <v>0</v>
      </c>
      <c r="I61" s="10" t="str">
        <f t="shared" si="2"/>
        <v/>
      </c>
      <c r="J61" s="10" t="str">
        <f t="shared" si="3"/>
        <v/>
      </c>
      <c r="K61" s="10" t="str">
        <f t="shared" si="4"/>
        <v/>
      </c>
      <c r="L61" s="4" t="str">
        <f t="shared" si="5"/>
        <v/>
      </c>
    </row>
    <row r="62" spans="1:12" x14ac:dyDescent="0.3">
      <c r="A62" s="5"/>
      <c r="B62" s="5"/>
      <c r="C62" s="10" t="str">
        <f t="shared" si="0"/>
        <v/>
      </c>
      <c r="D62" s="5"/>
      <c r="E62" s="17"/>
      <c r="F62" s="17"/>
      <c r="G62" s="5"/>
      <c r="H62" s="10">
        <f t="shared" si="1"/>
        <v>0</v>
      </c>
      <c r="I62" s="10" t="str">
        <f t="shared" si="2"/>
        <v/>
      </c>
      <c r="J62" s="10" t="str">
        <f t="shared" si="3"/>
        <v/>
      </c>
      <c r="K62" s="10" t="str">
        <f t="shared" si="4"/>
        <v/>
      </c>
      <c r="L62" s="4" t="str">
        <f t="shared" si="5"/>
        <v/>
      </c>
    </row>
    <row r="63" spans="1:12" x14ac:dyDescent="0.3">
      <c r="A63" s="5"/>
      <c r="B63" s="5"/>
      <c r="C63" s="10" t="str">
        <f t="shared" si="0"/>
        <v/>
      </c>
      <c r="D63" s="5"/>
      <c r="E63" s="17"/>
      <c r="F63" s="17"/>
      <c r="G63" s="5"/>
      <c r="H63" s="10">
        <f t="shared" si="1"/>
        <v>0</v>
      </c>
      <c r="I63" s="10" t="str">
        <f t="shared" si="2"/>
        <v/>
      </c>
      <c r="J63" s="10" t="str">
        <f t="shared" si="3"/>
        <v/>
      </c>
      <c r="K63" s="10" t="str">
        <f t="shared" si="4"/>
        <v/>
      </c>
      <c r="L63" s="4" t="str">
        <f t="shared" si="5"/>
        <v/>
      </c>
    </row>
    <row r="64" spans="1:12" x14ac:dyDescent="0.3">
      <c r="A64" s="5"/>
      <c r="B64" s="5"/>
      <c r="C64" s="10" t="str">
        <f t="shared" si="0"/>
        <v/>
      </c>
      <c r="D64" s="5"/>
      <c r="E64" s="17"/>
      <c r="F64" s="17"/>
      <c r="G64" s="5"/>
      <c r="H64" s="10">
        <f t="shared" si="1"/>
        <v>0</v>
      </c>
      <c r="I64" s="10" t="str">
        <f t="shared" si="2"/>
        <v/>
      </c>
      <c r="J64" s="10" t="str">
        <f t="shared" si="3"/>
        <v/>
      </c>
      <c r="K64" s="10" t="str">
        <f t="shared" si="4"/>
        <v/>
      </c>
      <c r="L64" s="4" t="str">
        <f t="shared" si="5"/>
        <v/>
      </c>
    </row>
    <row r="65" spans="1:12" x14ac:dyDescent="0.3">
      <c r="A65" s="5"/>
      <c r="B65" s="5"/>
      <c r="C65" s="10" t="str">
        <f t="shared" si="0"/>
        <v/>
      </c>
      <c r="D65" s="5"/>
      <c r="E65" s="17"/>
      <c r="F65" s="17"/>
      <c r="G65" s="5"/>
      <c r="H65" s="10">
        <f t="shared" si="1"/>
        <v>0</v>
      </c>
      <c r="I65" s="10" t="str">
        <f t="shared" si="2"/>
        <v/>
      </c>
      <c r="J65" s="10" t="str">
        <f t="shared" si="3"/>
        <v/>
      </c>
      <c r="K65" s="10" t="str">
        <f t="shared" si="4"/>
        <v/>
      </c>
      <c r="L65" s="4" t="str">
        <f t="shared" si="5"/>
        <v/>
      </c>
    </row>
    <row r="66" spans="1:12" x14ac:dyDescent="0.3">
      <c r="A66" s="5"/>
      <c r="B66" s="5"/>
      <c r="C66" s="10" t="str">
        <f t="shared" si="0"/>
        <v/>
      </c>
      <c r="D66" s="5"/>
      <c r="E66" s="17"/>
      <c r="F66" s="17"/>
      <c r="G66" s="5"/>
      <c r="H66" s="10">
        <f t="shared" si="1"/>
        <v>0</v>
      </c>
      <c r="I66" s="10" t="str">
        <f t="shared" si="2"/>
        <v/>
      </c>
      <c r="J66" s="10" t="str">
        <f t="shared" si="3"/>
        <v/>
      </c>
      <c r="K66" s="10" t="str">
        <f t="shared" si="4"/>
        <v/>
      </c>
      <c r="L66" s="4" t="str">
        <f t="shared" si="5"/>
        <v/>
      </c>
    </row>
    <row r="67" spans="1:12" x14ac:dyDescent="0.3">
      <c r="A67" s="5"/>
      <c r="B67" s="5"/>
      <c r="C67" s="10" t="str">
        <f t="shared" si="0"/>
        <v/>
      </c>
      <c r="D67" s="5"/>
      <c r="E67" s="17"/>
      <c r="F67" s="17"/>
      <c r="G67" s="5"/>
      <c r="H67" s="10">
        <f t="shared" si="1"/>
        <v>0</v>
      </c>
      <c r="I67" s="10" t="str">
        <f t="shared" si="2"/>
        <v/>
      </c>
      <c r="J67" s="10" t="str">
        <f t="shared" si="3"/>
        <v/>
      </c>
      <c r="K67" s="10" t="str">
        <f t="shared" si="4"/>
        <v/>
      </c>
      <c r="L67" s="4" t="str">
        <f t="shared" si="5"/>
        <v/>
      </c>
    </row>
    <row r="68" spans="1:12" x14ac:dyDescent="0.3">
      <c r="A68" s="5"/>
      <c r="B68" s="5"/>
      <c r="C68" s="10" t="str">
        <f t="shared" ref="C68:C131" si="6">IF(A68="","",IFERROR(INDEX(LIST_PER_CODE,MATCH(B68,LIST_PER_EN,0)),IFERROR(INDEX(LIST_PER_CODE,MATCH(B68,LIST_PER_HU,0)),"")))</f>
        <v/>
      </c>
      <c r="D68" s="5"/>
      <c r="E68" s="17"/>
      <c r="F68" s="17"/>
      <c r="G68" s="5"/>
      <c r="H68" s="10">
        <f t="shared" ref="H68:H131" si="7">IF(A68="",0,N(E68)-N(F68))</f>
        <v>0</v>
      </c>
      <c r="I68" s="10" t="str">
        <f t="shared" ref="I68:I131" si="8">IF(D68="","",IFERROR(INDEX(COA_LINE_EFF,MATCH(D68,COA_ACCT,0))&amp;"",""))</f>
        <v/>
      </c>
      <c r="J68" s="10" t="str">
        <f t="shared" ref="J68:J131" si="9">IF(D68="","",IFERROR(INDEX(COA_LINE_N,MATCH(D68,COA_ACCT,0))&amp;"",""))</f>
        <v/>
      </c>
      <c r="K68" s="10" t="str">
        <f t="shared" ref="K68:K131" si="10">IF(D68="","",IFERROR(INDEX(COA_CF,MATCH(D68,COA_ACCT,0))&amp;"","-"))</f>
        <v/>
      </c>
      <c r="L68" s="4" t="str">
        <f t="shared" ref="L68:L131" si="11">IF(A68="","",TRIM(IF(ROUND(SUMIF(ADJ_ID,A68,ADJ_NET),2)&lt;&gt;0,IFERROR(INDEX(DICT_ACTIVE,MATCH("ADJ.UNBAL",DICT_KEY,0)),"")&amp;" ","")&amp;IF(C68="",IFERROR(INDEX(DICT_ACTIVE,MATCH("ADJ.NOPER",DICT_KEY,0)),"")&amp;" ","")&amp;IF(I68="",IFERROR(INDEX(DICT_ACTIVE,MATCH("TB.UNMAPPED",DICT_KEY,0)),"")&amp;" ","")))</f>
        <v/>
      </c>
    </row>
    <row r="69" spans="1:12" x14ac:dyDescent="0.3">
      <c r="A69" s="5"/>
      <c r="B69" s="5"/>
      <c r="C69" s="10" t="str">
        <f t="shared" si="6"/>
        <v/>
      </c>
      <c r="D69" s="5"/>
      <c r="E69" s="17"/>
      <c r="F69" s="17"/>
      <c r="G69" s="5"/>
      <c r="H69" s="10">
        <f t="shared" si="7"/>
        <v>0</v>
      </c>
      <c r="I69" s="10" t="str">
        <f t="shared" si="8"/>
        <v/>
      </c>
      <c r="J69" s="10" t="str">
        <f t="shared" si="9"/>
        <v/>
      </c>
      <c r="K69" s="10" t="str">
        <f t="shared" si="10"/>
        <v/>
      </c>
      <c r="L69" s="4" t="str">
        <f t="shared" si="11"/>
        <v/>
      </c>
    </row>
    <row r="70" spans="1:12" x14ac:dyDescent="0.3">
      <c r="A70" s="5"/>
      <c r="B70" s="5"/>
      <c r="C70" s="10" t="str">
        <f t="shared" si="6"/>
        <v/>
      </c>
      <c r="D70" s="5"/>
      <c r="E70" s="17"/>
      <c r="F70" s="17"/>
      <c r="G70" s="5"/>
      <c r="H70" s="10">
        <f t="shared" si="7"/>
        <v>0</v>
      </c>
      <c r="I70" s="10" t="str">
        <f t="shared" si="8"/>
        <v/>
      </c>
      <c r="J70" s="10" t="str">
        <f t="shared" si="9"/>
        <v/>
      </c>
      <c r="K70" s="10" t="str">
        <f t="shared" si="10"/>
        <v/>
      </c>
      <c r="L70" s="4" t="str">
        <f t="shared" si="11"/>
        <v/>
      </c>
    </row>
    <row r="71" spans="1:12" x14ac:dyDescent="0.3">
      <c r="A71" s="5"/>
      <c r="B71" s="5"/>
      <c r="C71" s="10" t="str">
        <f t="shared" si="6"/>
        <v/>
      </c>
      <c r="D71" s="5"/>
      <c r="E71" s="17"/>
      <c r="F71" s="17"/>
      <c r="G71" s="5"/>
      <c r="H71" s="10">
        <f t="shared" si="7"/>
        <v>0</v>
      </c>
      <c r="I71" s="10" t="str">
        <f t="shared" si="8"/>
        <v/>
      </c>
      <c r="J71" s="10" t="str">
        <f t="shared" si="9"/>
        <v/>
      </c>
      <c r="K71" s="10" t="str">
        <f t="shared" si="10"/>
        <v/>
      </c>
      <c r="L71" s="4" t="str">
        <f t="shared" si="11"/>
        <v/>
      </c>
    </row>
    <row r="72" spans="1:12" x14ac:dyDescent="0.3">
      <c r="A72" s="5"/>
      <c r="B72" s="5"/>
      <c r="C72" s="10" t="str">
        <f t="shared" si="6"/>
        <v/>
      </c>
      <c r="D72" s="5"/>
      <c r="E72" s="17"/>
      <c r="F72" s="17"/>
      <c r="G72" s="5"/>
      <c r="H72" s="10">
        <f t="shared" si="7"/>
        <v>0</v>
      </c>
      <c r="I72" s="10" t="str">
        <f t="shared" si="8"/>
        <v/>
      </c>
      <c r="J72" s="10" t="str">
        <f t="shared" si="9"/>
        <v/>
      </c>
      <c r="K72" s="10" t="str">
        <f t="shared" si="10"/>
        <v/>
      </c>
      <c r="L72" s="4" t="str">
        <f t="shared" si="11"/>
        <v/>
      </c>
    </row>
    <row r="73" spans="1:12" x14ac:dyDescent="0.3">
      <c r="A73" s="5"/>
      <c r="B73" s="5"/>
      <c r="C73" s="10" t="str">
        <f t="shared" si="6"/>
        <v/>
      </c>
      <c r="D73" s="5"/>
      <c r="E73" s="17"/>
      <c r="F73" s="17"/>
      <c r="G73" s="5"/>
      <c r="H73" s="10">
        <f t="shared" si="7"/>
        <v>0</v>
      </c>
      <c r="I73" s="10" t="str">
        <f t="shared" si="8"/>
        <v/>
      </c>
      <c r="J73" s="10" t="str">
        <f t="shared" si="9"/>
        <v/>
      </c>
      <c r="K73" s="10" t="str">
        <f t="shared" si="10"/>
        <v/>
      </c>
      <c r="L73" s="4" t="str">
        <f t="shared" si="11"/>
        <v/>
      </c>
    </row>
    <row r="74" spans="1:12" x14ac:dyDescent="0.3">
      <c r="A74" s="5"/>
      <c r="B74" s="5"/>
      <c r="C74" s="10" t="str">
        <f t="shared" si="6"/>
        <v/>
      </c>
      <c r="D74" s="5"/>
      <c r="E74" s="17"/>
      <c r="F74" s="17"/>
      <c r="G74" s="5"/>
      <c r="H74" s="10">
        <f t="shared" si="7"/>
        <v>0</v>
      </c>
      <c r="I74" s="10" t="str">
        <f t="shared" si="8"/>
        <v/>
      </c>
      <c r="J74" s="10" t="str">
        <f t="shared" si="9"/>
        <v/>
      </c>
      <c r="K74" s="10" t="str">
        <f t="shared" si="10"/>
        <v/>
      </c>
      <c r="L74" s="4" t="str">
        <f t="shared" si="11"/>
        <v/>
      </c>
    </row>
    <row r="75" spans="1:12" x14ac:dyDescent="0.3">
      <c r="A75" s="5"/>
      <c r="B75" s="5"/>
      <c r="C75" s="10" t="str">
        <f t="shared" si="6"/>
        <v/>
      </c>
      <c r="D75" s="5"/>
      <c r="E75" s="17"/>
      <c r="F75" s="17"/>
      <c r="G75" s="5"/>
      <c r="H75" s="10">
        <f t="shared" si="7"/>
        <v>0</v>
      </c>
      <c r="I75" s="10" t="str">
        <f t="shared" si="8"/>
        <v/>
      </c>
      <c r="J75" s="10" t="str">
        <f t="shared" si="9"/>
        <v/>
      </c>
      <c r="K75" s="10" t="str">
        <f t="shared" si="10"/>
        <v/>
      </c>
      <c r="L75" s="4" t="str">
        <f t="shared" si="11"/>
        <v/>
      </c>
    </row>
    <row r="76" spans="1:12" x14ac:dyDescent="0.3">
      <c r="A76" s="5"/>
      <c r="B76" s="5"/>
      <c r="C76" s="10" t="str">
        <f t="shared" si="6"/>
        <v/>
      </c>
      <c r="D76" s="5"/>
      <c r="E76" s="17"/>
      <c r="F76" s="17"/>
      <c r="G76" s="5"/>
      <c r="H76" s="10">
        <f t="shared" si="7"/>
        <v>0</v>
      </c>
      <c r="I76" s="10" t="str">
        <f t="shared" si="8"/>
        <v/>
      </c>
      <c r="J76" s="10" t="str">
        <f t="shared" si="9"/>
        <v/>
      </c>
      <c r="K76" s="10" t="str">
        <f t="shared" si="10"/>
        <v/>
      </c>
      <c r="L76" s="4" t="str">
        <f t="shared" si="11"/>
        <v/>
      </c>
    </row>
    <row r="77" spans="1:12" x14ac:dyDescent="0.3">
      <c r="A77" s="5"/>
      <c r="B77" s="5"/>
      <c r="C77" s="10" t="str">
        <f t="shared" si="6"/>
        <v/>
      </c>
      <c r="D77" s="5"/>
      <c r="E77" s="17"/>
      <c r="F77" s="17"/>
      <c r="G77" s="5"/>
      <c r="H77" s="10">
        <f t="shared" si="7"/>
        <v>0</v>
      </c>
      <c r="I77" s="10" t="str">
        <f t="shared" si="8"/>
        <v/>
      </c>
      <c r="J77" s="10" t="str">
        <f t="shared" si="9"/>
        <v/>
      </c>
      <c r="K77" s="10" t="str">
        <f t="shared" si="10"/>
        <v/>
      </c>
      <c r="L77" s="4" t="str">
        <f t="shared" si="11"/>
        <v/>
      </c>
    </row>
    <row r="78" spans="1:12" x14ac:dyDescent="0.3">
      <c r="A78" s="5"/>
      <c r="B78" s="5"/>
      <c r="C78" s="10" t="str">
        <f t="shared" si="6"/>
        <v/>
      </c>
      <c r="D78" s="5"/>
      <c r="E78" s="17"/>
      <c r="F78" s="17"/>
      <c r="G78" s="5"/>
      <c r="H78" s="10">
        <f t="shared" si="7"/>
        <v>0</v>
      </c>
      <c r="I78" s="10" t="str">
        <f t="shared" si="8"/>
        <v/>
      </c>
      <c r="J78" s="10" t="str">
        <f t="shared" si="9"/>
        <v/>
      </c>
      <c r="K78" s="10" t="str">
        <f t="shared" si="10"/>
        <v/>
      </c>
      <c r="L78" s="4" t="str">
        <f t="shared" si="11"/>
        <v/>
      </c>
    </row>
    <row r="79" spans="1:12" x14ac:dyDescent="0.3">
      <c r="A79" s="5"/>
      <c r="B79" s="5"/>
      <c r="C79" s="10" t="str">
        <f t="shared" si="6"/>
        <v/>
      </c>
      <c r="D79" s="5"/>
      <c r="E79" s="17"/>
      <c r="F79" s="17"/>
      <c r="G79" s="5"/>
      <c r="H79" s="10">
        <f t="shared" si="7"/>
        <v>0</v>
      </c>
      <c r="I79" s="10" t="str">
        <f t="shared" si="8"/>
        <v/>
      </c>
      <c r="J79" s="10" t="str">
        <f t="shared" si="9"/>
        <v/>
      </c>
      <c r="K79" s="10" t="str">
        <f t="shared" si="10"/>
        <v/>
      </c>
      <c r="L79" s="4" t="str">
        <f t="shared" si="11"/>
        <v/>
      </c>
    </row>
    <row r="80" spans="1:12" x14ac:dyDescent="0.3">
      <c r="A80" s="5"/>
      <c r="B80" s="5"/>
      <c r="C80" s="10" t="str">
        <f t="shared" si="6"/>
        <v/>
      </c>
      <c r="D80" s="5"/>
      <c r="E80" s="17"/>
      <c r="F80" s="17"/>
      <c r="G80" s="5"/>
      <c r="H80" s="10">
        <f t="shared" si="7"/>
        <v>0</v>
      </c>
      <c r="I80" s="10" t="str">
        <f t="shared" si="8"/>
        <v/>
      </c>
      <c r="J80" s="10" t="str">
        <f t="shared" si="9"/>
        <v/>
      </c>
      <c r="K80" s="10" t="str">
        <f t="shared" si="10"/>
        <v/>
      </c>
      <c r="L80" s="4" t="str">
        <f t="shared" si="11"/>
        <v/>
      </c>
    </row>
    <row r="81" spans="1:12" x14ac:dyDescent="0.3">
      <c r="A81" s="5"/>
      <c r="B81" s="5"/>
      <c r="C81" s="10" t="str">
        <f t="shared" si="6"/>
        <v/>
      </c>
      <c r="D81" s="5"/>
      <c r="E81" s="17"/>
      <c r="F81" s="17"/>
      <c r="G81" s="5"/>
      <c r="H81" s="10">
        <f t="shared" si="7"/>
        <v>0</v>
      </c>
      <c r="I81" s="10" t="str">
        <f t="shared" si="8"/>
        <v/>
      </c>
      <c r="J81" s="10" t="str">
        <f t="shared" si="9"/>
        <v/>
      </c>
      <c r="K81" s="10" t="str">
        <f t="shared" si="10"/>
        <v/>
      </c>
      <c r="L81" s="4" t="str">
        <f t="shared" si="11"/>
        <v/>
      </c>
    </row>
    <row r="82" spans="1:12" x14ac:dyDescent="0.3">
      <c r="A82" s="5"/>
      <c r="B82" s="5"/>
      <c r="C82" s="10" t="str">
        <f t="shared" si="6"/>
        <v/>
      </c>
      <c r="D82" s="5"/>
      <c r="E82" s="17"/>
      <c r="F82" s="17"/>
      <c r="G82" s="5"/>
      <c r="H82" s="10">
        <f t="shared" si="7"/>
        <v>0</v>
      </c>
      <c r="I82" s="10" t="str">
        <f t="shared" si="8"/>
        <v/>
      </c>
      <c r="J82" s="10" t="str">
        <f t="shared" si="9"/>
        <v/>
      </c>
      <c r="K82" s="10" t="str">
        <f t="shared" si="10"/>
        <v/>
      </c>
      <c r="L82" s="4" t="str">
        <f t="shared" si="11"/>
        <v/>
      </c>
    </row>
    <row r="83" spans="1:12" x14ac:dyDescent="0.3">
      <c r="A83" s="5"/>
      <c r="B83" s="5"/>
      <c r="C83" s="10" t="str">
        <f t="shared" si="6"/>
        <v/>
      </c>
      <c r="D83" s="5"/>
      <c r="E83" s="17"/>
      <c r="F83" s="17"/>
      <c r="G83" s="5"/>
      <c r="H83" s="10">
        <f t="shared" si="7"/>
        <v>0</v>
      </c>
      <c r="I83" s="10" t="str">
        <f t="shared" si="8"/>
        <v/>
      </c>
      <c r="J83" s="10" t="str">
        <f t="shared" si="9"/>
        <v/>
      </c>
      <c r="K83" s="10" t="str">
        <f t="shared" si="10"/>
        <v/>
      </c>
      <c r="L83" s="4" t="str">
        <f t="shared" si="11"/>
        <v/>
      </c>
    </row>
    <row r="84" spans="1:12" x14ac:dyDescent="0.3">
      <c r="A84" s="5"/>
      <c r="B84" s="5"/>
      <c r="C84" s="10" t="str">
        <f t="shared" si="6"/>
        <v/>
      </c>
      <c r="D84" s="5"/>
      <c r="E84" s="17"/>
      <c r="F84" s="17"/>
      <c r="G84" s="5"/>
      <c r="H84" s="10">
        <f t="shared" si="7"/>
        <v>0</v>
      </c>
      <c r="I84" s="10" t="str">
        <f t="shared" si="8"/>
        <v/>
      </c>
      <c r="J84" s="10" t="str">
        <f t="shared" si="9"/>
        <v/>
      </c>
      <c r="K84" s="10" t="str">
        <f t="shared" si="10"/>
        <v/>
      </c>
      <c r="L84" s="4" t="str">
        <f t="shared" si="11"/>
        <v/>
      </c>
    </row>
    <row r="85" spans="1:12" x14ac:dyDescent="0.3">
      <c r="A85" s="5"/>
      <c r="B85" s="5"/>
      <c r="C85" s="10" t="str">
        <f t="shared" si="6"/>
        <v/>
      </c>
      <c r="D85" s="5"/>
      <c r="E85" s="17"/>
      <c r="F85" s="17"/>
      <c r="G85" s="5"/>
      <c r="H85" s="10">
        <f t="shared" si="7"/>
        <v>0</v>
      </c>
      <c r="I85" s="10" t="str">
        <f t="shared" si="8"/>
        <v/>
      </c>
      <c r="J85" s="10" t="str">
        <f t="shared" si="9"/>
        <v/>
      </c>
      <c r="K85" s="10" t="str">
        <f t="shared" si="10"/>
        <v/>
      </c>
      <c r="L85" s="4" t="str">
        <f t="shared" si="11"/>
        <v/>
      </c>
    </row>
    <row r="86" spans="1:12" x14ac:dyDescent="0.3">
      <c r="A86" s="5"/>
      <c r="B86" s="5"/>
      <c r="C86" s="10" t="str">
        <f t="shared" si="6"/>
        <v/>
      </c>
      <c r="D86" s="5"/>
      <c r="E86" s="17"/>
      <c r="F86" s="17"/>
      <c r="G86" s="5"/>
      <c r="H86" s="10">
        <f t="shared" si="7"/>
        <v>0</v>
      </c>
      <c r="I86" s="10" t="str">
        <f t="shared" si="8"/>
        <v/>
      </c>
      <c r="J86" s="10" t="str">
        <f t="shared" si="9"/>
        <v/>
      </c>
      <c r="K86" s="10" t="str">
        <f t="shared" si="10"/>
        <v/>
      </c>
      <c r="L86" s="4" t="str">
        <f t="shared" si="11"/>
        <v/>
      </c>
    </row>
    <row r="87" spans="1:12" x14ac:dyDescent="0.3">
      <c r="A87" s="5"/>
      <c r="B87" s="5"/>
      <c r="C87" s="10" t="str">
        <f t="shared" si="6"/>
        <v/>
      </c>
      <c r="D87" s="5"/>
      <c r="E87" s="17"/>
      <c r="F87" s="17"/>
      <c r="G87" s="5"/>
      <c r="H87" s="10">
        <f t="shared" si="7"/>
        <v>0</v>
      </c>
      <c r="I87" s="10" t="str">
        <f t="shared" si="8"/>
        <v/>
      </c>
      <c r="J87" s="10" t="str">
        <f t="shared" si="9"/>
        <v/>
      </c>
      <c r="K87" s="10" t="str">
        <f t="shared" si="10"/>
        <v/>
      </c>
      <c r="L87" s="4" t="str">
        <f t="shared" si="11"/>
        <v/>
      </c>
    </row>
    <row r="88" spans="1:12" x14ac:dyDescent="0.3">
      <c r="A88" s="5"/>
      <c r="B88" s="5"/>
      <c r="C88" s="10" t="str">
        <f t="shared" si="6"/>
        <v/>
      </c>
      <c r="D88" s="5"/>
      <c r="E88" s="17"/>
      <c r="F88" s="17"/>
      <c r="G88" s="5"/>
      <c r="H88" s="10">
        <f t="shared" si="7"/>
        <v>0</v>
      </c>
      <c r="I88" s="10" t="str">
        <f t="shared" si="8"/>
        <v/>
      </c>
      <c r="J88" s="10" t="str">
        <f t="shared" si="9"/>
        <v/>
      </c>
      <c r="K88" s="10" t="str">
        <f t="shared" si="10"/>
        <v/>
      </c>
      <c r="L88" s="4" t="str">
        <f t="shared" si="11"/>
        <v/>
      </c>
    </row>
    <row r="89" spans="1:12" x14ac:dyDescent="0.3">
      <c r="A89" s="5"/>
      <c r="B89" s="5"/>
      <c r="C89" s="10" t="str">
        <f t="shared" si="6"/>
        <v/>
      </c>
      <c r="D89" s="5"/>
      <c r="E89" s="17"/>
      <c r="F89" s="17"/>
      <c r="G89" s="5"/>
      <c r="H89" s="10">
        <f t="shared" si="7"/>
        <v>0</v>
      </c>
      <c r="I89" s="10" t="str">
        <f t="shared" si="8"/>
        <v/>
      </c>
      <c r="J89" s="10" t="str">
        <f t="shared" si="9"/>
        <v/>
      </c>
      <c r="K89" s="10" t="str">
        <f t="shared" si="10"/>
        <v/>
      </c>
      <c r="L89" s="4" t="str">
        <f t="shared" si="11"/>
        <v/>
      </c>
    </row>
    <row r="90" spans="1:12" x14ac:dyDescent="0.3">
      <c r="A90" s="5"/>
      <c r="B90" s="5"/>
      <c r="C90" s="10" t="str">
        <f t="shared" si="6"/>
        <v/>
      </c>
      <c r="D90" s="5"/>
      <c r="E90" s="17"/>
      <c r="F90" s="17"/>
      <c r="G90" s="5"/>
      <c r="H90" s="10">
        <f t="shared" si="7"/>
        <v>0</v>
      </c>
      <c r="I90" s="10" t="str">
        <f t="shared" si="8"/>
        <v/>
      </c>
      <c r="J90" s="10" t="str">
        <f t="shared" si="9"/>
        <v/>
      </c>
      <c r="K90" s="10" t="str">
        <f t="shared" si="10"/>
        <v/>
      </c>
      <c r="L90" s="4" t="str">
        <f t="shared" si="11"/>
        <v/>
      </c>
    </row>
    <row r="91" spans="1:12" x14ac:dyDescent="0.3">
      <c r="A91" s="5"/>
      <c r="B91" s="5"/>
      <c r="C91" s="10" t="str">
        <f t="shared" si="6"/>
        <v/>
      </c>
      <c r="D91" s="5"/>
      <c r="E91" s="17"/>
      <c r="F91" s="17"/>
      <c r="G91" s="5"/>
      <c r="H91" s="10">
        <f t="shared" si="7"/>
        <v>0</v>
      </c>
      <c r="I91" s="10" t="str">
        <f t="shared" si="8"/>
        <v/>
      </c>
      <c r="J91" s="10" t="str">
        <f t="shared" si="9"/>
        <v/>
      </c>
      <c r="K91" s="10" t="str">
        <f t="shared" si="10"/>
        <v/>
      </c>
      <c r="L91" s="4" t="str">
        <f t="shared" si="11"/>
        <v/>
      </c>
    </row>
    <row r="92" spans="1:12" x14ac:dyDescent="0.3">
      <c r="A92" s="5"/>
      <c r="B92" s="5"/>
      <c r="C92" s="10" t="str">
        <f t="shared" si="6"/>
        <v/>
      </c>
      <c r="D92" s="5"/>
      <c r="E92" s="17"/>
      <c r="F92" s="17"/>
      <c r="G92" s="5"/>
      <c r="H92" s="10">
        <f t="shared" si="7"/>
        <v>0</v>
      </c>
      <c r="I92" s="10" t="str">
        <f t="shared" si="8"/>
        <v/>
      </c>
      <c r="J92" s="10" t="str">
        <f t="shared" si="9"/>
        <v/>
      </c>
      <c r="K92" s="10" t="str">
        <f t="shared" si="10"/>
        <v/>
      </c>
      <c r="L92" s="4" t="str">
        <f t="shared" si="11"/>
        <v/>
      </c>
    </row>
    <row r="93" spans="1:12" x14ac:dyDescent="0.3">
      <c r="A93" s="5"/>
      <c r="B93" s="5"/>
      <c r="C93" s="10" t="str">
        <f t="shared" si="6"/>
        <v/>
      </c>
      <c r="D93" s="5"/>
      <c r="E93" s="17"/>
      <c r="F93" s="17"/>
      <c r="G93" s="5"/>
      <c r="H93" s="10">
        <f t="shared" si="7"/>
        <v>0</v>
      </c>
      <c r="I93" s="10" t="str">
        <f t="shared" si="8"/>
        <v/>
      </c>
      <c r="J93" s="10" t="str">
        <f t="shared" si="9"/>
        <v/>
      </c>
      <c r="K93" s="10" t="str">
        <f t="shared" si="10"/>
        <v/>
      </c>
      <c r="L93" s="4" t="str">
        <f t="shared" si="11"/>
        <v/>
      </c>
    </row>
    <row r="94" spans="1:12" x14ac:dyDescent="0.3">
      <c r="A94" s="5"/>
      <c r="B94" s="5"/>
      <c r="C94" s="10" t="str">
        <f t="shared" si="6"/>
        <v/>
      </c>
      <c r="D94" s="5"/>
      <c r="E94" s="17"/>
      <c r="F94" s="17"/>
      <c r="G94" s="5"/>
      <c r="H94" s="10">
        <f t="shared" si="7"/>
        <v>0</v>
      </c>
      <c r="I94" s="10" t="str">
        <f t="shared" si="8"/>
        <v/>
      </c>
      <c r="J94" s="10" t="str">
        <f t="shared" si="9"/>
        <v/>
      </c>
      <c r="K94" s="10" t="str">
        <f t="shared" si="10"/>
        <v/>
      </c>
      <c r="L94" s="4" t="str">
        <f t="shared" si="11"/>
        <v/>
      </c>
    </row>
    <row r="95" spans="1:12" x14ac:dyDescent="0.3">
      <c r="A95" s="5"/>
      <c r="B95" s="5"/>
      <c r="C95" s="10" t="str">
        <f t="shared" si="6"/>
        <v/>
      </c>
      <c r="D95" s="5"/>
      <c r="E95" s="17"/>
      <c r="F95" s="17"/>
      <c r="G95" s="5"/>
      <c r="H95" s="10">
        <f t="shared" si="7"/>
        <v>0</v>
      </c>
      <c r="I95" s="10" t="str">
        <f t="shared" si="8"/>
        <v/>
      </c>
      <c r="J95" s="10" t="str">
        <f t="shared" si="9"/>
        <v/>
      </c>
      <c r="K95" s="10" t="str">
        <f t="shared" si="10"/>
        <v/>
      </c>
      <c r="L95" s="4" t="str">
        <f t="shared" si="11"/>
        <v/>
      </c>
    </row>
    <row r="96" spans="1:12" x14ac:dyDescent="0.3">
      <c r="A96" s="5"/>
      <c r="B96" s="5"/>
      <c r="C96" s="10" t="str">
        <f t="shared" si="6"/>
        <v/>
      </c>
      <c r="D96" s="5"/>
      <c r="E96" s="17"/>
      <c r="F96" s="17"/>
      <c r="G96" s="5"/>
      <c r="H96" s="10">
        <f t="shared" si="7"/>
        <v>0</v>
      </c>
      <c r="I96" s="10" t="str">
        <f t="shared" si="8"/>
        <v/>
      </c>
      <c r="J96" s="10" t="str">
        <f t="shared" si="9"/>
        <v/>
      </c>
      <c r="K96" s="10" t="str">
        <f t="shared" si="10"/>
        <v/>
      </c>
      <c r="L96" s="4" t="str">
        <f t="shared" si="11"/>
        <v/>
      </c>
    </row>
    <row r="97" spans="1:12" x14ac:dyDescent="0.3">
      <c r="A97" s="5"/>
      <c r="B97" s="5"/>
      <c r="C97" s="10" t="str">
        <f t="shared" si="6"/>
        <v/>
      </c>
      <c r="D97" s="5"/>
      <c r="E97" s="17"/>
      <c r="F97" s="17"/>
      <c r="G97" s="5"/>
      <c r="H97" s="10">
        <f t="shared" si="7"/>
        <v>0</v>
      </c>
      <c r="I97" s="10" t="str">
        <f t="shared" si="8"/>
        <v/>
      </c>
      <c r="J97" s="10" t="str">
        <f t="shared" si="9"/>
        <v/>
      </c>
      <c r="K97" s="10" t="str">
        <f t="shared" si="10"/>
        <v/>
      </c>
      <c r="L97" s="4" t="str">
        <f t="shared" si="11"/>
        <v/>
      </c>
    </row>
    <row r="98" spans="1:12" x14ac:dyDescent="0.3">
      <c r="A98" s="5"/>
      <c r="B98" s="5"/>
      <c r="C98" s="10" t="str">
        <f t="shared" si="6"/>
        <v/>
      </c>
      <c r="D98" s="5"/>
      <c r="E98" s="17"/>
      <c r="F98" s="17"/>
      <c r="G98" s="5"/>
      <c r="H98" s="10">
        <f t="shared" si="7"/>
        <v>0</v>
      </c>
      <c r="I98" s="10" t="str">
        <f t="shared" si="8"/>
        <v/>
      </c>
      <c r="J98" s="10" t="str">
        <f t="shared" si="9"/>
        <v/>
      </c>
      <c r="K98" s="10" t="str">
        <f t="shared" si="10"/>
        <v/>
      </c>
      <c r="L98" s="4" t="str">
        <f t="shared" si="11"/>
        <v/>
      </c>
    </row>
    <row r="99" spans="1:12" x14ac:dyDescent="0.3">
      <c r="A99" s="5"/>
      <c r="B99" s="5"/>
      <c r="C99" s="10" t="str">
        <f t="shared" si="6"/>
        <v/>
      </c>
      <c r="D99" s="5"/>
      <c r="E99" s="17"/>
      <c r="F99" s="17"/>
      <c r="G99" s="5"/>
      <c r="H99" s="10">
        <f t="shared" si="7"/>
        <v>0</v>
      </c>
      <c r="I99" s="10" t="str">
        <f t="shared" si="8"/>
        <v/>
      </c>
      <c r="J99" s="10" t="str">
        <f t="shared" si="9"/>
        <v/>
      </c>
      <c r="K99" s="10" t="str">
        <f t="shared" si="10"/>
        <v/>
      </c>
      <c r="L99" s="4" t="str">
        <f t="shared" si="11"/>
        <v/>
      </c>
    </row>
    <row r="100" spans="1:12" x14ac:dyDescent="0.3">
      <c r="A100" s="5"/>
      <c r="B100" s="5"/>
      <c r="C100" s="10" t="str">
        <f t="shared" si="6"/>
        <v/>
      </c>
      <c r="D100" s="5"/>
      <c r="E100" s="17"/>
      <c r="F100" s="17"/>
      <c r="G100" s="5"/>
      <c r="H100" s="10">
        <f t="shared" si="7"/>
        <v>0</v>
      </c>
      <c r="I100" s="10" t="str">
        <f t="shared" si="8"/>
        <v/>
      </c>
      <c r="J100" s="10" t="str">
        <f t="shared" si="9"/>
        <v/>
      </c>
      <c r="K100" s="10" t="str">
        <f t="shared" si="10"/>
        <v/>
      </c>
      <c r="L100" s="4" t="str">
        <f t="shared" si="11"/>
        <v/>
      </c>
    </row>
    <row r="101" spans="1:12" x14ac:dyDescent="0.3">
      <c r="A101" s="5"/>
      <c r="B101" s="5"/>
      <c r="C101" s="10" t="str">
        <f t="shared" si="6"/>
        <v/>
      </c>
      <c r="D101" s="5"/>
      <c r="E101" s="17"/>
      <c r="F101" s="17"/>
      <c r="G101" s="5"/>
      <c r="H101" s="10">
        <f t="shared" si="7"/>
        <v>0</v>
      </c>
      <c r="I101" s="10" t="str">
        <f t="shared" si="8"/>
        <v/>
      </c>
      <c r="J101" s="10" t="str">
        <f t="shared" si="9"/>
        <v/>
      </c>
      <c r="K101" s="10" t="str">
        <f t="shared" si="10"/>
        <v/>
      </c>
      <c r="L101" s="4" t="str">
        <f t="shared" si="11"/>
        <v/>
      </c>
    </row>
    <row r="102" spans="1:12" x14ac:dyDescent="0.3">
      <c r="A102" s="5"/>
      <c r="B102" s="5"/>
      <c r="C102" s="10" t="str">
        <f t="shared" si="6"/>
        <v/>
      </c>
      <c r="D102" s="5"/>
      <c r="E102" s="17"/>
      <c r="F102" s="17"/>
      <c r="G102" s="5"/>
      <c r="H102" s="10">
        <f t="shared" si="7"/>
        <v>0</v>
      </c>
      <c r="I102" s="10" t="str">
        <f t="shared" si="8"/>
        <v/>
      </c>
      <c r="J102" s="10" t="str">
        <f t="shared" si="9"/>
        <v/>
      </c>
      <c r="K102" s="10" t="str">
        <f t="shared" si="10"/>
        <v/>
      </c>
      <c r="L102" s="4" t="str">
        <f t="shared" si="11"/>
        <v/>
      </c>
    </row>
    <row r="103" spans="1:12" x14ac:dyDescent="0.3">
      <c r="A103" s="5"/>
      <c r="B103" s="5"/>
      <c r="C103" s="10" t="str">
        <f t="shared" si="6"/>
        <v/>
      </c>
      <c r="D103" s="5"/>
      <c r="E103" s="17"/>
      <c r="F103" s="17"/>
      <c r="G103" s="5"/>
      <c r="H103" s="10">
        <f t="shared" si="7"/>
        <v>0</v>
      </c>
      <c r="I103" s="10" t="str">
        <f t="shared" si="8"/>
        <v/>
      </c>
      <c r="J103" s="10" t="str">
        <f t="shared" si="9"/>
        <v/>
      </c>
      <c r="K103" s="10" t="str">
        <f t="shared" si="10"/>
        <v/>
      </c>
      <c r="L103" s="4" t="str">
        <f t="shared" si="11"/>
        <v/>
      </c>
    </row>
    <row r="104" spans="1:12" x14ac:dyDescent="0.3">
      <c r="A104" s="5"/>
      <c r="B104" s="5"/>
      <c r="C104" s="10" t="str">
        <f t="shared" si="6"/>
        <v/>
      </c>
      <c r="D104" s="5"/>
      <c r="E104" s="17"/>
      <c r="F104" s="17"/>
      <c r="G104" s="5"/>
      <c r="H104" s="10">
        <f t="shared" si="7"/>
        <v>0</v>
      </c>
      <c r="I104" s="10" t="str">
        <f t="shared" si="8"/>
        <v/>
      </c>
      <c r="J104" s="10" t="str">
        <f t="shared" si="9"/>
        <v/>
      </c>
      <c r="K104" s="10" t="str">
        <f t="shared" si="10"/>
        <v/>
      </c>
      <c r="L104" s="4" t="str">
        <f t="shared" si="11"/>
        <v/>
      </c>
    </row>
    <row r="105" spans="1:12" x14ac:dyDescent="0.3">
      <c r="A105" s="5"/>
      <c r="B105" s="5"/>
      <c r="C105" s="10" t="str">
        <f t="shared" si="6"/>
        <v/>
      </c>
      <c r="D105" s="5"/>
      <c r="E105" s="17"/>
      <c r="F105" s="17"/>
      <c r="G105" s="5"/>
      <c r="H105" s="10">
        <f t="shared" si="7"/>
        <v>0</v>
      </c>
      <c r="I105" s="10" t="str">
        <f t="shared" si="8"/>
        <v/>
      </c>
      <c r="J105" s="10" t="str">
        <f t="shared" si="9"/>
        <v/>
      </c>
      <c r="K105" s="10" t="str">
        <f t="shared" si="10"/>
        <v/>
      </c>
      <c r="L105" s="4" t="str">
        <f t="shared" si="11"/>
        <v/>
      </c>
    </row>
    <row r="106" spans="1:12" x14ac:dyDescent="0.3">
      <c r="A106" s="5"/>
      <c r="B106" s="5"/>
      <c r="C106" s="10" t="str">
        <f t="shared" si="6"/>
        <v/>
      </c>
      <c r="D106" s="5"/>
      <c r="E106" s="17"/>
      <c r="F106" s="17"/>
      <c r="G106" s="5"/>
      <c r="H106" s="10">
        <f t="shared" si="7"/>
        <v>0</v>
      </c>
      <c r="I106" s="10" t="str">
        <f t="shared" si="8"/>
        <v/>
      </c>
      <c r="J106" s="10" t="str">
        <f t="shared" si="9"/>
        <v/>
      </c>
      <c r="K106" s="10" t="str">
        <f t="shared" si="10"/>
        <v/>
      </c>
      <c r="L106" s="4" t="str">
        <f t="shared" si="11"/>
        <v/>
      </c>
    </row>
    <row r="107" spans="1:12" x14ac:dyDescent="0.3">
      <c r="A107" s="5"/>
      <c r="B107" s="5"/>
      <c r="C107" s="10" t="str">
        <f t="shared" si="6"/>
        <v/>
      </c>
      <c r="D107" s="5"/>
      <c r="E107" s="17"/>
      <c r="F107" s="17"/>
      <c r="G107" s="5"/>
      <c r="H107" s="10">
        <f t="shared" si="7"/>
        <v>0</v>
      </c>
      <c r="I107" s="10" t="str">
        <f t="shared" si="8"/>
        <v/>
      </c>
      <c r="J107" s="10" t="str">
        <f t="shared" si="9"/>
        <v/>
      </c>
      <c r="K107" s="10" t="str">
        <f t="shared" si="10"/>
        <v/>
      </c>
      <c r="L107" s="4" t="str">
        <f t="shared" si="11"/>
        <v/>
      </c>
    </row>
    <row r="108" spans="1:12" x14ac:dyDescent="0.3">
      <c r="A108" s="5"/>
      <c r="B108" s="5"/>
      <c r="C108" s="10" t="str">
        <f t="shared" si="6"/>
        <v/>
      </c>
      <c r="D108" s="5"/>
      <c r="E108" s="17"/>
      <c r="F108" s="17"/>
      <c r="G108" s="5"/>
      <c r="H108" s="10">
        <f t="shared" si="7"/>
        <v>0</v>
      </c>
      <c r="I108" s="10" t="str">
        <f t="shared" si="8"/>
        <v/>
      </c>
      <c r="J108" s="10" t="str">
        <f t="shared" si="9"/>
        <v/>
      </c>
      <c r="K108" s="10" t="str">
        <f t="shared" si="10"/>
        <v/>
      </c>
      <c r="L108" s="4" t="str">
        <f t="shared" si="11"/>
        <v/>
      </c>
    </row>
    <row r="109" spans="1:12" x14ac:dyDescent="0.3">
      <c r="A109" s="5"/>
      <c r="B109" s="5"/>
      <c r="C109" s="10" t="str">
        <f t="shared" si="6"/>
        <v/>
      </c>
      <c r="D109" s="5"/>
      <c r="E109" s="17"/>
      <c r="F109" s="17"/>
      <c r="G109" s="5"/>
      <c r="H109" s="10">
        <f t="shared" si="7"/>
        <v>0</v>
      </c>
      <c r="I109" s="10" t="str">
        <f t="shared" si="8"/>
        <v/>
      </c>
      <c r="J109" s="10" t="str">
        <f t="shared" si="9"/>
        <v/>
      </c>
      <c r="K109" s="10" t="str">
        <f t="shared" si="10"/>
        <v/>
      </c>
      <c r="L109" s="4" t="str">
        <f t="shared" si="11"/>
        <v/>
      </c>
    </row>
    <row r="110" spans="1:12" x14ac:dyDescent="0.3">
      <c r="A110" s="5"/>
      <c r="B110" s="5"/>
      <c r="C110" s="10" t="str">
        <f t="shared" si="6"/>
        <v/>
      </c>
      <c r="D110" s="5"/>
      <c r="E110" s="17"/>
      <c r="F110" s="17"/>
      <c r="G110" s="5"/>
      <c r="H110" s="10">
        <f t="shared" si="7"/>
        <v>0</v>
      </c>
      <c r="I110" s="10" t="str">
        <f t="shared" si="8"/>
        <v/>
      </c>
      <c r="J110" s="10" t="str">
        <f t="shared" si="9"/>
        <v/>
      </c>
      <c r="K110" s="10" t="str">
        <f t="shared" si="10"/>
        <v/>
      </c>
      <c r="L110" s="4" t="str">
        <f t="shared" si="11"/>
        <v/>
      </c>
    </row>
    <row r="111" spans="1:12" x14ac:dyDescent="0.3">
      <c r="A111" s="5"/>
      <c r="B111" s="5"/>
      <c r="C111" s="10" t="str">
        <f t="shared" si="6"/>
        <v/>
      </c>
      <c r="D111" s="5"/>
      <c r="E111" s="17"/>
      <c r="F111" s="17"/>
      <c r="G111" s="5"/>
      <c r="H111" s="10">
        <f t="shared" si="7"/>
        <v>0</v>
      </c>
      <c r="I111" s="10" t="str">
        <f t="shared" si="8"/>
        <v/>
      </c>
      <c r="J111" s="10" t="str">
        <f t="shared" si="9"/>
        <v/>
      </c>
      <c r="K111" s="10" t="str">
        <f t="shared" si="10"/>
        <v/>
      </c>
      <c r="L111" s="4" t="str">
        <f t="shared" si="11"/>
        <v/>
      </c>
    </row>
    <row r="112" spans="1:12" x14ac:dyDescent="0.3">
      <c r="A112" s="5"/>
      <c r="B112" s="5"/>
      <c r="C112" s="10" t="str">
        <f t="shared" si="6"/>
        <v/>
      </c>
      <c r="D112" s="5"/>
      <c r="E112" s="17"/>
      <c r="F112" s="17"/>
      <c r="G112" s="5"/>
      <c r="H112" s="10">
        <f t="shared" si="7"/>
        <v>0</v>
      </c>
      <c r="I112" s="10" t="str">
        <f t="shared" si="8"/>
        <v/>
      </c>
      <c r="J112" s="10" t="str">
        <f t="shared" si="9"/>
        <v/>
      </c>
      <c r="K112" s="10" t="str">
        <f t="shared" si="10"/>
        <v/>
      </c>
      <c r="L112" s="4" t="str">
        <f t="shared" si="11"/>
        <v/>
      </c>
    </row>
    <row r="113" spans="1:12" x14ac:dyDescent="0.3">
      <c r="A113" s="5"/>
      <c r="B113" s="5"/>
      <c r="C113" s="10" t="str">
        <f t="shared" si="6"/>
        <v/>
      </c>
      <c r="D113" s="5"/>
      <c r="E113" s="17"/>
      <c r="F113" s="17"/>
      <c r="G113" s="5"/>
      <c r="H113" s="10">
        <f t="shared" si="7"/>
        <v>0</v>
      </c>
      <c r="I113" s="10" t="str">
        <f t="shared" si="8"/>
        <v/>
      </c>
      <c r="J113" s="10" t="str">
        <f t="shared" si="9"/>
        <v/>
      </c>
      <c r="K113" s="10" t="str">
        <f t="shared" si="10"/>
        <v/>
      </c>
      <c r="L113" s="4" t="str">
        <f t="shared" si="11"/>
        <v/>
      </c>
    </row>
    <row r="114" spans="1:12" x14ac:dyDescent="0.3">
      <c r="A114" s="5"/>
      <c r="B114" s="5"/>
      <c r="C114" s="10" t="str">
        <f t="shared" si="6"/>
        <v/>
      </c>
      <c r="D114" s="5"/>
      <c r="E114" s="17"/>
      <c r="F114" s="17"/>
      <c r="G114" s="5"/>
      <c r="H114" s="10">
        <f t="shared" si="7"/>
        <v>0</v>
      </c>
      <c r="I114" s="10" t="str">
        <f t="shared" si="8"/>
        <v/>
      </c>
      <c r="J114" s="10" t="str">
        <f t="shared" si="9"/>
        <v/>
      </c>
      <c r="K114" s="10" t="str">
        <f t="shared" si="10"/>
        <v/>
      </c>
      <c r="L114" s="4" t="str">
        <f t="shared" si="11"/>
        <v/>
      </c>
    </row>
    <row r="115" spans="1:12" x14ac:dyDescent="0.3">
      <c r="A115" s="5"/>
      <c r="B115" s="5"/>
      <c r="C115" s="10" t="str">
        <f t="shared" si="6"/>
        <v/>
      </c>
      <c r="D115" s="5"/>
      <c r="E115" s="17"/>
      <c r="F115" s="17"/>
      <c r="G115" s="5"/>
      <c r="H115" s="10">
        <f t="shared" si="7"/>
        <v>0</v>
      </c>
      <c r="I115" s="10" t="str">
        <f t="shared" si="8"/>
        <v/>
      </c>
      <c r="J115" s="10" t="str">
        <f t="shared" si="9"/>
        <v/>
      </c>
      <c r="K115" s="10" t="str">
        <f t="shared" si="10"/>
        <v/>
      </c>
      <c r="L115" s="4" t="str">
        <f t="shared" si="11"/>
        <v/>
      </c>
    </row>
    <row r="116" spans="1:12" x14ac:dyDescent="0.3">
      <c r="A116" s="5"/>
      <c r="B116" s="5"/>
      <c r="C116" s="10" t="str">
        <f t="shared" si="6"/>
        <v/>
      </c>
      <c r="D116" s="5"/>
      <c r="E116" s="17"/>
      <c r="F116" s="17"/>
      <c r="G116" s="5"/>
      <c r="H116" s="10">
        <f t="shared" si="7"/>
        <v>0</v>
      </c>
      <c r="I116" s="10" t="str">
        <f t="shared" si="8"/>
        <v/>
      </c>
      <c r="J116" s="10" t="str">
        <f t="shared" si="9"/>
        <v/>
      </c>
      <c r="K116" s="10" t="str">
        <f t="shared" si="10"/>
        <v/>
      </c>
      <c r="L116" s="4" t="str">
        <f t="shared" si="11"/>
        <v/>
      </c>
    </row>
    <row r="117" spans="1:12" x14ac:dyDescent="0.3">
      <c r="A117" s="5"/>
      <c r="B117" s="5"/>
      <c r="C117" s="10" t="str">
        <f t="shared" si="6"/>
        <v/>
      </c>
      <c r="D117" s="5"/>
      <c r="E117" s="17"/>
      <c r="F117" s="17"/>
      <c r="G117" s="5"/>
      <c r="H117" s="10">
        <f t="shared" si="7"/>
        <v>0</v>
      </c>
      <c r="I117" s="10" t="str">
        <f t="shared" si="8"/>
        <v/>
      </c>
      <c r="J117" s="10" t="str">
        <f t="shared" si="9"/>
        <v/>
      </c>
      <c r="K117" s="10" t="str">
        <f t="shared" si="10"/>
        <v/>
      </c>
      <c r="L117" s="4" t="str">
        <f t="shared" si="11"/>
        <v/>
      </c>
    </row>
    <row r="118" spans="1:12" x14ac:dyDescent="0.3">
      <c r="A118" s="5"/>
      <c r="B118" s="5"/>
      <c r="C118" s="10" t="str">
        <f t="shared" si="6"/>
        <v/>
      </c>
      <c r="D118" s="5"/>
      <c r="E118" s="17"/>
      <c r="F118" s="17"/>
      <c r="G118" s="5"/>
      <c r="H118" s="10">
        <f t="shared" si="7"/>
        <v>0</v>
      </c>
      <c r="I118" s="10" t="str">
        <f t="shared" si="8"/>
        <v/>
      </c>
      <c r="J118" s="10" t="str">
        <f t="shared" si="9"/>
        <v/>
      </c>
      <c r="K118" s="10" t="str">
        <f t="shared" si="10"/>
        <v/>
      </c>
      <c r="L118" s="4" t="str">
        <f t="shared" si="11"/>
        <v/>
      </c>
    </row>
    <row r="119" spans="1:12" x14ac:dyDescent="0.3">
      <c r="A119" s="5"/>
      <c r="B119" s="5"/>
      <c r="C119" s="10" t="str">
        <f t="shared" si="6"/>
        <v/>
      </c>
      <c r="D119" s="5"/>
      <c r="E119" s="17"/>
      <c r="F119" s="17"/>
      <c r="G119" s="5"/>
      <c r="H119" s="10">
        <f t="shared" si="7"/>
        <v>0</v>
      </c>
      <c r="I119" s="10" t="str">
        <f t="shared" si="8"/>
        <v/>
      </c>
      <c r="J119" s="10" t="str">
        <f t="shared" si="9"/>
        <v/>
      </c>
      <c r="K119" s="10" t="str">
        <f t="shared" si="10"/>
        <v/>
      </c>
      <c r="L119" s="4" t="str">
        <f t="shared" si="11"/>
        <v/>
      </c>
    </row>
    <row r="120" spans="1:12" x14ac:dyDescent="0.3">
      <c r="A120" s="5"/>
      <c r="B120" s="5"/>
      <c r="C120" s="10" t="str">
        <f t="shared" si="6"/>
        <v/>
      </c>
      <c r="D120" s="5"/>
      <c r="E120" s="17"/>
      <c r="F120" s="17"/>
      <c r="G120" s="5"/>
      <c r="H120" s="10">
        <f t="shared" si="7"/>
        <v>0</v>
      </c>
      <c r="I120" s="10" t="str">
        <f t="shared" si="8"/>
        <v/>
      </c>
      <c r="J120" s="10" t="str">
        <f t="shared" si="9"/>
        <v/>
      </c>
      <c r="K120" s="10" t="str">
        <f t="shared" si="10"/>
        <v/>
      </c>
      <c r="L120" s="4" t="str">
        <f t="shared" si="11"/>
        <v/>
      </c>
    </row>
    <row r="121" spans="1:12" x14ac:dyDescent="0.3">
      <c r="A121" s="5"/>
      <c r="B121" s="5"/>
      <c r="C121" s="10" t="str">
        <f t="shared" si="6"/>
        <v/>
      </c>
      <c r="D121" s="5"/>
      <c r="E121" s="17"/>
      <c r="F121" s="17"/>
      <c r="G121" s="5"/>
      <c r="H121" s="10">
        <f t="shared" si="7"/>
        <v>0</v>
      </c>
      <c r="I121" s="10" t="str">
        <f t="shared" si="8"/>
        <v/>
      </c>
      <c r="J121" s="10" t="str">
        <f t="shared" si="9"/>
        <v/>
      </c>
      <c r="K121" s="10" t="str">
        <f t="shared" si="10"/>
        <v/>
      </c>
      <c r="L121" s="4" t="str">
        <f t="shared" si="11"/>
        <v/>
      </c>
    </row>
    <row r="122" spans="1:12" x14ac:dyDescent="0.3">
      <c r="A122" s="5"/>
      <c r="B122" s="5"/>
      <c r="C122" s="10" t="str">
        <f t="shared" si="6"/>
        <v/>
      </c>
      <c r="D122" s="5"/>
      <c r="E122" s="17"/>
      <c r="F122" s="17"/>
      <c r="G122" s="5"/>
      <c r="H122" s="10">
        <f t="shared" si="7"/>
        <v>0</v>
      </c>
      <c r="I122" s="10" t="str">
        <f t="shared" si="8"/>
        <v/>
      </c>
      <c r="J122" s="10" t="str">
        <f t="shared" si="9"/>
        <v/>
      </c>
      <c r="K122" s="10" t="str">
        <f t="shared" si="10"/>
        <v/>
      </c>
      <c r="L122" s="4" t="str">
        <f t="shared" si="11"/>
        <v/>
      </c>
    </row>
    <row r="123" spans="1:12" x14ac:dyDescent="0.3">
      <c r="A123" s="5"/>
      <c r="B123" s="5"/>
      <c r="C123" s="10" t="str">
        <f t="shared" si="6"/>
        <v/>
      </c>
      <c r="D123" s="5"/>
      <c r="E123" s="17"/>
      <c r="F123" s="17"/>
      <c r="G123" s="5"/>
      <c r="H123" s="10">
        <f t="shared" si="7"/>
        <v>0</v>
      </c>
      <c r="I123" s="10" t="str">
        <f t="shared" si="8"/>
        <v/>
      </c>
      <c r="J123" s="10" t="str">
        <f t="shared" si="9"/>
        <v/>
      </c>
      <c r="K123" s="10" t="str">
        <f t="shared" si="10"/>
        <v/>
      </c>
      <c r="L123" s="4" t="str">
        <f t="shared" si="11"/>
        <v/>
      </c>
    </row>
    <row r="124" spans="1:12" x14ac:dyDescent="0.3">
      <c r="A124" s="5"/>
      <c r="B124" s="5"/>
      <c r="C124" s="10" t="str">
        <f t="shared" si="6"/>
        <v/>
      </c>
      <c r="D124" s="5"/>
      <c r="E124" s="17"/>
      <c r="F124" s="17"/>
      <c r="G124" s="5"/>
      <c r="H124" s="10">
        <f t="shared" si="7"/>
        <v>0</v>
      </c>
      <c r="I124" s="10" t="str">
        <f t="shared" si="8"/>
        <v/>
      </c>
      <c r="J124" s="10" t="str">
        <f t="shared" si="9"/>
        <v/>
      </c>
      <c r="K124" s="10" t="str">
        <f t="shared" si="10"/>
        <v/>
      </c>
      <c r="L124" s="4" t="str">
        <f t="shared" si="11"/>
        <v/>
      </c>
    </row>
    <row r="125" spans="1:12" x14ac:dyDescent="0.3">
      <c r="A125" s="5"/>
      <c r="B125" s="5"/>
      <c r="C125" s="10" t="str">
        <f t="shared" si="6"/>
        <v/>
      </c>
      <c r="D125" s="5"/>
      <c r="E125" s="17"/>
      <c r="F125" s="17"/>
      <c r="G125" s="5"/>
      <c r="H125" s="10">
        <f t="shared" si="7"/>
        <v>0</v>
      </c>
      <c r="I125" s="10" t="str">
        <f t="shared" si="8"/>
        <v/>
      </c>
      <c r="J125" s="10" t="str">
        <f t="shared" si="9"/>
        <v/>
      </c>
      <c r="K125" s="10" t="str">
        <f t="shared" si="10"/>
        <v/>
      </c>
      <c r="L125" s="4" t="str">
        <f t="shared" si="11"/>
        <v/>
      </c>
    </row>
    <row r="126" spans="1:12" x14ac:dyDescent="0.3">
      <c r="A126" s="5"/>
      <c r="B126" s="5"/>
      <c r="C126" s="10" t="str">
        <f t="shared" si="6"/>
        <v/>
      </c>
      <c r="D126" s="5"/>
      <c r="E126" s="17"/>
      <c r="F126" s="17"/>
      <c r="G126" s="5"/>
      <c r="H126" s="10">
        <f t="shared" si="7"/>
        <v>0</v>
      </c>
      <c r="I126" s="10" t="str">
        <f t="shared" si="8"/>
        <v/>
      </c>
      <c r="J126" s="10" t="str">
        <f t="shared" si="9"/>
        <v/>
      </c>
      <c r="K126" s="10" t="str">
        <f t="shared" si="10"/>
        <v/>
      </c>
      <c r="L126" s="4" t="str">
        <f t="shared" si="11"/>
        <v/>
      </c>
    </row>
    <row r="127" spans="1:12" x14ac:dyDescent="0.3">
      <c r="A127" s="5"/>
      <c r="B127" s="5"/>
      <c r="C127" s="10" t="str">
        <f t="shared" si="6"/>
        <v/>
      </c>
      <c r="D127" s="5"/>
      <c r="E127" s="17"/>
      <c r="F127" s="17"/>
      <c r="G127" s="5"/>
      <c r="H127" s="10">
        <f t="shared" si="7"/>
        <v>0</v>
      </c>
      <c r="I127" s="10" t="str">
        <f t="shared" si="8"/>
        <v/>
      </c>
      <c r="J127" s="10" t="str">
        <f t="shared" si="9"/>
        <v/>
      </c>
      <c r="K127" s="10" t="str">
        <f t="shared" si="10"/>
        <v/>
      </c>
      <c r="L127" s="4" t="str">
        <f t="shared" si="11"/>
        <v/>
      </c>
    </row>
    <row r="128" spans="1:12" x14ac:dyDescent="0.3">
      <c r="A128" s="5"/>
      <c r="B128" s="5"/>
      <c r="C128" s="10" t="str">
        <f t="shared" si="6"/>
        <v/>
      </c>
      <c r="D128" s="5"/>
      <c r="E128" s="17"/>
      <c r="F128" s="17"/>
      <c r="G128" s="5"/>
      <c r="H128" s="10">
        <f t="shared" si="7"/>
        <v>0</v>
      </c>
      <c r="I128" s="10" t="str">
        <f t="shared" si="8"/>
        <v/>
      </c>
      <c r="J128" s="10" t="str">
        <f t="shared" si="9"/>
        <v/>
      </c>
      <c r="K128" s="10" t="str">
        <f t="shared" si="10"/>
        <v/>
      </c>
      <c r="L128" s="4" t="str">
        <f t="shared" si="11"/>
        <v/>
      </c>
    </row>
    <row r="129" spans="1:12" x14ac:dyDescent="0.3">
      <c r="A129" s="5"/>
      <c r="B129" s="5"/>
      <c r="C129" s="10" t="str">
        <f t="shared" si="6"/>
        <v/>
      </c>
      <c r="D129" s="5"/>
      <c r="E129" s="17"/>
      <c r="F129" s="17"/>
      <c r="G129" s="5"/>
      <c r="H129" s="10">
        <f t="shared" si="7"/>
        <v>0</v>
      </c>
      <c r="I129" s="10" t="str">
        <f t="shared" si="8"/>
        <v/>
      </c>
      <c r="J129" s="10" t="str">
        <f t="shared" si="9"/>
        <v/>
      </c>
      <c r="K129" s="10" t="str">
        <f t="shared" si="10"/>
        <v/>
      </c>
      <c r="L129" s="4" t="str">
        <f t="shared" si="11"/>
        <v/>
      </c>
    </row>
    <row r="130" spans="1:12" x14ac:dyDescent="0.3">
      <c r="A130" s="5"/>
      <c r="B130" s="5"/>
      <c r="C130" s="10" t="str">
        <f t="shared" si="6"/>
        <v/>
      </c>
      <c r="D130" s="5"/>
      <c r="E130" s="17"/>
      <c r="F130" s="17"/>
      <c r="G130" s="5"/>
      <c r="H130" s="10">
        <f t="shared" si="7"/>
        <v>0</v>
      </c>
      <c r="I130" s="10" t="str">
        <f t="shared" si="8"/>
        <v/>
      </c>
      <c r="J130" s="10" t="str">
        <f t="shared" si="9"/>
        <v/>
      </c>
      <c r="K130" s="10" t="str">
        <f t="shared" si="10"/>
        <v/>
      </c>
      <c r="L130" s="4" t="str">
        <f t="shared" si="11"/>
        <v/>
      </c>
    </row>
    <row r="131" spans="1:12" x14ac:dyDescent="0.3">
      <c r="A131" s="5"/>
      <c r="B131" s="5"/>
      <c r="C131" s="10" t="str">
        <f t="shared" si="6"/>
        <v/>
      </c>
      <c r="D131" s="5"/>
      <c r="E131" s="17"/>
      <c r="F131" s="17"/>
      <c r="G131" s="5"/>
      <c r="H131" s="10">
        <f t="shared" si="7"/>
        <v>0</v>
      </c>
      <c r="I131" s="10" t="str">
        <f t="shared" si="8"/>
        <v/>
      </c>
      <c r="J131" s="10" t="str">
        <f t="shared" si="9"/>
        <v/>
      </c>
      <c r="K131" s="10" t="str">
        <f t="shared" si="10"/>
        <v/>
      </c>
      <c r="L131" s="4" t="str">
        <f t="shared" si="11"/>
        <v/>
      </c>
    </row>
    <row r="132" spans="1:12" x14ac:dyDescent="0.3">
      <c r="A132" s="5"/>
      <c r="B132" s="5"/>
      <c r="C132" s="10" t="str">
        <f t="shared" ref="C132:C195" si="12">IF(A132="","",IFERROR(INDEX(LIST_PER_CODE,MATCH(B132,LIST_PER_EN,0)),IFERROR(INDEX(LIST_PER_CODE,MATCH(B132,LIST_PER_HU,0)),"")))</f>
        <v/>
      </c>
      <c r="D132" s="5"/>
      <c r="E132" s="17"/>
      <c r="F132" s="17"/>
      <c r="G132" s="5"/>
      <c r="H132" s="10">
        <f t="shared" ref="H132:H195" si="13">IF(A132="",0,N(E132)-N(F132))</f>
        <v>0</v>
      </c>
      <c r="I132" s="10" t="str">
        <f t="shared" ref="I132:I195" si="14">IF(D132="","",IFERROR(INDEX(COA_LINE_EFF,MATCH(D132,COA_ACCT,0))&amp;"",""))</f>
        <v/>
      </c>
      <c r="J132" s="10" t="str">
        <f t="shared" ref="J132:J195" si="15">IF(D132="","",IFERROR(INDEX(COA_LINE_N,MATCH(D132,COA_ACCT,0))&amp;"",""))</f>
        <v/>
      </c>
      <c r="K132" s="10" t="str">
        <f t="shared" ref="K132:K195" si="16">IF(D132="","",IFERROR(INDEX(COA_CF,MATCH(D132,COA_ACCT,0))&amp;"","-"))</f>
        <v/>
      </c>
      <c r="L132" s="4" t="str">
        <f t="shared" ref="L132:L195" si="17">IF(A132="","",TRIM(IF(ROUND(SUMIF(ADJ_ID,A132,ADJ_NET),2)&lt;&gt;0,IFERROR(INDEX(DICT_ACTIVE,MATCH("ADJ.UNBAL",DICT_KEY,0)),"")&amp;" ","")&amp;IF(C132="",IFERROR(INDEX(DICT_ACTIVE,MATCH("ADJ.NOPER",DICT_KEY,0)),"")&amp;" ","")&amp;IF(I132="",IFERROR(INDEX(DICT_ACTIVE,MATCH("TB.UNMAPPED",DICT_KEY,0)),"")&amp;" ","")))</f>
        <v/>
      </c>
    </row>
    <row r="133" spans="1:12" x14ac:dyDescent="0.3">
      <c r="A133" s="5"/>
      <c r="B133" s="5"/>
      <c r="C133" s="10" t="str">
        <f t="shared" si="12"/>
        <v/>
      </c>
      <c r="D133" s="5"/>
      <c r="E133" s="17"/>
      <c r="F133" s="17"/>
      <c r="G133" s="5"/>
      <c r="H133" s="10">
        <f t="shared" si="13"/>
        <v>0</v>
      </c>
      <c r="I133" s="10" t="str">
        <f t="shared" si="14"/>
        <v/>
      </c>
      <c r="J133" s="10" t="str">
        <f t="shared" si="15"/>
        <v/>
      </c>
      <c r="K133" s="10" t="str">
        <f t="shared" si="16"/>
        <v/>
      </c>
      <c r="L133" s="4" t="str">
        <f t="shared" si="17"/>
        <v/>
      </c>
    </row>
    <row r="134" spans="1:12" x14ac:dyDescent="0.3">
      <c r="A134" s="5"/>
      <c r="B134" s="5"/>
      <c r="C134" s="10" t="str">
        <f t="shared" si="12"/>
        <v/>
      </c>
      <c r="D134" s="5"/>
      <c r="E134" s="17"/>
      <c r="F134" s="17"/>
      <c r="G134" s="5"/>
      <c r="H134" s="10">
        <f t="shared" si="13"/>
        <v>0</v>
      </c>
      <c r="I134" s="10" t="str">
        <f t="shared" si="14"/>
        <v/>
      </c>
      <c r="J134" s="10" t="str">
        <f t="shared" si="15"/>
        <v/>
      </c>
      <c r="K134" s="10" t="str">
        <f t="shared" si="16"/>
        <v/>
      </c>
      <c r="L134" s="4" t="str">
        <f t="shared" si="17"/>
        <v/>
      </c>
    </row>
    <row r="135" spans="1:12" x14ac:dyDescent="0.3">
      <c r="A135" s="5"/>
      <c r="B135" s="5"/>
      <c r="C135" s="10" t="str">
        <f t="shared" si="12"/>
        <v/>
      </c>
      <c r="D135" s="5"/>
      <c r="E135" s="17"/>
      <c r="F135" s="17"/>
      <c r="G135" s="5"/>
      <c r="H135" s="10">
        <f t="shared" si="13"/>
        <v>0</v>
      </c>
      <c r="I135" s="10" t="str">
        <f t="shared" si="14"/>
        <v/>
      </c>
      <c r="J135" s="10" t="str">
        <f t="shared" si="15"/>
        <v/>
      </c>
      <c r="K135" s="10" t="str">
        <f t="shared" si="16"/>
        <v/>
      </c>
      <c r="L135" s="4" t="str">
        <f t="shared" si="17"/>
        <v/>
      </c>
    </row>
    <row r="136" spans="1:12" x14ac:dyDescent="0.3">
      <c r="A136" s="5"/>
      <c r="B136" s="5"/>
      <c r="C136" s="10" t="str">
        <f t="shared" si="12"/>
        <v/>
      </c>
      <c r="D136" s="5"/>
      <c r="E136" s="17"/>
      <c r="F136" s="17"/>
      <c r="G136" s="5"/>
      <c r="H136" s="10">
        <f t="shared" si="13"/>
        <v>0</v>
      </c>
      <c r="I136" s="10" t="str">
        <f t="shared" si="14"/>
        <v/>
      </c>
      <c r="J136" s="10" t="str">
        <f t="shared" si="15"/>
        <v/>
      </c>
      <c r="K136" s="10" t="str">
        <f t="shared" si="16"/>
        <v/>
      </c>
      <c r="L136" s="4" t="str">
        <f t="shared" si="17"/>
        <v/>
      </c>
    </row>
    <row r="137" spans="1:12" x14ac:dyDescent="0.3">
      <c r="A137" s="5"/>
      <c r="B137" s="5"/>
      <c r="C137" s="10" t="str">
        <f t="shared" si="12"/>
        <v/>
      </c>
      <c r="D137" s="5"/>
      <c r="E137" s="17"/>
      <c r="F137" s="17"/>
      <c r="G137" s="5"/>
      <c r="H137" s="10">
        <f t="shared" si="13"/>
        <v>0</v>
      </c>
      <c r="I137" s="10" t="str">
        <f t="shared" si="14"/>
        <v/>
      </c>
      <c r="J137" s="10" t="str">
        <f t="shared" si="15"/>
        <v/>
      </c>
      <c r="K137" s="10" t="str">
        <f t="shared" si="16"/>
        <v/>
      </c>
      <c r="L137" s="4" t="str">
        <f t="shared" si="17"/>
        <v/>
      </c>
    </row>
    <row r="138" spans="1:12" x14ac:dyDescent="0.3">
      <c r="A138" s="5"/>
      <c r="B138" s="5"/>
      <c r="C138" s="10" t="str">
        <f t="shared" si="12"/>
        <v/>
      </c>
      <c r="D138" s="5"/>
      <c r="E138" s="17"/>
      <c r="F138" s="17"/>
      <c r="G138" s="5"/>
      <c r="H138" s="10">
        <f t="shared" si="13"/>
        <v>0</v>
      </c>
      <c r="I138" s="10" t="str">
        <f t="shared" si="14"/>
        <v/>
      </c>
      <c r="J138" s="10" t="str">
        <f t="shared" si="15"/>
        <v/>
      </c>
      <c r="K138" s="10" t="str">
        <f t="shared" si="16"/>
        <v/>
      </c>
      <c r="L138" s="4" t="str">
        <f t="shared" si="17"/>
        <v/>
      </c>
    </row>
    <row r="139" spans="1:12" x14ac:dyDescent="0.3">
      <c r="A139" s="5"/>
      <c r="B139" s="5"/>
      <c r="C139" s="10" t="str">
        <f t="shared" si="12"/>
        <v/>
      </c>
      <c r="D139" s="5"/>
      <c r="E139" s="17"/>
      <c r="F139" s="17"/>
      <c r="G139" s="5"/>
      <c r="H139" s="10">
        <f t="shared" si="13"/>
        <v>0</v>
      </c>
      <c r="I139" s="10" t="str">
        <f t="shared" si="14"/>
        <v/>
      </c>
      <c r="J139" s="10" t="str">
        <f t="shared" si="15"/>
        <v/>
      </c>
      <c r="K139" s="10" t="str">
        <f t="shared" si="16"/>
        <v/>
      </c>
      <c r="L139" s="4" t="str">
        <f t="shared" si="17"/>
        <v/>
      </c>
    </row>
    <row r="140" spans="1:12" x14ac:dyDescent="0.3">
      <c r="A140" s="5"/>
      <c r="B140" s="5"/>
      <c r="C140" s="10" t="str">
        <f t="shared" si="12"/>
        <v/>
      </c>
      <c r="D140" s="5"/>
      <c r="E140" s="17"/>
      <c r="F140" s="17"/>
      <c r="G140" s="5"/>
      <c r="H140" s="10">
        <f t="shared" si="13"/>
        <v>0</v>
      </c>
      <c r="I140" s="10" t="str">
        <f t="shared" si="14"/>
        <v/>
      </c>
      <c r="J140" s="10" t="str">
        <f t="shared" si="15"/>
        <v/>
      </c>
      <c r="K140" s="10" t="str">
        <f t="shared" si="16"/>
        <v/>
      </c>
      <c r="L140" s="4" t="str">
        <f t="shared" si="17"/>
        <v/>
      </c>
    </row>
    <row r="141" spans="1:12" x14ac:dyDescent="0.3">
      <c r="A141" s="5"/>
      <c r="B141" s="5"/>
      <c r="C141" s="10" t="str">
        <f t="shared" si="12"/>
        <v/>
      </c>
      <c r="D141" s="5"/>
      <c r="E141" s="17"/>
      <c r="F141" s="17"/>
      <c r="G141" s="5"/>
      <c r="H141" s="10">
        <f t="shared" si="13"/>
        <v>0</v>
      </c>
      <c r="I141" s="10" t="str">
        <f t="shared" si="14"/>
        <v/>
      </c>
      <c r="J141" s="10" t="str">
        <f t="shared" si="15"/>
        <v/>
      </c>
      <c r="K141" s="10" t="str">
        <f t="shared" si="16"/>
        <v/>
      </c>
      <c r="L141" s="4" t="str">
        <f t="shared" si="17"/>
        <v/>
      </c>
    </row>
    <row r="142" spans="1:12" x14ac:dyDescent="0.3">
      <c r="A142" s="5"/>
      <c r="B142" s="5"/>
      <c r="C142" s="10" t="str">
        <f t="shared" si="12"/>
        <v/>
      </c>
      <c r="D142" s="5"/>
      <c r="E142" s="17"/>
      <c r="F142" s="17"/>
      <c r="G142" s="5"/>
      <c r="H142" s="10">
        <f t="shared" si="13"/>
        <v>0</v>
      </c>
      <c r="I142" s="10" t="str">
        <f t="shared" si="14"/>
        <v/>
      </c>
      <c r="J142" s="10" t="str">
        <f t="shared" si="15"/>
        <v/>
      </c>
      <c r="K142" s="10" t="str">
        <f t="shared" si="16"/>
        <v/>
      </c>
      <c r="L142" s="4" t="str">
        <f t="shared" si="17"/>
        <v/>
      </c>
    </row>
    <row r="143" spans="1:12" x14ac:dyDescent="0.3">
      <c r="A143" s="5"/>
      <c r="B143" s="5"/>
      <c r="C143" s="10" t="str">
        <f t="shared" si="12"/>
        <v/>
      </c>
      <c r="D143" s="5"/>
      <c r="E143" s="17"/>
      <c r="F143" s="17"/>
      <c r="G143" s="5"/>
      <c r="H143" s="10">
        <f t="shared" si="13"/>
        <v>0</v>
      </c>
      <c r="I143" s="10" t="str">
        <f t="shared" si="14"/>
        <v/>
      </c>
      <c r="J143" s="10" t="str">
        <f t="shared" si="15"/>
        <v/>
      </c>
      <c r="K143" s="10" t="str">
        <f t="shared" si="16"/>
        <v/>
      </c>
      <c r="L143" s="4" t="str">
        <f t="shared" si="17"/>
        <v/>
      </c>
    </row>
    <row r="144" spans="1:12" x14ac:dyDescent="0.3">
      <c r="A144" s="5"/>
      <c r="B144" s="5"/>
      <c r="C144" s="10" t="str">
        <f t="shared" si="12"/>
        <v/>
      </c>
      <c r="D144" s="5"/>
      <c r="E144" s="17"/>
      <c r="F144" s="17"/>
      <c r="G144" s="5"/>
      <c r="H144" s="10">
        <f t="shared" si="13"/>
        <v>0</v>
      </c>
      <c r="I144" s="10" t="str">
        <f t="shared" si="14"/>
        <v/>
      </c>
      <c r="J144" s="10" t="str">
        <f t="shared" si="15"/>
        <v/>
      </c>
      <c r="K144" s="10" t="str">
        <f t="shared" si="16"/>
        <v/>
      </c>
      <c r="L144" s="4" t="str">
        <f t="shared" si="17"/>
        <v/>
      </c>
    </row>
    <row r="145" spans="1:12" x14ac:dyDescent="0.3">
      <c r="A145" s="5"/>
      <c r="B145" s="5"/>
      <c r="C145" s="10" t="str">
        <f t="shared" si="12"/>
        <v/>
      </c>
      <c r="D145" s="5"/>
      <c r="E145" s="17"/>
      <c r="F145" s="17"/>
      <c r="G145" s="5"/>
      <c r="H145" s="10">
        <f t="shared" si="13"/>
        <v>0</v>
      </c>
      <c r="I145" s="10" t="str">
        <f t="shared" si="14"/>
        <v/>
      </c>
      <c r="J145" s="10" t="str">
        <f t="shared" si="15"/>
        <v/>
      </c>
      <c r="K145" s="10" t="str">
        <f t="shared" si="16"/>
        <v/>
      </c>
      <c r="L145" s="4" t="str">
        <f t="shared" si="17"/>
        <v/>
      </c>
    </row>
    <row r="146" spans="1:12" x14ac:dyDescent="0.3">
      <c r="A146" s="5"/>
      <c r="B146" s="5"/>
      <c r="C146" s="10" t="str">
        <f t="shared" si="12"/>
        <v/>
      </c>
      <c r="D146" s="5"/>
      <c r="E146" s="17"/>
      <c r="F146" s="17"/>
      <c r="G146" s="5"/>
      <c r="H146" s="10">
        <f t="shared" si="13"/>
        <v>0</v>
      </c>
      <c r="I146" s="10" t="str">
        <f t="shared" si="14"/>
        <v/>
      </c>
      <c r="J146" s="10" t="str">
        <f t="shared" si="15"/>
        <v/>
      </c>
      <c r="K146" s="10" t="str">
        <f t="shared" si="16"/>
        <v/>
      </c>
      <c r="L146" s="4" t="str">
        <f t="shared" si="17"/>
        <v/>
      </c>
    </row>
    <row r="147" spans="1:12" x14ac:dyDescent="0.3">
      <c r="A147" s="5"/>
      <c r="B147" s="5"/>
      <c r="C147" s="10" t="str">
        <f t="shared" si="12"/>
        <v/>
      </c>
      <c r="D147" s="5"/>
      <c r="E147" s="17"/>
      <c r="F147" s="17"/>
      <c r="G147" s="5"/>
      <c r="H147" s="10">
        <f t="shared" si="13"/>
        <v>0</v>
      </c>
      <c r="I147" s="10" t="str">
        <f t="shared" si="14"/>
        <v/>
      </c>
      <c r="J147" s="10" t="str">
        <f t="shared" si="15"/>
        <v/>
      </c>
      <c r="K147" s="10" t="str">
        <f t="shared" si="16"/>
        <v/>
      </c>
      <c r="L147" s="4" t="str">
        <f t="shared" si="17"/>
        <v/>
      </c>
    </row>
    <row r="148" spans="1:12" x14ac:dyDescent="0.3">
      <c r="A148" s="5"/>
      <c r="B148" s="5"/>
      <c r="C148" s="10" t="str">
        <f t="shared" si="12"/>
        <v/>
      </c>
      <c r="D148" s="5"/>
      <c r="E148" s="17"/>
      <c r="F148" s="17"/>
      <c r="G148" s="5"/>
      <c r="H148" s="10">
        <f t="shared" si="13"/>
        <v>0</v>
      </c>
      <c r="I148" s="10" t="str">
        <f t="shared" si="14"/>
        <v/>
      </c>
      <c r="J148" s="10" t="str">
        <f t="shared" si="15"/>
        <v/>
      </c>
      <c r="K148" s="10" t="str">
        <f t="shared" si="16"/>
        <v/>
      </c>
      <c r="L148" s="4" t="str">
        <f t="shared" si="17"/>
        <v/>
      </c>
    </row>
    <row r="149" spans="1:12" x14ac:dyDescent="0.3">
      <c r="A149" s="5"/>
      <c r="B149" s="5"/>
      <c r="C149" s="10" t="str">
        <f t="shared" si="12"/>
        <v/>
      </c>
      <c r="D149" s="5"/>
      <c r="E149" s="17"/>
      <c r="F149" s="17"/>
      <c r="G149" s="5"/>
      <c r="H149" s="10">
        <f t="shared" si="13"/>
        <v>0</v>
      </c>
      <c r="I149" s="10" t="str">
        <f t="shared" si="14"/>
        <v/>
      </c>
      <c r="J149" s="10" t="str">
        <f t="shared" si="15"/>
        <v/>
      </c>
      <c r="K149" s="10" t="str">
        <f t="shared" si="16"/>
        <v/>
      </c>
      <c r="L149" s="4" t="str">
        <f t="shared" si="17"/>
        <v/>
      </c>
    </row>
    <row r="150" spans="1:12" x14ac:dyDescent="0.3">
      <c r="A150" s="5"/>
      <c r="B150" s="5"/>
      <c r="C150" s="10" t="str">
        <f t="shared" si="12"/>
        <v/>
      </c>
      <c r="D150" s="5"/>
      <c r="E150" s="17"/>
      <c r="F150" s="17"/>
      <c r="G150" s="5"/>
      <c r="H150" s="10">
        <f t="shared" si="13"/>
        <v>0</v>
      </c>
      <c r="I150" s="10" t="str">
        <f t="shared" si="14"/>
        <v/>
      </c>
      <c r="J150" s="10" t="str">
        <f t="shared" si="15"/>
        <v/>
      </c>
      <c r="K150" s="10" t="str">
        <f t="shared" si="16"/>
        <v/>
      </c>
      <c r="L150" s="4" t="str">
        <f t="shared" si="17"/>
        <v/>
      </c>
    </row>
    <row r="151" spans="1:12" x14ac:dyDescent="0.3">
      <c r="A151" s="5"/>
      <c r="B151" s="5"/>
      <c r="C151" s="10" t="str">
        <f t="shared" si="12"/>
        <v/>
      </c>
      <c r="D151" s="5"/>
      <c r="E151" s="17"/>
      <c r="F151" s="17"/>
      <c r="G151" s="5"/>
      <c r="H151" s="10">
        <f t="shared" si="13"/>
        <v>0</v>
      </c>
      <c r="I151" s="10" t="str">
        <f t="shared" si="14"/>
        <v/>
      </c>
      <c r="J151" s="10" t="str">
        <f t="shared" si="15"/>
        <v/>
      </c>
      <c r="K151" s="10" t="str">
        <f t="shared" si="16"/>
        <v/>
      </c>
      <c r="L151" s="4" t="str">
        <f t="shared" si="17"/>
        <v/>
      </c>
    </row>
    <row r="152" spans="1:12" x14ac:dyDescent="0.3">
      <c r="A152" s="5"/>
      <c r="B152" s="5"/>
      <c r="C152" s="10" t="str">
        <f t="shared" si="12"/>
        <v/>
      </c>
      <c r="D152" s="5"/>
      <c r="E152" s="17"/>
      <c r="F152" s="17"/>
      <c r="G152" s="5"/>
      <c r="H152" s="10">
        <f t="shared" si="13"/>
        <v>0</v>
      </c>
      <c r="I152" s="10" t="str">
        <f t="shared" si="14"/>
        <v/>
      </c>
      <c r="J152" s="10" t="str">
        <f t="shared" si="15"/>
        <v/>
      </c>
      <c r="K152" s="10" t="str">
        <f t="shared" si="16"/>
        <v/>
      </c>
      <c r="L152" s="4" t="str">
        <f t="shared" si="17"/>
        <v/>
      </c>
    </row>
    <row r="153" spans="1:12" x14ac:dyDescent="0.3">
      <c r="A153" s="5"/>
      <c r="B153" s="5"/>
      <c r="C153" s="10" t="str">
        <f t="shared" si="12"/>
        <v/>
      </c>
      <c r="D153" s="5"/>
      <c r="E153" s="17"/>
      <c r="F153" s="17"/>
      <c r="G153" s="5"/>
      <c r="H153" s="10">
        <f t="shared" si="13"/>
        <v>0</v>
      </c>
      <c r="I153" s="10" t="str">
        <f t="shared" si="14"/>
        <v/>
      </c>
      <c r="J153" s="10" t="str">
        <f t="shared" si="15"/>
        <v/>
      </c>
      <c r="K153" s="10" t="str">
        <f t="shared" si="16"/>
        <v/>
      </c>
      <c r="L153" s="4" t="str">
        <f t="shared" si="17"/>
        <v/>
      </c>
    </row>
    <row r="154" spans="1:12" x14ac:dyDescent="0.3">
      <c r="A154" s="5"/>
      <c r="B154" s="5"/>
      <c r="C154" s="10" t="str">
        <f t="shared" si="12"/>
        <v/>
      </c>
      <c r="D154" s="5"/>
      <c r="E154" s="17"/>
      <c r="F154" s="17"/>
      <c r="G154" s="5"/>
      <c r="H154" s="10">
        <f t="shared" si="13"/>
        <v>0</v>
      </c>
      <c r="I154" s="10" t="str">
        <f t="shared" si="14"/>
        <v/>
      </c>
      <c r="J154" s="10" t="str">
        <f t="shared" si="15"/>
        <v/>
      </c>
      <c r="K154" s="10" t="str">
        <f t="shared" si="16"/>
        <v/>
      </c>
      <c r="L154" s="4" t="str">
        <f t="shared" si="17"/>
        <v/>
      </c>
    </row>
    <row r="155" spans="1:12" x14ac:dyDescent="0.3">
      <c r="A155" s="5"/>
      <c r="B155" s="5"/>
      <c r="C155" s="10" t="str">
        <f t="shared" si="12"/>
        <v/>
      </c>
      <c r="D155" s="5"/>
      <c r="E155" s="17"/>
      <c r="F155" s="17"/>
      <c r="G155" s="5"/>
      <c r="H155" s="10">
        <f t="shared" si="13"/>
        <v>0</v>
      </c>
      <c r="I155" s="10" t="str">
        <f t="shared" si="14"/>
        <v/>
      </c>
      <c r="J155" s="10" t="str">
        <f t="shared" si="15"/>
        <v/>
      </c>
      <c r="K155" s="10" t="str">
        <f t="shared" si="16"/>
        <v/>
      </c>
      <c r="L155" s="4" t="str">
        <f t="shared" si="17"/>
        <v/>
      </c>
    </row>
    <row r="156" spans="1:12" x14ac:dyDescent="0.3">
      <c r="A156" s="5"/>
      <c r="B156" s="5"/>
      <c r="C156" s="10" t="str">
        <f t="shared" si="12"/>
        <v/>
      </c>
      <c r="D156" s="5"/>
      <c r="E156" s="17"/>
      <c r="F156" s="17"/>
      <c r="G156" s="5"/>
      <c r="H156" s="10">
        <f t="shared" si="13"/>
        <v>0</v>
      </c>
      <c r="I156" s="10" t="str">
        <f t="shared" si="14"/>
        <v/>
      </c>
      <c r="J156" s="10" t="str">
        <f t="shared" si="15"/>
        <v/>
      </c>
      <c r="K156" s="10" t="str">
        <f t="shared" si="16"/>
        <v/>
      </c>
      <c r="L156" s="4" t="str">
        <f t="shared" si="17"/>
        <v/>
      </c>
    </row>
    <row r="157" spans="1:12" x14ac:dyDescent="0.3">
      <c r="A157" s="5"/>
      <c r="B157" s="5"/>
      <c r="C157" s="10" t="str">
        <f t="shared" si="12"/>
        <v/>
      </c>
      <c r="D157" s="5"/>
      <c r="E157" s="17"/>
      <c r="F157" s="17"/>
      <c r="G157" s="5"/>
      <c r="H157" s="10">
        <f t="shared" si="13"/>
        <v>0</v>
      </c>
      <c r="I157" s="10" t="str">
        <f t="shared" si="14"/>
        <v/>
      </c>
      <c r="J157" s="10" t="str">
        <f t="shared" si="15"/>
        <v/>
      </c>
      <c r="K157" s="10" t="str">
        <f t="shared" si="16"/>
        <v/>
      </c>
      <c r="L157" s="4" t="str">
        <f t="shared" si="17"/>
        <v/>
      </c>
    </row>
    <row r="158" spans="1:12" x14ac:dyDescent="0.3">
      <c r="A158" s="5"/>
      <c r="B158" s="5"/>
      <c r="C158" s="10" t="str">
        <f t="shared" si="12"/>
        <v/>
      </c>
      <c r="D158" s="5"/>
      <c r="E158" s="17"/>
      <c r="F158" s="17"/>
      <c r="G158" s="5"/>
      <c r="H158" s="10">
        <f t="shared" si="13"/>
        <v>0</v>
      </c>
      <c r="I158" s="10" t="str">
        <f t="shared" si="14"/>
        <v/>
      </c>
      <c r="J158" s="10" t="str">
        <f t="shared" si="15"/>
        <v/>
      </c>
      <c r="K158" s="10" t="str">
        <f t="shared" si="16"/>
        <v/>
      </c>
      <c r="L158" s="4" t="str">
        <f t="shared" si="17"/>
        <v/>
      </c>
    </row>
    <row r="159" spans="1:12" x14ac:dyDescent="0.3">
      <c r="A159" s="5"/>
      <c r="B159" s="5"/>
      <c r="C159" s="10" t="str">
        <f t="shared" si="12"/>
        <v/>
      </c>
      <c r="D159" s="5"/>
      <c r="E159" s="17"/>
      <c r="F159" s="17"/>
      <c r="G159" s="5"/>
      <c r="H159" s="10">
        <f t="shared" si="13"/>
        <v>0</v>
      </c>
      <c r="I159" s="10" t="str">
        <f t="shared" si="14"/>
        <v/>
      </c>
      <c r="J159" s="10" t="str">
        <f t="shared" si="15"/>
        <v/>
      </c>
      <c r="K159" s="10" t="str">
        <f t="shared" si="16"/>
        <v/>
      </c>
      <c r="L159" s="4" t="str">
        <f t="shared" si="17"/>
        <v/>
      </c>
    </row>
    <row r="160" spans="1:12" x14ac:dyDescent="0.3">
      <c r="A160" s="5"/>
      <c r="B160" s="5"/>
      <c r="C160" s="10" t="str">
        <f t="shared" si="12"/>
        <v/>
      </c>
      <c r="D160" s="5"/>
      <c r="E160" s="17"/>
      <c r="F160" s="17"/>
      <c r="G160" s="5"/>
      <c r="H160" s="10">
        <f t="shared" si="13"/>
        <v>0</v>
      </c>
      <c r="I160" s="10" t="str">
        <f t="shared" si="14"/>
        <v/>
      </c>
      <c r="J160" s="10" t="str">
        <f t="shared" si="15"/>
        <v/>
      </c>
      <c r="K160" s="10" t="str">
        <f t="shared" si="16"/>
        <v/>
      </c>
      <c r="L160" s="4" t="str">
        <f t="shared" si="17"/>
        <v/>
      </c>
    </row>
    <row r="161" spans="1:12" x14ac:dyDescent="0.3">
      <c r="A161" s="5"/>
      <c r="B161" s="5"/>
      <c r="C161" s="10" t="str">
        <f t="shared" si="12"/>
        <v/>
      </c>
      <c r="D161" s="5"/>
      <c r="E161" s="17"/>
      <c r="F161" s="17"/>
      <c r="G161" s="5"/>
      <c r="H161" s="10">
        <f t="shared" si="13"/>
        <v>0</v>
      </c>
      <c r="I161" s="10" t="str">
        <f t="shared" si="14"/>
        <v/>
      </c>
      <c r="J161" s="10" t="str">
        <f t="shared" si="15"/>
        <v/>
      </c>
      <c r="K161" s="10" t="str">
        <f t="shared" si="16"/>
        <v/>
      </c>
      <c r="L161" s="4" t="str">
        <f t="shared" si="17"/>
        <v/>
      </c>
    </row>
    <row r="162" spans="1:12" x14ac:dyDescent="0.3">
      <c r="A162" s="5"/>
      <c r="B162" s="5"/>
      <c r="C162" s="10" t="str">
        <f t="shared" si="12"/>
        <v/>
      </c>
      <c r="D162" s="5"/>
      <c r="E162" s="17"/>
      <c r="F162" s="17"/>
      <c r="G162" s="5"/>
      <c r="H162" s="10">
        <f t="shared" si="13"/>
        <v>0</v>
      </c>
      <c r="I162" s="10" t="str">
        <f t="shared" si="14"/>
        <v/>
      </c>
      <c r="J162" s="10" t="str">
        <f t="shared" si="15"/>
        <v/>
      </c>
      <c r="K162" s="10" t="str">
        <f t="shared" si="16"/>
        <v/>
      </c>
      <c r="L162" s="4" t="str">
        <f t="shared" si="17"/>
        <v/>
      </c>
    </row>
    <row r="163" spans="1:12" x14ac:dyDescent="0.3">
      <c r="A163" s="5"/>
      <c r="B163" s="5"/>
      <c r="C163" s="10" t="str">
        <f t="shared" si="12"/>
        <v/>
      </c>
      <c r="D163" s="5"/>
      <c r="E163" s="17"/>
      <c r="F163" s="17"/>
      <c r="G163" s="5"/>
      <c r="H163" s="10">
        <f t="shared" si="13"/>
        <v>0</v>
      </c>
      <c r="I163" s="10" t="str">
        <f t="shared" si="14"/>
        <v/>
      </c>
      <c r="J163" s="10" t="str">
        <f t="shared" si="15"/>
        <v/>
      </c>
      <c r="K163" s="10" t="str">
        <f t="shared" si="16"/>
        <v/>
      </c>
      <c r="L163" s="4" t="str">
        <f t="shared" si="17"/>
        <v/>
      </c>
    </row>
    <row r="164" spans="1:12" x14ac:dyDescent="0.3">
      <c r="A164" s="5"/>
      <c r="B164" s="5"/>
      <c r="C164" s="10" t="str">
        <f t="shared" si="12"/>
        <v/>
      </c>
      <c r="D164" s="5"/>
      <c r="E164" s="17"/>
      <c r="F164" s="17"/>
      <c r="G164" s="5"/>
      <c r="H164" s="10">
        <f t="shared" si="13"/>
        <v>0</v>
      </c>
      <c r="I164" s="10" t="str">
        <f t="shared" si="14"/>
        <v/>
      </c>
      <c r="J164" s="10" t="str">
        <f t="shared" si="15"/>
        <v/>
      </c>
      <c r="K164" s="10" t="str">
        <f t="shared" si="16"/>
        <v/>
      </c>
      <c r="L164" s="4" t="str">
        <f t="shared" si="17"/>
        <v/>
      </c>
    </row>
    <row r="165" spans="1:12" x14ac:dyDescent="0.3">
      <c r="A165" s="5"/>
      <c r="B165" s="5"/>
      <c r="C165" s="10" t="str">
        <f t="shared" si="12"/>
        <v/>
      </c>
      <c r="D165" s="5"/>
      <c r="E165" s="17"/>
      <c r="F165" s="17"/>
      <c r="G165" s="5"/>
      <c r="H165" s="10">
        <f t="shared" si="13"/>
        <v>0</v>
      </c>
      <c r="I165" s="10" t="str">
        <f t="shared" si="14"/>
        <v/>
      </c>
      <c r="J165" s="10" t="str">
        <f t="shared" si="15"/>
        <v/>
      </c>
      <c r="K165" s="10" t="str">
        <f t="shared" si="16"/>
        <v/>
      </c>
      <c r="L165" s="4" t="str">
        <f t="shared" si="17"/>
        <v/>
      </c>
    </row>
    <row r="166" spans="1:12" x14ac:dyDescent="0.3">
      <c r="A166" s="5"/>
      <c r="B166" s="5"/>
      <c r="C166" s="10" t="str">
        <f t="shared" si="12"/>
        <v/>
      </c>
      <c r="D166" s="5"/>
      <c r="E166" s="17"/>
      <c r="F166" s="17"/>
      <c r="G166" s="5"/>
      <c r="H166" s="10">
        <f t="shared" si="13"/>
        <v>0</v>
      </c>
      <c r="I166" s="10" t="str">
        <f t="shared" si="14"/>
        <v/>
      </c>
      <c r="J166" s="10" t="str">
        <f t="shared" si="15"/>
        <v/>
      </c>
      <c r="K166" s="10" t="str">
        <f t="shared" si="16"/>
        <v/>
      </c>
      <c r="L166" s="4" t="str">
        <f t="shared" si="17"/>
        <v/>
      </c>
    </row>
    <row r="167" spans="1:12" x14ac:dyDescent="0.3">
      <c r="A167" s="5"/>
      <c r="B167" s="5"/>
      <c r="C167" s="10" t="str">
        <f t="shared" si="12"/>
        <v/>
      </c>
      <c r="D167" s="5"/>
      <c r="E167" s="17"/>
      <c r="F167" s="17"/>
      <c r="G167" s="5"/>
      <c r="H167" s="10">
        <f t="shared" si="13"/>
        <v>0</v>
      </c>
      <c r="I167" s="10" t="str">
        <f t="shared" si="14"/>
        <v/>
      </c>
      <c r="J167" s="10" t="str">
        <f t="shared" si="15"/>
        <v/>
      </c>
      <c r="K167" s="10" t="str">
        <f t="shared" si="16"/>
        <v/>
      </c>
      <c r="L167" s="4" t="str">
        <f t="shared" si="17"/>
        <v/>
      </c>
    </row>
    <row r="168" spans="1:12" x14ac:dyDescent="0.3">
      <c r="A168" s="5"/>
      <c r="B168" s="5"/>
      <c r="C168" s="10" t="str">
        <f t="shared" si="12"/>
        <v/>
      </c>
      <c r="D168" s="5"/>
      <c r="E168" s="17"/>
      <c r="F168" s="17"/>
      <c r="G168" s="5"/>
      <c r="H168" s="10">
        <f t="shared" si="13"/>
        <v>0</v>
      </c>
      <c r="I168" s="10" t="str">
        <f t="shared" si="14"/>
        <v/>
      </c>
      <c r="J168" s="10" t="str">
        <f t="shared" si="15"/>
        <v/>
      </c>
      <c r="K168" s="10" t="str">
        <f t="shared" si="16"/>
        <v/>
      </c>
      <c r="L168" s="4" t="str">
        <f t="shared" si="17"/>
        <v/>
      </c>
    </row>
    <row r="169" spans="1:12" x14ac:dyDescent="0.3">
      <c r="A169" s="5"/>
      <c r="B169" s="5"/>
      <c r="C169" s="10" t="str">
        <f t="shared" si="12"/>
        <v/>
      </c>
      <c r="D169" s="5"/>
      <c r="E169" s="17"/>
      <c r="F169" s="17"/>
      <c r="G169" s="5"/>
      <c r="H169" s="10">
        <f t="shared" si="13"/>
        <v>0</v>
      </c>
      <c r="I169" s="10" t="str">
        <f t="shared" si="14"/>
        <v/>
      </c>
      <c r="J169" s="10" t="str">
        <f t="shared" si="15"/>
        <v/>
      </c>
      <c r="K169" s="10" t="str">
        <f t="shared" si="16"/>
        <v/>
      </c>
      <c r="L169" s="4" t="str">
        <f t="shared" si="17"/>
        <v/>
      </c>
    </row>
    <row r="170" spans="1:12" x14ac:dyDescent="0.3">
      <c r="A170" s="5"/>
      <c r="B170" s="5"/>
      <c r="C170" s="10" t="str">
        <f t="shared" si="12"/>
        <v/>
      </c>
      <c r="D170" s="5"/>
      <c r="E170" s="17"/>
      <c r="F170" s="17"/>
      <c r="G170" s="5"/>
      <c r="H170" s="10">
        <f t="shared" si="13"/>
        <v>0</v>
      </c>
      <c r="I170" s="10" t="str">
        <f t="shared" si="14"/>
        <v/>
      </c>
      <c r="J170" s="10" t="str">
        <f t="shared" si="15"/>
        <v/>
      </c>
      <c r="K170" s="10" t="str">
        <f t="shared" si="16"/>
        <v/>
      </c>
      <c r="L170" s="4" t="str">
        <f t="shared" si="17"/>
        <v/>
      </c>
    </row>
    <row r="171" spans="1:12" x14ac:dyDescent="0.3">
      <c r="A171" s="5"/>
      <c r="B171" s="5"/>
      <c r="C171" s="10" t="str">
        <f t="shared" si="12"/>
        <v/>
      </c>
      <c r="D171" s="5"/>
      <c r="E171" s="17"/>
      <c r="F171" s="17"/>
      <c r="G171" s="5"/>
      <c r="H171" s="10">
        <f t="shared" si="13"/>
        <v>0</v>
      </c>
      <c r="I171" s="10" t="str">
        <f t="shared" si="14"/>
        <v/>
      </c>
      <c r="J171" s="10" t="str">
        <f t="shared" si="15"/>
        <v/>
      </c>
      <c r="K171" s="10" t="str">
        <f t="shared" si="16"/>
        <v/>
      </c>
      <c r="L171" s="4" t="str">
        <f t="shared" si="17"/>
        <v/>
      </c>
    </row>
    <row r="172" spans="1:12" x14ac:dyDescent="0.3">
      <c r="A172" s="5"/>
      <c r="B172" s="5"/>
      <c r="C172" s="10" t="str">
        <f t="shared" si="12"/>
        <v/>
      </c>
      <c r="D172" s="5"/>
      <c r="E172" s="17"/>
      <c r="F172" s="17"/>
      <c r="G172" s="5"/>
      <c r="H172" s="10">
        <f t="shared" si="13"/>
        <v>0</v>
      </c>
      <c r="I172" s="10" t="str">
        <f t="shared" si="14"/>
        <v/>
      </c>
      <c r="J172" s="10" t="str">
        <f t="shared" si="15"/>
        <v/>
      </c>
      <c r="K172" s="10" t="str">
        <f t="shared" si="16"/>
        <v/>
      </c>
      <c r="L172" s="4" t="str">
        <f t="shared" si="17"/>
        <v/>
      </c>
    </row>
    <row r="173" spans="1:12" x14ac:dyDescent="0.3">
      <c r="A173" s="5"/>
      <c r="B173" s="5"/>
      <c r="C173" s="10" t="str">
        <f t="shared" si="12"/>
        <v/>
      </c>
      <c r="D173" s="5"/>
      <c r="E173" s="17"/>
      <c r="F173" s="17"/>
      <c r="G173" s="5"/>
      <c r="H173" s="10">
        <f t="shared" si="13"/>
        <v>0</v>
      </c>
      <c r="I173" s="10" t="str">
        <f t="shared" si="14"/>
        <v/>
      </c>
      <c r="J173" s="10" t="str">
        <f t="shared" si="15"/>
        <v/>
      </c>
      <c r="K173" s="10" t="str">
        <f t="shared" si="16"/>
        <v/>
      </c>
      <c r="L173" s="4" t="str">
        <f t="shared" si="17"/>
        <v/>
      </c>
    </row>
    <row r="174" spans="1:12" x14ac:dyDescent="0.3">
      <c r="A174" s="5"/>
      <c r="B174" s="5"/>
      <c r="C174" s="10" t="str">
        <f t="shared" si="12"/>
        <v/>
      </c>
      <c r="D174" s="5"/>
      <c r="E174" s="17"/>
      <c r="F174" s="17"/>
      <c r="G174" s="5"/>
      <c r="H174" s="10">
        <f t="shared" si="13"/>
        <v>0</v>
      </c>
      <c r="I174" s="10" t="str">
        <f t="shared" si="14"/>
        <v/>
      </c>
      <c r="J174" s="10" t="str">
        <f t="shared" si="15"/>
        <v/>
      </c>
      <c r="K174" s="10" t="str">
        <f t="shared" si="16"/>
        <v/>
      </c>
      <c r="L174" s="4" t="str">
        <f t="shared" si="17"/>
        <v/>
      </c>
    </row>
    <row r="175" spans="1:12" x14ac:dyDescent="0.3">
      <c r="A175" s="5"/>
      <c r="B175" s="5"/>
      <c r="C175" s="10" t="str">
        <f t="shared" si="12"/>
        <v/>
      </c>
      <c r="D175" s="5"/>
      <c r="E175" s="17"/>
      <c r="F175" s="17"/>
      <c r="G175" s="5"/>
      <c r="H175" s="10">
        <f t="shared" si="13"/>
        <v>0</v>
      </c>
      <c r="I175" s="10" t="str">
        <f t="shared" si="14"/>
        <v/>
      </c>
      <c r="J175" s="10" t="str">
        <f t="shared" si="15"/>
        <v/>
      </c>
      <c r="K175" s="10" t="str">
        <f t="shared" si="16"/>
        <v/>
      </c>
      <c r="L175" s="4" t="str">
        <f t="shared" si="17"/>
        <v/>
      </c>
    </row>
    <row r="176" spans="1:12" x14ac:dyDescent="0.3">
      <c r="A176" s="5"/>
      <c r="B176" s="5"/>
      <c r="C176" s="10" t="str">
        <f t="shared" si="12"/>
        <v/>
      </c>
      <c r="D176" s="5"/>
      <c r="E176" s="17"/>
      <c r="F176" s="17"/>
      <c r="G176" s="5"/>
      <c r="H176" s="10">
        <f t="shared" si="13"/>
        <v>0</v>
      </c>
      <c r="I176" s="10" t="str">
        <f t="shared" si="14"/>
        <v/>
      </c>
      <c r="J176" s="10" t="str">
        <f t="shared" si="15"/>
        <v/>
      </c>
      <c r="K176" s="10" t="str">
        <f t="shared" si="16"/>
        <v/>
      </c>
      <c r="L176" s="4" t="str">
        <f t="shared" si="17"/>
        <v/>
      </c>
    </row>
    <row r="177" spans="1:12" x14ac:dyDescent="0.3">
      <c r="A177" s="5"/>
      <c r="B177" s="5"/>
      <c r="C177" s="10" t="str">
        <f t="shared" si="12"/>
        <v/>
      </c>
      <c r="D177" s="5"/>
      <c r="E177" s="17"/>
      <c r="F177" s="17"/>
      <c r="G177" s="5"/>
      <c r="H177" s="10">
        <f t="shared" si="13"/>
        <v>0</v>
      </c>
      <c r="I177" s="10" t="str">
        <f t="shared" si="14"/>
        <v/>
      </c>
      <c r="J177" s="10" t="str">
        <f t="shared" si="15"/>
        <v/>
      </c>
      <c r="K177" s="10" t="str">
        <f t="shared" si="16"/>
        <v/>
      </c>
      <c r="L177" s="4" t="str">
        <f t="shared" si="17"/>
        <v/>
      </c>
    </row>
    <row r="178" spans="1:12" x14ac:dyDescent="0.3">
      <c r="A178" s="5"/>
      <c r="B178" s="5"/>
      <c r="C178" s="10" t="str">
        <f t="shared" si="12"/>
        <v/>
      </c>
      <c r="D178" s="5"/>
      <c r="E178" s="17"/>
      <c r="F178" s="17"/>
      <c r="G178" s="5"/>
      <c r="H178" s="10">
        <f t="shared" si="13"/>
        <v>0</v>
      </c>
      <c r="I178" s="10" t="str">
        <f t="shared" si="14"/>
        <v/>
      </c>
      <c r="J178" s="10" t="str">
        <f t="shared" si="15"/>
        <v/>
      </c>
      <c r="K178" s="10" t="str">
        <f t="shared" si="16"/>
        <v/>
      </c>
      <c r="L178" s="4" t="str">
        <f t="shared" si="17"/>
        <v/>
      </c>
    </row>
    <row r="179" spans="1:12" x14ac:dyDescent="0.3">
      <c r="A179" s="5"/>
      <c r="B179" s="5"/>
      <c r="C179" s="10" t="str">
        <f t="shared" si="12"/>
        <v/>
      </c>
      <c r="D179" s="5"/>
      <c r="E179" s="17"/>
      <c r="F179" s="17"/>
      <c r="G179" s="5"/>
      <c r="H179" s="10">
        <f t="shared" si="13"/>
        <v>0</v>
      </c>
      <c r="I179" s="10" t="str">
        <f t="shared" si="14"/>
        <v/>
      </c>
      <c r="J179" s="10" t="str">
        <f t="shared" si="15"/>
        <v/>
      </c>
      <c r="K179" s="10" t="str">
        <f t="shared" si="16"/>
        <v/>
      </c>
      <c r="L179" s="4" t="str">
        <f t="shared" si="17"/>
        <v/>
      </c>
    </row>
    <row r="180" spans="1:12" x14ac:dyDescent="0.3">
      <c r="A180" s="5"/>
      <c r="B180" s="5"/>
      <c r="C180" s="10" t="str">
        <f t="shared" si="12"/>
        <v/>
      </c>
      <c r="D180" s="5"/>
      <c r="E180" s="17"/>
      <c r="F180" s="17"/>
      <c r="G180" s="5"/>
      <c r="H180" s="10">
        <f t="shared" si="13"/>
        <v>0</v>
      </c>
      <c r="I180" s="10" t="str">
        <f t="shared" si="14"/>
        <v/>
      </c>
      <c r="J180" s="10" t="str">
        <f t="shared" si="15"/>
        <v/>
      </c>
      <c r="K180" s="10" t="str">
        <f t="shared" si="16"/>
        <v/>
      </c>
      <c r="L180" s="4" t="str">
        <f t="shared" si="17"/>
        <v/>
      </c>
    </row>
    <row r="181" spans="1:12" x14ac:dyDescent="0.3">
      <c r="A181" s="5"/>
      <c r="B181" s="5"/>
      <c r="C181" s="10" t="str">
        <f t="shared" si="12"/>
        <v/>
      </c>
      <c r="D181" s="5"/>
      <c r="E181" s="17"/>
      <c r="F181" s="17"/>
      <c r="G181" s="5"/>
      <c r="H181" s="10">
        <f t="shared" si="13"/>
        <v>0</v>
      </c>
      <c r="I181" s="10" t="str">
        <f t="shared" si="14"/>
        <v/>
      </c>
      <c r="J181" s="10" t="str">
        <f t="shared" si="15"/>
        <v/>
      </c>
      <c r="K181" s="10" t="str">
        <f t="shared" si="16"/>
        <v/>
      </c>
      <c r="L181" s="4" t="str">
        <f t="shared" si="17"/>
        <v/>
      </c>
    </row>
    <row r="182" spans="1:12" x14ac:dyDescent="0.3">
      <c r="A182" s="5"/>
      <c r="B182" s="5"/>
      <c r="C182" s="10" t="str">
        <f t="shared" si="12"/>
        <v/>
      </c>
      <c r="D182" s="5"/>
      <c r="E182" s="17"/>
      <c r="F182" s="17"/>
      <c r="G182" s="5"/>
      <c r="H182" s="10">
        <f t="shared" si="13"/>
        <v>0</v>
      </c>
      <c r="I182" s="10" t="str">
        <f t="shared" si="14"/>
        <v/>
      </c>
      <c r="J182" s="10" t="str">
        <f t="shared" si="15"/>
        <v/>
      </c>
      <c r="K182" s="10" t="str">
        <f t="shared" si="16"/>
        <v/>
      </c>
      <c r="L182" s="4" t="str">
        <f t="shared" si="17"/>
        <v/>
      </c>
    </row>
    <row r="183" spans="1:12" x14ac:dyDescent="0.3">
      <c r="A183" s="5"/>
      <c r="B183" s="5"/>
      <c r="C183" s="10" t="str">
        <f t="shared" si="12"/>
        <v/>
      </c>
      <c r="D183" s="5"/>
      <c r="E183" s="17"/>
      <c r="F183" s="17"/>
      <c r="G183" s="5"/>
      <c r="H183" s="10">
        <f t="shared" si="13"/>
        <v>0</v>
      </c>
      <c r="I183" s="10" t="str">
        <f t="shared" si="14"/>
        <v/>
      </c>
      <c r="J183" s="10" t="str">
        <f t="shared" si="15"/>
        <v/>
      </c>
      <c r="K183" s="10" t="str">
        <f t="shared" si="16"/>
        <v/>
      </c>
      <c r="L183" s="4" t="str">
        <f t="shared" si="17"/>
        <v/>
      </c>
    </row>
    <row r="184" spans="1:12" x14ac:dyDescent="0.3">
      <c r="A184" s="5"/>
      <c r="B184" s="5"/>
      <c r="C184" s="10" t="str">
        <f t="shared" si="12"/>
        <v/>
      </c>
      <c r="D184" s="5"/>
      <c r="E184" s="17"/>
      <c r="F184" s="17"/>
      <c r="G184" s="5"/>
      <c r="H184" s="10">
        <f t="shared" si="13"/>
        <v>0</v>
      </c>
      <c r="I184" s="10" t="str">
        <f t="shared" si="14"/>
        <v/>
      </c>
      <c r="J184" s="10" t="str">
        <f t="shared" si="15"/>
        <v/>
      </c>
      <c r="K184" s="10" t="str">
        <f t="shared" si="16"/>
        <v/>
      </c>
      <c r="L184" s="4" t="str">
        <f t="shared" si="17"/>
        <v/>
      </c>
    </row>
    <row r="185" spans="1:12" x14ac:dyDescent="0.3">
      <c r="A185" s="5"/>
      <c r="B185" s="5"/>
      <c r="C185" s="10" t="str">
        <f t="shared" si="12"/>
        <v/>
      </c>
      <c r="D185" s="5"/>
      <c r="E185" s="17"/>
      <c r="F185" s="17"/>
      <c r="G185" s="5"/>
      <c r="H185" s="10">
        <f t="shared" si="13"/>
        <v>0</v>
      </c>
      <c r="I185" s="10" t="str">
        <f t="shared" si="14"/>
        <v/>
      </c>
      <c r="J185" s="10" t="str">
        <f t="shared" si="15"/>
        <v/>
      </c>
      <c r="K185" s="10" t="str">
        <f t="shared" si="16"/>
        <v/>
      </c>
      <c r="L185" s="4" t="str">
        <f t="shared" si="17"/>
        <v/>
      </c>
    </row>
    <row r="186" spans="1:12" x14ac:dyDescent="0.3">
      <c r="A186" s="5"/>
      <c r="B186" s="5"/>
      <c r="C186" s="10" t="str">
        <f t="shared" si="12"/>
        <v/>
      </c>
      <c r="D186" s="5"/>
      <c r="E186" s="17"/>
      <c r="F186" s="17"/>
      <c r="G186" s="5"/>
      <c r="H186" s="10">
        <f t="shared" si="13"/>
        <v>0</v>
      </c>
      <c r="I186" s="10" t="str">
        <f t="shared" si="14"/>
        <v/>
      </c>
      <c r="J186" s="10" t="str">
        <f t="shared" si="15"/>
        <v/>
      </c>
      <c r="K186" s="10" t="str">
        <f t="shared" si="16"/>
        <v/>
      </c>
      <c r="L186" s="4" t="str">
        <f t="shared" si="17"/>
        <v/>
      </c>
    </row>
    <row r="187" spans="1:12" x14ac:dyDescent="0.3">
      <c r="A187" s="5"/>
      <c r="B187" s="5"/>
      <c r="C187" s="10" t="str">
        <f t="shared" si="12"/>
        <v/>
      </c>
      <c r="D187" s="5"/>
      <c r="E187" s="17"/>
      <c r="F187" s="17"/>
      <c r="G187" s="5"/>
      <c r="H187" s="10">
        <f t="shared" si="13"/>
        <v>0</v>
      </c>
      <c r="I187" s="10" t="str">
        <f t="shared" si="14"/>
        <v/>
      </c>
      <c r="J187" s="10" t="str">
        <f t="shared" si="15"/>
        <v/>
      </c>
      <c r="K187" s="10" t="str">
        <f t="shared" si="16"/>
        <v/>
      </c>
      <c r="L187" s="4" t="str">
        <f t="shared" si="17"/>
        <v/>
      </c>
    </row>
    <row r="188" spans="1:12" x14ac:dyDescent="0.3">
      <c r="A188" s="5"/>
      <c r="B188" s="5"/>
      <c r="C188" s="10" t="str">
        <f t="shared" si="12"/>
        <v/>
      </c>
      <c r="D188" s="5"/>
      <c r="E188" s="17"/>
      <c r="F188" s="17"/>
      <c r="G188" s="5"/>
      <c r="H188" s="10">
        <f t="shared" si="13"/>
        <v>0</v>
      </c>
      <c r="I188" s="10" t="str">
        <f t="shared" si="14"/>
        <v/>
      </c>
      <c r="J188" s="10" t="str">
        <f t="shared" si="15"/>
        <v/>
      </c>
      <c r="K188" s="10" t="str">
        <f t="shared" si="16"/>
        <v/>
      </c>
      <c r="L188" s="4" t="str">
        <f t="shared" si="17"/>
        <v/>
      </c>
    </row>
    <row r="189" spans="1:12" x14ac:dyDescent="0.3">
      <c r="A189" s="5"/>
      <c r="B189" s="5"/>
      <c r="C189" s="10" t="str">
        <f t="shared" si="12"/>
        <v/>
      </c>
      <c r="D189" s="5"/>
      <c r="E189" s="17"/>
      <c r="F189" s="17"/>
      <c r="G189" s="5"/>
      <c r="H189" s="10">
        <f t="shared" si="13"/>
        <v>0</v>
      </c>
      <c r="I189" s="10" t="str">
        <f t="shared" si="14"/>
        <v/>
      </c>
      <c r="J189" s="10" t="str">
        <f t="shared" si="15"/>
        <v/>
      </c>
      <c r="K189" s="10" t="str">
        <f t="shared" si="16"/>
        <v/>
      </c>
      <c r="L189" s="4" t="str">
        <f t="shared" si="17"/>
        <v/>
      </c>
    </row>
    <row r="190" spans="1:12" x14ac:dyDescent="0.3">
      <c r="A190" s="5"/>
      <c r="B190" s="5"/>
      <c r="C190" s="10" t="str">
        <f t="shared" si="12"/>
        <v/>
      </c>
      <c r="D190" s="5"/>
      <c r="E190" s="17"/>
      <c r="F190" s="17"/>
      <c r="G190" s="5"/>
      <c r="H190" s="10">
        <f t="shared" si="13"/>
        <v>0</v>
      </c>
      <c r="I190" s="10" t="str">
        <f t="shared" si="14"/>
        <v/>
      </c>
      <c r="J190" s="10" t="str">
        <f t="shared" si="15"/>
        <v/>
      </c>
      <c r="K190" s="10" t="str">
        <f t="shared" si="16"/>
        <v/>
      </c>
      <c r="L190" s="4" t="str">
        <f t="shared" si="17"/>
        <v/>
      </c>
    </row>
    <row r="191" spans="1:12" x14ac:dyDescent="0.3">
      <c r="A191" s="5"/>
      <c r="B191" s="5"/>
      <c r="C191" s="10" t="str">
        <f t="shared" si="12"/>
        <v/>
      </c>
      <c r="D191" s="5"/>
      <c r="E191" s="17"/>
      <c r="F191" s="17"/>
      <c r="G191" s="5"/>
      <c r="H191" s="10">
        <f t="shared" si="13"/>
        <v>0</v>
      </c>
      <c r="I191" s="10" t="str">
        <f t="shared" si="14"/>
        <v/>
      </c>
      <c r="J191" s="10" t="str">
        <f t="shared" si="15"/>
        <v/>
      </c>
      <c r="K191" s="10" t="str">
        <f t="shared" si="16"/>
        <v/>
      </c>
      <c r="L191" s="4" t="str">
        <f t="shared" si="17"/>
        <v/>
      </c>
    </row>
    <row r="192" spans="1:12" x14ac:dyDescent="0.3">
      <c r="A192" s="5"/>
      <c r="B192" s="5"/>
      <c r="C192" s="10" t="str">
        <f t="shared" si="12"/>
        <v/>
      </c>
      <c r="D192" s="5"/>
      <c r="E192" s="17"/>
      <c r="F192" s="17"/>
      <c r="G192" s="5"/>
      <c r="H192" s="10">
        <f t="shared" si="13"/>
        <v>0</v>
      </c>
      <c r="I192" s="10" t="str">
        <f t="shared" si="14"/>
        <v/>
      </c>
      <c r="J192" s="10" t="str">
        <f t="shared" si="15"/>
        <v/>
      </c>
      <c r="K192" s="10" t="str">
        <f t="shared" si="16"/>
        <v/>
      </c>
      <c r="L192" s="4" t="str">
        <f t="shared" si="17"/>
        <v/>
      </c>
    </row>
    <row r="193" spans="1:12" x14ac:dyDescent="0.3">
      <c r="A193" s="5"/>
      <c r="B193" s="5"/>
      <c r="C193" s="10" t="str">
        <f t="shared" si="12"/>
        <v/>
      </c>
      <c r="D193" s="5"/>
      <c r="E193" s="17"/>
      <c r="F193" s="17"/>
      <c r="G193" s="5"/>
      <c r="H193" s="10">
        <f t="shared" si="13"/>
        <v>0</v>
      </c>
      <c r="I193" s="10" t="str">
        <f t="shared" si="14"/>
        <v/>
      </c>
      <c r="J193" s="10" t="str">
        <f t="shared" si="15"/>
        <v/>
      </c>
      <c r="K193" s="10" t="str">
        <f t="shared" si="16"/>
        <v/>
      </c>
      <c r="L193" s="4" t="str">
        <f t="shared" si="17"/>
        <v/>
      </c>
    </row>
    <row r="194" spans="1:12" x14ac:dyDescent="0.3">
      <c r="A194" s="5"/>
      <c r="B194" s="5"/>
      <c r="C194" s="10" t="str">
        <f t="shared" si="12"/>
        <v/>
      </c>
      <c r="D194" s="5"/>
      <c r="E194" s="17"/>
      <c r="F194" s="17"/>
      <c r="G194" s="5"/>
      <c r="H194" s="10">
        <f t="shared" si="13"/>
        <v>0</v>
      </c>
      <c r="I194" s="10" t="str">
        <f t="shared" si="14"/>
        <v/>
      </c>
      <c r="J194" s="10" t="str">
        <f t="shared" si="15"/>
        <v/>
      </c>
      <c r="K194" s="10" t="str">
        <f t="shared" si="16"/>
        <v/>
      </c>
      <c r="L194" s="4" t="str">
        <f t="shared" si="17"/>
        <v/>
      </c>
    </row>
    <row r="195" spans="1:12" x14ac:dyDescent="0.3">
      <c r="A195" s="5"/>
      <c r="B195" s="5"/>
      <c r="C195" s="10" t="str">
        <f t="shared" si="12"/>
        <v/>
      </c>
      <c r="D195" s="5"/>
      <c r="E195" s="17"/>
      <c r="F195" s="17"/>
      <c r="G195" s="5"/>
      <c r="H195" s="10">
        <f t="shared" si="13"/>
        <v>0</v>
      </c>
      <c r="I195" s="10" t="str">
        <f t="shared" si="14"/>
        <v/>
      </c>
      <c r="J195" s="10" t="str">
        <f t="shared" si="15"/>
        <v/>
      </c>
      <c r="K195" s="10" t="str">
        <f t="shared" si="16"/>
        <v/>
      </c>
      <c r="L195" s="4" t="str">
        <f t="shared" si="17"/>
        <v/>
      </c>
    </row>
    <row r="196" spans="1:12" x14ac:dyDescent="0.3">
      <c r="A196" s="5"/>
      <c r="B196" s="5"/>
      <c r="C196" s="10" t="str">
        <f t="shared" ref="C196:C259" si="18">IF(A196="","",IFERROR(INDEX(LIST_PER_CODE,MATCH(B196,LIST_PER_EN,0)),IFERROR(INDEX(LIST_PER_CODE,MATCH(B196,LIST_PER_HU,0)),"")))</f>
        <v/>
      </c>
      <c r="D196" s="5"/>
      <c r="E196" s="17"/>
      <c r="F196" s="17"/>
      <c r="G196" s="5"/>
      <c r="H196" s="10">
        <f t="shared" ref="H196:H259" si="19">IF(A196="",0,N(E196)-N(F196))</f>
        <v>0</v>
      </c>
      <c r="I196" s="10" t="str">
        <f t="shared" ref="I196:I259" si="20">IF(D196="","",IFERROR(INDEX(COA_LINE_EFF,MATCH(D196,COA_ACCT,0))&amp;"",""))</f>
        <v/>
      </c>
      <c r="J196" s="10" t="str">
        <f t="shared" ref="J196:J259" si="21">IF(D196="","",IFERROR(INDEX(COA_LINE_N,MATCH(D196,COA_ACCT,0))&amp;"",""))</f>
        <v/>
      </c>
      <c r="K196" s="10" t="str">
        <f t="shared" ref="K196:K259" si="22">IF(D196="","",IFERROR(INDEX(COA_CF,MATCH(D196,COA_ACCT,0))&amp;"","-"))</f>
        <v/>
      </c>
      <c r="L196" s="4" t="str">
        <f t="shared" ref="L196:L259" si="23">IF(A196="","",TRIM(IF(ROUND(SUMIF(ADJ_ID,A196,ADJ_NET),2)&lt;&gt;0,IFERROR(INDEX(DICT_ACTIVE,MATCH("ADJ.UNBAL",DICT_KEY,0)),"")&amp;" ","")&amp;IF(C196="",IFERROR(INDEX(DICT_ACTIVE,MATCH("ADJ.NOPER",DICT_KEY,0)),"")&amp;" ","")&amp;IF(I196="",IFERROR(INDEX(DICT_ACTIVE,MATCH("TB.UNMAPPED",DICT_KEY,0)),"")&amp;" ","")))</f>
        <v/>
      </c>
    </row>
    <row r="197" spans="1:12" x14ac:dyDescent="0.3">
      <c r="A197" s="5"/>
      <c r="B197" s="5"/>
      <c r="C197" s="10" t="str">
        <f t="shared" si="18"/>
        <v/>
      </c>
      <c r="D197" s="5"/>
      <c r="E197" s="17"/>
      <c r="F197" s="17"/>
      <c r="G197" s="5"/>
      <c r="H197" s="10">
        <f t="shared" si="19"/>
        <v>0</v>
      </c>
      <c r="I197" s="10" t="str">
        <f t="shared" si="20"/>
        <v/>
      </c>
      <c r="J197" s="10" t="str">
        <f t="shared" si="21"/>
        <v/>
      </c>
      <c r="K197" s="10" t="str">
        <f t="shared" si="22"/>
        <v/>
      </c>
      <c r="L197" s="4" t="str">
        <f t="shared" si="23"/>
        <v/>
      </c>
    </row>
    <row r="198" spans="1:12" x14ac:dyDescent="0.3">
      <c r="A198" s="5"/>
      <c r="B198" s="5"/>
      <c r="C198" s="10" t="str">
        <f t="shared" si="18"/>
        <v/>
      </c>
      <c r="D198" s="5"/>
      <c r="E198" s="17"/>
      <c r="F198" s="17"/>
      <c r="G198" s="5"/>
      <c r="H198" s="10">
        <f t="shared" si="19"/>
        <v>0</v>
      </c>
      <c r="I198" s="10" t="str">
        <f t="shared" si="20"/>
        <v/>
      </c>
      <c r="J198" s="10" t="str">
        <f t="shared" si="21"/>
        <v/>
      </c>
      <c r="K198" s="10" t="str">
        <f t="shared" si="22"/>
        <v/>
      </c>
      <c r="L198" s="4" t="str">
        <f t="shared" si="23"/>
        <v/>
      </c>
    </row>
    <row r="199" spans="1:12" x14ac:dyDescent="0.3">
      <c r="A199" s="5"/>
      <c r="B199" s="5"/>
      <c r="C199" s="10" t="str">
        <f t="shared" si="18"/>
        <v/>
      </c>
      <c r="D199" s="5"/>
      <c r="E199" s="17"/>
      <c r="F199" s="17"/>
      <c r="G199" s="5"/>
      <c r="H199" s="10">
        <f t="shared" si="19"/>
        <v>0</v>
      </c>
      <c r="I199" s="10" t="str">
        <f t="shared" si="20"/>
        <v/>
      </c>
      <c r="J199" s="10" t="str">
        <f t="shared" si="21"/>
        <v/>
      </c>
      <c r="K199" s="10" t="str">
        <f t="shared" si="22"/>
        <v/>
      </c>
      <c r="L199" s="4" t="str">
        <f t="shared" si="23"/>
        <v/>
      </c>
    </row>
    <row r="200" spans="1:12" x14ac:dyDescent="0.3">
      <c r="A200" s="5"/>
      <c r="B200" s="5"/>
      <c r="C200" s="10" t="str">
        <f t="shared" si="18"/>
        <v/>
      </c>
      <c r="D200" s="5"/>
      <c r="E200" s="17"/>
      <c r="F200" s="17"/>
      <c r="G200" s="5"/>
      <c r="H200" s="10">
        <f t="shared" si="19"/>
        <v>0</v>
      </c>
      <c r="I200" s="10" t="str">
        <f t="shared" si="20"/>
        <v/>
      </c>
      <c r="J200" s="10" t="str">
        <f t="shared" si="21"/>
        <v/>
      </c>
      <c r="K200" s="10" t="str">
        <f t="shared" si="22"/>
        <v/>
      </c>
      <c r="L200" s="4" t="str">
        <f t="shared" si="23"/>
        <v/>
      </c>
    </row>
    <row r="201" spans="1:12" x14ac:dyDescent="0.3">
      <c r="A201" s="5"/>
      <c r="B201" s="5"/>
      <c r="C201" s="10" t="str">
        <f t="shared" si="18"/>
        <v/>
      </c>
      <c r="D201" s="5"/>
      <c r="E201" s="17"/>
      <c r="F201" s="17"/>
      <c r="G201" s="5"/>
      <c r="H201" s="10">
        <f t="shared" si="19"/>
        <v>0</v>
      </c>
      <c r="I201" s="10" t="str">
        <f t="shared" si="20"/>
        <v/>
      </c>
      <c r="J201" s="10" t="str">
        <f t="shared" si="21"/>
        <v/>
      </c>
      <c r="K201" s="10" t="str">
        <f t="shared" si="22"/>
        <v/>
      </c>
      <c r="L201" s="4" t="str">
        <f t="shared" si="23"/>
        <v/>
      </c>
    </row>
    <row r="202" spans="1:12" x14ac:dyDescent="0.3">
      <c r="A202" s="5"/>
      <c r="B202" s="5"/>
      <c r="C202" s="10" t="str">
        <f t="shared" si="18"/>
        <v/>
      </c>
      <c r="D202" s="5"/>
      <c r="E202" s="17"/>
      <c r="F202" s="17"/>
      <c r="G202" s="5"/>
      <c r="H202" s="10">
        <f t="shared" si="19"/>
        <v>0</v>
      </c>
      <c r="I202" s="10" t="str">
        <f t="shared" si="20"/>
        <v/>
      </c>
      <c r="J202" s="10" t="str">
        <f t="shared" si="21"/>
        <v/>
      </c>
      <c r="K202" s="10" t="str">
        <f t="shared" si="22"/>
        <v/>
      </c>
      <c r="L202" s="4" t="str">
        <f t="shared" si="23"/>
        <v/>
      </c>
    </row>
    <row r="203" spans="1:12" x14ac:dyDescent="0.3">
      <c r="A203" s="5"/>
      <c r="B203" s="5"/>
      <c r="C203" s="10" t="str">
        <f t="shared" si="18"/>
        <v/>
      </c>
      <c r="D203" s="5"/>
      <c r="E203" s="17"/>
      <c r="F203" s="17"/>
      <c r="G203" s="5"/>
      <c r="H203" s="10">
        <f t="shared" si="19"/>
        <v>0</v>
      </c>
      <c r="I203" s="10" t="str">
        <f t="shared" si="20"/>
        <v/>
      </c>
      <c r="J203" s="10" t="str">
        <f t="shared" si="21"/>
        <v/>
      </c>
      <c r="K203" s="10" t="str">
        <f t="shared" si="22"/>
        <v/>
      </c>
      <c r="L203" s="4" t="str">
        <f t="shared" si="23"/>
        <v/>
      </c>
    </row>
    <row r="204" spans="1:12" x14ac:dyDescent="0.3">
      <c r="A204" s="5"/>
      <c r="B204" s="5"/>
      <c r="C204" s="10" t="str">
        <f t="shared" si="18"/>
        <v/>
      </c>
      <c r="D204" s="5"/>
      <c r="E204" s="17"/>
      <c r="F204" s="17"/>
      <c r="G204" s="5"/>
      <c r="H204" s="10">
        <f t="shared" si="19"/>
        <v>0</v>
      </c>
      <c r="I204" s="10" t="str">
        <f t="shared" si="20"/>
        <v/>
      </c>
      <c r="J204" s="10" t="str">
        <f t="shared" si="21"/>
        <v/>
      </c>
      <c r="K204" s="10" t="str">
        <f t="shared" si="22"/>
        <v/>
      </c>
      <c r="L204" s="4" t="str">
        <f t="shared" si="23"/>
        <v/>
      </c>
    </row>
    <row r="205" spans="1:12" x14ac:dyDescent="0.3">
      <c r="A205" s="5"/>
      <c r="B205" s="5"/>
      <c r="C205" s="10" t="str">
        <f t="shared" si="18"/>
        <v/>
      </c>
      <c r="D205" s="5"/>
      <c r="E205" s="17"/>
      <c r="F205" s="17"/>
      <c r="G205" s="5"/>
      <c r="H205" s="10">
        <f t="shared" si="19"/>
        <v>0</v>
      </c>
      <c r="I205" s="10" t="str">
        <f t="shared" si="20"/>
        <v/>
      </c>
      <c r="J205" s="10" t="str">
        <f t="shared" si="21"/>
        <v/>
      </c>
      <c r="K205" s="10" t="str">
        <f t="shared" si="22"/>
        <v/>
      </c>
      <c r="L205" s="4" t="str">
        <f t="shared" si="23"/>
        <v/>
      </c>
    </row>
    <row r="206" spans="1:12" x14ac:dyDescent="0.3">
      <c r="A206" s="5"/>
      <c r="B206" s="5"/>
      <c r="C206" s="10" t="str">
        <f t="shared" si="18"/>
        <v/>
      </c>
      <c r="D206" s="5"/>
      <c r="E206" s="17"/>
      <c r="F206" s="17"/>
      <c r="G206" s="5"/>
      <c r="H206" s="10">
        <f t="shared" si="19"/>
        <v>0</v>
      </c>
      <c r="I206" s="10" t="str">
        <f t="shared" si="20"/>
        <v/>
      </c>
      <c r="J206" s="10" t="str">
        <f t="shared" si="21"/>
        <v/>
      </c>
      <c r="K206" s="10" t="str">
        <f t="shared" si="22"/>
        <v/>
      </c>
      <c r="L206" s="4" t="str">
        <f t="shared" si="23"/>
        <v/>
      </c>
    </row>
    <row r="207" spans="1:12" x14ac:dyDescent="0.3">
      <c r="A207" s="5"/>
      <c r="B207" s="5"/>
      <c r="C207" s="10" t="str">
        <f t="shared" si="18"/>
        <v/>
      </c>
      <c r="D207" s="5"/>
      <c r="E207" s="17"/>
      <c r="F207" s="17"/>
      <c r="G207" s="5"/>
      <c r="H207" s="10">
        <f t="shared" si="19"/>
        <v>0</v>
      </c>
      <c r="I207" s="10" t="str">
        <f t="shared" si="20"/>
        <v/>
      </c>
      <c r="J207" s="10" t="str">
        <f t="shared" si="21"/>
        <v/>
      </c>
      <c r="K207" s="10" t="str">
        <f t="shared" si="22"/>
        <v/>
      </c>
      <c r="L207" s="4" t="str">
        <f t="shared" si="23"/>
        <v/>
      </c>
    </row>
    <row r="208" spans="1:12" x14ac:dyDescent="0.3">
      <c r="A208" s="5"/>
      <c r="B208" s="5"/>
      <c r="C208" s="10" t="str">
        <f t="shared" si="18"/>
        <v/>
      </c>
      <c r="D208" s="5"/>
      <c r="E208" s="17"/>
      <c r="F208" s="17"/>
      <c r="G208" s="5"/>
      <c r="H208" s="10">
        <f t="shared" si="19"/>
        <v>0</v>
      </c>
      <c r="I208" s="10" t="str">
        <f t="shared" si="20"/>
        <v/>
      </c>
      <c r="J208" s="10" t="str">
        <f t="shared" si="21"/>
        <v/>
      </c>
      <c r="K208" s="10" t="str">
        <f t="shared" si="22"/>
        <v/>
      </c>
      <c r="L208" s="4" t="str">
        <f t="shared" si="23"/>
        <v/>
      </c>
    </row>
    <row r="209" spans="1:12" x14ac:dyDescent="0.3">
      <c r="A209" s="5"/>
      <c r="B209" s="5"/>
      <c r="C209" s="10" t="str">
        <f t="shared" si="18"/>
        <v/>
      </c>
      <c r="D209" s="5"/>
      <c r="E209" s="17"/>
      <c r="F209" s="17"/>
      <c r="G209" s="5"/>
      <c r="H209" s="10">
        <f t="shared" si="19"/>
        <v>0</v>
      </c>
      <c r="I209" s="10" t="str">
        <f t="shared" si="20"/>
        <v/>
      </c>
      <c r="J209" s="10" t="str">
        <f t="shared" si="21"/>
        <v/>
      </c>
      <c r="K209" s="10" t="str">
        <f t="shared" si="22"/>
        <v/>
      </c>
      <c r="L209" s="4" t="str">
        <f t="shared" si="23"/>
        <v/>
      </c>
    </row>
    <row r="210" spans="1:12" x14ac:dyDescent="0.3">
      <c r="A210" s="5"/>
      <c r="B210" s="5"/>
      <c r="C210" s="10" t="str">
        <f t="shared" si="18"/>
        <v/>
      </c>
      <c r="D210" s="5"/>
      <c r="E210" s="17"/>
      <c r="F210" s="17"/>
      <c r="G210" s="5"/>
      <c r="H210" s="10">
        <f t="shared" si="19"/>
        <v>0</v>
      </c>
      <c r="I210" s="10" t="str">
        <f t="shared" si="20"/>
        <v/>
      </c>
      <c r="J210" s="10" t="str">
        <f t="shared" si="21"/>
        <v/>
      </c>
      <c r="K210" s="10" t="str">
        <f t="shared" si="22"/>
        <v/>
      </c>
      <c r="L210" s="4" t="str">
        <f t="shared" si="23"/>
        <v/>
      </c>
    </row>
    <row r="211" spans="1:12" x14ac:dyDescent="0.3">
      <c r="A211" s="5"/>
      <c r="B211" s="5"/>
      <c r="C211" s="10" t="str">
        <f t="shared" si="18"/>
        <v/>
      </c>
      <c r="D211" s="5"/>
      <c r="E211" s="17"/>
      <c r="F211" s="17"/>
      <c r="G211" s="5"/>
      <c r="H211" s="10">
        <f t="shared" si="19"/>
        <v>0</v>
      </c>
      <c r="I211" s="10" t="str">
        <f t="shared" si="20"/>
        <v/>
      </c>
      <c r="J211" s="10" t="str">
        <f t="shared" si="21"/>
        <v/>
      </c>
      <c r="K211" s="10" t="str">
        <f t="shared" si="22"/>
        <v/>
      </c>
      <c r="L211" s="4" t="str">
        <f t="shared" si="23"/>
        <v/>
      </c>
    </row>
    <row r="212" spans="1:12" x14ac:dyDescent="0.3">
      <c r="A212" s="5"/>
      <c r="B212" s="5"/>
      <c r="C212" s="10" t="str">
        <f t="shared" si="18"/>
        <v/>
      </c>
      <c r="D212" s="5"/>
      <c r="E212" s="17"/>
      <c r="F212" s="17"/>
      <c r="G212" s="5"/>
      <c r="H212" s="10">
        <f t="shared" si="19"/>
        <v>0</v>
      </c>
      <c r="I212" s="10" t="str">
        <f t="shared" si="20"/>
        <v/>
      </c>
      <c r="J212" s="10" t="str">
        <f t="shared" si="21"/>
        <v/>
      </c>
      <c r="K212" s="10" t="str">
        <f t="shared" si="22"/>
        <v/>
      </c>
      <c r="L212" s="4" t="str">
        <f t="shared" si="23"/>
        <v/>
      </c>
    </row>
    <row r="213" spans="1:12" x14ac:dyDescent="0.3">
      <c r="A213" s="5"/>
      <c r="B213" s="5"/>
      <c r="C213" s="10" t="str">
        <f t="shared" si="18"/>
        <v/>
      </c>
      <c r="D213" s="5"/>
      <c r="E213" s="17"/>
      <c r="F213" s="17"/>
      <c r="G213" s="5"/>
      <c r="H213" s="10">
        <f t="shared" si="19"/>
        <v>0</v>
      </c>
      <c r="I213" s="10" t="str">
        <f t="shared" si="20"/>
        <v/>
      </c>
      <c r="J213" s="10" t="str">
        <f t="shared" si="21"/>
        <v/>
      </c>
      <c r="K213" s="10" t="str">
        <f t="shared" si="22"/>
        <v/>
      </c>
      <c r="L213" s="4" t="str">
        <f t="shared" si="23"/>
        <v/>
      </c>
    </row>
    <row r="214" spans="1:12" x14ac:dyDescent="0.3">
      <c r="A214" s="5"/>
      <c r="B214" s="5"/>
      <c r="C214" s="10" t="str">
        <f t="shared" si="18"/>
        <v/>
      </c>
      <c r="D214" s="5"/>
      <c r="E214" s="17"/>
      <c r="F214" s="17"/>
      <c r="G214" s="5"/>
      <c r="H214" s="10">
        <f t="shared" si="19"/>
        <v>0</v>
      </c>
      <c r="I214" s="10" t="str">
        <f t="shared" si="20"/>
        <v/>
      </c>
      <c r="J214" s="10" t="str">
        <f t="shared" si="21"/>
        <v/>
      </c>
      <c r="K214" s="10" t="str">
        <f t="shared" si="22"/>
        <v/>
      </c>
      <c r="L214" s="4" t="str">
        <f t="shared" si="23"/>
        <v/>
      </c>
    </row>
    <row r="215" spans="1:12" x14ac:dyDescent="0.3">
      <c r="A215" s="5"/>
      <c r="B215" s="5"/>
      <c r="C215" s="10" t="str">
        <f t="shared" si="18"/>
        <v/>
      </c>
      <c r="D215" s="5"/>
      <c r="E215" s="17"/>
      <c r="F215" s="17"/>
      <c r="G215" s="5"/>
      <c r="H215" s="10">
        <f t="shared" si="19"/>
        <v>0</v>
      </c>
      <c r="I215" s="10" t="str">
        <f t="shared" si="20"/>
        <v/>
      </c>
      <c r="J215" s="10" t="str">
        <f t="shared" si="21"/>
        <v/>
      </c>
      <c r="K215" s="10" t="str">
        <f t="shared" si="22"/>
        <v/>
      </c>
      <c r="L215" s="4" t="str">
        <f t="shared" si="23"/>
        <v/>
      </c>
    </row>
    <row r="216" spans="1:12" x14ac:dyDescent="0.3">
      <c r="A216" s="5"/>
      <c r="B216" s="5"/>
      <c r="C216" s="10" t="str">
        <f t="shared" si="18"/>
        <v/>
      </c>
      <c r="D216" s="5"/>
      <c r="E216" s="17"/>
      <c r="F216" s="17"/>
      <c r="G216" s="5"/>
      <c r="H216" s="10">
        <f t="shared" si="19"/>
        <v>0</v>
      </c>
      <c r="I216" s="10" t="str">
        <f t="shared" si="20"/>
        <v/>
      </c>
      <c r="J216" s="10" t="str">
        <f t="shared" si="21"/>
        <v/>
      </c>
      <c r="K216" s="10" t="str">
        <f t="shared" si="22"/>
        <v/>
      </c>
      <c r="L216" s="4" t="str">
        <f t="shared" si="23"/>
        <v/>
      </c>
    </row>
    <row r="217" spans="1:12" x14ac:dyDescent="0.3">
      <c r="A217" s="5"/>
      <c r="B217" s="5"/>
      <c r="C217" s="10" t="str">
        <f t="shared" si="18"/>
        <v/>
      </c>
      <c r="D217" s="5"/>
      <c r="E217" s="17"/>
      <c r="F217" s="17"/>
      <c r="G217" s="5"/>
      <c r="H217" s="10">
        <f t="shared" si="19"/>
        <v>0</v>
      </c>
      <c r="I217" s="10" t="str">
        <f t="shared" si="20"/>
        <v/>
      </c>
      <c r="J217" s="10" t="str">
        <f t="shared" si="21"/>
        <v/>
      </c>
      <c r="K217" s="10" t="str">
        <f t="shared" si="22"/>
        <v/>
      </c>
      <c r="L217" s="4" t="str">
        <f t="shared" si="23"/>
        <v/>
      </c>
    </row>
    <row r="218" spans="1:12" x14ac:dyDescent="0.3">
      <c r="A218" s="5"/>
      <c r="B218" s="5"/>
      <c r="C218" s="10" t="str">
        <f t="shared" si="18"/>
        <v/>
      </c>
      <c r="D218" s="5"/>
      <c r="E218" s="17"/>
      <c r="F218" s="17"/>
      <c r="G218" s="5"/>
      <c r="H218" s="10">
        <f t="shared" si="19"/>
        <v>0</v>
      </c>
      <c r="I218" s="10" t="str">
        <f t="shared" si="20"/>
        <v/>
      </c>
      <c r="J218" s="10" t="str">
        <f t="shared" si="21"/>
        <v/>
      </c>
      <c r="K218" s="10" t="str">
        <f t="shared" si="22"/>
        <v/>
      </c>
      <c r="L218" s="4" t="str">
        <f t="shared" si="23"/>
        <v/>
      </c>
    </row>
    <row r="219" spans="1:12" x14ac:dyDescent="0.3">
      <c r="A219" s="5"/>
      <c r="B219" s="5"/>
      <c r="C219" s="10" t="str">
        <f t="shared" si="18"/>
        <v/>
      </c>
      <c r="D219" s="5"/>
      <c r="E219" s="17"/>
      <c r="F219" s="17"/>
      <c r="G219" s="5"/>
      <c r="H219" s="10">
        <f t="shared" si="19"/>
        <v>0</v>
      </c>
      <c r="I219" s="10" t="str">
        <f t="shared" si="20"/>
        <v/>
      </c>
      <c r="J219" s="10" t="str">
        <f t="shared" si="21"/>
        <v/>
      </c>
      <c r="K219" s="10" t="str">
        <f t="shared" si="22"/>
        <v/>
      </c>
      <c r="L219" s="4" t="str">
        <f t="shared" si="23"/>
        <v/>
      </c>
    </row>
    <row r="220" spans="1:12" x14ac:dyDescent="0.3">
      <c r="A220" s="5"/>
      <c r="B220" s="5"/>
      <c r="C220" s="10" t="str">
        <f t="shared" si="18"/>
        <v/>
      </c>
      <c r="D220" s="5"/>
      <c r="E220" s="17"/>
      <c r="F220" s="17"/>
      <c r="G220" s="5"/>
      <c r="H220" s="10">
        <f t="shared" si="19"/>
        <v>0</v>
      </c>
      <c r="I220" s="10" t="str">
        <f t="shared" si="20"/>
        <v/>
      </c>
      <c r="J220" s="10" t="str">
        <f t="shared" si="21"/>
        <v/>
      </c>
      <c r="K220" s="10" t="str">
        <f t="shared" si="22"/>
        <v/>
      </c>
      <c r="L220" s="4" t="str">
        <f t="shared" si="23"/>
        <v/>
      </c>
    </row>
    <row r="221" spans="1:12" x14ac:dyDescent="0.3">
      <c r="A221" s="5"/>
      <c r="B221" s="5"/>
      <c r="C221" s="10" t="str">
        <f t="shared" si="18"/>
        <v/>
      </c>
      <c r="D221" s="5"/>
      <c r="E221" s="17"/>
      <c r="F221" s="17"/>
      <c r="G221" s="5"/>
      <c r="H221" s="10">
        <f t="shared" si="19"/>
        <v>0</v>
      </c>
      <c r="I221" s="10" t="str">
        <f t="shared" si="20"/>
        <v/>
      </c>
      <c r="J221" s="10" t="str">
        <f t="shared" si="21"/>
        <v/>
      </c>
      <c r="K221" s="10" t="str">
        <f t="shared" si="22"/>
        <v/>
      </c>
      <c r="L221" s="4" t="str">
        <f t="shared" si="23"/>
        <v/>
      </c>
    </row>
    <row r="222" spans="1:12" x14ac:dyDescent="0.3">
      <c r="A222" s="5"/>
      <c r="B222" s="5"/>
      <c r="C222" s="10" t="str">
        <f t="shared" si="18"/>
        <v/>
      </c>
      <c r="D222" s="5"/>
      <c r="E222" s="17"/>
      <c r="F222" s="17"/>
      <c r="G222" s="5"/>
      <c r="H222" s="10">
        <f t="shared" si="19"/>
        <v>0</v>
      </c>
      <c r="I222" s="10" t="str">
        <f t="shared" si="20"/>
        <v/>
      </c>
      <c r="J222" s="10" t="str">
        <f t="shared" si="21"/>
        <v/>
      </c>
      <c r="K222" s="10" t="str">
        <f t="shared" si="22"/>
        <v/>
      </c>
      <c r="L222" s="4" t="str">
        <f t="shared" si="23"/>
        <v/>
      </c>
    </row>
    <row r="223" spans="1:12" x14ac:dyDescent="0.3">
      <c r="A223" s="5"/>
      <c r="B223" s="5"/>
      <c r="C223" s="10" t="str">
        <f t="shared" si="18"/>
        <v/>
      </c>
      <c r="D223" s="5"/>
      <c r="E223" s="17"/>
      <c r="F223" s="17"/>
      <c r="G223" s="5"/>
      <c r="H223" s="10">
        <f t="shared" si="19"/>
        <v>0</v>
      </c>
      <c r="I223" s="10" t="str">
        <f t="shared" si="20"/>
        <v/>
      </c>
      <c r="J223" s="10" t="str">
        <f t="shared" si="21"/>
        <v/>
      </c>
      <c r="K223" s="10" t="str">
        <f t="shared" si="22"/>
        <v/>
      </c>
      <c r="L223" s="4" t="str">
        <f t="shared" si="23"/>
        <v/>
      </c>
    </row>
    <row r="224" spans="1:12" x14ac:dyDescent="0.3">
      <c r="A224" s="5"/>
      <c r="B224" s="5"/>
      <c r="C224" s="10" t="str">
        <f t="shared" si="18"/>
        <v/>
      </c>
      <c r="D224" s="5"/>
      <c r="E224" s="17"/>
      <c r="F224" s="17"/>
      <c r="G224" s="5"/>
      <c r="H224" s="10">
        <f t="shared" si="19"/>
        <v>0</v>
      </c>
      <c r="I224" s="10" t="str">
        <f t="shared" si="20"/>
        <v/>
      </c>
      <c r="J224" s="10" t="str">
        <f t="shared" si="21"/>
        <v/>
      </c>
      <c r="K224" s="10" t="str">
        <f t="shared" si="22"/>
        <v/>
      </c>
      <c r="L224" s="4" t="str">
        <f t="shared" si="23"/>
        <v/>
      </c>
    </row>
    <row r="225" spans="1:12" x14ac:dyDescent="0.3">
      <c r="A225" s="5"/>
      <c r="B225" s="5"/>
      <c r="C225" s="10" t="str">
        <f t="shared" si="18"/>
        <v/>
      </c>
      <c r="D225" s="5"/>
      <c r="E225" s="17"/>
      <c r="F225" s="17"/>
      <c r="G225" s="5"/>
      <c r="H225" s="10">
        <f t="shared" si="19"/>
        <v>0</v>
      </c>
      <c r="I225" s="10" t="str">
        <f t="shared" si="20"/>
        <v/>
      </c>
      <c r="J225" s="10" t="str">
        <f t="shared" si="21"/>
        <v/>
      </c>
      <c r="K225" s="10" t="str">
        <f t="shared" si="22"/>
        <v/>
      </c>
      <c r="L225" s="4" t="str">
        <f t="shared" si="23"/>
        <v/>
      </c>
    </row>
    <row r="226" spans="1:12" x14ac:dyDescent="0.3">
      <c r="A226" s="5"/>
      <c r="B226" s="5"/>
      <c r="C226" s="10" t="str">
        <f t="shared" si="18"/>
        <v/>
      </c>
      <c r="D226" s="5"/>
      <c r="E226" s="17"/>
      <c r="F226" s="17"/>
      <c r="G226" s="5"/>
      <c r="H226" s="10">
        <f t="shared" si="19"/>
        <v>0</v>
      </c>
      <c r="I226" s="10" t="str">
        <f t="shared" si="20"/>
        <v/>
      </c>
      <c r="J226" s="10" t="str">
        <f t="shared" si="21"/>
        <v/>
      </c>
      <c r="K226" s="10" t="str">
        <f t="shared" si="22"/>
        <v/>
      </c>
      <c r="L226" s="4" t="str">
        <f t="shared" si="23"/>
        <v/>
      </c>
    </row>
    <row r="227" spans="1:12" x14ac:dyDescent="0.3">
      <c r="A227" s="5"/>
      <c r="B227" s="5"/>
      <c r="C227" s="10" t="str">
        <f t="shared" si="18"/>
        <v/>
      </c>
      <c r="D227" s="5"/>
      <c r="E227" s="17"/>
      <c r="F227" s="17"/>
      <c r="G227" s="5"/>
      <c r="H227" s="10">
        <f t="shared" si="19"/>
        <v>0</v>
      </c>
      <c r="I227" s="10" t="str">
        <f t="shared" si="20"/>
        <v/>
      </c>
      <c r="J227" s="10" t="str">
        <f t="shared" si="21"/>
        <v/>
      </c>
      <c r="K227" s="10" t="str">
        <f t="shared" si="22"/>
        <v/>
      </c>
      <c r="L227" s="4" t="str">
        <f t="shared" si="23"/>
        <v/>
      </c>
    </row>
    <row r="228" spans="1:12" x14ac:dyDescent="0.3">
      <c r="A228" s="5"/>
      <c r="B228" s="5"/>
      <c r="C228" s="10" t="str">
        <f t="shared" si="18"/>
        <v/>
      </c>
      <c r="D228" s="5"/>
      <c r="E228" s="17"/>
      <c r="F228" s="17"/>
      <c r="G228" s="5"/>
      <c r="H228" s="10">
        <f t="shared" si="19"/>
        <v>0</v>
      </c>
      <c r="I228" s="10" t="str">
        <f t="shared" si="20"/>
        <v/>
      </c>
      <c r="J228" s="10" t="str">
        <f t="shared" si="21"/>
        <v/>
      </c>
      <c r="K228" s="10" t="str">
        <f t="shared" si="22"/>
        <v/>
      </c>
      <c r="L228" s="4" t="str">
        <f t="shared" si="23"/>
        <v/>
      </c>
    </row>
    <row r="229" spans="1:12" x14ac:dyDescent="0.3">
      <c r="A229" s="5"/>
      <c r="B229" s="5"/>
      <c r="C229" s="10" t="str">
        <f t="shared" si="18"/>
        <v/>
      </c>
      <c r="D229" s="5"/>
      <c r="E229" s="17"/>
      <c r="F229" s="17"/>
      <c r="G229" s="5"/>
      <c r="H229" s="10">
        <f t="shared" si="19"/>
        <v>0</v>
      </c>
      <c r="I229" s="10" t="str">
        <f t="shared" si="20"/>
        <v/>
      </c>
      <c r="J229" s="10" t="str">
        <f t="shared" si="21"/>
        <v/>
      </c>
      <c r="K229" s="10" t="str">
        <f t="shared" si="22"/>
        <v/>
      </c>
      <c r="L229" s="4" t="str">
        <f t="shared" si="23"/>
        <v/>
      </c>
    </row>
    <row r="230" spans="1:12" x14ac:dyDescent="0.3">
      <c r="A230" s="5"/>
      <c r="B230" s="5"/>
      <c r="C230" s="10" t="str">
        <f t="shared" si="18"/>
        <v/>
      </c>
      <c r="D230" s="5"/>
      <c r="E230" s="17"/>
      <c r="F230" s="17"/>
      <c r="G230" s="5"/>
      <c r="H230" s="10">
        <f t="shared" si="19"/>
        <v>0</v>
      </c>
      <c r="I230" s="10" t="str">
        <f t="shared" si="20"/>
        <v/>
      </c>
      <c r="J230" s="10" t="str">
        <f t="shared" si="21"/>
        <v/>
      </c>
      <c r="K230" s="10" t="str">
        <f t="shared" si="22"/>
        <v/>
      </c>
      <c r="L230" s="4" t="str">
        <f t="shared" si="23"/>
        <v/>
      </c>
    </row>
    <row r="231" spans="1:12" x14ac:dyDescent="0.3">
      <c r="A231" s="5"/>
      <c r="B231" s="5"/>
      <c r="C231" s="10" t="str">
        <f t="shared" si="18"/>
        <v/>
      </c>
      <c r="D231" s="5"/>
      <c r="E231" s="17"/>
      <c r="F231" s="17"/>
      <c r="G231" s="5"/>
      <c r="H231" s="10">
        <f t="shared" si="19"/>
        <v>0</v>
      </c>
      <c r="I231" s="10" t="str">
        <f t="shared" si="20"/>
        <v/>
      </c>
      <c r="J231" s="10" t="str">
        <f t="shared" si="21"/>
        <v/>
      </c>
      <c r="K231" s="10" t="str">
        <f t="shared" si="22"/>
        <v/>
      </c>
      <c r="L231" s="4" t="str">
        <f t="shared" si="23"/>
        <v/>
      </c>
    </row>
    <row r="232" spans="1:12" x14ac:dyDescent="0.3">
      <c r="A232" s="5"/>
      <c r="B232" s="5"/>
      <c r="C232" s="10" t="str">
        <f t="shared" si="18"/>
        <v/>
      </c>
      <c r="D232" s="5"/>
      <c r="E232" s="17"/>
      <c r="F232" s="17"/>
      <c r="G232" s="5"/>
      <c r="H232" s="10">
        <f t="shared" si="19"/>
        <v>0</v>
      </c>
      <c r="I232" s="10" t="str">
        <f t="shared" si="20"/>
        <v/>
      </c>
      <c r="J232" s="10" t="str">
        <f t="shared" si="21"/>
        <v/>
      </c>
      <c r="K232" s="10" t="str">
        <f t="shared" si="22"/>
        <v/>
      </c>
      <c r="L232" s="4" t="str">
        <f t="shared" si="23"/>
        <v/>
      </c>
    </row>
    <row r="233" spans="1:12" x14ac:dyDescent="0.3">
      <c r="A233" s="5"/>
      <c r="B233" s="5"/>
      <c r="C233" s="10" t="str">
        <f t="shared" si="18"/>
        <v/>
      </c>
      <c r="D233" s="5"/>
      <c r="E233" s="17"/>
      <c r="F233" s="17"/>
      <c r="G233" s="5"/>
      <c r="H233" s="10">
        <f t="shared" si="19"/>
        <v>0</v>
      </c>
      <c r="I233" s="10" t="str">
        <f t="shared" si="20"/>
        <v/>
      </c>
      <c r="J233" s="10" t="str">
        <f t="shared" si="21"/>
        <v/>
      </c>
      <c r="K233" s="10" t="str">
        <f t="shared" si="22"/>
        <v/>
      </c>
      <c r="L233" s="4" t="str">
        <f t="shared" si="23"/>
        <v/>
      </c>
    </row>
    <row r="234" spans="1:12" x14ac:dyDescent="0.3">
      <c r="A234" s="5"/>
      <c r="B234" s="5"/>
      <c r="C234" s="10" t="str">
        <f t="shared" si="18"/>
        <v/>
      </c>
      <c r="D234" s="5"/>
      <c r="E234" s="17"/>
      <c r="F234" s="17"/>
      <c r="G234" s="5"/>
      <c r="H234" s="10">
        <f t="shared" si="19"/>
        <v>0</v>
      </c>
      <c r="I234" s="10" t="str">
        <f t="shared" si="20"/>
        <v/>
      </c>
      <c r="J234" s="10" t="str">
        <f t="shared" si="21"/>
        <v/>
      </c>
      <c r="K234" s="10" t="str">
        <f t="shared" si="22"/>
        <v/>
      </c>
      <c r="L234" s="4" t="str">
        <f t="shared" si="23"/>
        <v/>
      </c>
    </row>
    <row r="235" spans="1:12" x14ac:dyDescent="0.3">
      <c r="A235" s="5"/>
      <c r="B235" s="5"/>
      <c r="C235" s="10" t="str">
        <f t="shared" si="18"/>
        <v/>
      </c>
      <c r="D235" s="5"/>
      <c r="E235" s="17"/>
      <c r="F235" s="17"/>
      <c r="G235" s="5"/>
      <c r="H235" s="10">
        <f t="shared" si="19"/>
        <v>0</v>
      </c>
      <c r="I235" s="10" t="str">
        <f t="shared" si="20"/>
        <v/>
      </c>
      <c r="J235" s="10" t="str">
        <f t="shared" si="21"/>
        <v/>
      </c>
      <c r="K235" s="10" t="str">
        <f t="shared" si="22"/>
        <v/>
      </c>
      <c r="L235" s="4" t="str">
        <f t="shared" si="23"/>
        <v/>
      </c>
    </row>
    <row r="236" spans="1:12" x14ac:dyDescent="0.3">
      <c r="A236" s="5"/>
      <c r="B236" s="5"/>
      <c r="C236" s="10" t="str">
        <f t="shared" si="18"/>
        <v/>
      </c>
      <c r="D236" s="5"/>
      <c r="E236" s="17"/>
      <c r="F236" s="17"/>
      <c r="G236" s="5"/>
      <c r="H236" s="10">
        <f t="shared" si="19"/>
        <v>0</v>
      </c>
      <c r="I236" s="10" t="str">
        <f t="shared" si="20"/>
        <v/>
      </c>
      <c r="J236" s="10" t="str">
        <f t="shared" si="21"/>
        <v/>
      </c>
      <c r="K236" s="10" t="str">
        <f t="shared" si="22"/>
        <v/>
      </c>
      <c r="L236" s="4" t="str">
        <f t="shared" si="23"/>
        <v/>
      </c>
    </row>
    <row r="237" spans="1:12" x14ac:dyDescent="0.3">
      <c r="A237" s="5"/>
      <c r="B237" s="5"/>
      <c r="C237" s="10" t="str">
        <f t="shared" si="18"/>
        <v/>
      </c>
      <c r="D237" s="5"/>
      <c r="E237" s="17"/>
      <c r="F237" s="17"/>
      <c r="G237" s="5"/>
      <c r="H237" s="10">
        <f t="shared" si="19"/>
        <v>0</v>
      </c>
      <c r="I237" s="10" t="str">
        <f t="shared" si="20"/>
        <v/>
      </c>
      <c r="J237" s="10" t="str">
        <f t="shared" si="21"/>
        <v/>
      </c>
      <c r="K237" s="10" t="str">
        <f t="shared" si="22"/>
        <v/>
      </c>
      <c r="L237" s="4" t="str">
        <f t="shared" si="23"/>
        <v/>
      </c>
    </row>
    <row r="238" spans="1:12" x14ac:dyDescent="0.3">
      <c r="A238" s="5"/>
      <c r="B238" s="5"/>
      <c r="C238" s="10" t="str">
        <f t="shared" si="18"/>
        <v/>
      </c>
      <c r="D238" s="5"/>
      <c r="E238" s="17"/>
      <c r="F238" s="17"/>
      <c r="G238" s="5"/>
      <c r="H238" s="10">
        <f t="shared" si="19"/>
        <v>0</v>
      </c>
      <c r="I238" s="10" t="str">
        <f t="shared" si="20"/>
        <v/>
      </c>
      <c r="J238" s="10" t="str">
        <f t="shared" si="21"/>
        <v/>
      </c>
      <c r="K238" s="10" t="str">
        <f t="shared" si="22"/>
        <v/>
      </c>
      <c r="L238" s="4" t="str">
        <f t="shared" si="23"/>
        <v/>
      </c>
    </row>
    <row r="239" spans="1:12" x14ac:dyDescent="0.3">
      <c r="A239" s="5"/>
      <c r="B239" s="5"/>
      <c r="C239" s="10" t="str">
        <f t="shared" si="18"/>
        <v/>
      </c>
      <c r="D239" s="5"/>
      <c r="E239" s="17"/>
      <c r="F239" s="17"/>
      <c r="G239" s="5"/>
      <c r="H239" s="10">
        <f t="shared" si="19"/>
        <v>0</v>
      </c>
      <c r="I239" s="10" t="str">
        <f t="shared" si="20"/>
        <v/>
      </c>
      <c r="J239" s="10" t="str">
        <f t="shared" si="21"/>
        <v/>
      </c>
      <c r="K239" s="10" t="str">
        <f t="shared" si="22"/>
        <v/>
      </c>
      <c r="L239" s="4" t="str">
        <f t="shared" si="23"/>
        <v/>
      </c>
    </row>
    <row r="240" spans="1:12" x14ac:dyDescent="0.3">
      <c r="A240" s="5"/>
      <c r="B240" s="5"/>
      <c r="C240" s="10" t="str">
        <f t="shared" si="18"/>
        <v/>
      </c>
      <c r="D240" s="5"/>
      <c r="E240" s="17"/>
      <c r="F240" s="17"/>
      <c r="G240" s="5"/>
      <c r="H240" s="10">
        <f t="shared" si="19"/>
        <v>0</v>
      </c>
      <c r="I240" s="10" t="str">
        <f t="shared" si="20"/>
        <v/>
      </c>
      <c r="J240" s="10" t="str">
        <f t="shared" si="21"/>
        <v/>
      </c>
      <c r="K240" s="10" t="str">
        <f t="shared" si="22"/>
        <v/>
      </c>
      <c r="L240" s="4" t="str">
        <f t="shared" si="23"/>
        <v/>
      </c>
    </row>
    <row r="241" spans="1:12" x14ac:dyDescent="0.3">
      <c r="A241" s="5"/>
      <c r="B241" s="5"/>
      <c r="C241" s="10" t="str">
        <f t="shared" si="18"/>
        <v/>
      </c>
      <c r="D241" s="5"/>
      <c r="E241" s="17"/>
      <c r="F241" s="17"/>
      <c r="G241" s="5"/>
      <c r="H241" s="10">
        <f t="shared" si="19"/>
        <v>0</v>
      </c>
      <c r="I241" s="10" t="str">
        <f t="shared" si="20"/>
        <v/>
      </c>
      <c r="J241" s="10" t="str">
        <f t="shared" si="21"/>
        <v/>
      </c>
      <c r="K241" s="10" t="str">
        <f t="shared" si="22"/>
        <v/>
      </c>
      <c r="L241" s="4" t="str">
        <f t="shared" si="23"/>
        <v/>
      </c>
    </row>
    <row r="242" spans="1:12" x14ac:dyDescent="0.3">
      <c r="A242" s="5"/>
      <c r="B242" s="5"/>
      <c r="C242" s="10" t="str">
        <f t="shared" si="18"/>
        <v/>
      </c>
      <c r="D242" s="5"/>
      <c r="E242" s="17"/>
      <c r="F242" s="17"/>
      <c r="G242" s="5"/>
      <c r="H242" s="10">
        <f t="shared" si="19"/>
        <v>0</v>
      </c>
      <c r="I242" s="10" t="str">
        <f t="shared" si="20"/>
        <v/>
      </c>
      <c r="J242" s="10" t="str">
        <f t="shared" si="21"/>
        <v/>
      </c>
      <c r="K242" s="10" t="str">
        <f t="shared" si="22"/>
        <v/>
      </c>
      <c r="L242" s="4" t="str">
        <f t="shared" si="23"/>
        <v/>
      </c>
    </row>
    <row r="243" spans="1:12" x14ac:dyDescent="0.3">
      <c r="A243" s="5"/>
      <c r="B243" s="5"/>
      <c r="C243" s="10" t="str">
        <f t="shared" si="18"/>
        <v/>
      </c>
      <c r="D243" s="5"/>
      <c r="E243" s="17"/>
      <c r="F243" s="17"/>
      <c r="G243" s="5"/>
      <c r="H243" s="10">
        <f t="shared" si="19"/>
        <v>0</v>
      </c>
      <c r="I243" s="10" t="str">
        <f t="shared" si="20"/>
        <v/>
      </c>
      <c r="J243" s="10" t="str">
        <f t="shared" si="21"/>
        <v/>
      </c>
      <c r="K243" s="10" t="str">
        <f t="shared" si="22"/>
        <v/>
      </c>
      <c r="L243" s="4" t="str">
        <f t="shared" si="23"/>
        <v/>
      </c>
    </row>
    <row r="244" spans="1:12" x14ac:dyDescent="0.3">
      <c r="A244" s="5"/>
      <c r="B244" s="5"/>
      <c r="C244" s="10" t="str">
        <f t="shared" si="18"/>
        <v/>
      </c>
      <c r="D244" s="5"/>
      <c r="E244" s="17"/>
      <c r="F244" s="17"/>
      <c r="G244" s="5"/>
      <c r="H244" s="10">
        <f t="shared" si="19"/>
        <v>0</v>
      </c>
      <c r="I244" s="10" t="str">
        <f t="shared" si="20"/>
        <v/>
      </c>
      <c r="J244" s="10" t="str">
        <f t="shared" si="21"/>
        <v/>
      </c>
      <c r="K244" s="10" t="str">
        <f t="shared" si="22"/>
        <v/>
      </c>
      <c r="L244" s="4" t="str">
        <f t="shared" si="23"/>
        <v/>
      </c>
    </row>
    <row r="245" spans="1:12" x14ac:dyDescent="0.3">
      <c r="A245" s="5"/>
      <c r="B245" s="5"/>
      <c r="C245" s="10" t="str">
        <f t="shared" si="18"/>
        <v/>
      </c>
      <c r="D245" s="5"/>
      <c r="E245" s="17"/>
      <c r="F245" s="17"/>
      <c r="G245" s="5"/>
      <c r="H245" s="10">
        <f t="shared" si="19"/>
        <v>0</v>
      </c>
      <c r="I245" s="10" t="str">
        <f t="shared" si="20"/>
        <v/>
      </c>
      <c r="J245" s="10" t="str">
        <f t="shared" si="21"/>
        <v/>
      </c>
      <c r="K245" s="10" t="str">
        <f t="shared" si="22"/>
        <v/>
      </c>
      <c r="L245" s="4" t="str">
        <f t="shared" si="23"/>
        <v/>
      </c>
    </row>
    <row r="246" spans="1:12" x14ac:dyDescent="0.3">
      <c r="A246" s="5"/>
      <c r="B246" s="5"/>
      <c r="C246" s="10" t="str">
        <f t="shared" si="18"/>
        <v/>
      </c>
      <c r="D246" s="5"/>
      <c r="E246" s="17"/>
      <c r="F246" s="17"/>
      <c r="G246" s="5"/>
      <c r="H246" s="10">
        <f t="shared" si="19"/>
        <v>0</v>
      </c>
      <c r="I246" s="10" t="str">
        <f t="shared" si="20"/>
        <v/>
      </c>
      <c r="J246" s="10" t="str">
        <f t="shared" si="21"/>
        <v/>
      </c>
      <c r="K246" s="10" t="str">
        <f t="shared" si="22"/>
        <v/>
      </c>
      <c r="L246" s="4" t="str">
        <f t="shared" si="23"/>
        <v/>
      </c>
    </row>
    <row r="247" spans="1:12" x14ac:dyDescent="0.3">
      <c r="A247" s="5"/>
      <c r="B247" s="5"/>
      <c r="C247" s="10" t="str">
        <f t="shared" si="18"/>
        <v/>
      </c>
      <c r="D247" s="5"/>
      <c r="E247" s="17"/>
      <c r="F247" s="17"/>
      <c r="G247" s="5"/>
      <c r="H247" s="10">
        <f t="shared" si="19"/>
        <v>0</v>
      </c>
      <c r="I247" s="10" t="str">
        <f t="shared" si="20"/>
        <v/>
      </c>
      <c r="J247" s="10" t="str">
        <f t="shared" si="21"/>
        <v/>
      </c>
      <c r="K247" s="10" t="str">
        <f t="shared" si="22"/>
        <v/>
      </c>
      <c r="L247" s="4" t="str">
        <f t="shared" si="23"/>
        <v/>
      </c>
    </row>
    <row r="248" spans="1:12" x14ac:dyDescent="0.3">
      <c r="A248" s="5"/>
      <c r="B248" s="5"/>
      <c r="C248" s="10" t="str">
        <f t="shared" si="18"/>
        <v/>
      </c>
      <c r="D248" s="5"/>
      <c r="E248" s="17"/>
      <c r="F248" s="17"/>
      <c r="G248" s="5"/>
      <c r="H248" s="10">
        <f t="shared" si="19"/>
        <v>0</v>
      </c>
      <c r="I248" s="10" t="str">
        <f t="shared" si="20"/>
        <v/>
      </c>
      <c r="J248" s="10" t="str">
        <f t="shared" si="21"/>
        <v/>
      </c>
      <c r="K248" s="10" t="str">
        <f t="shared" si="22"/>
        <v/>
      </c>
      <c r="L248" s="4" t="str">
        <f t="shared" si="23"/>
        <v/>
      </c>
    </row>
    <row r="249" spans="1:12" x14ac:dyDescent="0.3">
      <c r="A249" s="5"/>
      <c r="B249" s="5"/>
      <c r="C249" s="10" t="str">
        <f t="shared" si="18"/>
        <v/>
      </c>
      <c r="D249" s="5"/>
      <c r="E249" s="17"/>
      <c r="F249" s="17"/>
      <c r="G249" s="5"/>
      <c r="H249" s="10">
        <f t="shared" si="19"/>
        <v>0</v>
      </c>
      <c r="I249" s="10" t="str">
        <f t="shared" si="20"/>
        <v/>
      </c>
      <c r="J249" s="10" t="str">
        <f t="shared" si="21"/>
        <v/>
      </c>
      <c r="K249" s="10" t="str">
        <f t="shared" si="22"/>
        <v/>
      </c>
      <c r="L249" s="4" t="str">
        <f t="shared" si="23"/>
        <v/>
      </c>
    </row>
    <row r="250" spans="1:12" x14ac:dyDescent="0.3">
      <c r="A250" s="5"/>
      <c r="B250" s="5"/>
      <c r="C250" s="10" t="str">
        <f t="shared" si="18"/>
        <v/>
      </c>
      <c r="D250" s="5"/>
      <c r="E250" s="17"/>
      <c r="F250" s="17"/>
      <c r="G250" s="5"/>
      <c r="H250" s="10">
        <f t="shared" si="19"/>
        <v>0</v>
      </c>
      <c r="I250" s="10" t="str">
        <f t="shared" si="20"/>
        <v/>
      </c>
      <c r="J250" s="10" t="str">
        <f t="shared" si="21"/>
        <v/>
      </c>
      <c r="K250" s="10" t="str">
        <f t="shared" si="22"/>
        <v/>
      </c>
      <c r="L250" s="4" t="str">
        <f t="shared" si="23"/>
        <v/>
      </c>
    </row>
    <row r="251" spans="1:12" x14ac:dyDescent="0.3">
      <c r="A251" s="5"/>
      <c r="B251" s="5"/>
      <c r="C251" s="10" t="str">
        <f t="shared" si="18"/>
        <v/>
      </c>
      <c r="D251" s="5"/>
      <c r="E251" s="17"/>
      <c r="F251" s="17"/>
      <c r="G251" s="5"/>
      <c r="H251" s="10">
        <f t="shared" si="19"/>
        <v>0</v>
      </c>
      <c r="I251" s="10" t="str">
        <f t="shared" si="20"/>
        <v/>
      </c>
      <c r="J251" s="10" t="str">
        <f t="shared" si="21"/>
        <v/>
      </c>
      <c r="K251" s="10" t="str">
        <f t="shared" si="22"/>
        <v/>
      </c>
      <c r="L251" s="4" t="str">
        <f t="shared" si="23"/>
        <v/>
      </c>
    </row>
    <row r="252" spans="1:12" x14ac:dyDescent="0.3">
      <c r="A252" s="5"/>
      <c r="B252" s="5"/>
      <c r="C252" s="10" t="str">
        <f t="shared" si="18"/>
        <v/>
      </c>
      <c r="D252" s="5"/>
      <c r="E252" s="17"/>
      <c r="F252" s="17"/>
      <c r="G252" s="5"/>
      <c r="H252" s="10">
        <f t="shared" si="19"/>
        <v>0</v>
      </c>
      <c r="I252" s="10" t="str">
        <f t="shared" si="20"/>
        <v/>
      </c>
      <c r="J252" s="10" t="str">
        <f t="shared" si="21"/>
        <v/>
      </c>
      <c r="K252" s="10" t="str">
        <f t="shared" si="22"/>
        <v/>
      </c>
      <c r="L252" s="4" t="str">
        <f t="shared" si="23"/>
        <v/>
      </c>
    </row>
    <row r="253" spans="1:12" x14ac:dyDescent="0.3">
      <c r="A253" s="5"/>
      <c r="B253" s="5"/>
      <c r="C253" s="10" t="str">
        <f t="shared" si="18"/>
        <v/>
      </c>
      <c r="D253" s="5"/>
      <c r="E253" s="17"/>
      <c r="F253" s="17"/>
      <c r="G253" s="5"/>
      <c r="H253" s="10">
        <f t="shared" si="19"/>
        <v>0</v>
      </c>
      <c r="I253" s="10" t="str">
        <f t="shared" si="20"/>
        <v/>
      </c>
      <c r="J253" s="10" t="str">
        <f t="shared" si="21"/>
        <v/>
      </c>
      <c r="K253" s="10" t="str">
        <f t="shared" si="22"/>
        <v/>
      </c>
      <c r="L253" s="4" t="str">
        <f t="shared" si="23"/>
        <v/>
      </c>
    </row>
    <row r="254" spans="1:12" x14ac:dyDescent="0.3">
      <c r="A254" s="5"/>
      <c r="B254" s="5"/>
      <c r="C254" s="10" t="str">
        <f t="shared" si="18"/>
        <v/>
      </c>
      <c r="D254" s="5"/>
      <c r="E254" s="17"/>
      <c r="F254" s="17"/>
      <c r="G254" s="5"/>
      <c r="H254" s="10">
        <f t="shared" si="19"/>
        <v>0</v>
      </c>
      <c r="I254" s="10" t="str">
        <f t="shared" si="20"/>
        <v/>
      </c>
      <c r="J254" s="10" t="str">
        <f t="shared" si="21"/>
        <v/>
      </c>
      <c r="K254" s="10" t="str">
        <f t="shared" si="22"/>
        <v/>
      </c>
      <c r="L254" s="4" t="str">
        <f t="shared" si="23"/>
        <v/>
      </c>
    </row>
    <row r="255" spans="1:12" x14ac:dyDescent="0.3">
      <c r="A255" s="5"/>
      <c r="B255" s="5"/>
      <c r="C255" s="10" t="str">
        <f t="shared" si="18"/>
        <v/>
      </c>
      <c r="D255" s="5"/>
      <c r="E255" s="17"/>
      <c r="F255" s="17"/>
      <c r="G255" s="5"/>
      <c r="H255" s="10">
        <f t="shared" si="19"/>
        <v>0</v>
      </c>
      <c r="I255" s="10" t="str">
        <f t="shared" si="20"/>
        <v/>
      </c>
      <c r="J255" s="10" t="str">
        <f t="shared" si="21"/>
        <v/>
      </c>
      <c r="K255" s="10" t="str">
        <f t="shared" si="22"/>
        <v/>
      </c>
      <c r="L255" s="4" t="str">
        <f t="shared" si="23"/>
        <v/>
      </c>
    </row>
    <row r="256" spans="1:12" x14ac:dyDescent="0.3">
      <c r="A256" s="5"/>
      <c r="B256" s="5"/>
      <c r="C256" s="10" t="str">
        <f t="shared" si="18"/>
        <v/>
      </c>
      <c r="D256" s="5"/>
      <c r="E256" s="17"/>
      <c r="F256" s="17"/>
      <c r="G256" s="5"/>
      <c r="H256" s="10">
        <f t="shared" si="19"/>
        <v>0</v>
      </c>
      <c r="I256" s="10" t="str">
        <f t="shared" si="20"/>
        <v/>
      </c>
      <c r="J256" s="10" t="str">
        <f t="shared" si="21"/>
        <v/>
      </c>
      <c r="K256" s="10" t="str">
        <f t="shared" si="22"/>
        <v/>
      </c>
      <c r="L256" s="4" t="str">
        <f t="shared" si="23"/>
        <v/>
      </c>
    </row>
    <row r="257" spans="1:12" x14ac:dyDescent="0.3">
      <c r="A257" s="5"/>
      <c r="B257" s="5"/>
      <c r="C257" s="10" t="str">
        <f t="shared" si="18"/>
        <v/>
      </c>
      <c r="D257" s="5"/>
      <c r="E257" s="17"/>
      <c r="F257" s="17"/>
      <c r="G257" s="5"/>
      <c r="H257" s="10">
        <f t="shared" si="19"/>
        <v>0</v>
      </c>
      <c r="I257" s="10" t="str">
        <f t="shared" si="20"/>
        <v/>
      </c>
      <c r="J257" s="10" t="str">
        <f t="shared" si="21"/>
        <v/>
      </c>
      <c r="K257" s="10" t="str">
        <f t="shared" si="22"/>
        <v/>
      </c>
      <c r="L257" s="4" t="str">
        <f t="shared" si="23"/>
        <v/>
      </c>
    </row>
    <row r="258" spans="1:12" x14ac:dyDescent="0.3">
      <c r="A258" s="5"/>
      <c r="B258" s="5"/>
      <c r="C258" s="10" t="str">
        <f t="shared" si="18"/>
        <v/>
      </c>
      <c r="D258" s="5"/>
      <c r="E258" s="17"/>
      <c r="F258" s="17"/>
      <c r="G258" s="5"/>
      <c r="H258" s="10">
        <f t="shared" si="19"/>
        <v>0</v>
      </c>
      <c r="I258" s="10" t="str">
        <f t="shared" si="20"/>
        <v/>
      </c>
      <c r="J258" s="10" t="str">
        <f t="shared" si="21"/>
        <v/>
      </c>
      <c r="K258" s="10" t="str">
        <f t="shared" si="22"/>
        <v/>
      </c>
      <c r="L258" s="4" t="str">
        <f t="shared" si="23"/>
        <v/>
      </c>
    </row>
    <row r="259" spans="1:12" x14ac:dyDescent="0.3">
      <c r="A259" s="5"/>
      <c r="B259" s="5"/>
      <c r="C259" s="10" t="str">
        <f t="shared" si="18"/>
        <v/>
      </c>
      <c r="D259" s="5"/>
      <c r="E259" s="17"/>
      <c r="F259" s="17"/>
      <c r="G259" s="5"/>
      <c r="H259" s="10">
        <f t="shared" si="19"/>
        <v>0</v>
      </c>
      <c r="I259" s="10" t="str">
        <f t="shared" si="20"/>
        <v/>
      </c>
      <c r="J259" s="10" t="str">
        <f t="shared" si="21"/>
        <v/>
      </c>
      <c r="K259" s="10" t="str">
        <f t="shared" si="22"/>
        <v/>
      </c>
      <c r="L259" s="4" t="str">
        <f t="shared" si="23"/>
        <v/>
      </c>
    </row>
    <row r="260" spans="1:12" x14ac:dyDescent="0.3">
      <c r="A260" s="5"/>
      <c r="B260" s="5"/>
      <c r="C260" s="10" t="str">
        <f t="shared" ref="C260:C303" si="24">IF(A260="","",IFERROR(INDEX(LIST_PER_CODE,MATCH(B260,LIST_PER_EN,0)),IFERROR(INDEX(LIST_PER_CODE,MATCH(B260,LIST_PER_HU,0)),"")))</f>
        <v/>
      </c>
      <c r="D260" s="5"/>
      <c r="E260" s="17"/>
      <c r="F260" s="17"/>
      <c r="G260" s="5"/>
      <c r="H260" s="10">
        <f t="shared" ref="H260:H303" si="25">IF(A260="",0,N(E260)-N(F260))</f>
        <v>0</v>
      </c>
      <c r="I260" s="10" t="str">
        <f t="shared" ref="I260:I303" si="26">IF(D260="","",IFERROR(INDEX(COA_LINE_EFF,MATCH(D260,COA_ACCT,0))&amp;"",""))</f>
        <v/>
      </c>
      <c r="J260" s="10" t="str">
        <f t="shared" ref="J260:J303" si="27">IF(D260="","",IFERROR(INDEX(COA_LINE_N,MATCH(D260,COA_ACCT,0))&amp;"",""))</f>
        <v/>
      </c>
      <c r="K260" s="10" t="str">
        <f t="shared" ref="K260:K303" si="28">IF(D260="","",IFERROR(INDEX(COA_CF,MATCH(D260,COA_ACCT,0))&amp;"","-"))</f>
        <v/>
      </c>
      <c r="L260" s="4" t="str">
        <f t="shared" ref="L260:L303" si="29">IF(A260="","",TRIM(IF(ROUND(SUMIF(ADJ_ID,A260,ADJ_NET),2)&lt;&gt;0,IFERROR(INDEX(DICT_ACTIVE,MATCH("ADJ.UNBAL",DICT_KEY,0)),"")&amp;" ","")&amp;IF(C260="",IFERROR(INDEX(DICT_ACTIVE,MATCH("ADJ.NOPER",DICT_KEY,0)),"")&amp;" ","")&amp;IF(I260="",IFERROR(INDEX(DICT_ACTIVE,MATCH("TB.UNMAPPED",DICT_KEY,0)),"")&amp;" ","")))</f>
        <v/>
      </c>
    </row>
    <row r="261" spans="1:12" x14ac:dyDescent="0.3">
      <c r="A261" s="5"/>
      <c r="B261" s="5"/>
      <c r="C261" s="10" t="str">
        <f t="shared" si="24"/>
        <v/>
      </c>
      <c r="D261" s="5"/>
      <c r="E261" s="17"/>
      <c r="F261" s="17"/>
      <c r="G261" s="5"/>
      <c r="H261" s="10">
        <f t="shared" si="25"/>
        <v>0</v>
      </c>
      <c r="I261" s="10" t="str">
        <f t="shared" si="26"/>
        <v/>
      </c>
      <c r="J261" s="10" t="str">
        <f t="shared" si="27"/>
        <v/>
      </c>
      <c r="K261" s="10" t="str">
        <f t="shared" si="28"/>
        <v/>
      </c>
      <c r="L261" s="4" t="str">
        <f t="shared" si="29"/>
        <v/>
      </c>
    </row>
    <row r="262" spans="1:12" x14ac:dyDescent="0.3">
      <c r="A262" s="5"/>
      <c r="B262" s="5"/>
      <c r="C262" s="10" t="str">
        <f t="shared" si="24"/>
        <v/>
      </c>
      <c r="D262" s="5"/>
      <c r="E262" s="17"/>
      <c r="F262" s="17"/>
      <c r="G262" s="5"/>
      <c r="H262" s="10">
        <f t="shared" si="25"/>
        <v>0</v>
      </c>
      <c r="I262" s="10" t="str">
        <f t="shared" si="26"/>
        <v/>
      </c>
      <c r="J262" s="10" t="str">
        <f t="shared" si="27"/>
        <v/>
      </c>
      <c r="K262" s="10" t="str">
        <f t="shared" si="28"/>
        <v/>
      </c>
      <c r="L262" s="4" t="str">
        <f t="shared" si="29"/>
        <v/>
      </c>
    </row>
    <row r="263" spans="1:12" x14ac:dyDescent="0.3">
      <c r="A263" s="5"/>
      <c r="B263" s="5"/>
      <c r="C263" s="10" t="str">
        <f t="shared" si="24"/>
        <v/>
      </c>
      <c r="D263" s="5"/>
      <c r="E263" s="17"/>
      <c r="F263" s="17"/>
      <c r="G263" s="5"/>
      <c r="H263" s="10">
        <f t="shared" si="25"/>
        <v>0</v>
      </c>
      <c r="I263" s="10" t="str">
        <f t="shared" si="26"/>
        <v/>
      </c>
      <c r="J263" s="10" t="str">
        <f t="shared" si="27"/>
        <v/>
      </c>
      <c r="K263" s="10" t="str">
        <f t="shared" si="28"/>
        <v/>
      </c>
      <c r="L263" s="4" t="str">
        <f t="shared" si="29"/>
        <v/>
      </c>
    </row>
    <row r="264" spans="1:12" x14ac:dyDescent="0.3">
      <c r="A264" s="5"/>
      <c r="B264" s="5"/>
      <c r="C264" s="10" t="str">
        <f t="shared" si="24"/>
        <v/>
      </c>
      <c r="D264" s="5"/>
      <c r="E264" s="17"/>
      <c r="F264" s="17"/>
      <c r="G264" s="5"/>
      <c r="H264" s="10">
        <f t="shared" si="25"/>
        <v>0</v>
      </c>
      <c r="I264" s="10" t="str">
        <f t="shared" si="26"/>
        <v/>
      </c>
      <c r="J264" s="10" t="str">
        <f t="shared" si="27"/>
        <v/>
      </c>
      <c r="K264" s="10" t="str">
        <f t="shared" si="28"/>
        <v/>
      </c>
      <c r="L264" s="4" t="str">
        <f t="shared" si="29"/>
        <v/>
      </c>
    </row>
    <row r="265" spans="1:12" x14ac:dyDescent="0.3">
      <c r="A265" s="5"/>
      <c r="B265" s="5"/>
      <c r="C265" s="10" t="str">
        <f t="shared" si="24"/>
        <v/>
      </c>
      <c r="D265" s="5"/>
      <c r="E265" s="17"/>
      <c r="F265" s="17"/>
      <c r="G265" s="5"/>
      <c r="H265" s="10">
        <f t="shared" si="25"/>
        <v>0</v>
      </c>
      <c r="I265" s="10" t="str">
        <f t="shared" si="26"/>
        <v/>
      </c>
      <c r="J265" s="10" t="str">
        <f t="shared" si="27"/>
        <v/>
      </c>
      <c r="K265" s="10" t="str">
        <f t="shared" si="28"/>
        <v/>
      </c>
      <c r="L265" s="4" t="str">
        <f t="shared" si="29"/>
        <v/>
      </c>
    </row>
    <row r="266" spans="1:12" x14ac:dyDescent="0.3">
      <c r="A266" s="5"/>
      <c r="B266" s="5"/>
      <c r="C266" s="10" t="str">
        <f t="shared" si="24"/>
        <v/>
      </c>
      <c r="D266" s="5"/>
      <c r="E266" s="17"/>
      <c r="F266" s="17"/>
      <c r="G266" s="5"/>
      <c r="H266" s="10">
        <f t="shared" si="25"/>
        <v>0</v>
      </c>
      <c r="I266" s="10" t="str">
        <f t="shared" si="26"/>
        <v/>
      </c>
      <c r="J266" s="10" t="str">
        <f t="shared" si="27"/>
        <v/>
      </c>
      <c r="K266" s="10" t="str">
        <f t="shared" si="28"/>
        <v/>
      </c>
      <c r="L266" s="4" t="str">
        <f t="shared" si="29"/>
        <v/>
      </c>
    </row>
    <row r="267" spans="1:12" x14ac:dyDescent="0.3">
      <c r="A267" s="5"/>
      <c r="B267" s="5"/>
      <c r="C267" s="10" t="str">
        <f t="shared" si="24"/>
        <v/>
      </c>
      <c r="D267" s="5"/>
      <c r="E267" s="17"/>
      <c r="F267" s="17"/>
      <c r="G267" s="5"/>
      <c r="H267" s="10">
        <f t="shared" si="25"/>
        <v>0</v>
      </c>
      <c r="I267" s="10" t="str">
        <f t="shared" si="26"/>
        <v/>
      </c>
      <c r="J267" s="10" t="str">
        <f t="shared" si="27"/>
        <v/>
      </c>
      <c r="K267" s="10" t="str">
        <f t="shared" si="28"/>
        <v/>
      </c>
      <c r="L267" s="4" t="str">
        <f t="shared" si="29"/>
        <v/>
      </c>
    </row>
    <row r="268" spans="1:12" x14ac:dyDescent="0.3">
      <c r="A268" s="5"/>
      <c r="B268" s="5"/>
      <c r="C268" s="10" t="str">
        <f t="shared" si="24"/>
        <v/>
      </c>
      <c r="D268" s="5"/>
      <c r="E268" s="17"/>
      <c r="F268" s="17"/>
      <c r="G268" s="5"/>
      <c r="H268" s="10">
        <f t="shared" si="25"/>
        <v>0</v>
      </c>
      <c r="I268" s="10" t="str">
        <f t="shared" si="26"/>
        <v/>
      </c>
      <c r="J268" s="10" t="str">
        <f t="shared" si="27"/>
        <v/>
      </c>
      <c r="K268" s="10" t="str">
        <f t="shared" si="28"/>
        <v/>
      </c>
      <c r="L268" s="4" t="str">
        <f t="shared" si="29"/>
        <v/>
      </c>
    </row>
    <row r="269" spans="1:12" x14ac:dyDescent="0.3">
      <c r="A269" s="5"/>
      <c r="B269" s="5"/>
      <c r="C269" s="10" t="str">
        <f t="shared" si="24"/>
        <v/>
      </c>
      <c r="D269" s="5"/>
      <c r="E269" s="17"/>
      <c r="F269" s="17"/>
      <c r="G269" s="5"/>
      <c r="H269" s="10">
        <f t="shared" si="25"/>
        <v>0</v>
      </c>
      <c r="I269" s="10" t="str">
        <f t="shared" si="26"/>
        <v/>
      </c>
      <c r="J269" s="10" t="str">
        <f t="shared" si="27"/>
        <v/>
      </c>
      <c r="K269" s="10" t="str">
        <f t="shared" si="28"/>
        <v/>
      </c>
      <c r="L269" s="4" t="str">
        <f t="shared" si="29"/>
        <v/>
      </c>
    </row>
    <row r="270" spans="1:12" x14ac:dyDescent="0.3">
      <c r="A270" s="5"/>
      <c r="B270" s="5"/>
      <c r="C270" s="10" t="str">
        <f t="shared" si="24"/>
        <v/>
      </c>
      <c r="D270" s="5"/>
      <c r="E270" s="17"/>
      <c r="F270" s="17"/>
      <c r="G270" s="5"/>
      <c r="H270" s="10">
        <f t="shared" si="25"/>
        <v>0</v>
      </c>
      <c r="I270" s="10" t="str">
        <f t="shared" si="26"/>
        <v/>
      </c>
      <c r="J270" s="10" t="str">
        <f t="shared" si="27"/>
        <v/>
      </c>
      <c r="K270" s="10" t="str">
        <f t="shared" si="28"/>
        <v/>
      </c>
      <c r="L270" s="4" t="str">
        <f t="shared" si="29"/>
        <v/>
      </c>
    </row>
    <row r="271" spans="1:12" x14ac:dyDescent="0.3">
      <c r="A271" s="5"/>
      <c r="B271" s="5"/>
      <c r="C271" s="10" t="str">
        <f t="shared" si="24"/>
        <v/>
      </c>
      <c r="D271" s="5"/>
      <c r="E271" s="17"/>
      <c r="F271" s="17"/>
      <c r="G271" s="5"/>
      <c r="H271" s="10">
        <f t="shared" si="25"/>
        <v>0</v>
      </c>
      <c r="I271" s="10" t="str">
        <f t="shared" si="26"/>
        <v/>
      </c>
      <c r="J271" s="10" t="str">
        <f t="shared" si="27"/>
        <v/>
      </c>
      <c r="K271" s="10" t="str">
        <f t="shared" si="28"/>
        <v/>
      </c>
      <c r="L271" s="4" t="str">
        <f t="shared" si="29"/>
        <v/>
      </c>
    </row>
    <row r="272" spans="1:12" x14ac:dyDescent="0.3">
      <c r="A272" s="5"/>
      <c r="B272" s="5"/>
      <c r="C272" s="10" t="str">
        <f t="shared" si="24"/>
        <v/>
      </c>
      <c r="D272" s="5"/>
      <c r="E272" s="17"/>
      <c r="F272" s="17"/>
      <c r="G272" s="5"/>
      <c r="H272" s="10">
        <f t="shared" si="25"/>
        <v>0</v>
      </c>
      <c r="I272" s="10" t="str">
        <f t="shared" si="26"/>
        <v/>
      </c>
      <c r="J272" s="10" t="str">
        <f t="shared" si="27"/>
        <v/>
      </c>
      <c r="K272" s="10" t="str">
        <f t="shared" si="28"/>
        <v/>
      </c>
      <c r="L272" s="4" t="str">
        <f t="shared" si="29"/>
        <v/>
      </c>
    </row>
    <row r="273" spans="1:12" x14ac:dyDescent="0.3">
      <c r="A273" s="5"/>
      <c r="B273" s="5"/>
      <c r="C273" s="10" t="str">
        <f t="shared" si="24"/>
        <v/>
      </c>
      <c r="D273" s="5"/>
      <c r="E273" s="17"/>
      <c r="F273" s="17"/>
      <c r="G273" s="5"/>
      <c r="H273" s="10">
        <f t="shared" si="25"/>
        <v>0</v>
      </c>
      <c r="I273" s="10" t="str">
        <f t="shared" si="26"/>
        <v/>
      </c>
      <c r="J273" s="10" t="str">
        <f t="shared" si="27"/>
        <v/>
      </c>
      <c r="K273" s="10" t="str">
        <f t="shared" si="28"/>
        <v/>
      </c>
      <c r="L273" s="4" t="str">
        <f t="shared" si="29"/>
        <v/>
      </c>
    </row>
    <row r="274" spans="1:12" x14ac:dyDescent="0.3">
      <c r="A274" s="5"/>
      <c r="B274" s="5"/>
      <c r="C274" s="10" t="str">
        <f t="shared" si="24"/>
        <v/>
      </c>
      <c r="D274" s="5"/>
      <c r="E274" s="17"/>
      <c r="F274" s="17"/>
      <c r="G274" s="5"/>
      <c r="H274" s="10">
        <f t="shared" si="25"/>
        <v>0</v>
      </c>
      <c r="I274" s="10" t="str">
        <f t="shared" si="26"/>
        <v/>
      </c>
      <c r="J274" s="10" t="str">
        <f t="shared" si="27"/>
        <v/>
      </c>
      <c r="K274" s="10" t="str">
        <f t="shared" si="28"/>
        <v/>
      </c>
      <c r="L274" s="4" t="str">
        <f t="shared" si="29"/>
        <v/>
      </c>
    </row>
    <row r="275" spans="1:12" x14ac:dyDescent="0.3">
      <c r="A275" s="5"/>
      <c r="B275" s="5"/>
      <c r="C275" s="10" t="str">
        <f t="shared" si="24"/>
        <v/>
      </c>
      <c r="D275" s="5"/>
      <c r="E275" s="17"/>
      <c r="F275" s="17"/>
      <c r="G275" s="5"/>
      <c r="H275" s="10">
        <f t="shared" si="25"/>
        <v>0</v>
      </c>
      <c r="I275" s="10" t="str">
        <f t="shared" si="26"/>
        <v/>
      </c>
      <c r="J275" s="10" t="str">
        <f t="shared" si="27"/>
        <v/>
      </c>
      <c r="K275" s="10" t="str">
        <f t="shared" si="28"/>
        <v/>
      </c>
      <c r="L275" s="4" t="str">
        <f t="shared" si="29"/>
        <v/>
      </c>
    </row>
    <row r="276" spans="1:12" x14ac:dyDescent="0.3">
      <c r="A276" s="5"/>
      <c r="B276" s="5"/>
      <c r="C276" s="10" t="str">
        <f t="shared" si="24"/>
        <v/>
      </c>
      <c r="D276" s="5"/>
      <c r="E276" s="17"/>
      <c r="F276" s="17"/>
      <c r="G276" s="5"/>
      <c r="H276" s="10">
        <f t="shared" si="25"/>
        <v>0</v>
      </c>
      <c r="I276" s="10" t="str">
        <f t="shared" si="26"/>
        <v/>
      </c>
      <c r="J276" s="10" t="str">
        <f t="shared" si="27"/>
        <v/>
      </c>
      <c r="K276" s="10" t="str">
        <f t="shared" si="28"/>
        <v/>
      </c>
      <c r="L276" s="4" t="str">
        <f t="shared" si="29"/>
        <v/>
      </c>
    </row>
    <row r="277" spans="1:12" x14ac:dyDescent="0.3">
      <c r="A277" s="5"/>
      <c r="B277" s="5"/>
      <c r="C277" s="10" t="str">
        <f t="shared" si="24"/>
        <v/>
      </c>
      <c r="D277" s="5"/>
      <c r="E277" s="17"/>
      <c r="F277" s="17"/>
      <c r="G277" s="5"/>
      <c r="H277" s="10">
        <f t="shared" si="25"/>
        <v>0</v>
      </c>
      <c r="I277" s="10" t="str">
        <f t="shared" si="26"/>
        <v/>
      </c>
      <c r="J277" s="10" t="str">
        <f t="shared" si="27"/>
        <v/>
      </c>
      <c r="K277" s="10" t="str">
        <f t="shared" si="28"/>
        <v/>
      </c>
      <c r="L277" s="4" t="str">
        <f t="shared" si="29"/>
        <v/>
      </c>
    </row>
    <row r="278" spans="1:12" x14ac:dyDescent="0.3">
      <c r="A278" s="5"/>
      <c r="B278" s="5"/>
      <c r="C278" s="10" t="str">
        <f t="shared" si="24"/>
        <v/>
      </c>
      <c r="D278" s="5"/>
      <c r="E278" s="17"/>
      <c r="F278" s="17"/>
      <c r="G278" s="5"/>
      <c r="H278" s="10">
        <f t="shared" si="25"/>
        <v>0</v>
      </c>
      <c r="I278" s="10" t="str">
        <f t="shared" si="26"/>
        <v/>
      </c>
      <c r="J278" s="10" t="str">
        <f t="shared" si="27"/>
        <v/>
      </c>
      <c r="K278" s="10" t="str">
        <f t="shared" si="28"/>
        <v/>
      </c>
      <c r="L278" s="4" t="str">
        <f t="shared" si="29"/>
        <v/>
      </c>
    </row>
    <row r="279" spans="1:12" x14ac:dyDescent="0.3">
      <c r="A279" s="5"/>
      <c r="B279" s="5"/>
      <c r="C279" s="10" t="str">
        <f t="shared" si="24"/>
        <v/>
      </c>
      <c r="D279" s="5"/>
      <c r="E279" s="17"/>
      <c r="F279" s="17"/>
      <c r="G279" s="5"/>
      <c r="H279" s="10">
        <f t="shared" si="25"/>
        <v>0</v>
      </c>
      <c r="I279" s="10" t="str">
        <f t="shared" si="26"/>
        <v/>
      </c>
      <c r="J279" s="10" t="str">
        <f t="shared" si="27"/>
        <v/>
      </c>
      <c r="K279" s="10" t="str">
        <f t="shared" si="28"/>
        <v/>
      </c>
      <c r="L279" s="4" t="str">
        <f t="shared" si="29"/>
        <v/>
      </c>
    </row>
    <row r="280" spans="1:12" x14ac:dyDescent="0.3">
      <c r="A280" s="5"/>
      <c r="B280" s="5"/>
      <c r="C280" s="10" t="str">
        <f t="shared" si="24"/>
        <v/>
      </c>
      <c r="D280" s="5"/>
      <c r="E280" s="17"/>
      <c r="F280" s="17"/>
      <c r="G280" s="5"/>
      <c r="H280" s="10">
        <f t="shared" si="25"/>
        <v>0</v>
      </c>
      <c r="I280" s="10" t="str">
        <f t="shared" si="26"/>
        <v/>
      </c>
      <c r="J280" s="10" t="str">
        <f t="shared" si="27"/>
        <v/>
      </c>
      <c r="K280" s="10" t="str">
        <f t="shared" si="28"/>
        <v/>
      </c>
      <c r="L280" s="4" t="str">
        <f t="shared" si="29"/>
        <v/>
      </c>
    </row>
    <row r="281" spans="1:12" x14ac:dyDescent="0.3">
      <c r="A281" s="5"/>
      <c r="B281" s="5"/>
      <c r="C281" s="10" t="str">
        <f t="shared" si="24"/>
        <v/>
      </c>
      <c r="D281" s="5"/>
      <c r="E281" s="17"/>
      <c r="F281" s="17"/>
      <c r="G281" s="5"/>
      <c r="H281" s="10">
        <f t="shared" si="25"/>
        <v>0</v>
      </c>
      <c r="I281" s="10" t="str">
        <f t="shared" si="26"/>
        <v/>
      </c>
      <c r="J281" s="10" t="str">
        <f t="shared" si="27"/>
        <v/>
      </c>
      <c r="K281" s="10" t="str">
        <f t="shared" si="28"/>
        <v/>
      </c>
      <c r="L281" s="4" t="str">
        <f t="shared" si="29"/>
        <v/>
      </c>
    </row>
    <row r="282" spans="1:12" x14ac:dyDescent="0.3">
      <c r="A282" s="5"/>
      <c r="B282" s="5"/>
      <c r="C282" s="10" t="str">
        <f t="shared" si="24"/>
        <v/>
      </c>
      <c r="D282" s="5"/>
      <c r="E282" s="17"/>
      <c r="F282" s="17"/>
      <c r="G282" s="5"/>
      <c r="H282" s="10">
        <f t="shared" si="25"/>
        <v>0</v>
      </c>
      <c r="I282" s="10" t="str">
        <f t="shared" si="26"/>
        <v/>
      </c>
      <c r="J282" s="10" t="str">
        <f t="shared" si="27"/>
        <v/>
      </c>
      <c r="K282" s="10" t="str">
        <f t="shared" si="28"/>
        <v/>
      </c>
      <c r="L282" s="4" t="str">
        <f t="shared" si="29"/>
        <v/>
      </c>
    </row>
    <row r="283" spans="1:12" x14ac:dyDescent="0.3">
      <c r="A283" s="5"/>
      <c r="B283" s="5"/>
      <c r="C283" s="10" t="str">
        <f t="shared" si="24"/>
        <v/>
      </c>
      <c r="D283" s="5"/>
      <c r="E283" s="17"/>
      <c r="F283" s="17"/>
      <c r="G283" s="5"/>
      <c r="H283" s="10">
        <f t="shared" si="25"/>
        <v>0</v>
      </c>
      <c r="I283" s="10" t="str">
        <f t="shared" si="26"/>
        <v/>
      </c>
      <c r="J283" s="10" t="str">
        <f t="shared" si="27"/>
        <v/>
      </c>
      <c r="K283" s="10" t="str">
        <f t="shared" si="28"/>
        <v/>
      </c>
      <c r="L283" s="4" t="str">
        <f t="shared" si="29"/>
        <v/>
      </c>
    </row>
    <row r="284" spans="1:12" x14ac:dyDescent="0.3">
      <c r="A284" s="5"/>
      <c r="B284" s="5"/>
      <c r="C284" s="10" t="str">
        <f t="shared" si="24"/>
        <v/>
      </c>
      <c r="D284" s="5"/>
      <c r="E284" s="17"/>
      <c r="F284" s="17"/>
      <c r="G284" s="5"/>
      <c r="H284" s="10">
        <f t="shared" si="25"/>
        <v>0</v>
      </c>
      <c r="I284" s="10" t="str">
        <f t="shared" si="26"/>
        <v/>
      </c>
      <c r="J284" s="10" t="str">
        <f t="shared" si="27"/>
        <v/>
      </c>
      <c r="K284" s="10" t="str">
        <f t="shared" si="28"/>
        <v/>
      </c>
      <c r="L284" s="4" t="str">
        <f t="shared" si="29"/>
        <v/>
      </c>
    </row>
    <row r="285" spans="1:12" x14ac:dyDescent="0.3">
      <c r="A285" s="5"/>
      <c r="B285" s="5"/>
      <c r="C285" s="10" t="str">
        <f t="shared" si="24"/>
        <v/>
      </c>
      <c r="D285" s="5"/>
      <c r="E285" s="17"/>
      <c r="F285" s="17"/>
      <c r="G285" s="5"/>
      <c r="H285" s="10">
        <f t="shared" si="25"/>
        <v>0</v>
      </c>
      <c r="I285" s="10" t="str">
        <f t="shared" si="26"/>
        <v/>
      </c>
      <c r="J285" s="10" t="str">
        <f t="shared" si="27"/>
        <v/>
      </c>
      <c r="K285" s="10" t="str">
        <f t="shared" si="28"/>
        <v/>
      </c>
      <c r="L285" s="4" t="str">
        <f t="shared" si="29"/>
        <v/>
      </c>
    </row>
    <row r="286" spans="1:12" x14ac:dyDescent="0.3">
      <c r="A286" s="5"/>
      <c r="B286" s="5"/>
      <c r="C286" s="10" t="str">
        <f t="shared" si="24"/>
        <v/>
      </c>
      <c r="D286" s="5"/>
      <c r="E286" s="17"/>
      <c r="F286" s="17"/>
      <c r="G286" s="5"/>
      <c r="H286" s="10">
        <f t="shared" si="25"/>
        <v>0</v>
      </c>
      <c r="I286" s="10" t="str">
        <f t="shared" si="26"/>
        <v/>
      </c>
      <c r="J286" s="10" t="str">
        <f t="shared" si="27"/>
        <v/>
      </c>
      <c r="K286" s="10" t="str">
        <f t="shared" si="28"/>
        <v/>
      </c>
      <c r="L286" s="4" t="str">
        <f t="shared" si="29"/>
        <v/>
      </c>
    </row>
    <row r="287" spans="1:12" x14ac:dyDescent="0.3">
      <c r="A287" s="5"/>
      <c r="B287" s="5"/>
      <c r="C287" s="10" t="str">
        <f t="shared" si="24"/>
        <v/>
      </c>
      <c r="D287" s="5"/>
      <c r="E287" s="17"/>
      <c r="F287" s="17"/>
      <c r="G287" s="5"/>
      <c r="H287" s="10">
        <f t="shared" si="25"/>
        <v>0</v>
      </c>
      <c r="I287" s="10" t="str">
        <f t="shared" si="26"/>
        <v/>
      </c>
      <c r="J287" s="10" t="str">
        <f t="shared" si="27"/>
        <v/>
      </c>
      <c r="K287" s="10" t="str">
        <f t="shared" si="28"/>
        <v/>
      </c>
      <c r="L287" s="4" t="str">
        <f t="shared" si="29"/>
        <v/>
      </c>
    </row>
    <row r="288" spans="1:12" x14ac:dyDescent="0.3">
      <c r="A288" s="5"/>
      <c r="B288" s="5"/>
      <c r="C288" s="10" t="str">
        <f t="shared" si="24"/>
        <v/>
      </c>
      <c r="D288" s="5"/>
      <c r="E288" s="17"/>
      <c r="F288" s="17"/>
      <c r="G288" s="5"/>
      <c r="H288" s="10">
        <f t="shared" si="25"/>
        <v>0</v>
      </c>
      <c r="I288" s="10" t="str">
        <f t="shared" si="26"/>
        <v/>
      </c>
      <c r="J288" s="10" t="str">
        <f t="shared" si="27"/>
        <v/>
      </c>
      <c r="K288" s="10" t="str">
        <f t="shared" si="28"/>
        <v/>
      </c>
      <c r="L288" s="4" t="str">
        <f t="shared" si="29"/>
        <v/>
      </c>
    </row>
    <row r="289" spans="1:12" x14ac:dyDescent="0.3">
      <c r="A289" s="5"/>
      <c r="B289" s="5"/>
      <c r="C289" s="10" t="str">
        <f t="shared" si="24"/>
        <v/>
      </c>
      <c r="D289" s="5"/>
      <c r="E289" s="17"/>
      <c r="F289" s="17"/>
      <c r="G289" s="5"/>
      <c r="H289" s="10">
        <f t="shared" si="25"/>
        <v>0</v>
      </c>
      <c r="I289" s="10" t="str">
        <f t="shared" si="26"/>
        <v/>
      </c>
      <c r="J289" s="10" t="str">
        <f t="shared" si="27"/>
        <v/>
      </c>
      <c r="K289" s="10" t="str">
        <f t="shared" si="28"/>
        <v/>
      </c>
      <c r="L289" s="4" t="str">
        <f t="shared" si="29"/>
        <v/>
      </c>
    </row>
    <row r="290" spans="1:12" x14ac:dyDescent="0.3">
      <c r="A290" s="5"/>
      <c r="B290" s="5"/>
      <c r="C290" s="10" t="str">
        <f t="shared" si="24"/>
        <v/>
      </c>
      <c r="D290" s="5"/>
      <c r="E290" s="17"/>
      <c r="F290" s="17"/>
      <c r="G290" s="5"/>
      <c r="H290" s="10">
        <f t="shared" si="25"/>
        <v>0</v>
      </c>
      <c r="I290" s="10" t="str">
        <f t="shared" si="26"/>
        <v/>
      </c>
      <c r="J290" s="10" t="str">
        <f t="shared" si="27"/>
        <v/>
      </c>
      <c r="K290" s="10" t="str">
        <f t="shared" si="28"/>
        <v/>
      </c>
      <c r="L290" s="4" t="str">
        <f t="shared" si="29"/>
        <v/>
      </c>
    </row>
    <row r="291" spans="1:12" x14ac:dyDescent="0.3">
      <c r="A291" s="5"/>
      <c r="B291" s="5"/>
      <c r="C291" s="10" t="str">
        <f t="shared" si="24"/>
        <v/>
      </c>
      <c r="D291" s="5"/>
      <c r="E291" s="17"/>
      <c r="F291" s="17"/>
      <c r="G291" s="5"/>
      <c r="H291" s="10">
        <f t="shared" si="25"/>
        <v>0</v>
      </c>
      <c r="I291" s="10" t="str">
        <f t="shared" si="26"/>
        <v/>
      </c>
      <c r="J291" s="10" t="str">
        <f t="shared" si="27"/>
        <v/>
      </c>
      <c r="K291" s="10" t="str">
        <f t="shared" si="28"/>
        <v/>
      </c>
      <c r="L291" s="4" t="str">
        <f t="shared" si="29"/>
        <v/>
      </c>
    </row>
    <row r="292" spans="1:12" x14ac:dyDescent="0.3">
      <c r="A292" s="5"/>
      <c r="B292" s="5"/>
      <c r="C292" s="10" t="str">
        <f t="shared" si="24"/>
        <v/>
      </c>
      <c r="D292" s="5"/>
      <c r="E292" s="17"/>
      <c r="F292" s="17"/>
      <c r="G292" s="5"/>
      <c r="H292" s="10">
        <f t="shared" si="25"/>
        <v>0</v>
      </c>
      <c r="I292" s="10" t="str">
        <f t="shared" si="26"/>
        <v/>
      </c>
      <c r="J292" s="10" t="str">
        <f t="shared" si="27"/>
        <v/>
      </c>
      <c r="K292" s="10" t="str">
        <f t="shared" si="28"/>
        <v/>
      </c>
      <c r="L292" s="4" t="str">
        <f t="shared" si="29"/>
        <v/>
      </c>
    </row>
    <row r="293" spans="1:12" x14ac:dyDescent="0.3">
      <c r="A293" s="5"/>
      <c r="B293" s="5"/>
      <c r="C293" s="10" t="str">
        <f t="shared" si="24"/>
        <v/>
      </c>
      <c r="D293" s="5"/>
      <c r="E293" s="17"/>
      <c r="F293" s="17"/>
      <c r="G293" s="5"/>
      <c r="H293" s="10">
        <f t="shared" si="25"/>
        <v>0</v>
      </c>
      <c r="I293" s="10" t="str">
        <f t="shared" si="26"/>
        <v/>
      </c>
      <c r="J293" s="10" t="str">
        <f t="shared" si="27"/>
        <v/>
      </c>
      <c r="K293" s="10" t="str">
        <f t="shared" si="28"/>
        <v/>
      </c>
      <c r="L293" s="4" t="str">
        <f t="shared" si="29"/>
        <v/>
      </c>
    </row>
    <row r="294" spans="1:12" x14ac:dyDescent="0.3">
      <c r="A294" s="5"/>
      <c r="B294" s="5"/>
      <c r="C294" s="10" t="str">
        <f t="shared" si="24"/>
        <v/>
      </c>
      <c r="D294" s="5"/>
      <c r="E294" s="17"/>
      <c r="F294" s="17"/>
      <c r="G294" s="5"/>
      <c r="H294" s="10">
        <f t="shared" si="25"/>
        <v>0</v>
      </c>
      <c r="I294" s="10" t="str">
        <f t="shared" si="26"/>
        <v/>
      </c>
      <c r="J294" s="10" t="str">
        <f t="shared" si="27"/>
        <v/>
      </c>
      <c r="K294" s="10" t="str">
        <f t="shared" si="28"/>
        <v/>
      </c>
      <c r="L294" s="4" t="str">
        <f t="shared" si="29"/>
        <v/>
      </c>
    </row>
    <row r="295" spans="1:12" x14ac:dyDescent="0.3">
      <c r="A295" s="5"/>
      <c r="B295" s="5"/>
      <c r="C295" s="10" t="str">
        <f t="shared" si="24"/>
        <v/>
      </c>
      <c r="D295" s="5"/>
      <c r="E295" s="17"/>
      <c r="F295" s="17"/>
      <c r="G295" s="5"/>
      <c r="H295" s="10">
        <f t="shared" si="25"/>
        <v>0</v>
      </c>
      <c r="I295" s="10" t="str">
        <f t="shared" si="26"/>
        <v/>
      </c>
      <c r="J295" s="10" t="str">
        <f t="shared" si="27"/>
        <v/>
      </c>
      <c r="K295" s="10" t="str">
        <f t="shared" si="28"/>
        <v/>
      </c>
      <c r="L295" s="4" t="str">
        <f t="shared" si="29"/>
        <v/>
      </c>
    </row>
    <row r="296" spans="1:12" x14ac:dyDescent="0.3">
      <c r="A296" s="5"/>
      <c r="B296" s="5"/>
      <c r="C296" s="10" t="str">
        <f t="shared" si="24"/>
        <v/>
      </c>
      <c r="D296" s="5"/>
      <c r="E296" s="17"/>
      <c r="F296" s="17"/>
      <c r="G296" s="5"/>
      <c r="H296" s="10">
        <f t="shared" si="25"/>
        <v>0</v>
      </c>
      <c r="I296" s="10" t="str">
        <f t="shared" si="26"/>
        <v/>
      </c>
      <c r="J296" s="10" t="str">
        <f t="shared" si="27"/>
        <v/>
      </c>
      <c r="K296" s="10" t="str">
        <f t="shared" si="28"/>
        <v/>
      </c>
      <c r="L296" s="4" t="str">
        <f t="shared" si="29"/>
        <v/>
      </c>
    </row>
    <row r="297" spans="1:12" x14ac:dyDescent="0.3">
      <c r="A297" s="5"/>
      <c r="B297" s="5"/>
      <c r="C297" s="10" t="str">
        <f t="shared" si="24"/>
        <v/>
      </c>
      <c r="D297" s="5"/>
      <c r="E297" s="17"/>
      <c r="F297" s="17"/>
      <c r="G297" s="5"/>
      <c r="H297" s="10">
        <f t="shared" si="25"/>
        <v>0</v>
      </c>
      <c r="I297" s="10" t="str">
        <f t="shared" si="26"/>
        <v/>
      </c>
      <c r="J297" s="10" t="str">
        <f t="shared" si="27"/>
        <v/>
      </c>
      <c r="K297" s="10" t="str">
        <f t="shared" si="28"/>
        <v/>
      </c>
      <c r="L297" s="4" t="str">
        <f t="shared" si="29"/>
        <v/>
      </c>
    </row>
    <row r="298" spans="1:12" x14ac:dyDescent="0.3">
      <c r="A298" s="5"/>
      <c r="B298" s="5"/>
      <c r="C298" s="10" t="str">
        <f t="shared" si="24"/>
        <v/>
      </c>
      <c r="D298" s="5"/>
      <c r="E298" s="17"/>
      <c r="F298" s="17"/>
      <c r="G298" s="5"/>
      <c r="H298" s="10">
        <f t="shared" si="25"/>
        <v>0</v>
      </c>
      <c r="I298" s="10" t="str">
        <f t="shared" si="26"/>
        <v/>
      </c>
      <c r="J298" s="10" t="str">
        <f t="shared" si="27"/>
        <v/>
      </c>
      <c r="K298" s="10" t="str">
        <f t="shared" si="28"/>
        <v/>
      </c>
      <c r="L298" s="4" t="str">
        <f t="shared" si="29"/>
        <v/>
      </c>
    </row>
    <row r="299" spans="1:12" x14ac:dyDescent="0.3">
      <c r="A299" s="5"/>
      <c r="B299" s="5"/>
      <c r="C299" s="10" t="str">
        <f t="shared" si="24"/>
        <v/>
      </c>
      <c r="D299" s="5"/>
      <c r="E299" s="17"/>
      <c r="F299" s="17"/>
      <c r="G299" s="5"/>
      <c r="H299" s="10">
        <f t="shared" si="25"/>
        <v>0</v>
      </c>
      <c r="I299" s="10" t="str">
        <f t="shared" si="26"/>
        <v/>
      </c>
      <c r="J299" s="10" t="str">
        <f t="shared" si="27"/>
        <v/>
      </c>
      <c r="K299" s="10" t="str">
        <f t="shared" si="28"/>
        <v/>
      </c>
      <c r="L299" s="4" t="str">
        <f t="shared" si="29"/>
        <v/>
      </c>
    </row>
    <row r="300" spans="1:12" x14ac:dyDescent="0.3">
      <c r="A300" s="5"/>
      <c r="B300" s="5"/>
      <c r="C300" s="10" t="str">
        <f t="shared" si="24"/>
        <v/>
      </c>
      <c r="D300" s="5"/>
      <c r="E300" s="17"/>
      <c r="F300" s="17"/>
      <c r="G300" s="5"/>
      <c r="H300" s="10">
        <f t="shared" si="25"/>
        <v>0</v>
      </c>
      <c r="I300" s="10" t="str">
        <f t="shared" si="26"/>
        <v/>
      </c>
      <c r="J300" s="10" t="str">
        <f t="shared" si="27"/>
        <v/>
      </c>
      <c r="K300" s="10" t="str">
        <f t="shared" si="28"/>
        <v/>
      </c>
      <c r="L300" s="4" t="str">
        <f t="shared" si="29"/>
        <v/>
      </c>
    </row>
    <row r="301" spans="1:12" x14ac:dyDescent="0.3">
      <c r="A301" s="5"/>
      <c r="B301" s="5"/>
      <c r="C301" s="10" t="str">
        <f t="shared" si="24"/>
        <v/>
      </c>
      <c r="D301" s="5"/>
      <c r="E301" s="17"/>
      <c r="F301" s="17"/>
      <c r="G301" s="5"/>
      <c r="H301" s="10">
        <f t="shared" si="25"/>
        <v>0</v>
      </c>
      <c r="I301" s="10" t="str">
        <f t="shared" si="26"/>
        <v/>
      </c>
      <c r="J301" s="10" t="str">
        <f t="shared" si="27"/>
        <v/>
      </c>
      <c r="K301" s="10" t="str">
        <f t="shared" si="28"/>
        <v/>
      </c>
      <c r="L301" s="4" t="str">
        <f t="shared" si="29"/>
        <v/>
      </c>
    </row>
    <row r="302" spans="1:12" x14ac:dyDescent="0.3">
      <c r="A302" s="5"/>
      <c r="B302" s="5"/>
      <c r="C302" s="10" t="str">
        <f t="shared" si="24"/>
        <v/>
      </c>
      <c r="D302" s="5"/>
      <c r="E302" s="17"/>
      <c r="F302" s="17"/>
      <c r="G302" s="5"/>
      <c r="H302" s="10">
        <f t="shared" si="25"/>
        <v>0</v>
      </c>
      <c r="I302" s="10" t="str">
        <f t="shared" si="26"/>
        <v/>
      </c>
      <c r="J302" s="10" t="str">
        <f t="shared" si="27"/>
        <v/>
      </c>
      <c r="K302" s="10" t="str">
        <f t="shared" si="28"/>
        <v/>
      </c>
      <c r="L302" s="4" t="str">
        <f t="shared" si="29"/>
        <v/>
      </c>
    </row>
    <row r="303" spans="1:12" x14ac:dyDescent="0.3">
      <c r="A303" s="5"/>
      <c r="B303" s="5"/>
      <c r="C303" s="10" t="str">
        <f t="shared" si="24"/>
        <v/>
      </c>
      <c r="D303" s="5"/>
      <c r="E303" s="17"/>
      <c r="F303" s="17"/>
      <c r="G303" s="5"/>
      <c r="H303" s="10">
        <f t="shared" si="25"/>
        <v>0</v>
      </c>
      <c r="I303" s="10" t="str">
        <f t="shared" si="26"/>
        <v/>
      </c>
      <c r="J303" s="10" t="str">
        <f t="shared" si="27"/>
        <v/>
      </c>
      <c r="K303" s="10" t="str">
        <f t="shared" si="28"/>
        <v/>
      </c>
      <c r="L303" s="4" t="str">
        <f t="shared" si="29"/>
        <v/>
      </c>
    </row>
  </sheetData>
  <sheetProtection algorithmName="SHA-512" hashValue="BNuVfYTUyVj/870y0LrEbzOjzYtwLuvHh8bghkNFRp/27sFyPZFraw8GNfZsnIO3CJ1PterES2paSLgQppj9mg==" saltValue="7P41QjnxlydAUhDU+fK1GQ==" spinCount="100000" sheet="1" objects="1" scenarios="1" formatCells="0" autoFilter="0" pivotTables="0"/>
  <conditionalFormatting sqref="L4:L303">
    <cfRule type="expression" dxfId="17" priority="1">
      <formula>L4&lt;&gt;""</formula>
    </cfRule>
  </conditionalFormatting>
  <dataValidations count="1">
    <dataValidation type="list" allowBlank="1" showErrorMessage="1" sqref="B4:B303" xr:uid="{00000000-0002-0000-0400-000000000000}">
      <formula1>INDEX(LIST_PER_TXT,0,LangIdx)</formula1>
    </dataValidation>
  </dataValidations>
  <pageMargins left="0.75" right="0.75" top="1" bottom="1" header="0.5" footer="0.5"/>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Munka6"/>
  <dimension ref="A1:W118"/>
  <sheetViews>
    <sheetView showGridLines="0" workbookViewId="0">
      <pane xSplit="2" ySplit="3" topLeftCell="C4" activePane="bottomRight" state="frozen"/>
      <selection pane="topRight"/>
      <selection pane="bottomLeft"/>
      <selection pane="bottomRight" activeCell="C1" sqref="C1"/>
    </sheetView>
  </sheetViews>
  <sheetFormatPr defaultRowHeight="14.4" x14ac:dyDescent="0.3"/>
  <cols>
    <col min="1" max="1" width="20" customWidth="1"/>
    <col min="2" max="2" width="48" customWidth="1"/>
    <col min="3" max="23" width="14" customWidth="1"/>
  </cols>
  <sheetData>
    <row r="1" spans="1:23" ht="17.399999999999999" x14ac:dyDescent="0.3">
      <c r="A1" s="1" t="str">
        <f>IFERROR(INDEX(DICT_ACTIVE,MATCH("UI.SHEET.ENGINE",DICT_KEY,0))&amp;"","??UI.SHEET.ENGINE")</f>
        <v>Calculation engine</v>
      </c>
    </row>
    <row r="2" spans="1:23" x14ac:dyDescent="0.3">
      <c r="A2" s="2" t="str">
        <f>IFERROR(INDEX(DICT_ACTIVE,MATCH("ENG.HINT",DICT_KEY,0))&amp;"","??ENG.HINT")</f>
        <v>Do not edit. One row per line key; statements read this sheet only.</v>
      </c>
    </row>
    <row r="3" spans="1:23" x14ac:dyDescent="0.3">
      <c r="A3" s="3" t="str">
        <f>IFERROR(INDEX(DICT_ACTIVE,MATCH("ENG.KEY",DICT_KEY,0))&amp;"","??ENG.KEY")</f>
        <v>Line key</v>
      </c>
      <c r="B3" s="3" t="str">
        <f>IFERROR(INDEX(DICT_ACTIVE,MATCH("ENG.LABEL",DICT_KEY,0))&amp;"","??ENG.LABEL")</f>
        <v>Label</v>
      </c>
      <c r="C3" s="3" t="str">
        <f>IFERROR(INDEX(DICT_ACTIVE,MATCH("ENG.STMT",DICT_KEY,0))&amp;"","??ENG.STMT")</f>
        <v>Statement</v>
      </c>
      <c r="D3" s="3" t="str">
        <f>IFERROR(INDEX(DICT_ACTIVE,MATCH("ENG.CAT",DICT_KEY,0))&amp;"","??ENG.CAT")</f>
        <v>Category</v>
      </c>
      <c r="E3" s="3" t="str">
        <f>IFERROR(INDEX(DICT_ACTIVE,MATCH("ENG.SIGN",DICT_KEY,0))&amp;"","??ENG.SIGN")</f>
        <v>Presentation sign</v>
      </c>
      <c r="F3" s="3" t="str">
        <f>IFERROR(INDEX(DICT_ACTIVE,MATCH("ENG.CNC",DICT_KEY,0))&amp;"","??ENG.CNC")</f>
        <v>Section</v>
      </c>
      <c r="G3" s="3" t="str">
        <f>IFERROR(INDEX(DICT_ACTIVE,MATCH("ENG.KIND",DICT_KEY,0))&amp;"","??ENG.KIND")</f>
        <v>Kind</v>
      </c>
      <c r="H3" s="3" t="str">
        <f>IFERROR(INDEX(DICT_ACTIVE,MATCH("ENG.RECLASS",DICT_KEY,0))&amp;"","??ENG.RECLASS")</f>
        <v>OCI closes to</v>
      </c>
      <c r="I3" s="3" t="str">
        <f>IFERROR(INDEX(DICT_ACTIVE,MATCH("ENG.TBCY",DICT_KEY,0))&amp;"","??ENG.TBCY")</f>
        <v>TB current year</v>
      </c>
      <c r="J3" s="3" t="str">
        <f>IFERROR(INDEX(DICT_ACTIVE,MATCH("ENG.ADJCY",DICT_KEY,0))&amp;"","??ENG.ADJCY")</f>
        <v>Adjustments current year</v>
      </c>
      <c r="K3" s="3" t="str">
        <f>IFERROR(INDEX(DICT_ACTIVE,MATCH("ENG.CY",DICT_KEY,0))&amp;"","??ENG.CY")</f>
        <v>Current year (ledger sign)</v>
      </c>
      <c r="L3" s="3" t="str">
        <f>IFERROR(INDEX(DICT_ACTIVE,MATCH("ENG.TBPY",DICT_KEY,0))&amp;"","??ENG.TBPY")</f>
        <v>TB prior year</v>
      </c>
      <c r="M3" s="3" t="str">
        <f>IFERROR(INDEX(DICT_ACTIVE,MATCH("ENG.ADJPY",DICT_KEY,0))&amp;"","??ENG.ADJPY")</f>
        <v>Adjustments prior year</v>
      </c>
      <c r="N3" s="3" t="str">
        <f>IFERROR(INDEX(DICT_ACTIVE,MATCH("ENG.PY",DICT_KEY,0))&amp;"","??ENG.PY")</f>
        <v>Prior year (ledger sign)</v>
      </c>
      <c r="O3" s="3" t="str">
        <f>IFERROR(INDEX(DICT_ACTIVE,MATCH("ENG.TBOP",DICT_KEY,0))&amp;"","??ENG.TBOP")</f>
        <v>TB opening</v>
      </c>
      <c r="P3" s="3" t="str">
        <f>IFERROR(INDEX(DICT_ACTIVE,MATCH("ENG.ADJOP",DICT_KEY,0))&amp;"","??ENG.ADJOP")</f>
        <v>Adjustments opening</v>
      </c>
      <c r="Q3" s="3" t="str">
        <f>IFERROR(INDEX(DICT_ACTIVE,MATCH("ENG.OP",DICT_KEY,0))&amp;"","??ENG.OP")</f>
        <v>Opening (ledger sign)</v>
      </c>
      <c r="R3" s="3" t="str">
        <f>IFERROR(INDEX(DICT_ACTIVE,MATCH("ENG.CYP",DICT_KEY,0))&amp;"","??ENG.CYP")</f>
        <v>Current year (presented)</v>
      </c>
      <c r="S3" s="3" t="str">
        <f>IFERROR(INDEX(DICT_ACTIVE,MATCH("ENG.PYP",DICT_KEY,0))&amp;"","??ENG.PYP")</f>
        <v>Prior year (presented)</v>
      </c>
      <c r="T3" s="3" t="str">
        <f>IFERROR(INDEX(DICT_ACTIVE,MATCH("ENG.MOVCY",DICT_KEY,0))&amp;"","??ENG.MOVCY")</f>
        <v>Movement current year</v>
      </c>
      <c r="U3" s="3" t="str">
        <f>IFERROR(INDEX(DICT_ACTIVE,MATCH("ENG.MOVPY",DICT_KEY,0))&amp;"","??ENG.MOVPY")</f>
        <v>Movement prior year</v>
      </c>
      <c r="V3" s="3" t="str">
        <f>IFERROR(INDEX(DICT_ACTIVE,MATCH("ENG.NATCY",DICT_KEY,0))&amp;"","??ENG.NATCY")</f>
        <v>Current year - nature view (ledger sign)</v>
      </c>
      <c r="W3" s="3" t="str">
        <f>IFERROR(INDEX(DICT_ACTIVE,MATCH("ENG.NATPY",DICT_KEY,0))&amp;"","??ENG.NATPY")</f>
        <v>Prior year - nature view (ledger sign)</v>
      </c>
    </row>
    <row r="4" spans="1:23" x14ac:dyDescent="0.3">
      <c r="A4" s="9" t="s">
        <v>361</v>
      </c>
      <c r="B4" s="9" t="str">
        <f>IFERROR(INDEX(DICT_ACTIVE,MATCH("SFP.NCA.PPE",DICT_KEY,0))&amp;"","??SFP.NCA.PPE")</f>
        <v>Property, plant and equipment</v>
      </c>
      <c r="C4" s="9" t="s">
        <v>353</v>
      </c>
      <c r="D4" s="9"/>
      <c r="E4" s="9">
        <v>1</v>
      </c>
      <c r="F4" s="9" t="s">
        <v>1391</v>
      </c>
      <c r="G4" s="9"/>
      <c r="H4" s="9"/>
      <c r="I4" s="20">
        <f t="shared" ref="I4:I35" si="0">SUMIF(TB_LINEKEY,$A4,TB_CY)</f>
        <v>29500</v>
      </c>
      <c r="J4" s="20">
        <f t="shared" ref="J4:J35" si="1">SUMIFS(ADJ_NET,ADJ_LINEKEY,$A4,ADJ_PER,"CY")</f>
        <v>0</v>
      </c>
      <c r="K4" s="20">
        <f t="shared" ref="K4:K23" si="2">I4+J4</f>
        <v>29500</v>
      </c>
      <c r="L4" s="20">
        <f t="shared" ref="L4:L35" si="3">SUMIF(TB_LINEKEY,$A4,TB_PY)</f>
        <v>27000</v>
      </c>
      <c r="M4" s="20">
        <f t="shared" ref="M4:M35" si="4">SUMIFS(ADJ_NET,ADJ_LINEKEY,$A4,ADJ_PER,"PY")</f>
        <v>0</v>
      </c>
      <c r="N4" s="20">
        <f t="shared" ref="N4:N23" si="5">L4+M4</f>
        <v>27000</v>
      </c>
      <c r="O4" s="20">
        <f t="shared" ref="O4:O35" si="6">SUMIF(TB_LINEKEY,$A4,TB_OP)</f>
        <v>26000</v>
      </c>
      <c r="P4" s="20">
        <f t="shared" ref="P4:P35" si="7">SUMIFS(ADJ_NET,ADJ_LINEKEY,$A4,ADJ_PER,"OP")</f>
        <v>0</v>
      </c>
      <c r="Q4" s="20">
        <f t="shared" ref="Q4:Q23" si="8">O4+P4</f>
        <v>26000</v>
      </c>
      <c r="R4" s="20">
        <f t="shared" ref="R4:R35" si="9">K4*$E4</f>
        <v>29500</v>
      </c>
      <c r="S4" s="20">
        <f t="shared" ref="S4:S35" si="10">N4*$E4</f>
        <v>27000</v>
      </c>
      <c r="T4" s="20">
        <f t="shared" ref="T4:T35" si="11">K4-N4</f>
        <v>2500</v>
      </c>
      <c r="U4" s="20">
        <f t="shared" ref="U4:U35" si="12">N4-Q4</f>
        <v>1000</v>
      </c>
      <c r="V4" s="20"/>
      <c r="W4" s="20"/>
    </row>
    <row r="5" spans="1:23" x14ac:dyDescent="0.3">
      <c r="A5" s="9" t="s">
        <v>364</v>
      </c>
      <c r="B5" s="9" t="str">
        <f>IFERROR(INDEX(DICT_ACTIVE,MATCH("SFP.NCA.ROU",DICT_KEY,0))&amp;"","??SFP.NCA.ROU")</f>
        <v>Right-of-use assets</v>
      </c>
      <c r="C5" s="9" t="s">
        <v>353</v>
      </c>
      <c r="D5" s="9"/>
      <c r="E5" s="9">
        <v>1</v>
      </c>
      <c r="F5" s="9" t="s">
        <v>1391</v>
      </c>
      <c r="G5" s="9"/>
      <c r="H5" s="9"/>
      <c r="I5" s="20">
        <f t="shared" si="0"/>
        <v>4200</v>
      </c>
      <c r="J5" s="20">
        <f t="shared" si="1"/>
        <v>0</v>
      </c>
      <c r="K5" s="20">
        <f t="shared" si="2"/>
        <v>4200</v>
      </c>
      <c r="L5" s="20">
        <f t="shared" si="3"/>
        <v>5000</v>
      </c>
      <c r="M5" s="20">
        <f t="shared" si="4"/>
        <v>0</v>
      </c>
      <c r="N5" s="20">
        <f t="shared" si="5"/>
        <v>5000</v>
      </c>
      <c r="O5" s="20">
        <f t="shared" si="6"/>
        <v>5800</v>
      </c>
      <c r="P5" s="20">
        <f t="shared" si="7"/>
        <v>0</v>
      </c>
      <c r="Q5" s="20">
        <f t="shared" si="8"/>
        <v>5800</v>
      </c>
      <c r="R5" s="20">
        <f t="shared" si="9"/>
        <v>4200</v>
      </c>
      <c r="S5" s="20">
        <f t="shared" si="10"/>
        <v>5000</v>
      </c>
      <c r="T5" s="20">
        <f t="shared" si="11"/>
        <v>-800</v>
      </c>
      <c r="U5" s="20">
        <f t="shared" si="12"/>
        <v>-800</v>
      </c>
      <c r="V5" s="20"/>
      <c r="W5" s="20"/>
    </row>
    <row r="6" spans="1:23" x14ac:dyDescent="0.3">
      <c r="A6" s="9" t="s">
        <v>367</v>
      </c>
      <c r="B6" s="9" t="str">
        <f>IFERROR(INDEX(DICT_ACTIVE,MATCH("SFP.NCA.INVPROP",DICT_KEY,0))&amp;"","??SFP.NCA.INVPROP")</f>
        <v>Investment property</v>
      </c>
      <c r="C6" s="9" t="s">
        <v>353</v>
      </c>
      <c r="D6" s="9"/>
      <c r="E6" s="9">
        <v>1</v>
      </c>
      <c r="F6" s="9" t="s">
        <v>1391</v>
      </c>
      <c r="G6" s="9"/>
      <c r="H6" s="9"/>
      <c r="I6" s="20">
        <f t="shared" si="0"/>
        <v>0</v>
      </c>
      <c r="J6" s="20">
        <f t="shared" si="1"/>
        <v>0</v>
      </c>
      <c r="K6" s="20">
        <f t="shared" si="2"/>
        <v>0</v>
      </c>
      <c r="L6" s="20">
        <f t="shared" si="3"/>
        <v>0</v>
      </c>
      <c r="M6" s="20">
        <f t="shared" si="4"/>
        <v>0</v>
      </c>
      <c r="N6" s="20">
        <f t="shared" si="5"/>
        <v>0</v>
      </c>
      <c r="O6" s="20">
        <f t="shared" si="6"/>
        <v>0</v>
      </c>
      <c r="P6" s="20">
        <f t="shared" si="7"/>
        <v>0</v>
      </c>
      <c r="Q6" s="20">
        <f t="shared" si="8"/>
        <v>0</v>
      </c>
      <c r="R6" s="20">
        <f t="shared" si="9"/>
        <v>0</v>
      </c>
      <c r="S6" s="20">
        <f t="shared" si="10"/>
        <v>0</v>
      </c>
      <c r="T6" s="20">
        <f t="shared" si="11"/>
        <v>0</v>
      </c>
      <c r="U6" s="20">
        <f t="shared" si="12"/>
        <v>0</v>
      </c>
      <c r="V6" s="20"/>
      <c r="W6" s="20"/>
    </row>
    <row r="7" spans="1:23" x14ac:dyDescent="0.3">
      <c r="A7" s="9" t="s">
        <v>370</v>
      </c>
      <c r="B7" s="9" t="str">
        <f>IFERROR(INDEX(DICT_ACTIVE,MATCH("SFP.NCA.INTANG",DICT_KEY,0))&amp;"","??SFP.NCA.INTANG")</f>
        <v>Intangible assets</v>
      </c>
      <c r="C7" s="9" t="s">
        <v>353</v>
      </c>
      <c r="D7" s="9"/>
      <c r="E7" s="9">
        <v>1</v>
      </c>
      <c r="F7" s="9" t="s">
        <v>1391</v>
      </c>
      <c r="G7" s="9"/>
      <c r="H7" s="9"/>
      <c r="I7" s="20">
        <f t="shared" si="0"/>
        <v>1800</v>
      </c>
      <c r="J7" s="20">
        <f t="shared" si="1"/>
        <v>0</v>
      </c>
      <c r="K7" s="20">
        <f t="shared" si="2"/>
        <v>1800</v>
      </c>
      <c r="L7" s="20">
        <f t="shared" si="3"/>
        <v>1600</v>
      </c>
      <c r="M7" s="20">
        <f t="shared" si="4"/>
        <v>0</v>
      </c>
      <c r="N7" s="20">
        <f t="shared" si="5"/>
        <v>1600</v>
      </c>
      <c r="O7" s="20">
        <f t="shared" si="6"/>
        <v>1550</v>
      </c>
      <c r="P7" s="20">
        <f t="shared" si="7"/>
        <v>0</v>
      </c>
      <c r="Q7" s="20">
        <f t="shared" si="8"/>
        <v>1550</v>
      </c>
      <c r="R7" s="20">
        <f t="shared" si="9"/>
        <v>1800</v>
      </c>
      <c r="S7" s="20">
        <f t="shared" si="10"/>
        <v>1600</v>
      </c>
      <c r="T7" s="20">
        <f t="shared" si="11"/>
        <v>200</v>
      </c>
      <c r="U7" s="20">
        <f t="shared" si="12"/>
        <v>50</v>
      </c>
      <c r="V7" s="20"/>
      <c r="W7" s="20"/>
    </row>
    <row r="8" spans="1:23" x14ac:dyDescent="0.3">
      <c r="A8" s="9" t="s">
        <v>373</v>
      </c>
      <c r="B8" s="9" t="str">
        <f>IFERROR(INDEX(DICT_ACTIVE,MATCH("SFP.NCA.GOODWILL",DICT_KEY,0))&amp;"","??SFP.NCA.GOODWILL")</f>
        <v>Goodwill</v>
      </c>
      <c r="C8" s="9" t="s">
        <v>353</v>
      </c>
      <c r="D8" s="9"/>
      <c r="E8" s="9">
        <v>1</v>
      </c>
      <c r="F8" s="9" t="s">
        <v>1391</v>
      </c>
      <c r="G8" s="9"/>
      <c r="H8" s="9"/>
      <c r="I8" s="20">
        <f t="shared" si="0"/>
        <v>0</v>
      </c>
      <c r="J8" s="20">
        <f t="shared" si="1"/>
        <v>0</v>
      </c>
      <c r="K8" s="20">
        <f t="shared" si="2"/>
        <v>0</v>
      </c>
      <c r="L8" s="20">
        <f t="shared" si="3"/>
        <v>0</v>
      </c>
      <c r="M8" s="20">
        <f t="shared" si="4"/>
        <v>0</v>
      </c>
      <c r="N8" s="20">
        <f t="shared" si="5"/>
        <v>0</v>
      </c>
      <c r="O8" s="20">
        <f t="shared" si="6"/>
        <v>0</v>
      </c>
      <c r="P8" s="20">
        <f t="shared" si="7"/>
        <v>0</v>
      </c>
      <c r="Q8" s="20">
        <f t="shared" si="8"/>
        <v>0</v>
      </c>
      <c r="R8" s="20">
        <f t="shared" si="9"/>
        <v>0</v>
      </c>
      <c r="S8" s="20">
        <f t="shared" si="10"/>
        <v>0</v>
      </c>
      <c r="T8" s="20">
        <f t="shared" si="11"/>
        <v>0</v>
      </c>
      <c r="U8" s="20">
        <f t="shared" si="12"/>
        <v>0</v>
      </c>
      <c r="V8" s="20"/>
      <c r="W8" s="20"/>
    </row>
    <row r="9" spans="1:23" x14ac:dyDescent="0.3">
      <c r="A9" s="9" t="s">
        <v>375</v>
      </c>
      <c r="B9" s="9" t="str">
        <f>IFERROR(INDEX(DICT_ACTIVE,MATCH("SFP.NCA.ASSOC",DICT_KEY,0))&amp;"","??SFP.NCA.ASSOC")</f>
        <v>Investments accounted for using the equity method</v>
      </c>
      <c r="C9" s="9" t="s">
        <v>353</v>
      </c>
      <c r="D9" s="9"/>
      <c r="E9" s="9">
        <v>1</v>
      </c>
      <c r="F9" s="9" t="s">
        <v>1391</v>
      </c>
      <c r="G9" s="9"/>
      <c r="H9" s="9"/>
      <c r="I9" s="20">
        <f t="shared" si="0"/>
        <v>2500</v>
      </c>
      <c r="J9" s="20">
        <f t="shared" si="1"/>
        <v>0</v>
      </c>
      <c r="K9" s="20">
        <f t="shared" si="2"/>
        <v>2500</v>
      </c>
      <c r="L9" s="20">
        <f t="shared" si="3"/>
        <v>2500</v>
      </c>
      <c r="M9" s="20">
        <f t="shared" si="4"/>
        <v>0</v>
      </c>
      <c r="N9" s="20">
        <f t="shared" si="5"/>
        <v>2500</v>
      </c>
      <c r="O9" s="20">
        <f t="shared" si="6"/>
        <v>2500</v>
      </c>
      <c r="P9" s="20">
        <f t="shared" si="7"/>
        <v>0</v>
      </c>
      <c r="Q9" s="20">
        <f t="shared" si="8"/>
        <v>2500</v>
      </c>
      <c r="R9" s="20">
        <f t="shared" si="9"/>
        <v>2500</v>
      </c>
      <c r="S9" s="20">
        <f t="shared" si="10"/>
        <v>2500</v>
      </c>
      <c r="T9" s="20">
        <f t="shared" si="11"/>
        <v>0</v>
      </c>
      <c r="U9" s="20">
        <f t="shared" si="12"/>
        <v>0</v>
      </c>
      <c r="V9" s="20"/>
      <c r="W9" s="20"/>
    </row>
    <row r="10" spans="1:23" x14ac:dyDescent="0.3">
      <c r="A10" s="9" t="s">
        <v>378</v>
      </c>
      <c r="B10" s="9" t="str">
        <f>IFERROR(INDEX(DICT_ACTIVE,MATCH("SFP.NCA.FINASSET",DICT_KEY,0))&amp;"","??SFP.NCA.FINASSET")</f>
        <v>Non-current financial assets</v>
      </c>
      <c r="C10" s="9" t="s">
        <v>353</v>
      </c>
      <c r="D10" s="9"/>
      <c r="E10" s="9">
        <v>1</v>
      </c>
      <c r="F10" s="9" t="s">
        <v>1391</v>
      </c>
      <c r="G10" s="9"/>
      <c r="H10" s="9"/>
      <c r="I10" s="20">
        <f t="shared" si="0"/>
        <v>0</v>
      </c>
      <c r="J10" s="20">
        <f t="shared" si="1"/>
        <v>0</v>
      </c>
      <c r="K10" s="20">
        <f t="shared" si="2"/>
        <v>0</v>
      </c>
      <c r="L10" s="20">
        <f t="shared" si="3"/>
        <v>0</v>
      </c>
      <c r="M10" s="20">
        <f t="shared" si="4"/>
        <v>0</v>
      </c>
      <c r="N10" s="20">
        <f t="shared" si="5"/>
        <v>0</v>
      </c>
      <c r="O10" s="20">
        <f t="shared" si="6"/>
        <v>0</v>
      </c>
      <c r="P10" s="20">
        <f t="shared" si="7"/>
        <v>0</v>
      </c>
      <c r="Q10" s="20">
        <f t="shared" si="8"/>
        <v>0</v>
      </c>
      <c r="R10" s="20">
        <f t="shared" si="9"/>
        <v>0</v>
      </c>
      <c r="S10" s="20">
        <f t="shared" si="10"/>
        <v>0</v>
      </c>
      <c r="T10" s="20">
        <f t="shared" si="11"/>
        <v>0</v>
      </c>
      <c r="U10" s="20">
        <f t="shared" si="12"/>
        <v>0</v>
      </c>
      <c r="V10" s="20"/>
      <c r="W10" s="20"/>
    </row>
    <row r="11" spans="1:23" x14ac:dyDescent="0.3">
      <c r="A11" s="9" t="s">
        <v>381</v>
      </c>
      <c r="B11" s="9" t="str">
        <f>IFERROR(INDEX(DICT_ACTIVE,MATCH("SFP.NCA.DTA",DICT_KEY,0))&amp;"","??SFP.NCA.DTA")</f>
        <v>Deferred tax assets</v>
      </c>
      <c r="C11" s="9" t="s">
        <v>353</v>
      </c>
      <c r="D11" s="9"/>
      <c r="E11" s="9">
        <v>1</v>
      </c>
      <c r="F11" s="9" t="s">
        <v>1391</v>
      </c>
      <c r="G11" s="9"/>
      <c r="H11" s="9"/>
      <c r="I11" s="20">
        <f t="shared" si="0"/>
        <v>400</v>
      </c>
      <c r="J11" s="20">
        <f t="shared" si="1"/>
        <v>0</v>
      </c>
      <c r="K11" s="20">
        <f t="shared" si="2"/>
        <v>400</v>
      </c>
      <c r="L11" s="20">
        <f t="shared" si="3"/>
        <v>350</v>
      </c>
      <c r="M11" s="20">
        <f t="shared" si="4"/>
        <v>0</v>
      </c>
      <c r="N11" s="20">
        <f t="shared" si="5"/>
        <v>350</v>
      </c>
      <c r="O11" s="20">
        <f t="shared" si="6"/>
        <v>300</v>
      </c>
      <c r="P11" s="20">
        <f t="shared" si="7"/>
        <v>0</v>
      </c>
      <c r="Q11" s="20">
        <f t="shared" si="8"/>
        <v>300</v>
      </c>
      <c r="R11" s="20">
        <f t="shared" si="9"/>
        <v>400</v>
      </c>
      <c r="S11" s="20">
        <f t="shared" si="10"/>
        <v>350</v>
      </c>
      <c r="T11" s="20">
        <f t="shared" si="11"/>
        <v>50</v>
      </c>
      <c r="U11" s="20">
        <f t="shared" si="12"/>
        <v>50</v>
      </c>
      <c r="V11" s="20"/>
      <c r="W11" s="20"/>
    </row>
    <row r="12" spans="1:23" x14ac:dyDescent="0.3">
      <c r="A12" s="9" t="s">
        <v>384</v>
      </c>
      <c r="B12" s="9" t="str">
        <f>IFERROR(INDEX(DICT_ACTIVE,MATCH("SFP.NCA.RECEIV",DICT_KEY,0))&amp;"","??SFP.NCA.RECEIV")</f>
        <v>Non-current receivables</v>
      </c>
      <c r="C12" s="9" t="s">
        <v>353</v>
      </c>
      <c r="D12" s="9"/>
      <c r="E12" s="9">
        <v>1</v>
      </c>
      <c r="F12" s="9" t="s">
        <v>1391</v>
      </c>
      <c r="G12" s="9"/>
      <c r="H12" s="9"/>
      <c r="I12" s="20">
        <f t="shared" si="0"/>
        <v>0</v>
      </c>
      <c r="J12" s="20">
        <f t="shared" si="1"/>
        <v>0</v>
      </c>
      <c r="K12" s="20">
        <f t="shared" si="2"/>
        <v>0</v>
      </c>
      <c r="L12" s="20">
        <f t="shared" si="3"/>
        <v>0</v>
      </c>
      <c r="M12" s="20">
        <f t="shared" si="4"/>
        <v>0</v>
      </c>
      <c r="N12" s="20">
        <f t="shared" si="5"/>
        <v>0</v>
      </c>
      <c r="O12" s="20">
        <f t="shared" si="6"/>
        <v>0</v>
      </c>
      <c r="P12" s="20">
        <f t="shared" si="7"/>
        <v>0</v>
      </c>
      <c r="Q12" s="20">
        <f t="shared" si="8"/>
        <v>0</v>
      </c>
      <c r="R12" s="20">
        <f t="shared" si="9"/>
        <v>0</v>
      </c>
      <c r="S12" s="20">
        <f t="shared" si="10"/>
        <v>0</v>
      </c>
      <c r="T12" s="20">
        <f t="shared" si="11"/>
        <v>0</v>
      </c>
      <c r="U12" s="20">
        <f t="shared" si="12"/>
        <v>0</v>
      </c>
      <c r="V12" s="20"/>
      <c r="W12" s="20"/>
    </row>
    <row r="13" spans="1:23" x14ac:dyDescent="0.3">
      <c r="A13" s="9" t="s">
        <v>387</v>
      </c>
      <c r="B13" s="9" t="str">
        <f>IFERROR(INDEX(DICT_ACTIVE,MATCH("SFP.NCA.OTHER",DICT_KEY,0))&amp;"","??SFP.NCA.OTHER")</f>
        <v>Other non-current assets</v>
      </c>
      <c r="C13" s="9" t="s">
        <v>353</v>
      </c>
      <c r="D13" s="9"/>
      <c r="E13" s="9">
        <v>1</v>
      </c>
      <c r="F13" s="9" t="s">
        <v>1391</v>
      </c>
      <c r="G13" s="9"/>
      <c r="H13" s="9"/>
      <c r="I13" s="20">
        <f t="shared" si="0"/>
        <v>0</v>
      </c>
      <c r="J13" s="20">
        <f t="shared" si="1"/>
        <v>0</v>
      </c>
      <c r="K13" s="20">
        <f t="shared" si="2"/>
        <v>0</v>
      </c>
      <c r="L13" s="20">
        <f t="shared" si="3"/>
        <v>0</v>
      </c>
      <c r="M13" s="20">
        <f t="shared" si="4"/>
        <v>0</v>
      </c>
      <c r="N13" s="20">
        <f t="shared" si="5"/>
        <v>0</v>
      </c>
      <c r="O13" s="20">
        <f t="shared" si="6"/>
        <v>0</v>
      </c>
      <c r="P13" s="20">
        <f t="shared" si="7"/>
        <v>0</v>
      </c>
      <c r="Q13" s="20">
        <f t="shared" si="8"/>
        <v>0</v>
      </c>
      <c r="R13" s="20">
        <f t="shared" si="9"/>
        <v>0</v>
      </c>
      <c r="S13" s="20">
        <f t="shared" si="10"/>
        <v>0</v>
      </c>
      <c r="T13" s="20">
        <f t="shared" si="11"/>
        <v>0</v>
      </c>
      <c r="U13" s="20">
        <f t="shared" si="12"/>
        <v>0</v>
      </c>
      <c r="V13" s="20"/>
      <c r="W13" s="20"/>
    </row>
    <row r="14" spans="1:23" x14ac:dyDescent="0.3">
      <c r="A14" s="9" t="s">
        <v>396</v>
      </c>
      <c r="B14" s="9" t="str">
        <f>IFERROR(INDEX(DICT_ACTIVE,MATCH("SFP.CA.INVENT",DICT_KEY,0))&amp;"","??SFP.CA.INVENT")</f>
        <v>Inventories</v>
      </c>
      <c r="C14" s="9" t="s">
        <v>353</v>
      </c>
      <c r="D14" s="9"/>
      <c r="E14" s="9">
        <v>1</v>
      </c>
      <c r="F14" s="9" t="s">
        <v>1392</v>
      </c>
      <c r="G14" s="9"/>
      <c r="H14" s="9"/>
      <c r="I14" s="20">
        <f t="shared" si="0"/>
        <v>9800</v>
      </c>
      <c r="J14" s="20">
        <f t="shared" si="1"/>
        <v>0</v>
      </c>
      <c r="K14" s="20">
        <f t="shared" si="2"/>
        <v>9800</v>
      </c>
      <c r="L14" s="20">
        <f t="shared" si="3"/>
        <v>8700</v>
      </c>
      <c r="M14" s="20">
        <f t="shared" si="4"/>
        <v>0</v>
      </c>
      <c r="N14" s="20">
        <f t="shared" si="5"/>
        <v>8700</v>
      </c>
      <c r="O14" s="20">
        <f t="shared" si="6"/>
        <v>8100</v>
      </c>
      <c r="P14" s="20">
        <f t="shared" si="7"/>
        <v>0</v>
      </c>
      <c r="Q14" s="20">
        <f t="shared" si="8"/>
        <v>8100</v>
      </c>
      <c r="R14" s="20">
        <f t="shared" si="9"/>
        <v>9800</v>
      </c>
      <c r="S14" s="20">
        <f t="shared" si="10"/>
        <v>8700</v>
      </c>
      <c r="T14" s="20">
        <f t="shared" si="11"/>
        <v>1100</v>
      </c>
      <c r="U14" s="20">
        <f t="shared" si="12"/>
        <v>600</v>
      </c>
      <c r="V14" s="20"/>
      <c r="W14" s="20"/>
    </row>
    <row r="15" spans="1:23" x14ac:dyDescent="0.3">
      <c r="A15" s="9" t="s">
        <v>399</v>
      </c>
      <c r="B15" s="9" t="str">
        <f>IFERROR(INDEX(DICT_ACTIVE,MATCH("SFP.CA.TRADEREC",DICT_KEY,0))&amp;"","??SFP.CA.TRADEREC")</f>
        <v>Trade receivables</v>
      </c>
      <c r="C15" s="9" t="s">
        <v>353</v>
      </c>
      <c r="D15" s="9"/>
      <c r="E15" s="9">
        <v>1</v>
      </c>
      <c r="F15" s="9" t="s">
        <v>1392</v>
      </c>
      <c r="G15" s="9"/>
      <c r="H15" s="9"/>
      <c r="I15" s="20">
        <f t="shared" si="0"/>
        <v>12240</v>
      </c>
      <c r="J15" s="20">
        <f t="shared" si="1"/>
        <v>200</v>
      </c>
      <c r="K15" s="20">
        <f t="shared" si="2"/>
        <v>12440</v>
      </c>
      <c r="L15" s="20">
        <f t="shared" si="3"/>
        <v>11000</v>
      </c>
      <c r="M15" s="20">
        <f t="shared" si="4"/>
        <v>0</v>
      </c>
      <c r="N15" s="20">
        <f t="shared" si="5"/>
        <v>11000</v>
      </c>
      <c r="O15" s="20">
        <f t="shared" si="6"/>
        <v>10250</v>
      </c>
      <c r="P15" s="20">
        <f t="shared" si="7"/>
        <v>0</v>
      </c>
      <c r="Q15" s="20">
        <f t="shared" si="8"/>
        <v>10250</v>
      </c>
      <c r="R15" s="20">
        <f t="shared" si="9"/>
        <v>12440</v>
      </c>
      <c r="S15" s="20">
        <f t="shared" si="10"/>
        <v>11000</v>
      </c>
      <c r="T15" s="20">
        <f t="shared" si="11"/>
        <v>1440</v>
      </c>
      <c r="U15" s="20">
        <f t="shared" si="12"/>
        <v>750</v>
      </c>
      <c r="V15" s="20"/>
      <c r="W15" s="20"/>
    </row>
    <row r="16" spans="1:23" x14ac:dyDescent="0.3">
      <c r="A16" s="9" t="s">
        <v>402</v>
      </c>
      <c r="B16" s="9" t="str">
        <f>IFERROR(INDEX(DICT_ACTIVE,MATCH("SFP.CA.CONTRACT",DICT_KEY,0))&amp;"","??SFP.CA.CONTRACT")</f>
        <v>Contract assets</v>
      </c>
      <c r="C16" s="9" t="s">
        <v>353</v>
      </c>
      <c r="D16" s="9"/>
      <c r="E16" s="9">
        <v>1</v>
      </c>
      <c r="F16" s="9" t="s">
        <v>1392</v>
      </c>
      <c r="G16" s="9"/>
      <c r="H16" s="9"/>
      <c r="I16" s="20">
        <f t="shared" si="0"/>
        <v>0</v>
      </c>
      <c r="J16" s="20">
        <f t="shared" si="1"/>
        <v>0</v>
      </c>
      <c r="K16" s="20">
        <f t="shared" si="2"/>
        <v>0</v>
      </c>
      <c r="L16" s="20">
        <f t="shared" si="3"/>
        <v>0</v>
      </c>
      <c r="M16" s="20">
        <f t="shared" si="4"/>
        <v>0</v>
      </c>
      <c r="N16" s="20">
        <f t="shared" si="5"/>
        <v>0</v>
      </c>
      <c r="O16" s="20">
        <f t="shared" si="6"/>
        <v>0</v>
      </c>
      <c r="P16" s="20">
        <f t="shared" si="7"/>
        <v>0</v>
      </c>
      <c r="Q16" s="20">
        <f t="shared" si="8"/>
        <v>0</v>
      </c>
      <c r="R16" s="20">
        <f t="shared" si="9"/>
        <v>0</v>
      </c>
      <c r="S16" s="20">
        <f t="shared" si="10"/>
        <v>0</v>
      </c>
      <c r="T16" s="20">
        <f t="shared" si="11"/>
        <v>0</v>
      </c>
      <c r="U16" s="20">
        <f t="shared" si="12"/>
        <v>0</v>
      </c>
      <c r="V16" s="20"/>
      <c r="W16" s="20"/>
    </row>
    <row r="17" spans="1:23" x14ac:dyDescent="0.3">
      <c r="A17" s="9" t="s">
        <v>405</v>
      </c>
      <c r="B17" s="9" t="str">
        <f>IFERROR(INDEX(DICT_ACTIVE,MATCH("SFP.CA.OTHERREC",DICT_KEY,0))&amp;"","??SFP.CA.OTHERREC")</f>
        <v>Other receivables and prepayments</v>
      </c>
      <c r="C17" s="9" t="s">
        <v>353</v>
      </c>
      <c r="D17" s="9"/>
      <c r="E17" s="9">
        <v>1</v>
      </c>
      <c r="F17" s="9" t="s">
        <v>1392</v>
      </c>
      <c r="G17" s="9"/>
      <c r="H17" s="9"/>
      <c r="I17" s="20">
        <f t="shared" si="0"/>
        <v>1900</v>
      </c>
      <c r="J17" s="20">
        <f t="shared" si="1"/>
        <v>-200</v>
      </c>
      <c r="K17" s="20">
        <f t="shared" si="2"/>
        <v>1700</v>
      </c>
      <c r="L17" s="20">
        <f t="shared" si="3"/>
        <v>1650</v>
      </c>
      <c r="M17" s="20">
        <f t="shared" si="4"/>
        <v>0</v>
      </c>
      <c r="N17" s="20">
        <f t="shared" si="5"/>
        <v>1650</v>
      </c>
      <c r="O17" s="20">
        <f t="shared" si="6"/>
        <v>1400</v>
      </c>
      <c r="P17" s="20">
        <f t="shared" si="7"/>
        <v>0</v>
      </c>
      <c r="Q17" s="20">
        <f t="shared" si="8"/>
        <v>1400</v>
      </c>
      <c r="R17" s="20">
        <f t="shared" si="9"/>
        <v>1700</v>
      </c>
      <c r="S17" s="20">
        <f t="shared" si="10"/>
        <v>1650</v>
      </c>
      <c r="T17" s="20">
        <f t="shared" si="11"/>
        <v>50</v>
      </c>
      <c r="U17" s="20">
        <f t="shared" si="12"/>
        <v>250</v>
      </c>
      <c r="V17" s="20"/>
      <c r="W17" s="20"/>
    </row>
    <row r="18" spans="1:23" x14ac:dyDescent="0.3">
      <c r="A18" s="9" t="s">
        <v>408</v>
      </c>
      <c r="B18" s="9" t="str">
        <f>IFERROR(INDEX(DICT_ACTIVE,MATCH("SFP.CA.CURTAX",DICT_KEY,0))&amp;"","??SFP.CA.CURTAX")</f>
        <v>Current tax assets</v>
      </c>
      <c r="C18" s="9" t="s">
        <v>353</v>
      </c>
      <c r="D18" s="9"/>
      <c r="E18" s="9">
        <v>1</v>
      </c>
      <c r="F18" s="9" t="s">
        <v>1392</v>
      </c>
      <c r="G18" s="9"/>
      <c r="H18" s="9"/>
      <c r="I18" s="20">
        <f t="shared" si="0"/>
        <v>0</v>
      </c>
      <c r="J18" s="20">
        <f t="shared" si="1"/>
        <v>0</v>
      </c>
      <c r="K18" s="20">
        <f t="shared" si="2"/>
        <v>0</v>
      </c>
      <c r="L18" s="20">
        <f t="shared" si="3"/>
        <v>150</v>
      </c>
      <c r="M18" s="20">
        <f t="shared" si="4"/>
        <v>0</v>
      </c>
      <c r="N18" s="20">
        <f t="shared" si="5"/>
        <v>150</v>
      </c>
      <c r="O18" s="20">
        <f t="shared" si="6"/>
        <v>0</v>
      </c>
      <c r="P18" s="20">
        <f t="shared" si="7"/>
        <v>0</v>
      </c>
      <c r="Q18" s="20">
        <f t="shared" si="8"/>
        <v>0</v>
      </c>
      <c r="R18" s="20">
        <f t="shared" si="9"/>
        <v>0</v>
      </c>
      <c r="S18" s="20">
        <f t="shared" si="10"/>
        <v>150</v>
      </c>
      <c r="T18" s="20">
        <f t="shared" si="11"/>
        <v>-150</v>
      </c>
      <c r="U18" s="20">
        <f t="shared" si="12"/>
        <v>150</v>
      </c>
      <c r="V18" s="20"/>
      <c r="W18" s="20"/>
    </row>
    <row r="19" spans="1:23" x14ac:dyDescent="0.3">
      <c r="A19" s="9" t="s">
        <v>411</v>
      </c>
      <c r="B19" s="9" t="str">
        <f>IFERROR(INDEX(DICT_ACTIVE,MATCH("SFP.CA.FINASSET",DICT_KEY,0))&amp;"","??SFP.CA.FINASSET")</f>
        <v>Current financial assets</v>
      </c>
      <c r="C19" s="9" t="s">
        <v>353</v>
      </c>
      <c r="D19" s="9"/>
      <c r="E19" s="9">
        <v>1</v>
      </c>
      <c r="F19" s="9" t="s">
        <v>1392</v>
      </c>
      <c r="G19" s="9"/>
      <c r="H19" s="9"/>
      <c r="I19" s="20">
        <f t="shared" si="0"/>
        <v>0</v>
      </c>
      <c r="J19" s="20">
        <f t="shared" si="1"/>
        <v>0</v>
      </c>
      <c r="K19" s="20">
        <f t="shared" si="2"/>
        <v>0</v>
      </c>
      <c r="L19" s="20">
        <f t="shared" si="3"/>
        <v>0</v>
      </c>
      <c r="M19" s="20">
        <f t="shared" si="4"/>
        <v>0</v>
      </c>
      <c r="N19" s="20">
        <f t="shared" si="5"/>
        <v>0</v>
      </c>
      <c r="O19" s="20">
        <f t="shared" si="6"/>
        <v>0</v>
      </c>
      <c r="P19" s="20">
        <f t="shared" si="7"/>
        <v>0</v>
      </c>
      <c r="Q19" s="20">
        <f t="shared" si="8"/>
        <v>0</v>
      </c>
      <c r="R19" s="20">
        <f t="shared" si="9"/>
        <v>0</v>
      </c>
      <c r="S19" s="20">
        <f t="shared" si="10"/>
        <v>0</v>
      </c>
      <c r="T19" s="20">
        <f t="shared" si="11"/>
        <v>0</v>
      </c>
      <c r="U19" s="20">
        <f t="shared" si="12"/>
        <v>0</v>
      </c>
      <c r="V19" s="20"/>
      <c r="W19" s="20"/>
    </row>
    <row r="20" spans="1:23" x14ac:dyDescent="0.3">
      <c r="A20" s="9" t="s">
        <v>414</v>
      </c>
      <c r="B20" s="9" t="str">
        <f>IFERROR(INDEX(DICT_ACTIVE,MATCH("SFP.CA.CASH",DICT_KEY,0))&amp;"","??SFP.CA.CASH")</f>
        <v>Cash and cash equivalents</v>
      </c>
      <c r="C20" s="9" t="s">
        <v>353</v>
      </c>
      <c r="D20" s="9"/>
      <c r="E20" s="9">
        <v>1</v>
      </c>
      <c r="F20" s="9" t="s">
        <v>1392</v>
      </c>
      <c r="G20" s="9"/>
      <c r="H20" s="9"/>
      <c r="I20" s="20">
        <f t="shared" si="0"/>
        <v>21510</v>
      </c>
      <c r="J20" s="20">
        <f t="shared" si="1"/>
        <v>0</v>
      </c>
      <c r="K20" s="20">
        <f t="shared" si="2"/>
        <v>21510</v>
      </c>
      <c r="L20" s="20">
        <f t="shared" si="3"/>
        <v>13220</v>
      </c>
      <c r="M20" s="20">
        <f t="shared" si="4"/>
        <v>0</v>
      </c>
      <c r="N20" s="20">
        <f t="shared" si="5"/>
        <v>13220</v>
      </c>
      <c r="O20" s="20">
        <f t="shared" si="6"/>
        <v>5000</v>
      </c>
      <c r="P20" s="20">
        <f t="shared" si="7"/>
        <v>0</v>
      </c>
      <c r="Q20" s="20">
        <f t="shared" si="8"/>
        <v>5000</v>
      </c>
      <c r="R20" s="20">
        <f t="shared" si="9"/>
        <v>21510</v>
      </c>
      <c r="S20" s="20">
        <f t="shared" si="10"/>
        <v>13220</v>
      </c>
      <c r="T20" s="20">
        <f t="shared" si="11"/>
        <v>8290</v>
      </c>
      <c r="U20" s="20">
        <f t="shared" si="12"/>
        <v>8220</v>
      </c>
      <c r="V20" s="20"/>
      <c r="W20" s="20"/>
    </row>
    <row r="21" spans="1:23" x14ac:dyDescent="0.3">
      <c r="A21" s="9" t="s">
        <v>417</v>
      </c>
      <c r="B21" s="9" t="str">
        <f>IFERROR(INDEX(DICT_ACTIVE,MATCH("SFP.CA.HFS",DICT_KEY,0))&amp;"","??SFP.CA.HFS")</f>
        <v>Assets held for sale</v>
      </c>
      <c r="C21" s="9" t="s">
        <v>353</v>
      </c>
      <c r="D21" s="9"/>
      <c r="E21" s="9">
        <v>1</v>
      </c>
      <c r="F21" s="9" t="s">
        <v>1392</v>
      </c>
      <c r="G21" s="9"/>
      <c r="H21" s="9"/>
      <c r="I21" s="20">
        <f t="shared" si="0"/>
        <v>0</v>
      </c>
      <c r="J21" s="20">
        <f t="shared" si="1"/>
        <v>0</v>
      </c>
      <c r="K21" s="20">
        <f t="shared" si="2"/>
        <v>0</v>
      </c>
      <c r="L21" s="20">
        <f t="shared" si="3"/>
        <v>0</v>
      </c>
      <c r="M21" s="20">
        <f t="shared" si="4"/>
        <v>0</v>
      </c>
      <c r="N21" s="20">
        <f t="shared" si="5"/>
        <v>0</v>
      </c>
      <c r="O21" s="20">
        <f t="shared" si="6"/>
        <v>0</v>
      </c>
      <c r="P21" s="20">
        <f t="shared" si="7"/>
        <v>0</v>
      </c>
      <c r="Q21" s="20">
        <f t="shared" si="8"/>
        <v>0</v>
      </c>
      <c r="R21" s="20">
        <f t="shared" si="9"/>
        <v>0</v>
      </c>
      <c r="S21" s="20">
        <f t="shared" si="10"/>
        <v>0</v>
      </c>
      <c r="T21" s="20">
        <f t="shared" si="11"/>
        <v>0</v>
      </c>
      <c r="U21" s="20">
        <f t="shared" si="12"/>
        <v>0</v>
      </c>
      <c r="V21" s="20"/>
      <c r="W21" s="20"/>
    </row>
    <row r="22" spans="1:23" x14ac:dyDescent="0.3">
      <c r="A22" s="9" t="s">
        <v>432</v>
      </c>
      <c r="B22" s="9" t="str">
        <f>IFERROR(INDEX(DICT_ACTIVE,MATCH("SFP.EQ.SC",DICT_KEY,0))&amp;"","??SFP.EQ.SC")</f>
        <v>Share capital</v>
      </c>
      <c r="C22" s="9" t="s">
        <v>353</v>
      </c>
      <c r="D22" s="9"/>
      <c r="E22" s="9">
        <v>-1</v>
      </c>
      <c r="F22" s="9" t="s">
        <v>1393</v>
      </c>
      <c r="G22" s="9"/>
      <c r="H22" s="9"/>
      <c r="I22" s="20">
        <f t="shared" si="0"/>
        <v>-10000</v>
      </c>
      <c r="J22" s="20">
        <f t="shared" si="1"/>
        <v>0</v>
      </c>
      <c r="K22" s="20">
        <f t="shared" si="2"/>
        <v>-10000</v>
      </c>
      <c r="L22" s="20">
        <f t="shared" si="3"/>
        <v>-10000</v>
      </c>
      <c r="M22" s="20">
        <f t="shared" si="4"/>
        <v>0</v>
      </c>
      <c r="N22" s="20">
        <f t="shared" si="5"/>
        <v>-10000</v>
      </c>
      <c r="O22" s="20">
        <f t="shared" si="6"/>
        <v>-10000</v>
      </c>
      <c r="P22" s="20">
        <f t="shared" si="7"/>
        <v>0</v>
      </c>
      <c r="Q22" s="20">
        <f t="shared" si="8"/>
        <v>-10000</v>
      </c>
      <c r="R22" s="20">
        <f t="shared" si="9"/>
        <v>10000</v>
      </c>
      <c r="S22" s="20">
        <f t="shared" si="10"/>
        <v>10000</v>
      </c>
      <c r="T22" s="20">
        <f t="shared" si="11"/>
        <v>0</v>
      </c>
      <c r="U22" s="20">
        <f t="shared" si="12"/>
        <v>0</v>
      </c>
      <c r="V22" s="20"/>
      <c r="W22" s="20"/>
    </row>
    <row r="23" spans="1:23" x14ac:dyDescent="0.3">
      <c r="A23" s="9" t="s">
        <v>435</v>
      </c>
      <c r="B23" s="9" t="str">
        <f>IFERROR(INDEX(DICT_ACTIVE,MATCH("SFP.EQ.SP",DICT_KEY,0))&amp;"","??SFP.EQ.SP")</f>
        <v>Share premium</v>
      </c>
      <c r="C23" s="9" t="s">
        <v>353</v>
      </c>
      <c r="D23" s="9"/>
      <c r="E23" s="9">
        <v>-1</v>
      </c>
      <c r="F23" s="9" t="s">
        <v>1393</v>
      </c>
      <c r="G23" s="9"/>
      <c r="H23" s="9"/>
      <c r="I23" s="20">
        <f t="shared" si="0"/>
        <v>-2000</v>
      </c>
      <c r="J23" s="20">
        <f t="shared" si="1"/>
        <v>0</v>
      </c>
      <c r="K23" s="20">
        <f t="shared" si="2"/>
        <v>-2000</v>
      </c>
      <c r="L23" s="20">
        <f t="shared" si="3"/>
        <v>-2000</v>
      </c>
      <c r="M23" s="20">
        <f t="shared" si="4"/>
        <v>0</v>
      </c>
      <c r="N23" s="20">
        <f t="shared" si="5"/>
        <v>-2000</v>
      </c>
      <c r="O23" s="20">
        <f t="shared" si="6"/>
        <v>-2000</v>
      </c>
      <c r="P23" s="20">
        <f t="shared" si="7"/>
        <v>0</v>
      </c>
      <c r="Q23" s="20">
        <f t="shared" si="8"/>
        <v>-2000</v>
      </c>
      <c r="R23" s="20">
        <f t="shared" si="9"/>
        <v>2000</v>
      </c>
      <c r="S23" s="20">
        <f t="shared" si="10"/>
        <v>2000</v>
      </c>
      <c r="T23" s="20">
        <f t="shared" si="11"/>
        <v>0</v>
      </c>
      <c r="U23" s="20">
        <f t="shared" si="12"/>
        <v>0</v>
      </c>
      <c r="V23" s="20"/>
      <c r="W23" s="20"/>
    </row>
    <row r="24" spans="1:23" x14ac:dyDescent="0.3">
      <c r="A24" s="9" t="s">
        <v>438</v>
      </c>
      <c r="B24" s="9" t="str">
        <f>IFERROR(INDEX(DICT_ACTIVE,MATCH("SFP.EQ.OR",DICT_KEY,0))&amp;"","??SFP.EQ.OR")</f>
        <v>Other reserves</v>
      </c>
      <c r="C24" s="9" t="s">
        <v>353</v>
      </c>
      <c r="D24" s="9"/>
      <c r="E24" s="9">
        <v>-1</v>
      </c>
      <c r="F24" s="9" t="s">
        <v>1393</v>
      </c>
      <c r="G24" s="9"/>
      <c r="H24" s="9"/>
      <c r="I24" s="20">
        <f t="shared" si="0"/>
        <v>-950</v>
      </c>
      <c r="J24" s="20">
        <f t="shared" si="1"/>
        <v>0</v>
      </c>
      <c r="K24" s="20">
        <f>I24+J24+SUMIF($H$70:$H$77,"OR",K70:K77)</f>
        <v>-1050</v>
      </c>
      <c r="L24" s="20">
        <f t="shared" si="3"/>
        <v>-800</v>
      </c>
      <c r="M24" s="20">
        <f t="shared" si="4"/>
        <v>0</v>
      </c>
      <c r="N24" s="20">
        <f>L24+M24+SUMIF($H$70:$H$77,"OR",N70:N77)</f>
        <v>-950</v>
      </c>
      <c r="O24" s="20">
        <f t="shared" si="6"/>
        <v>-800</v>
      </c>
      <c r="P24" s="20">
        <f t="shared" si="7"/>
        <v>0</v>
      </c>
      <c r="Q24" s="20">
        <f>O24+P24+SUMIF($H$70:$H$77,"OR",Q70:Q77)</f>
        <v>-800</v>
      </c>
      <c r="R24" s="20">
        <f t="shared" si="9"/>
        <v>1050</v>
      </c>
      <c r="S24" s="20">
        <f t="shared" si="10"/>
        <v>950</v>
      </c>
      <c r="T24" s="20">
        <f t="shared" si="11"/>
        <v>-100</v>
      </c>
      <c r="U24" s="20">
        <f t="shared" si="12"/>
        <v>-150</v>
      </c>
      <c r="V24" s="20"/>
      <c r="W24" s="20"/>
    </row>
    <row r="25" spans="1:23" x14ac:dyDescent="0.3">
      <c r="A25" s="9" t="s">
        <v>441</v>
      </c>
      <c r="B25" s="9" t="str">
        <f>IFERROR(INDEX(DICT_ACTIVE,MATCH("SFP.EQ.RE",DICT_KEY,0))&amp;"","??SFP.EQ.RE")</f>
        <v>Retained earnings</v>
      </c>
      <c r="C25" s="9" t="s">
        <v>353</v>
      </c>
      <c r="D25" s="9"/>
      <c r="E25" s="9">
        <v>-1</v>
      </c>
      <c r="F25" s="9" t="s">
        <v>1393</v>
      </c>
      <c r="G25" s="9"/>
      <c r="H25" s="9"/>
      <c r="I25" s="20">
        <f t="shared" si="0"/>
        <v>-25320</v>
      </c>
      <c r="J25" s="20">
        <f t="shared" si="1"/>
        <v>0</v>
      </c>
      <c r="K25" s="20">
        <f>I25+J25+SUM(K40:K69)+SUMIF($H$70:$H$77,"RE",K70:K77)</f>
        <v>-40050</v>
      </c>
      <c r="L25" s="20">
        <f t="shared" si="3"/>
        <v>-14200</v>
      </c>
      <c r="M25" s="20">
        <f t="shared" si="4"/>
        <v>0</v>
      </c>
      <c r="N25" s="20">
        <f>L25+M25+SUM(N40:N69)+SUMIF($H$70:$H$77,"RE",N70:N77)</f>
        <v>-26320</v>
      </c>
      <c r="O25" s="20">
        <f t="shared" si="6"/>
        <v>-14200</v>
      </c>
      <c r="P25" s="20">
        <f t="shared" si="7"/>
        <v>0</v>
      </c>
      <c r="Q25" s="20">
        <f>O25+P25+SUM(Q40:Q69)+SUMIF($H$70:$H$77,"RE",Q70:Q77)</f>
        <v>-14200</v>
      </c>
      <c r="R25" s="20">
        <f t="shared" si="9"/>
        <v>40050</v>
      </c>
      <c r="S25" s="20">
        <f t="shared" si="10"/>
        <v>26320</v>
      </c>
      <c r="T25" s="20">
        <f t="shared" si="11"/>
        <v>-13730</v>
      </c>
      <c r="U25" s="20">
        <f t="shared" si="12"/>
        <v>-12120</v>
      </c>
      <c r="V25" s="20"/>
      <c r="W25" s="20"/>
    </row>
    <row r="26" spans="1:23" x14ac:dyDescent="0.3">
      <c r="A26" s="9" t="s">
        <v>450</v>
      </c>
      <c r="B26" s="9" t="str">
        <f>IFERROR(INDEX(DICT_ACTIVE,MATCH("SFP.NCL.BORROW",DICT_KEY,0))&amp;"","??SFP.NCL.BORROW")</f>
        <v>Non-current borrowings</v>
      </c>
      <c r="C26" s="9" t="s">
        <v>353</v>
      </c>
      <c r="D26" s="9"/>
      <c r="E26" s="9">
        <v>-1</v>
      </c>
      <c r="F26" s="9" t="s">
        <v>1394</v>
      </c>
      <c r="G26" s="9"/>
      <c r="H26" s="9"/>
      <c r="I26" s="20">
        <f t="shared" si="0"/>
        <v>-12000</v>
      </c>
      <c r="J26" s="20">
        <f t="shared" si="1"/>
        <v>0</v>
      </c>
      <c r="K26" s="20">
        <f t="shared" ref="K26:K57" si="13">I26+J26</f>
        <v>-12000</v>
      </c>
      <c r="L26" s="20">
        <f t="shared" si="3"/>
        <v>-14000</v>
      </c>
      <c r="M26" s="20">
        <f t="shared" si="4"/>
        <v>0</v>
      </c>
      <c r="N26" s="20">
        <f t="shared" ref="N26:N57" si="14">L26+M26</f>
        <v>-14000</v>
      </c>
      <c r="O26" s="20">
        <f t="shared" si="6"/>
        <v>-16000</v>
      </c>
      <c r="P26" s="20">
        <f t="shared" si="7"/>
        <v>0</v>
      </c>
      <c r="Q26" s="20">
        <f t="shared" ref="Q26:Q57" si="15">O26+P26</f>
        <v>-16000</v>
      </c>
      <c r="R26" s="20">
        <f t="shared" si="9"/>
        <v>12000</v>
      </c>
      <c r="S26" s="20">
        <f t="shared" si="10"/>
        <v>14000</v>
      </c>
      <c r="T26" s="20">
        <f t="shared" si="11"/>
        <v>2000</v>
      </c>
      <c r="U26" s="20">
        <f t="shared" si="12"/>
        <v>2000</v>
      </c>
      <c r="V26" s="20"/>
      <c r="W26" s="20"/>
    </row>
    <row r="27" spans="1:23" x14ac:dyDescent="0.3">
      <c r="A27" s="9" t="s">
        <v>453</v>
      </c>
      <c r="B27" s="9" t="str">
        <f>IFERROR(INDEX(DICT_ACTIVE,MATCH("SFP.NCL.LEASE",DICT_KEY,0))&amp;"","??SFP.NCL.LEASE")</f>
        <v>Non-current lease liabilities</v>
      </c>
      <c r="C27" s="9" t="s">
        <v>353</v>
      </c>
      <c r="D27" s="9"/>
      <c r="E27" s="9">
        <v>-1</v>
      </c>
      <c r="F27" s="9" t="s">
        <v>1394</v>
      </c>
      <c r="G27" s="9"/>
      <c r="H27" s="9"/>
      <c r="I27" s="20">
        <f t="shared" si="0"/>
        <v>-3000</v>
      </c>
      <c r="J27" s="20">
        <f t="shared" si="1"/>
        <v>0</v>
      </c>
      <c r="K27" s="20">
        <f t="shared" si="13"/>
        <v>-3000</v>
      </c>
      <c r="L27" s="20">
        <f t="shared" si="3"/>
        <v>-3800</v>
      </c>
      <c r="M27" s="20">
        <f t="shared" si="4"/>
        <v>0</v>
      </c>
      <c r="N27" s="20">
        <f t="shared" si="14"/>
        <v>-3800</v>
      </c>
      <c r="O27" s="20">
        <f t="shared" si="6"/>
        <v>-4500</v>
      </c>
      <c r="P27" s="20">
        <f t="shared" si="7"/>
        <v>0</v>
      </c>
      <c r="Q27" s="20">
        <f t="shared" si="15"/>
        <v>-4500</v>
      </c>
      <c r="R27" s="20">
        <f t="shared" si="9"/>
        <v>3000</v>
      </c>
      <c r="S27" s="20">
        <f t="shared" si="10"/>
        <v>3800</v>
      </c>
      <c r="T27" s="20">
        <f t="shared" si="11"/>
        <v>800</v>
      </c>
      <c r="U27" s="20">
        <f t="shared" si="12"/>
        <v>700</v>
      </c>
      <c r="V27" s="20"/>
      <c r="W27" s="20"/>
    </row>
    <row r="28" spans="1:23" x14ac:dyDescent="0.3">
      <c r="A28" s="9" t="s">
        <v>456</v>
      </c>
      <c r="B28" s="9" t="str">
        <f>IFERROR(INDEX(DICT_ACTIVE,MATCH("SFP.NCL.PROV",DICT_KEY,0))&amp;"","??SFP.NCL.PROV")</f>
        <v>Non-current provisions</v>
      </c>
      <c r="C28" s="9" t="s">
        <v>353</v>
      </c>
      <c r="D28" s="9"/>
      <c r="E28" s="9">
        <v>-1</v>
      </c>
      <c r="F28" s="9" t="s">
        <v>1394</v>
      </c>
      <c r="G28" s="9"/>
      <c r="H28" s="9"/>
      <c r="I28" s="20">
        <f t="shared" si="0"/>
        <v>-900</v>
      </c>
      <c r="J28" s="20">
        <f t="shared" si="1"/>
        <v>0</v>
      </c>
      <c r="K28" s="20">
        <f t="shared" si="13"/>
        <v>-900</v>
      </c>
      <c r="L28" s="20">
        <f t="shared" si="3"/>
        <v>-750</v>
      </c>
      <c r="M28" s="20">
        <f t="shared" si="4"/>
        <v>0</v>
      </c>
      <c r="N28" s="20">
        <f t="shared" si="14"/>
        <v>-750</v>
      </c>
      <c r="O28" s="20">
        <f t="shared" si="6"/>
        <v>-600</v>
      </c>
      <c r="P28" s="20">
        <f t="shared" si="7"/>
        <v>0</v>
      </c>
      <c r="Q28" s="20">
        <f t="shared" si="15"/>
        <v>-600</v>
      </c>
      <c r="R28" s="20">
        <f t="shared" si="9"/>
        <v>900</v>
      </c>
      <c r="S28" s="20">
        <f t="shared" si="10"/>
        <v>750</v>
      </c>
      <c r="T28" s="20">
        <f t="shared" si="11"/>
        <v>-150</v>
      </c>
      <c r="U28" s="20">
        <f t="shared" si="12"/>
        <v>-150</v>
      </c>
      <c r="V28" s="20"/>
      <c r="W28" s="20"/>
    </row>
    <row r="29" spans="1:23" x14ac:dyDescent="0.3">
      <c r="A29" s="9" t="s">
        <v>459</v>
      </c>
      <c r="B29" s="9" t="str">
        <f>IFERROR(INDEX(DICT_ACTIVE,MATCH("SFP.NCL.EMPBEN",DICT_KEY,0))&amp;"","??SFP.NCL.EMPBEN")</f>
        <v>Employee benefit liabilities</v>
      </c>
      <c r="C29" s="9" t="s">
        <v>353</v>
      </c>
      <c r="D29" s="9"/>
      <c r="E29" s="9">
        <v>-1</v>
      </c>
      <c r="F29" s="9" t="s">
        <v>1394</v>
      </c>
      <c r="G29" s="9"/>
      <c r="H29" s="9"/>
      <c r="I29" s="20">
        <f t="shared" si="0"/>
        <v>0</v>
      </c>
      <c r="J29" s="20">
        <f t="shared" si="1"/>
        <v>0</v>
      </c>
      <c r="K29" s="20">
        <f t="shared" si="13"/>
        <v>0</v>
      </c>
      <c r="L29" s="20">
        <f t="shared" si="3"/>
        <v>0</v>
      </c>
      <c r="M29" s="20">
        <f t="shared" si="4"/>
        <v>0</v>
      </c>
      <c r="N29" s="20">
        <f t="shared" si="14"/>
        <v>0</v>
      </c>
      <c r="O29" s="20">
        <f t="shared" si="6"/>
        <v>0</v>
      </c>
      <c r="P29" s="20">
        <f t="shared" si="7"/>
        <v>0</v>
      </c>
      <c r="Q29" s="20">
        <f t="shared" si="15"/>
        <v>0</v>
      </c>
      <c r="R29" s="20">
        <f t="shared" si="9"/>
        <v>0</v>
      </c>
      <c r="S29" s="20">
        <f t="shared" si="10"/>
        <v>0</v>
      </c>
      <c r="T29" s="20">
        <f t="shared" si="11"/>
        <v>0</v>
      </c>
      <c r="U29" s="20">
        <f t="shared" si="12"/>
        <v>0</v>
      </c>
      <c r="V29" s="20"/>
      <c r="W29" s="20"/>
    </row>
    <row r="30" spans="1:23" x14ac:dyDescent="0.3">
      <c r="A30" s="9" t="s">
        <v>462</v>
      </c>
      <c r="B30" s="9" t="str">
        <f>IFERROR(INDEX(DICT_ACTIVE,MATCH("SFP.NCL.DTL",DICT_KEY,0))&amp;"","??SFP.NCL.DTL")</f>
        <v>Deferred tax liabilities</v>
      </c>
      <c r="C30" s="9" t="s">
        <v>353</v>
      </c>
      <c r="D30" s="9"/>
      <c r="E30" s="9">
        <v>-1</v>
      </c>
      <c r="F30" s="9" t="s">
        <v>1394</v>
      </c>
      <c r="G30" s="9"/>
      <c r="H30" s="9"/>
      <c r="I30" s="20">
        <f t="shared" si="0"/>
        <v>-600</v>
      </c>
      <c r="J30" s="20">
        <f t="shared" si="1"/>
        <v>0</v>
      </c>
      <c r="K30" s="20">
        <f t="shared" si="13"/>
        <v>-600</v>
      </c>
      <c r="L30" s="20">
        <f t="shared" si="3"/>
        <v>-500</v>
      </c>
      <c r="M30" s="20">
        <f t="shared" si="4"/>
        <v>0</v>
      </c>
      <c r="N30" s="20">
        <f t="shared" si="14"/>
        <v>-500</v>
      </c>
      <c r="O30" s="20">
        <f t="shared" si="6"/>
        <v>-450</v>
      </c>
      <c r="P30" s="20">
        <f t="shared" si="7"/>
        <v>0</v>
      </c>
      <c r="Q30" s="20">
        <f t="shared" si="15"/>
        <v>-450</v>
      </c>
      <c r="R30" s="20">
        <f t="shared" si="9"/>
        <v>600</v>
      </c>
      <c r="S30" s="20">
        <f t="shared" si="10"/>
        <v>500</v>
      </c>
      <c r="T30" s="20">
        <f t="shared" si="11"/>
        <v>-100</v>
      </c>
      <c r="U30" s="20">
        <f t="shared" si="12"/>
        <v>-50</v>
      </c>
      <c r="V30" s="20"/>
      <c r="W30" s="20"/>
    </row>
    <row r="31" spans="1:23" x14ac:dyDescent="0.3">
      <c r="A31" s="9" t="s">
        <v>465</v>
      </c>
      <c r="B31" s="9" t="str">
        <f>IFERROR(INDEX(DICT_ACTIVE,MATCH("SFP.NCL.OTHER",DICT_KEY,0))&amp;"","??SFP.NCL.OTHER")</f>
        <v>Other non-current liabilities</v>
      </c>
      <c r="C31" s="9" t="s">
        <v>353</v>
      </c>
      <c r="D31" s="9"/>
      <c r="E31" s="9">
        <v>-1</v>
      </c>
      <c r="F31" s="9" t="s">
        <v>1394</v>
      </c>
      <c r="G31" s="9"/>
      <c r="H31" s="9"/>
      <c r="I31" s="20">
        <f t="shared" si="0"/>
        <v>0</v>
      </c>
      <c r="J31" s="20">
        <f t="shared" si="1"/>
        <v>0</v>
      </c>
      <c r="K31" s="20">
        <f t="shared" si="13"/>
        <v>0</v>
      </c>
      <c r="L31" s="20">
        <f t="shared" si="3"/>
        <v>0</v>
      </c>
      <c r="M31" s="20">
        <f t="shared" si="4"/>
        <v>0</v>
      </c>
      <c r="N31" s="20">
        <f t="shared" si="14"/>
        <v>0</v>
      </c>
      <c r="O31" s="20">
        <f t="shared" si="6"/>
        <v>0</v>
      </c>
      <c r="P31" s="20">
        <f t="shared" si="7"/>
        <v>0</v>
      </c>
      <c r="Q31" s="20">
        <f t="shared" si="15"/>
        <v>0</v>
      </c>
      <c r="R31" s="20">
        <f t="shared" si="9"/>
        <v>0</v>
      </c>
      <c r="S31" s="20">
        <f t="shared" si="10"/>
        <v>0</v>
      </c>
      <c r="T31" s="20">
        <f t="shared" si="11"/>
        <v>0</v>
      </c>
      <c r="U31" s="20">
        <f t="shared" si="12"/>
        <v>0</v>
      </c>
      <c r="V31" s="20"/>
      <c r="W31" s="20"/>
    </row>
    <row r="32" spans="1:23" x14ac:dyDescent="0.3">
      <c r="A32" s="9" t="s">
        <v>474</v>
      </c>
      <c r="B32" s="9" t="str">
        <f>IFERROR(INDEX(DICT_ACTIVE,MATCH("SFP.CL.TRADEPAY",DICT_KEY,0))&amp;"","??SFP.CL.TRADEPAY")</f>
        <v>Trade payables</v>
      </c>
      <c r="C32" s="9" t="s">
        <v>353</v>
      </c>
      <c r="D32" s="9"/>
      <c r="E32" s="9">
        <v>-1</v>
      </c>
      <c r="F32" s="9" t="s">
        <v>1395</v>
      </c>
      <c r="G32" s="9"/>
      <c r="H32" s="9"/>
      <c r="I32" s="20">
        <f t="shared" si="0"/>
        <v>-8900</v>
      </c>
      <c r="J32" s="20">
        <f t="shared" si="1"/>
        <v>0</v>
      </c>
      <c r="K32" s="20">
        <f t="shared" si="13"/>
        <v>-8900</v>
      </c>
      <c r="L32" s="20">
        <f t="shared" si="3"/>
        <v>-8100</v>
      </c>
      <c r="M32" s="20">
        <f t="shared" si="4"/>
        <v>0</v>
      </c>
      <c r="N32" s="20">
        <f t="shared" si="14"/>
        <v>-8100</v>
      </c>
      <c r="O32" s="20">
        <f t="shared" si="6"/>
        <v>-7600</v>
      </c>
      <c r="P32" s="20">
        <f t="shared" si="7"/>
        <v>0</v>
      </c>
      <c r="Q32" s="20">
        <f t="shared" si="15"/>
        <v>-7600</v>
      </c>
      <c r="R32" s="20">
        <f t="shared" si="9"/>
        <v>8900</v>
      </c>
      <c r="S32" s="20">
        <f t="shared" si="10"/>
        <v>8100</v>
      </c>
      <c r="T32" s="20">
        <f t="shared" si="11"/>
        <v>-800</v>
      </c>
      <c r="U32" s="20">
        <f t="shared" si="12"/>
        <v>-500</v>
      </c>
      <c r="V32" s="20"/>
      <c r="W32" s="20"/>
    </row>
    <row r="33" spans="1:23" x14ac:dyDescent="0.3">
      <c r="A33" s="9" t="s">
        <v>477</v>
      </c>
      <c r="B33" s="9" t="str">
        <f>IFERROR(INDEX(DICT_ACTIVE,MATCH("SFP.CL.CONTRACT",DICT_KEY,0))&amp;"","??SFP.CL.CONTRACT")</f>
        <v>Contract liabilities</v>
      </c>
      <c r="C33" s="9" t="s">
        <v>353</v>
      </c>
      <c r="D33" s="9"/>
      <c r="E33" s="9">
        <v>-1</v>
      </c>
      <c r="F33" s="9" t="s">
        <v>1395</v>
      </c>
      <c r="G33" s="9"/>
      <c r="H33" s="9"/>
      <c r="I33" s="20">
        <f t="shared" si="0"/>
        <v>0</v>
      </c>
      <c r="J33" s="20">
        <f t="shared" si="1"/>
        <v>0</v>
      </c>
      <c r="K33" s="20">
        <f t="shared" si="13"/>
        <v>0</v>
      </c>
      <c r="L33" s="20">
        <f t="shared" si="3"/>
        <v>0</v>
      </c>
      <c r="M33" s="20">
        <f t="shared" si="4"/>
        <v>0</v>
      </c>
      <c r="N33" s="20">
        <f t="shared" si="14"/>
        <v>0</v>
      </c>
      <c r="O33" s="20">
        <f t="shared" si="6"/>
        <v>0</v>
      </c>
      <c r="P33" s="20">
        <f t="shared" si="7"/>
        <v>0</v>
      </c>
      <c r="Q33" s="20">
        <f t="shared" si="15"/>
        <v>0</v>
      </c>
      <c r="R33" s="20">
        <f t="shared" si="9"/>
        <v>0</v>
      </c>
      <c r="S33" s="20">
        <f t="shared" si="10"/>
        <v>0</v>
      </c>
      <c r="T33" s="20">
        <f t="shared" si="11"/>
        <v>0</v>
      </c>
      <c r="U33" s="20">
        <f t="shared" si="12"/>
        <v>0</v>
      </c>
      <c r="V33" s="20"/>
      <c r="W33" s="20"/>
    </row>
    <row r="34" spans="1:23" x14ac:dyDescent="0.3">
      <c r="A34" s="9" t="s">
        <v>480</v>
      </c>
      <c r="B34" s="9" t="str">
        <f>IFERROR(INDEX(DICT_ACTIVE,MATCH("SFP.CL.BORROW",DICT_KEY,0))&amp;"","??SFP.CL.BORROW")</f>
        <v>Current borrowings</v>
      </c>
      <c r="C34" s="9" t="s">
        <v>353</v>
      </c>
      <c r="D34" s="9"/>
      <c r="E34" s="9">
        <v>-1</v>
      </c>
      <c r="F34" s="9" t="s">
        <v>1395</v>
      </c>
      <c r="G34" s="9"/>
      <c r="H34" s="9"/>
      <c r="I34" s="20">
        <f t="shared" si="0"/>
        <v>-2000</v>
      </c>
      <c r="J34" s="20">
        <f t="shared" si="1"/>
        <v>0</v>
      </c>
      <c r="K34" s="20">
        <f t="shared" si="13"/>
        <v>-2000</v>
      </c>
      <c r="L34" s="20">
        <f t="shared" si="3"/>
        <v>-2000</v>
      </c>
      <c r="M34" s="20">
        <f t="shared" si="4"/>
        <v>0</v>
      </c>
      <c r="N34" s="20">
        <f t="shared" si="14"/>
        <v>-2000</v>
      </c>
      <c r="O34" s="20">
        <f t="shared" si="6"/>
        <v>-2000</v>
      </c>
      <c r="P34" s="20">
        <f t="shared" si="7"/>
        <v>0</v>
      </c>
      <c r="Q34" s="20">
        <f t="shared" si="15"/>
        <v>-2000</v>
      </c>
      <c r="R34" s="20">
        <f t="shared" si="9"/>
        <v>2000</v>
      </c>
      <c r="S34" s="20">
        <f t="shared" si="10"/>
        <v>2000</v>
      </c>
      <c r="T34" s="20">
        <f t="shared" si="11"/>
        <v>0</v>
      </c>
      <c r="U34" s="20">
        <f t="shared" si="12"/>
        <v>0</v>
      </c>
      <c r="V34" s="20"/>
      <c r="W34" s="20"/>
    </row>
    <row r="35" spans="1:23" x14ac:dyDescent="0.3">
      <c r="A35" s="9" t="s">
        <v>483</v>
      </c>
      <c r="B35" s="9" t="str">
        <f>IFERROR(INDEX(DICT_ACTIVE,MATCH("SFP.CL.LEASE",DICT_KEY,0))&amp;"","??SFP.CL.LEASE")</f>
        <v>Current lease liabilities</v>
      </c>
      <c r="C35" s="9" t="s">
        <v>353</v>
      </c>
      <c r="D35" s="9"/>
      <c r="E35" s="9">
        <v>-1</v>
      </c>
      <c r="F35" s="9" t="s">
        <v>1395</v>
      </c>
      <c r="G35" s="9"/>
      <c r="H35" s="9"/>
      <c r="I35" s="20">
        <f t="shared" si="0"/>
        <v>-900</v>
      </c>
      <c r="J35" s="20">
        <f t="shared" si="1"/>
        <v>0</v>
      </c>
      <c r="K35" s="20">
        <f t="shared" si="13"/>
        <v>-900</v>
      </c>
      <c r="L35" s="20">
        <f t="shared" si="3"/>
        <v>-850</v>
      </c>
      <c r="M35" s="20">
        <f t="shared" si="4"/>
        <v>0</v>
      </c>
      <c r="N35" s="20">
        <f t="shared" si="14"/>
        <v>-850</v>
      </c>
      <c r="O35" s="20">
        <f t="shared" si="6"/>
        <v>-800</v>
      </c>
      <c r="P35" s="20">
        <f t="shared" si="7"/>
        <v>0</v>
      </c>
      <c r="Q35" s="20">
        <f t="shared" si="15"/>
        <v>-800</v>
      </c>
      <c r="R35" s="20">
        <f t="shared" si="9"/>
        <v>900</v>
      </c>
      <c r="S35" s="20">
        <f t="shared" si="10"/>
        <v>850</v>
      </c>
      <c r="T35" s="20">
        <f t="shared" si="11"/>
        <v>-50</v>
      </c>
      <c r="U35" s="20">
        <f t="shared" si="12"/>
        <v>-50</v>
      </c>
      <c r="V35" s="20"/>
      <c r="W35" s="20"/>
    </row>
    <row r="36" spans="1:23" x14ac:dyDescent="0.3">
      <c r="A36" s="9" t="s">
        <v>486</v>
      </c>
      <c r="B36" s="9" t="str">
        <f>IFERROR(INDEX(DICT_ACTIVE,MATCH("SFP.CL.PROV",DICT_KEY,0))&amp;"","??SFP.CL.PROV")</f>
        <v>Current provisions</v>
      </c>
      <c r="C36" s="9" t="s">
        <v>353</v>
      </c>
      <c r="D36" s="9"/>
      <c r="E36" s="9">
        <v>-1</v>
      </c>
      <c r="F36" s="9" t="s">
        <v>1395</v>
      </c>
      <c r="G36" s="9"/>
      <c r="H36" s="9"/>
      <c r="I36" s="20">
        <f t="shared" ref="I36:I67" si="16">SUMIF(TB_LINEKEY,$A36,TB_CY)</f>
        <v>0</v>
      </c>
      <c r="J36" s="20">
        <f t="shared" ref="J36:J67" si="17">SUMIFS(ADJ_NET,ADJ_LINEKEY,$A36,ADJ_PER,"CY")</f>
        <v>0</v>
      </c>
      <c r="K36" s="20">
        <f t="shared" si="13"/>
        <v>0</v>
      </c>
      <c r="L36" s="20">
        <f t="shared" ref="L36:L67" si="18">SUMIF(TB_LINEKEY,$A36,TB_PY)</f>
        <v>0</v>
      </c>
      <c r="M36" s="20">
        <f t="shared" ref="M36:M67" si="19">SUMIFS(ADJ_NET,ADJ_LINEKEY,$A36,ADJ_PER,"PY")</f>
        <v>0</v>
      </c>
      <c r="N36" s="20">
        <f t="shared" si="14"/>
        <v>0</v>
      </c>
      <c r="O36" s="20">
        <f t="shared" ref="O36:O67" si="20">SUMIF(TB_LINEKEY,$A36,TB_OP)</f>
        <v>0</v>
      </c>
      <c r="P36" s="20">
        <f t="shared" ref="P36:P67" si="21">SUMIFS(ADJ_NET,ADJ_LINEKEY,$A36,ADJ_PER,"OP")</f>
        <v>0</v>
      </c>
      <c r="Q36" s="20">
        <f t="shared" si="15"/>
        <v>0</v>
      </c>
      <c r="R36" s="20">
        <f t="shared" ref="R36:R67" si="22">K36*$E36</f>
        <v>0</v>
      </c>
      <c r="S36" s="20">
        <f t="shared" ref="S36:S67" si="23">N36*$E36</f>
        <v>0</v>
      </c>
      <c r="T36" s="20">
        <f t="shared" ref="T36:T67" si="24">K36-N36</f>
        <v>0</v>
      </c>
      <c r="U36" s="20">
        <f t="shared" ref="U36:U67" si="25">N36-Q36</f>
        <v>0</v>
      </c>
      <c r="V36" s="20"/>
      <c r="W36" s="20"/>
    </row>
    <row r="37" spans="1:23" x14ac:dyDescent="0.3">
      <c r="A37" s="9" t="s">
        <v>489</v>
      </c>
      <c r="B37" s="9" t="str">
        <f>IFERROR(INDEX(DICT_ACTIVE,MATCH("SFP.CL.CURTAX",DICT_KEY,0))&amp;"","??SFP.CL.CURTAX")</f>
        <v>Current tax liabilities</v>
      </c>
      <c r="C37" s="9" t="s">
        <v>353</v>
      </c>
      <c r="D37" s="9"/>
      <c r="E37" s="9">
        <v>-1</v>
      </c>
      <c r="F37" s="9" t="s">
        <v>1395</v>
      </c>
      <c r="G37" s="9"/>
      <c r="H37" s="9"/>
      <c r="I37" s="20">
        <f t="shared" si="16"/>
        <v>-350</v>
      </c>
      <c r="J37" s="20">
        <f t="shared" si="17"/>
        <v>0</v>
      </c>
      <c r="K37" s="20">
        <f t="shared" si="13"/>
        <v>-350</v>
      </c>
      <c r="L37" s="20">
        <f t="shared" si="18"/>
        <v>0</v>
      </c>
      <c r="M37" s="20">
        <f t="shared" si="19"/>
        <v>0</v>
      </c>
      <c r="N37" s="20">
        <f t="shared" si="14"/>
        <v>0</v>
      </c>
      <c r="O37" s="20">
        <f t="shared" si="20"/>
        <v>-200</v>
      </c>
      <c r="P37" s="20">
        <f t="shared" si="21"/>
        <v>0</v>
      </c>
      <c r="Q37" s="20">
        <f t="shared" si="15"/>
        <v>-200</v>
      </c>
      <c r="R37" s="20">
        <f t="shared" si="22"/>
        <v>350</v>
      </c>
      <c r="S37" s="20">
        <f t="shared" si="23"/>
        <v>0</v>
      </c>
      <c r="T37" s="20">
        <f t="shared" si="24"/>
        <v>-350</v>
      </c>
      <c r="U37" s="20">
        <f t="shared" si="25"/>
        <v>200</v>
      </c>
      <c r="V37" s="20"/>
      <c r="W37" s="20"/>
    </row>
    <row r="38" spans="1:23" x14ac:dyDescent="0.3">
      <c r="A38" s="9" t="s">
        <v>492</v>
      </c>
      <c r="B38" s="9" t="str">
        <f>IFERROR(INDEX(DICT_ACTIVE,MATCH("SFP.CL.OTHER",DICT_KEY,0))&amp;"","??SFP.CL.OTHER")</f>
        <v>Other current liabilities and accruals</v>
      </c>
      <c r="C38" s="9" t="s">
        <v>353</v>
      </c>
      <c r="D38" s="9"/>
      <c r="E38" s="9">
        <v>-1</v>
      </c>
      <c r="F38" s="9" t="s">
        <v>1395</v>
      </c>
      <c r="G38" s="9"/>
      <c r="H38" s="9"/>
      <c r="I38" s="20">
        <f t="shared" si="16"/>
        <v>-2100</v>
      </c>
      <c r="J38" s="20">
        <f t="shared" si="17"/>
        <v>0</v>
      </c>
      <c r="K38" s="20">
        <f t="shared" si="13"/>
        <v>-2100</v>
      </c>
      <c r="L38" s="20">
        <f t="shared" si="18"/>
        <v>-1900</v>
      </c>
      <c r="M38" s="20">
        <f t="shared" si="19"/>
        <v>0</v>
      </c>
      <c r="N38" s="20">
        <f t="shared" si="14"/>
        <v>-1900</v>
      </c>
      <c r="O38" s="20">
        <f t="shared" si="20"/>
        <v>-1750</v>
      </c>
      <c r="P38" s="20">
        <f t="shared" si="21"/>
        <v>0</v>
      </c>
      <c r="Q38" s="20">
        <f t="shared" si="15"/>
        <v>-1750</v>
      </c>
      <c r="R38" s="20">
        <f t="shared" si="22"/>
        <v>2100</v>
      </c>
      <c r="S38" s="20">
        <f t="shared" si="23"/>
        <v>1900</v>
      </c>
      <c r="T38" s="20">
        <f t="shared" si="24"/>
        <v>-200</v>
      </c>
      <c r="U38" s="20">
        <f t="shared" si="25"/>
        <v>-150</v>
      </c>
      <c r="V38" s="20"/>
      <c r="W38" s="20"/>
    </row>
    <row r="39" spans="1:23" x14ac:dyDescent="0.3">
      <c r="A39" s="9" t="s">
        <v>495</v>
      </c>
      <c r="B39" s="9" t="str">
        <f>IFERROR(INDEX(DICT_ACTIVE,MATCH("SFP.CL.HFS",DICT_KEY,0))&amp;"","??SFP.CL.HFS")</f>
        <v>Liabilities associated with assets held for sale</v>
      </c>
      <c r="C39" s="9" t="s">
        <v>353</v>
      </c>
      <c r="D39" s="9"/>
      <c r="E39" s="9">
        <v>-1</v>
      </c>
      <c r="F39" s="9" t="s">
        <v>1395</v>
      </c>
      <c r="G39" s="9"/>
      <c r="H39" s="9"/>
      <c r="I39" s="20">
        <f t="shared" si="16"/>
        <v>0</v>
      </c>
      <c r="J39" s="20">
        <f t="shared" si="17"/>
        <v>0</v>
      </c>
      <c r="K39" s="20">
        <f t="shared" si="13"/>
        <v>0</v>
      </c>
      <c r="L39" s="20">
        <f t="shared" si="18"/>
        <v>0</v>
      </c>
      <c r="M39" s="20">
        <f t="shared" si="19"/>
        <v>0</v>
      </c>
      <c r="N39" s="20">
        <f t="shared" si="14"/>
        <v>0</v>
      </c>
      <c r="O39" s="20">
        <f t="shared" si="20"/>
        <v>0</v>
      </c>
      <c r="P39" s="20">
        <f t="shared" si="21"/>
        <v>0</v>
      </c>
      <c r="Q39" s="20">
        <f t="shared" si="15"/>
        <v>0</v>
      </c>
      <c r="R39" s="20">
        <f t="shared" si="22"/>
        <v>0</v>
      </c>
      <c r="S39" s="20">
        <f t="shared" si="23"/>
        <v>0</v>
      </c>
      <c r="T39" s="20">
        <f t="shared" si="24"/>
        <v>0</v>
      </c>
      <c r="U39" s="20">
        <f t="shared" si="25"/>
        <v>0</v>
      </c>
      <c r="V39" s="20"/>
      <c r="W39" s="20"/>
    </row>
    <row r="40" spans="1:23" x14ac:dyDescent="0.3">
      <c r="A40" s="9" t="s">
        <v>530</v>
      </c>
      <c r="B40" s="9" t="str">
        <f>IFERROR(INDEX(DICT_ACTIVE,MATCH("PL.OP.REVENUE",DICT_KEY,0))&amp;"","??PL.OP.REVENUE")</f>
        <v>Revenue</v>
      </c>
      <c r="C40" s="9" t="s">
        <v>510</v>
      </c>
      <c r="D40" s="9" t="s">
        <v>1396</v>
      </c>
      <c r="E40" s="9">
        <v>-1</v>
      </c>
      <c r="F40" s="9"/>
      <c r="G40" s="9" t="s">
        <v>1397</v>
      </c>
      <c r="H40" s="9"/>
      <c r="I40" s="20">
        <f t="shared" si="16"/>
        <v>-90000</v>
      </c>
      <c r="J40" s="20">
        <f t="shared" si="17"/>
        <v>0</v>
      </c>
      <c r="K40" s="20">
        <f t="shared" si="13"/>
        <v>-90000</v>
      </c>
      <c r="L40" s="20">
        <f t="shared" si="18"/>
        <v>-80000</v>
      </c>
      <c r="M40" s="20">
        <f t="shared" si="19"/>
        <v>0</v>
      </c>
      <c r="N40" s="20">
        <f t="shared" si="14"/>
        <v>-80000</v>
      </c>
      <c r="O40" s="20">
        <f t="shared" si="20"/>
        <v>0</v>
      </c>
      <c r="P40" s="20">
        <f t="shared" si="21"/>
        <v>0</v>
      </c>
      <c r="Q40" s="20">
        <f t="shared" si="15"/>
        <v>0</v>
      </c>
      <c r="R40" s="20">
        <f t="shared" si="22"/>
        <v>90000</v>
      </c>
      <c r="S40" s="20">
        <f t="shared" si="23"/>
        <v>80000</v>
      </c>
      <c r="T40" s="20">
        <f t="shared" si="24"/>
        <v>-10000</v>
      </c>
      <c r="U40" s="20">
        <f t="shared" si="25"/>
        <v>-80000</v>
      </c>
      <c r="V40" s="20"/>
      <c r="W40" s="20"/>
    </row>
    <row r="41" spans="1:23" x14ac:dyDescent="0.3">
      <c r="A41" s="9" t="s">
        <v>533</v>
      </c>
      <c r="B41" s="9" t="str">
        <f>IFERROR(INDEX(DICT_ACTIVE,MATCH("PL.OP.OTHERINC",DICT_KEY,0))&amp;"","??PL.OP.OTHERINC")</f>
        <v>Other operating income</v>
      </c>
      <c r="C41" s="9" t="s">
        <v>510</v>
      </c>
      <c r="D41" s="9" t="s">
        <v>1396</v>
      </c>
      <c r="E41" s="9">
        <v>-1</v>
      </c>
      <c r="F41" s="9"/>
      <c r="G41" s="9" t="s">
        <v>1397</v>
      </c>
      <c r="H41" s="9"/>
      <c r="I41" s="20">
        <f t="shared" si="16"/>
        <v>-1200</v>
      </c>
      <c r="J41" s="20">
        <f t="shared" si="17"/>
        <v>0</v>
      </c>
      <c r="K41" s="20">
        <f t="shared" si="13"/>
        <v>-1200</v>
      </c>
      <c r="L41" s="20">
        <f t="shared" si="18"/>
        <v>-800</v>
      </c>
      <c r="M41" s="20">
        <f t="shared" si="19"/>
        <v>0</v>
      </c>
      <c r="N41" s="20">
        <f t="shared" si="14"/>
        <v>-800</v>
      </c>
      <c r="O41" s="20">
        <f t="shared" si="20"/>
        <v>0</v>
      </c>
      <c r="P41" s="20">
        <f t="shared" si="21"/>
        <v>0</v>
      </c>
      <c r="Q41" s="20">
        <f t="shared" si="15"/>
        <v>0</v>
      </c>
      <c r="R41" s="20">
        <f t="shared" si="22"/>
        <v>1200</v>
      </c>
      <c r="S41" s="20">
        <f t="shared" si="23"/>
        <v>800</v>
      </c>
      <c r="T41" s="20">
        <f t="shared" si="24"/>
        <v>-400</v>
      </c>
      <c r="U41" s="20">
        <f t="shared" si="25"/>
        <v>-800</v>
      </c>
      <c r="V41" s="20"/>
      <c r="W41" s="20"/>
    </row>
    <row r="42" spans="1:23" x14ac:dyDescent="0.3">
      <c r="A42" s="9" t="s">
        <v>536</v>
      </c>
      <c r="B42" s="9" t="str">
        <f>IFERROR(INDEX(DICT_ACTIVE,MATCH("PL.OP.F.COS",DICT_KEY,0))&amp;"","??PL.OP.F.COS")</f>
        <v>Cost of sales</v>
      </c>
      <c r="C42" s="9" t="s">
        <v>510</v>
      </c>
      <c r="D42" s="9" t="s">
        <v>1396</v>
      </c>
      <c r="E42" s="9">
        <v>-1</v>
      </c>
      <c r="F42" s="9"/>
      <c r="G42" s="9" t="s">
        <v>1398</v>
      </c>
      <c r="H42" s="9"/>
      <c r="I42" s="20">
        <f t="shared" si="16"/>
        <v>0</v>
      </c>
      <c r="J42" s="20">
        <f t="shared" si="17"/>
        <v>0</v>
      </c>
      <c r="K42" s="20">
        <f t="shared" si="13"/>
        <v>0</v>
      </c>
      <c r="L42" s="20">
        <f t="shared" si="18"/>
        <v>0</v>
      </c>
      <c r="M42" s="20">
        <f t="shared" si="19"/>
        <v>0</v>
      </c>
      <c r="N42" s="20">
        <f t="shared" si="14"/>
        <v>0</v>
      </c>
      <c r="O42" s="20">
        <f t="shared" si="20"/>
        <v>0</v>
      </c>
      <c r="P42" s="20">
        <f t="shared" si="21"/>
        <v>0</v>
      </c>
      <c r="Q42" s="20">
        <f t="shared" si="15"/>
        <v>0</v>
      </c>
      <c r="R42" s="20">
        <f t="shared" si="22"/>
        <v>0</v>
      </c>
      <c r="S42" s="20">
        <f t="shared" si="23"/>
        <v>0</v>
      </c>
      <c r="T42" s="20">
        <f t="shared" si="24"/>
        <v>0</v>
      </c>
      <c r="U42" s="20">
        <f t="shared" si="25"/>
        <v>0</v>
      </c>
      <c r="V42" s="20"/>
      <c r="W42" s="20"/>
    </row>
    <row r="43" spans="1:23" x14ac:dyDescent="0.3">
      <c r="A43" s="9" t="s">
        <v>539</v>
      </c>
      <c r="B43" s="9" t="str">
        <f>IFERROR(INDEX(DICT_ACTIVE,MATCH("PL.OP.F.DIST",DICT_KEY,0))&amp;"","??PL.OP.F.DIST")</f>
        <v>Distribution costs</v>
      </c>
      <c r="C43" s="9" t="s">
        <v>510</v>
      </c>
      <c r="D43" s="9" t="s">
        <v>1396</v>
      </c>
      <c r="E43" s="9">
        <v>-1</v>
      </c>
      <c r="F43" s="9"/>
      <c r="G43" s="9" t="s">
        <v>1398</v>
      </c>
      <c r="H43" s="9"/>
      <c r="I43" s="20">
        <f t="shared" si="16"/>
        <v>0</v>
      </c>
      <c r="J43" s="20">
        <f t="shared" si="17"/>
        <v>0</v>
      </c>
      <c r="K43" s="20">
        <f t="shared" si="13"/>
        <v>0</v>
      </c>
      <c r="L43" s="20">
        <f t="shared" si="18"/>
        <v>0</v>
      </c>
      <c r="M43" s="20">
        <f t="shared" si="19"/>
        <v>0</v>
      </c>
      <c r="N43" s="20">
        <f t="shared" si="14"/>
        <v>0</v>
      </c>
      <c r="O43" s="20">
        <f t="shared" si="20"/>
        <v>0</v>
      </c>
      <c r="P43" s="20">
        <f t="shared" si="21"/>
        <v>0</v>
      </c>
      <c r="Q43" s="20">
        <f t="shared" si="15"/>
        <v>0</v>
      </c>
      <c r="R43" s="20">
        <f t="shared" si="22"/>
        <v>0</v>
      </c>
      <c r="S43" s="20">
        <f t="shared" si="23"/>
        <v>0</v>
      </c>
      <c r="T43" s="20">
        <f t="shared" si="24"/>
        <v>0</v>
      </c>
      <c r="U43" s="20">
        <f t="shared" si="25"/>
        <v>0</v>
      </c>
      <c r="V43" s="20"/>
      <c r="W43" s="20"/>
    </row>
    <row r="44" spans="1:23" x14ac:dyDescent="0.3">
      <c r="A44" s="9" t="s">
        <v>542</v>
      </c>
      <c r="B44" s="9" t="str">
        <f>IFERROR(INDEX(DICT_ACTIVE,MATCH("PL.OP.F.ADMIN",DICT_KEY,0))&amp;"","??PL.OP.F.ADMIN")</f>
        <v>Administrative expenses</v>
      </c>
      <c r="C44" s="9" t="s">
        <v>510</v>
      </c>
      <c r="D44" s="9" t="s">
        <v>1396</v>
      </c>
      <c r="E44" s="9">
        <v>-1</v>
      </c>
      <c r="F44" s="9"/>
      <c r="G44" s="9" t="s">
        <v>1398</v>
      </c>
      <c r="H44" s="9"/>
      <c r="I44" s="20">
        <f t="shared" si="16"/>
        <v>0</v>
      </c>
      <c r="J44" s="20">
        <f t="shared" si="17"/>
        <v>0</v>
      </c>
      <c r="K44" s="20">
        <f t="shared" si="13"/>
        <v>0</v>
      </c>
      <c r="L44" s="20">
        <f t="shared" si="18"/>
        <v>0</v>
      </c>
      <c r="M44" s="20">
        <f t="shared" si="19"/>
        <v>0</v>
      </c>
      <c r="N44" s="20">
        <f t="shared" si="14"/>
        <v>0</v>
      </c>
      <c r="O44" s="20">
        <f t="shared" si="20"/>
        <v>0</v>
      </c>
      <c r="P44" s="20">
        <f t="shared" si="21"/>
        <v>0</v>
      </c>
      <c r="Q44" s="20">
        <f t="shared" si="15"/>
        <v>0</v>
      </c>
      <c r="R44" s="20">
        <f t="shared" si="22"/>
        <v>0</v>
      </c>
      <c r="S44" s="20">
        <f t="shared" si="23"/>
        <v>0</v>
      </c>
      <c r="T44" s="20">
        <f t="shared" si="24"/>
        <v>0</v>
      </c>
      <c r="U44" s="20">
        <f t="shared" si="25"/>
        <v>0</v>
      </c>
      <c r="V44" s="20"/>
      <c r="W44" s="20"/>
    </row>
    <row r="45" spans="1:23" x14ac:dyDescent="0.3">
      <c r="A45" s="9" t="s">
        <v>545</v>
      </c>
      <c r="B45" s="9" t="str">
        <f>IFERROR(INDEX(DICT_ACTIVE,MATCH("PL.OP.F.RD",DICT_KEY,0))&amp;"","??PL.OP.F.RD")</f>
        <v>Research and development expenses</v>
      </c>
      <c r="C45" s="9" t="s">
        <v>510</v>
      </c>
      <c r="D45" s="9" t="s">
        <v>1396</v>
      </c>
      <c r="E45" s="9">
        <v>-1</v>
      </c>
      <c r="F45" s="9"/>
      <c r="G45" s="9" t="s">
        <v>1398</v>
      </c>
      <c r="H45" s="9"/>
      <c r="I45" s="20">
        <f t="shared" si="16"/>
        <v>0</v>
      </c>
      <c r="J45" s="20">
        <f t="shared" si="17"/>
        <v>0</v>
      </c>
      <c r="K45" s="20">
        <f t="shared" si="13"/>
        <v>0</v>
      </c>
      <c r="L45" s="20">
        <f t="shared" si="18"/>
        <v>0</v>
      </c>
      <c r="M45" s="20">
        <f t="shared" si="19"/>
        <v>0</v>
      </c>
      <c r="N45" s="20">
        <f t="shared" si="14"/>
        <v>0</v>
      </c>
      <c r="O45" s="20">
        <f t="shared" si="20"/>
        <v>0</v>
      </c>
      <c r="P45" s="20">
        <f t="shared" si="21"/>
        <v>0</v>
      </c>
      <c r="Q45" s="20">
        <f t="shared" si="15"/>
        <v>0</v>
      </c>
      <c r="R45" s="20">
        <f t="shared" si="22"/>
        <v>0</v>
      </c>
      <c r="S45" s="20">
        <f t="shared" si="23"/>
        <v>0</v>
      </c>
      <c r="T45" s="20">
        <f t="shared" si="24"/>
        <v>0</v>
      </c>
      <c r="U45" s="20">
        <f t="shared" si="25"/>
        <v>0</v>
      </c>
      <c r="V45" s="20"/>
      <c r="W45" s="20"/>
    </row>
    <row r="46" spans="1:23" x14ac:dyDescent="0.3">
      <c r="A46" s="9" t="s">
        <v>548</v>
      </c>
      <c r="B46" s="9" t="str">
        <f>IFERROR(INDEX(DICT_ACTIVE,MATCH("PL.OP.F.OTHER",DICT_KEY,0))&amp;"","??PL.OP.F.OTHER")</f>
        <v>Other functional expenses</v>
      </c>
      <c r="C46" s="9" t="s">
        <v>510</v>
      </c>
      <c r="D46" s="9" t="s">
        <v>1396</v>
      </c>
      <c r="E46" s="9">
        <v>-1</v>
      </c>
      <c r="F46" s="9"/>
      <c r="G46" s="9" t="s">
        <v>1398</v>
      </c>
      <c r="H46" s="9"/>
      <c r="I46" s="20">
        <f t="shared" si="16"/>
        <v>0</v>
      </c>
      <c r="J46" s="20">
        <f t="shared" si="17"/>
        <v>0</v>
      </c>
      <c r="K46" s="20">
        <f t="shared" si="13"/>
        <v>0</v>
      </c>
      <c r="L46" s="20">
        <f t="shared" si="18"/>
        <v>0</v>
      </c>
      <c r="M46" s="20">
        <f t="shared" si="19"/>
        <v>0</v>
      </c>
      <c r="N46" s="20">
        <f t="shared" si="14"/>
        <v>0</v>
      </c>
      <c r="O46" s="20">
        <f t="shared" si="20"/>
        <v>0</v>
      </c>
      <c r="P46" s="20">
        <f t="shared" si="21"/>
        <v>0</v>
      </c>
      <c r="Q46" s="20">
        <f t="shared" si="15"/>
        <v>0</v>
      </c>
      <c r="R46" s="20">
        <f t="shared" si="22"/>
        <v>0</v>
      </c>
      <c r="S46" s="20">
        <f t="shared" si="23"/>
        <v>0</v>
      </c>
      <c r="T46" s="20">
        <f t="shared" si="24"/>
        <v>0</v>
      </c>
      <c r="U46" s="20">
        <f t="shared" si="25"/>
        <v>0</v>
      </c>
      <c r="V46" s="20"/>
      <c r="W46" s="20"/>
    </row>
    <row r="47" spans="1:23" x14ac:dyDescent="0.3">
      <c r="A47" s="9" t="s">
        <v>551</v>
      </c>
      <c r="B47" s="9" t="str">
        <f>IFERROR(INDEX(DICT_ACTIVE,MATCH("PL.OP.N.MATERIALS",DICT_KEY,0))&amp;"","??PL.OP.N.MATERIALS")</f>
        <v>Raw materials, consumables and changes in inventories</v>
      </c>
      <c r="C47" s="9" t="s">
        <v>510</v>
      </c>
      <c r="D47" s="9" t="s">
        <v>1396</v>
      </c>
      <c r="E47" s="9">
        <v>-1</v>
      </c>
      <c r="F47" s="9"/>
      <c r="G47" s="9" t="s">
        <v>1398</v>
      </c>
      <c r="H47" s="9"/>
      <c r="I47" s="20">
        <f t="shared" si="16"/>
        <v>43000</v>
      </c>
      <c r="J47" s="20">
        <f t="shared" si="17"/>
        <v>0</v>
      </c>
      <c r="K47" s="20">
        <f t="shared" si="13"/>
        <v>43000</v>
      </c>
      <c r="L47" s="20">
        <f t="shared" si="18"/>
        <v>38300</v>
      </c>
      <c r="M47" s="20">
        <f t="shared" si="19"/>
        <v>0</v>
      </c>
      <c r="N47" s="20">
        <f t="shared" si="14"/>
        <v>38300</v>
      </c>
      <c r="O47" s="20">
        <f t="shared" si="20"/>
        <v>0</v>
      </c>
      <c r="P47" s="20">
        <f t="shared" si="21"/>
        <v>0</v>
      </c>
      <c r="Q47" s="20">
        <f t="shared" si="15"/>
        <v>0</v>
      </c>
      <c r="R47" s="20">
        <f t="shared" si="22"/>
        <v>-43000</v>
      </c>
      <c r="S47" s="20">
        <f t="shared" si="23"/>
        <v>-38300</v>
      </c>
      <c r="T47" s="20">
        <f t="shared" si="24"/>
        <v>4700</v>
      </c>
      <c r="U47" s="20">
        <f t="shared" si="25"/>
        <v>38300</v>
      </c>
      <c r="V47" s="20">
        <f t="shared" ref="V47:V53" si="26">SUMIF(TB_NATKEY,$A47,TB_CY)+SUMIFS(ADJ_NET,ADJ_NATKEY,$A47,ADJ_PER,"CY")</f>
        <v>43000</v>
      </c>
      <c r="W47" s="20">
        <f t="shared" ref="W47:W53" si="27">SUMIF(TB_NATKEY,$A47,TB_PY)+SUMIFS(ADJ_NET,ADJ_NATKEY,$A47,ADJ_PER,"PY")</f>
        <v>38300</v>
      </c>
    </row>
    <row r="48" spans="1:23" x14ac:dyDescent="0.3">
      <c r="A48" s="9" t="s">
        <v>554</v>
      </c>
      <c r="B48" s="9" t="str">
        <f>IFERROR(INDEX(DICT_ACTIVE,MATCH("PL.OP.N.EMPLOYEE",DICT_KEY,0))&amp;"","??PL.OP.N.EMPLOYEE")</f>
        <v>Employee benefit expenses</v>
      </c>
      <c r="C48" s="9" t="s">
        <v>510</v>
      </c>
      <c r="D48" s="9" t="s">
        <v>1396</v>
      </c>
      <c r="E48" s="9">
        <v>-1</v>
      </c>
      <c r="F48" s="9"/>
      <c r="G48" s="9" t="s">
        <v>1398</v>
      </c>
      <c r="H48" s="9"/>
      <c r="I48" s="20">
        <f t="shared" si="16"/>
        <v>15900</v>
      </c>
      <c r="J48" s="20">
        <f t="shared" si="17"/>
        <v>0</v>
      </c>
      <c r="K48" s="20">
        <f t="shared" si="13"/>
        <v>15900</v>
      </c>
      <c r="L48" s="20">
        <f t="shared" si="18"/>
        <v>14550</v>
      </c>
      <c r="M48" s="20">
        <f t="shared" si="19"/>
        <v>0</v>
      </c>
      <c r="N48" s="20">
        <f t="shared" si="14"/>
        <v>14550</v>
      </c>
      <c r="O48" s="20">
        <f t="shared" si="20"/>
        <v>0</v>
      </c>
      <c r="P48" s="20">
        <f t="shared" si="21"/>
        <v>0</v>
      </c>
      <c r="Q48" s="20">
        <f t="shared" si="15"/>
        <v>0</v>
      </c>
      <c r="R48" s="20">
        <f t="shared" si="22"/>
        <v>-15900</v>
      </c>
      <c r="S48" s="20">
        <f t="shared" si="23"/>
        <v>-14550</v>
      </c>
      <c r="T48" s="20">
        <f t="shared" si="24"/>
        <v>1350</v>
      </c>
      <c r="U48" s="20">
        <f t="shared" si="25"/>
        <v>14550</v>
      </c>
      <c r="V48" s="20">
        <f t="shared" si="26"/>
        <v>15900</v>
      </c>
      <c r="W48" s="20">
        <f t="shared" si="27"/>
        <v>14550</v>
      </c>
    </row>
    <row r="49" spans="1:23" x14ac:dyDescent="0.3">
      <c r="A49" s="9" t="s">
        <v>557</v>
      </c>
      <c r="B49" s="9" t="str">
        <f>IFERROR(INDEX(DICT_ACTIVE,MATCH("PL.OP.N.DEP",DICT_KEY,0))&amp;"","??PL.OP.N.DEP")</f>
        <v>Depreciation</v>
      </c>
      <c r="C49" s="9" t="s">
        <v>510</v>
      </c>
      <c r="D49" s="9" t="s">
        <v>1396</v>
      </c>
      <c r="E49" s="9">
        <v>-1</v>
      </c>
      <c r="F49" s="9"/>
      <c r="G49" s="9" t="s">
        <v>1398</v>
      </c>
      <c r="H49" s="9"/>
      <c r="I49" s="20">
        <f t="shared" si="16"/>
        <v>4300</v>
      </c>
      <c r="J49" s="20">
        <f t="shared" si="17"/>
        <v>0</v>
      </c>
      <c r="K49" s="20">
        <f t="shared" si="13"/>
        <v>4300</v>
      </c>
      <c r="L49" s="20">
        <f t="shared" si="18"/>
        <v>3800</v>
      </c>
      <c r="M49" s="20">
        <f t="shared" si="19"/>
        <v>0</v>
      </c>
      <c r="N49" s="20">
        <f t="shared" si="14"/>
        <v>3800</v>
      </c>
      <c r="O49" s="20">
        <f t="shared" si="20"/>
        <v>0</v>
      </c>
      <c r="P49" s="20">
        <f t="shared" si="21"/>
        <v>0</v>
      </c>
      <c r="Q49" s="20">
        <f t="shared" si="15"/>
        <v>0</v>
      </c>
      <c r="R49" s="20">
        <f t="shared" si="22"/>
        <v>-4300</v>
      </c>
      <c r="S49" s="20">
        <f t="shared" si="23"/>
        <v>-3800</v>
      </c>
      <c r="T49" s="20">
        <f t="shared" si="24"/>
        <v>500</v>
      </c>
      <c r="U49" s="20">
        <f t="shared" si="25"/>
        <v>3800</v>
      </c>
      <c r="V49" s="20">
        <f t="shared" si="26"/>
        <v>4300</v>
      </c>
      <c r="W49" s="20">
        <f t="shared" si="27"/>
        <v>3800</v>
      </c>
    </row>
    <row r="50" spans="1:23" x14ac:dyDescent="0.3">
      <c r="A50" s="9" t="s">
        <v>560</v>
      </c>
      <c r="B50" s="9" t="str">
        <f>IFERROR(INDEX(DICT_ACTIVE,MATCH("PL.OP.N.AMORT",DICT_KEY,0))&amp;"","??PL.OP.N.AMORT")</f>
        <v>Amortisation</v>
      </c>
      <c r="C50" s="9" t="s">
        <v>510</v>
      </c>
      <c r="D50" s="9" t="s">
        <v>1396</v>
      </c>
      <c r="E50" s="9">
        <v>-1</v>
      </c>
      <c r="F50" s="9"/>
      <c r="G50" s="9" t="s">
        <v>1398</v>
      </c>
      <c r="H50" s="9"/>
      <c r="I50" s="20">
        <f t="shared" si="16"/>
        <v>300</v>
      </c>
      <c r="J50" s="20">
        <f t="shared" si="17"/>
        <v>0</v>
      </c>
      <c r="K50" s="20">
        <f t="shared" si="13"/>
        <v>300</v>
      </c>
      <c r="L50" s="20">
        <f t="shared" si="18"/>
        <v>250</v>
      </c>
      <c r="M50" s="20">
        <f t="shared" si="19"/>
        <v>0</v>
      </c>
      <c r="N50" s="20">
        <f t="shared" si="14"/>
        <v>250</v>
      </c>
      <c r="O50" s="20">
        <f t="shared" si="20"/>
        <v>0</v>
      </c>
      <c r="P50" s="20">
        <f t="shared" si="21"/>
        <v>0</v>
      </c>
      <c r="Q50" s="20">
        <f t="shared" si="15"/>
        <v>0</v>
      </c>
      <c r="R50" s="20">
        <f t="shared" si="22"/>
        <v>-300</v>
      </c>
      <c r="S50" s="20">
        <f t="shared" si="23"/>
        <v>-250</v>
      </c>
      <c r="T50" s="20">
        <f t="shared" si="24"/>
        <v>50</v>
      </c>
      <c r="U50" s="20">
        <f t="shared" si="25"/>
        <v>250</v>
      </c>
      <c r="V50" s="20">
        <f t="shared" si="26"/>
        <v>300</v>
      </c>
      <c r="W50" s="20">
        <f t="shared" si="27"/>
        <v>250</v>
      </c>
    </row>
    <row r="51" spans="1:23" x14ac:dyDescent="0.3">
      <c r="A51" s="9" t="s">
        <v>563</v>
      </c>
      <c r="B51" s="9" t="str">
        <f>IFERROR(INDEX(DICT_ACTIVE,MATCH("PL.OP.N.IMPAIR",DICT_KEY,0))&amp;"","??PL.OP.N.IMPAIR")</f>
        <v>Impairment losses and reversals</v>
      </c>
      <c r="C51" s="9" t="s">
        <v>510</v>
      </c>
      <c r="D51" s="9" t="s">
        <v>1396</v>
      </c>
      <c r="E51" s="9">
        <v>-1</v>
      </c>
      <c r="F51" s="9"/>
      <c r="G51" s="9" t="s">
        <v>1398</v>
      </c>
      <c r="H51" s="9"/>
      <c r="I51" s="20">
        <f t="shared" si="16"/>
        <v>90</v>
      </c>
      <c r="J51" s="20">
        <f t="shared" si="17"/>
        <v>0</v>
      </c>
      <c r="K51" s="20">
        <f t="shared" si="13"/>
        <v>90</v>
      </c>
      <c r="L51" s="20">
        <f t="shared" si="18"/>
        <v>70</v>
      </c>
      <c r="M51" s="20">
        <f t="shared" si="19"/>
        <v>0</v>
      </c>
      <c r="N51" s="20">
        <f t="shared" si="14"/>
        <v>70</v>
      </c>
      <c r="O51" s="20">
        <f t="shared" si="20"/>
        <v>0</v>
      </c>
      <c r="P51" s="20">
        <f t="shared" si="21"/>
        <v>0</v>
      </c>
      <c r="Q51" s="20">
        <f t="shared" si="15"/>
        <v>0</v>
      </c>
      <c r="R51" s="20">
        <f t="shared" si="22"/>
        <v>-90</v>
      </c>
      <c r="S51" s="20">
        <f t="shared" si="23"/>
        <v>-70</v>
      </c>
      <c r="T51" s="20">
        <f t="shared" si="24"/>
        <v>20</v>
      </c>
      <c r="U51" s="20">
        <f t="shared" si="25"/>
        <v>70</v>
      </c>
      <c r="V51" s="20">
        <f t="shared" si="26"/>
        <v>90</v>
      </c>
      <c r="W51" s="20">
        <f t="shared" si="27"/>
        <v>70</v>
      </c>
    </row>
    <row r="52" spans="1:23" x14ac:dyDescent="0.3">
      <c r="A52" s="9" t="s">
        <v>566</v>
      </c>
      <c r="B52" s="9" t="str">
        <f>IFERROR(INDEX(DICT_ACTIVE,MATCH("PL.OP.N.INVWRITE",DICT_KEY,0))&amp;"","??PL.OP.N.INVWRITE")</f>
        <v>Write-downs of inventories and reversals</v>
      </c>
      <c r="C52" s="9" t="s">
        <v>510</v>
      </c>
      <c r="D52" s="9" t="s">
        <v>1396</v>
      </c>
      <c r="E52" s="9">
        <v>-1</v>
      </c>
      <c r="F52" s="9"/>
      <c r="G52" s="9" t="s">
        <v>1398</v>
      </c>
      <c r="H52" s="9"/>
      <c r="I52" s="20">
        <f t="shared" si="16"/>
        <v>200</v>
      </c>
      <c r="J52" s="20">
        <f t="shared" si="17"/>
        <v>0</v>
      </c>
      <c r="K52" s="20">
        <f t="shared" si="13"/>
        <v>200</v>
      </c>
      <c r="L52" s="20">
        <f t="shared" si="18"/>
        <v>150</v>
      </c>
      <c r="M52" s="20">
        <f t="shared" si="19"/>
        <v>0</v>
      </c>
      <c r="N52" s="20">
        <f t="shared" si="14"/>
        <v>150</v>
      </c>
      <c r="O52" s="20">
        <f t="shared" si="20"/>
        <v>0</v>
      </c>
      <c r="P52" s="20">
        <f t="shared" si="21"/>
        <v>0</v>
      </c>
      <c r="Q52" s="20">
        <f t="shared" si="15"/>
        <v>0</v>
      </c>
      <c r="R52" s="20">
        <f t="shared" si="22"/>
        <v>-200</v>
      </c>
      <c r="S52" s="20">
        <f t="shared" si="23"/>
        <v>-150</v>
      </c>
      <c r="T52" s="20">
        <f t="shared" si="24"/>
        <v>50</v>
      </c>
      <c r="U52" s="20">
        <f t="shared" si="25"/>
        <v>150</v>
      </c>
      <c r="V52" s="20">
        <f t="shared" si="26"/>
        <v>200</v>
      </c>
      <c r="W52" s="20">
        <f t="shared" si="27"/>
        <v>150</v>
      </c>
    </row>
    <row r="53" spans="1:23" x14ac:dyDescent="0.3">
      <c r="A53" s="9" t="s">
        <v>569</v>
      </c>
      <c r="B53" s="9" t="str">
        <f>IFERROR(INDEX(DICT_ACTIVE,MATCH("PL.OP.N.OTHER",DICT_KEY,0))&amp;"","??PL.OP.N.OTHER")</f>
        <v>Other expenses by nature</v>
      </c>
      <c r="C53" s="9" t="s">
        <v>510</v>
      </c>
      <c r="D53" s="9" t="s">
        <v>1396</v>
      </c>
      <c r="E53" s="9">
        <v>-1</v>
      </c>
      <c r="F53" s="9"/>
      <c r="G53" s="9" t="s">
        <v>1398</v>
      </c>
      <c r="H53" s="9"/>
      <c r="I53" s="20">
        <f t="shared" si="16"/>
        <v>9500</v>
      </c>
      <c r="J53" s="20">
        <f t="shared" si="17"/>
        <v>0</v>
      </c>
      <c r="K53" s="20">
        <f t="shared" si="13"/>
        <v>9500</v>
      </c>
      <c r="L53" s="20">
        <f t="shared" si="18"/>
        <v>8600</v>
      </c>
      <c r="M53" s="20">
        <f t="shared" si="19"/>
        <v>0</v>
      </c>
      <c r="N53" s="20">
        <f t="shared" si="14"/>
        <v>8600</v>
      </c>
      <c r="O53" s="20">
        <f t="shared" si="20"/>
        <v>0</v>
      </c>
      <c r="P53" s="20">
        <f t="shared" si="21"/>
        <v>0</v>
      </c>
      <c r="Q53" s="20">
        <f t="shared" si="15"/>
        <v>0</v>
      </c>
      <c r="R53" s="20">
        <f t="shared" si="22"/>
        <v>-9500</v>
      </c>
      <c r="S53" s="20">
        <f t="shared" si="23"/>
        <v>-8600</v>
      </c>
      <c r="T53" s="20">
        <f t="shared" si="24"/>
        <v>900</v>
      </c>
      <c r="U53" s="20">
        <f t="shared" si="25"/>
        <v>8600</v>
      </c>
      <c r="V53" s="20">
        <f t="shared" si="26"/>
        <v>9500</v>
      </c>
      <c r="W53" s="20">
        <f t="shared" si="27"/>
        <v>8600</v>
      </c>
    </row>
    <row r="54" spans="1:23" x14ac:dyDescent="0.3">
      <c r="A54" s="9" t="s">
        <v>572</v>
      </c>
      <c r="B54" s="9" t="str">
        <f>IFERROR(INDEX(DICT_ACTIVE,MATCH("PL.OP.FX",DICT_KEY,0))&amp;"","??PL.OP.FX")</f>
        <v>Foreign exchange differences - operating</v>
      </c>
      <c r="C54" s="9" t="s">
        <v>510</v>
      </c>
      <c r="D54" s="9" t="s">
        <v>1396</v>
      </c>
      <c r="E54" s="9">
        <v>-1</v>
      </c>
      <c r="F54" s="9"/>
      <c r="G54" s="9" t="s">
        <v>1398</v>
      </c>
      <c r="H54" s="9"/>
      <c r="I54" s="20">
        <f t="shared" si="16"/>
        <v>150</v>
      </c>
      <c r="J54" s="20">
        <f t="shared" si="17"/>
        <v>0</v>
      </c>
      <c r="K54" s="20">
        <f t="shared" si="13"/>
        <v>150</v>
      </c>
      <c r="L54" s="20">
        <f t="shared" si="18"/>
        <v>-80</v>
      </c>
      <c r="M54" s="20">
        <f t="shared" si="19"/>
        <v>0</v>
      </c>
      <c r="N54" s="20">
        <f t="shared" si="14"/>
        <v>-80</v>
      </c>
      <c r="O54" s="20">
        <f t="shared" si="20"/>
        <v>0</v>
      </c>
      <c r="P54" s="20">
        <f t="shared" si="21"/>
        <v>0</v>
      </c>
      <c r="Q54" s="20">
        <f t="shared" si="15"/>
        <v>0</v>
      </c>
      <c r="R54" s="20">
        <f t="shared" si="22"/>
        <v>-150</v>
      </c>
      <c r="S54" s="20">
        <f t="shared" si="23"/>
        <v>80</v>
      </c>
      <c r="T54" s="20">
        <f t="shared" si="24"/>
        <v>230</v>
      </c>
      <c r="U54" s="20">
        <f t="shared" si="25"/>
        <v>-80</v>
      </c>
      <c r="V54" s="20"/>
      <c r="W54" s="20"/>
    </row>
    <row r="55" spans="1:23" x14ac:dyDescent="0.3">
      <c r="A55" s="9" t="s">
        <v>575</v>
      </c>
      <c r="B55" s="9" t="str">
        <f>IFERROR(INDEX(DICT_ACTIVE,MATCH("PL.OP.OTHEREXP",DICT_KEY,0))&amp;"","??PL.OP.OTHEREXP")</f>
        <v>Other operating expenses</v>
      </c>
      <c r="C55" s="9" t="s">
        <v>510</v>
      </c>
      <c r="D55" s="9" t="s">
        <v>1396</v>
      </c>
      <c r="E55" s="9">
        <v>-1</v>
      </c>
      <c r="F55" s="9"/>
      <c r="G55" s="9" t="s">
        <v>1398</v>
      </c>
      <c r="H55" s="9"/>
      <c r="I55" s="20">
        <f t="shared" si="16"/>
        <v>1100</v>
      </c>
      <c r="J55" s="20">
        <f t="shared" si="17"/>
        <v>0</v>
      </c>
      <c r="K55" s="20">
        <f t="shared" si="13"/>
        <v>1100</v>
      </c>
      <c r="L55" s="20">
        <f t="shared" si="18"/>
        <v>950</v>
      </c>
      <c r="M55" s="20">
        <f t="shared" si="19"/>
        <v>0</v>
      </c>
      <c r="N55" s="20">
        <f t="shared" si="14"/>
        <v>950</v>
      </c>
      <c r="O55" s="20">
        <f t="shared" si="20"/>
        <v>0</v>
      </c>
      <c r="P55" s="20">
        <f t="shared" si="21"/>
        <v>0</v>
      </c>
      <c r="Q55" s="20">
        <f t="shared" si="15"/>
        <v>0</v>
      </c>
      <c r="R55" s="20">
        <f t="shared" si="22"/>
        <v>-1100</v>
      </c>
      <c r="S55" s="20">
        <f t="shared" si="23"/>
        <v>-950</v>
      </c>
      <c r="T55" s="20">
        <f t="shared" si="24"/>
        <v>150</v>
      </c>
      <c r="U55" s="20">
        <f t="shared" si="25"/>
        <v>950</v>
      </c>
      <c r="V55" s="20"/>
      <c r="W55" s="20"/>
    </row>
    <row r="56" spans="1:23" x14ac:dyDescent="0.3">
      <c r="A56" s="9" t="s">
        <v>581</v>
      </c>
      <c r="B56" s="9" t="str">
        <f>IFERROR(INDEX(DICT_ACTIVE,MATCH("PL.INV.ASSOC",DICT_KEY,0))&amp;"","??PL.INV.ASSOC")</f>
        <v>Share of profit or loss of associates and joint ventures</v>
      </c>
      <c r="C56" s="9" t="s">
        <v>510</v>
      </c>
      <c r="D56" s="9" t="s">
        <v>1399</v>
      </c>
      <c r="E56" s="9">
        <v>-1</v>
      </c>
      <c r="F56" s="9"/>
      <c r="G56" s="9" t="s">
        <v>1397</v>
      </c>
      <c r="H56" s="9"/>
      <c r="I56" s="20">
        <f t="shared" si="16"/>
        <v>-200</v>
      </c>
      <c r="J56" s="20">
        <f t="shared" si="17"/>
        <v>0</v>
      </c>
      <c r="K56" s="20">
        <f t="shared" si="13"/>
        <v>-200</v>
      </c>
      <c r="L56" s="20">
        <f t="shared" si="18"/>
        <v>-150</v>
      </c>
      <c r="M56" s="20">
        <f t="shared" si="19"/>
        <v>0</v>
      </c>
      <c r="N56" s="20">
        <f t="shared" si="14"/>
        <v>-150</v>
      </c>
      <c r="O56" s="20">
        <f t="shared" si="20"/>
        <v>0</v>
      </c>
      <c r="P56" s="20">
        <f t="shared" si="21"/>
        <v>0</v>
      </c>
      <c r="Q56" s="20">
        <f t="shared" si="15"/>
        <v>0</v>
      </c>
      <c r="R56" s="20">
        <f t="shared" si="22"/>
        <v>200</v>
      </c>
      <c r="S56" s="20">
        <f t="shared" si="23"/>
        <v>150</v>
      </c>
      <c r="T56" s="20">
        <f t="shared" si="24"/>
        <v>-50</v>
      </c>
      <c r="U56" s="20">
        <f t="shared" si="25"/>
        <v>-150</v>
      </c>
      <c r="V56" s="20"/>
      <c r="W56" s="20"/>
    </row>
    <row r="57" spans="1:23" x14ac:dyDescent="0.3">
      <c r="A57" s="9" t="s">
        <v>584</v>
      </c>
      <c r="B57" s="9" t="str">
        <f>IFERROR(INDEX(DICT_ACTIVE,MATCH("PL.INV.INTCASH",DICT_KEY,0))&amp;"","??PL.INV.INTCASH")</f>
        <v>Interest income on cash and cash equivalents</v>
      </c>
      <c r="C57" s="9" t="s">
        <v>510</v>
      </c>
      <c r="D57" s="9" t="s">
        <v>1399</v>
      </c>
      <c r="E57" s="9">
        <v>-1</v>
      </c>
      <c r="F57" s="9"/>
      <c r="G57" s="9" t="s">
        <v>1397</v>
      </c>
      <c r="H57" s="9"/>
      <c r="I57" s="20">
        <f t="shared" si="16"/>
        <v>-250</v>
      </c>
      <c r="J57" s="20">
        <f t="shared" si="17"/>
        <v>0</v>
      </c>
      <c r="K57" s="20">
        <f t="shared" si="13"/>
        <v>-250</v>
      </c>
      <c r="L57" s="20">
        <f t="shared" si="18"/>
        <v>-180</v>
      </c>
      <c r="M57" s="20">
        <f t="shared" si="19"/>
        <v>0</v>
      </c>
      <c r="N57" s="20">
        <f t="shared" si="14"/>
        <v>-180</v>
      </c>
      <c r="O57" s="20">
        <f t="shared" si="20"/>
        <v>0</v>
      </c>
      <c r="P57" s="20">
        <f t="shared" si="21"/>
        <v>0</v>
      </c>
      <c r="Q57" s="20">
        <f t="shared" si="15"/>
        <v>0</v>
      </c>
      <c r="R57" s="20">
        <f t="shared" si="22"/>
        <v>250</v>
      </c>
      <c r="S57" s="20">
        <f t="shared" si="23"/>
        <v>180</v>
      </c>
      <c r="T57" s="20">
        <f t="shared" si="24"/>
        <v>-70</v>
      </c>
      <c r="U57" s="20">
        <f t="shared" si="25"/>
        <v>-180</v>
      </c>
      <c r="V57" s="20"/>
      <c r="W57" s="20"/>
    </row>
    <row r="58" spans="1:23" x14ac:dyDescent="0.3">
      <c r="A58" s="9" t="s">
        <v>587</v>
      </c>
      <c r="B58" s="9" t="str">
        <f>IFERROR(INDEX(DICT_ACTIVE,MATCH("PL.INV.INVPROP",DICT_KEY,0))&amp;"","??PL.INV.INVPROP")</f>
        <v>Income from investment property</v>
      </c>
      <c r="C58" s="9" t="s">
        <v>510</v>
      </c>
      <c r="D58" s="9" t="s">
        <v>1399</v>
      </c>
      <c r="E58" s="9">
        <v>-1</v>
      </c>
      <c r="F58" s="9"/>
      <c r="G58" s="9" t="s">
        <v>1397</v>
      </c>
      <c r="H58" s="9"/>
      <c r="I58" s="20">
        <f t="shared" si="16"/>
        <v>0</v>
      </c>
      <c r="J58" s="20">
        <f t="shared" si="17"/>
        <v>0</v>
      </c>
      <c r="K58" s="20">
        <f t="shared" ref="K58:K77" si="28">I58+J58</f>
        <v>0</v>
      </c>
      <c r="L58" s="20">
        <f t="shared" si="18"/>
        <v>0</v>
      </c>
      <c r="M58" s="20">
        <f t="shared" si="19"/>
        <v>0</v>
      </c>
      <c r="N58" s="20">
        <f t="shared" ref="N58:N77" si="29">L58+M58</f>
        <v>0</v>
      </c>
      <c r="O58" s="20">
        <f t="shared" si="20"/>
        <v>0</v>
      </c>
      <c r="P58" s="20">
        <f t="shared" si="21"/>
        <v>0</v>
      </c>
      <c r="Q58" s="20">
        <f t="shared" ref="Q58:Q77" si="30">O58+P58</f>
        <v>0</v>
      </c>
      <c r="R58" s="20">
        <f t="shared" si="22"/>
        <v>0</v>
      </c>
      <c r="S58" s="20">
        <f t="shared" si="23"/>
        <v>0</v>
      </c>
      <c r="T58" s="20">
        <f t="shared" si="24"/>
        <v>0</v>
      </c>
      <c r="U58" s="20">
        <f t="shared" si="25"/>
        <v>0</v>
      </c>
      <c r="V58" s="20"/>
      <c r="W58" s="20"/>
    </row>
    <row r="59" spans="1:23" x14ac:dyDescent="0.3">
      <c r="A59" s="9" t="s">
        <v>590</v>
      </c>
      <c r="B59" s="9" t="str">
        <f>IFERROR(INDEX(DICT_ACTIVE,MATCH("PL.INV.FINASSET",DICT_KEY,0))&amp;"","??PL.INV.FINASSET")</f>
        <v>Income from other financial assets</v>
      </c>
      <c r="C59" s="9" t="s">
        <v>510</v>
      </c>
      <c r="D59" s="9" t="s">
        <v>1399</v>
      </c>
      <c r="E59" s="9">
        <v>-1</v>
      </c>
      <c r="F59" s="9"/>
      <c r="G59" s="9" t="s">
        <v>1397</v>
      </c>
      <c r="H59" s="9"/>
      <c r="I59" s="20">
        <f t="shared" si="16"/>
        <v>0</v>
      </c>
      <c r="J59" s="20">
        <f t="shared" si="17"/>
        <v>0</v>
      </c>
      <c r="K59" s="20">
        <f t="shared" si="28"/>
        <v>0</v>
      </c>
      <c r="L59" s="20">
        <f t="shared" si="18"/>
        <v>0</v>
      </c>
      <c r="M59" s="20">
        <f t="shared" si="19"/>
        <v>0</v>
      </c>
      <c r="N59" s="20">
        <f t="shared" si="29"/>
        <v>0</v>
      </c>
      <c r="O59" s="20">
        <f t="shared" si="20"/>
        <v>0</v>
      </c>
      <c r="P59" s="20">
        <f t="shared" si="21"/>
        <v>0</v>
      </c>
      <c r="Q59" s="20">
        <f t="shared" si="30"/>
        <v>0</v>
      </c>
      <c r="R59" s="20">
        <f t="shared" si="22"/>
        <v>0</v>
      </c>
      <c r="S59" s="20">
        <f t="shared" si="23"/>
        <v>0</v>
      </c>
      <c r="T59" s="20">
        <f t="shared" si="24"/>
        <v>0</v>
      </c>
      <c r="U59" s="20">
        <f t="shared" si="25"/>
        <v>0</v>
      </c>
      <c r="V59" s="20"/>
      <c r="W59" s="20"/>
    </row>
    <row r="60" spans="1:23" x14ac:dyDescent="0.3">
      <c r="A60" s="9" t="s">
        <v>593</v>
      </c>
      <c r="B60" s="9" t="str">
        <f>IFERROR(INDEX(DICT_ACTIVE,MATCH("PL.INV.OTHER",DICT_KEY,0))&amp;"","??PL.INV.OTHER")</f>
        <v>Other investing income and expenses</v>
      </c>
      <c r="C60" s="9" t="s">
        <v>510</v>
      </c>
      <c r="D60" s="9" t="s">
        <v>1399</v>
      </c>
      <c r="E60" s="9">
        <v>-1</v>
      </c>
      <c r="F60" s="9"/>
      <c r="G60" s="9" t="s">
        <v>1397</v>
      </c>
      <c r="H60" s="9"/>
      <c r="I60" s="20">
        <f t="shared" si="16"/>
        <v>0</v>
      </c>
      <c r="J60" s="20">
        <f t="shared" si="17"/>
        <v>0</v>
      </c>
      <c r="K60" s="20">
        <f t="shared" si="28"/>
        <v>0</v>
      </c>
      <c r="L60" s="20">
        <f t="shared" si="18"/>
        <v>0</v>
      </c>
      <c r="M60" s="20">
        <f t="shared" si="19"/>
        <v>0</v>
      </c>
      <c r="N60" s="20">
        <f t="shared" si="29"/>
        <v>0</v>
      </c>
      <c r="O60" s="20">
        <f t="shared" si="20"/>
        <v>0</v>
      </c>
      <c r="P60" s="20">
        <f t="shared" si="21"/>
        <v>0</v>
      </c>
      <c r="Q60" s="20">
        <f t="shared" si="30"/>
        <v>0</v>
      </c>
      <c r="R60" s="20">
        <f t="shared" si="22"/>
        <v>0</v>
      </c>
      <c r="S60" s="20">
        <f t="shared" si="23"/>
        <v>0</v>
      </c>
      <c r="T60" s="20">
        <f t="shared" si="24"/>
        <v>0</v>
      </c>
      <c r="U60" s="20">
        <f t="shared" si="25"/>
        <v>0</v>
      </c>
      <c r="V60" s="20"/>
      <c r="W60" s="20"/>
    </row>
    <row r="61" spans="1:23" x14ac:dyDescent="0.3">
      <c r="A61" s="9" t="s">
        <v>599</v>
      </c>
      <c r="B61" s="9" t="str">
        <f>IFERROR(INDEX(DICT_ACTIVE,MATCH("PL.FIN.INTBORROW",DICT_KEY,0))&amp;"","??PL.FIN.INTBORROW")</f>
        <v>Interest expense on borrowings</v>
      </c>
      <c r="C61" s="9" t="s">
        <v>510</v>
      </c>
      <c r="D61" s="9" t="s">
        <v>1400</v>
      </c>
      <c r="E61" s="9">
        <v>-1</v>
      </c>
      <c r="F61" s="9"/>
      <c r="G61" s="9" t="s">
        <v>1398</v>
      </c>
      <c r="H61" s="9"/>
      <c r="I61" s="20">
        <f t="shared" si="16"/>
        <v>1100</v>
      </c>
      <c r="J61" s="20">
        <f t="shared" si="17"/>
        <v>0</v>
      </c>
      <c r="K61" s="20">
        <f t="shared" si="28"/>
        <v>1100</v>
      </c>
      <c r="L61" s="20">
        <f t="shared" si="18"/>
        <v>1250</v>
      </c>
      <c r="M61" s="20">
        <f t="shared" si="19"/>
        <v>0</v>
      </c>
      <c r="N61" s="20">
        <f t="shared" si="29"/>
        <v>1250</v>
      </c>
      <c r="O61" s="20">
        <f t="shared" si="20"/>
        <v>0</v>
      </c>
      <c r="P61" s="20">
        <f t="shared" si="21"/>
        <v>0</v>
      </c>
      <c r="Q61" s="20">
        <f t="shared" si="30"/>
        <v>0</v>
      </c>
      <c r="R61" s="20">
        <f t="shared" si="22"/>
        <v>-1100</v>
      </c>
      <c r="S61" s="20">
        <f t="shared" si="23"/>
        <v>-1250</v>
      </c>
      <c r="T61" s="20">
        <f t="shared" si="24"/>
        <v>-150</v>
      </c>
      <c r="U61" s="20">
        <f t="shared" si="25"/>
        <v>1250</v>
      </c>
      <c r="V61" s="20"/>
      <c r="W61" s="20"/>
    </row>
    <row r="62" spans="1:23" x14ac:dyDescent="0.3">
      <c r="A62" s="9" t="s">
        <v>602</v>
      </c>
      <c r="B62" s="9" t="str">
        <f>IFERROR(INDEX(DICT_ACTIVE,MATCH("PL.FIN.INTLEASE",DICT_KEY,0))&amp;"","??PL.FIN.INTLEASE")</f>
        <v>Interest on lease liabilities</v>
      </c>
      <c r="C62" s="9" t="s">
        <v>510</v>
      </c>
      <c r="D62" s="9" t="s">
        <v>1400</v>
      </c>
      <c r="E62" s="9">
        <v>-1</v>
      </c>
      <c r="F62" s="9"/>
      <c r="G62" s="9" t="s">
        <v>1398</v>
      </c>
      <c r="H62" s="9"/>
      <c r="I62" s="20">
        <f t="shared" si="16"/>
        <v>250</v>
      </c>
      <c r="J62" s="20">
        <f t="shared" si="17"/>
        <v>0</v>
      </c>
      <c r="K62" s="20">
        <f t="shared" si="28"/>
        <v>250</v>
      </c>
      <c r="L62" s="20">
        <f t="shared" si="18"/>
        <v>300</v>
      </c>
      <c r="M62" s="20">
        <f t="shared" si="19"/>
        <v>0</v>
      </c>
      <c r="N62" s="20">
        <f t="shared" si="29"/>
        <v>300</v>
      </c>
      <c r="O62" s="20">
        <f t="shared" si="20"/>
        <v>0</v>
      </c>
      <c r="P62" s="20">
        <f t="shared" si="21"/>
        <v>0</v>
      </c>
      <c r="Q62" s="20">
        <f t="shared" si="30"/>
        <v>0</v>
      </c>
      <c r="R62" s="20">
        <f t="shared" si="22"/>
        <v>-250</v>
      </c>
      <c r="S62" s="20">
        <f t="shared" si="23"/>
        <v>-300</v>
      </c>
      <c r="T62" s="20">
        <f t="shared" si="24"/>
        <v>-50</v>
      </c>
      <c r="U62" s="20">
        <f t="shared" si="25"/>
        <v>300</v>
      </c>
      <c r="V62" s="20"/>
      <c r="W62" s="20"/>
    </row>
    <row r="63" spans="1:23" x14ac:dyDescent="0.3">
      <c r="A63" s="9" t="s">
        <v>605</v>
      </c>
      <c r="B63" s="9" t="str">
        <f>IFERROR(INDEX(DICT_ACTIVE,MATCH("PL.FIN.UNWIND",DICT_KEY,0))&amp;"","??PL.FIN.UNWIND")</f>
        <v>Unwinding of discount on provisions</v>
      </c>
      <c r="C63" s="9" t="s">
        <v>510</v>
      </c>
      <c r="D63" s="9" t="s">
        <v>1400</v>
      </c>
      <c r="E63" s="9">
        <v>-1</v>
      </c>
      <c r="F63" s="9"/>
      <c r="G63" s="9" t="s">
        <v>1398</v>
      </c>
      <c r="H63" s="9"/>
      <c r="I63" s="20">
        <f t="shared" si="16"/>
        <v>0</v>
      </c>
      <c r="J63" s="20">
        <f t="shared" si="17"/>
        <v>0</v>
      </c>
      <c r="K63" s="20">
        <f t="shared" si="28"/>
        <v>0</v>
      </c>
      <c r="L63" s="20">
        <f t="shared" si="18"/>
        <v>0</v>
      </c>
      <c r="M63" s="20">
        <f t="shared" si="19"/>
        <v>0</v>
      </c>
      <c r="N63" s="20">
        <f t="shared" si="29"/>
        <v>0</v>
      </c>
      <c r="O63" s="20">
        <f t="shared" si="20"/>
        <v>0</v>
      </c>
      <c r="P63" s="20">
        <f t="shared" si="21"/>
        <v>0</v>
      </c>
      <c r="Q63" s="20">
        <f t="shared" si="30"/>
        <v>0</v>
      </c>
      <c r="R63" s="20">
        <f t="shared" si="22"/>
        <v>0</v>
      </c>
      <c r="S63" s="20">
        <f t="shared" si="23"/>
        <v>0</v>
      </c>
      <c r="T63" s="20">
        <f t="shared" si="24"/>
        <v>0</v>
      </c>
      <c r="U63" s="20">
        <f t="shared" si="25"/>
        <v>0</v>
      </c>
      <c r="V63" s="20"/>
      <c r="W63" s="20"/>
    </row>
    <row r="64" spans="1:23" x14ac:dyDescent="0.3">
      <c r="A64" s="9" t="s">
        <v>608</v>
      </c>
      <c r="B64" s="9" t="str">
        <f>IFERROR(INDEX(DICT_ACTIVE,MATCH("PL.FIN.EMPBEN",DICT_KEY,0))&amp;"","??PL.FIN.EMPBEN")</f>
        <v>Net interest on employee benefit liabilities</v>
      </c>
      <c r="C64" s="9" t="s">
        <v>510</v>
      </c>
      <c r="D64" s="9" t="s">
        <v>1400</v>
      </c>
      <c r="E64" s="9">
        <v>-1</v>
      </c>
      <c r="F64" s="9"/>
      <c r="G64" s="9" t="s">
        <v>1398</v>
      </c>
      <c r="H64" s="9"/>
      <c r="I64" s="20">
        <f t="shared" si="16"/>
        <v>0</v>
      </c>
      <c r="J64" s="20">
        <f t="shared" si="17"/>
        <v>0</v>
      </c>
      <c r="K64" s="20">
        <f t="shared" si="28"/>
        <v>0</v>
      </c>
      <c r="L64" s="20">
        <f t="shared" si="18"/>
        <v>0</v>
      </c>
      <c r="M64" s="20">
        <f t="shared" si="19"/>
        <v>0</v>
      </c>
      <c r="N64" s="20">
        <f t="shared" si="29"/>
        <v>0</v>
      </c>
      <c r="O64" s="20">
        <f t="shared" si="20"/>
        <v>0</v>
      </c>
      <c r="P64" s="20">
        <f t="shared" si="21"/>
        <v>0</v>
      </c>
      <c r="Q64" s="20">
        <f t="shared" si="30"/>
        <v>0</v>
      </c>
      <c r="R64" s="20">
        <f t="shared" si="22"/>
        <v>0</v>
      </c>
      <c r="S64" s="20">
        <f t="shared" si="23"/>
        <v>0</v>
      </c>
      <c r="T64" s="20">
        <f t="shared" si="24"/>
        <v>0</v>
      </c>
      <c r="U64" s="20">
        <f t="shared" si="25"/>
        <v>0</v>
      </c>
      <c r="V64" s="20"/>
      <c r="W64" s="20"/>
    </row>
    <row r="65" spans="1:23" x14ac:dyDescent="0.3">
      <c r="A65" s="9" t="s">
        <v>611</v>
      </c>
      <c r="B65" s="9" t="str">
        <f>IFERROR(INDEX(DICT_ACTIVE,MATCH("PL.FIN.FX",DICT_KEY,0))&amp;"","??PL.FIN.FX")</f>
        <v>Foreign exchange differences - financing</v>
      </c>
      <c r="C65" s="9" t="s">
        <v>510</v>
      </c>
      <c r="D65" s="9" t="s">
        <v>1400</v>
      </c>
      <c r="E65" s="9">
        <v>-1</v>
      </c>
      <c r="F65" s="9"/>
      <c r="G65" s="9" t="s">
        <v>1398</v>
      </c>
      <c r="H65" s="9"/>
      <c r="I65" s="20">
        <f t="shared" si="16"/>
        <v>80</v>
      </c>
      <c r="J65" s="20">
        <f t="shared" si="17"/>
        <v>0</v>
      </c>
      <c r="K65" s="20">
        <f t="shared" si="28"/>
        <v>80</v>
      </c>
      <c r="L65" s="20">
        <f t="shared" si="18"/>
        <v>120</v>
      </c>
      <c r="M65" s="20">
        <f t="shared" si="19"/>
        <v>0</v>
      </c>
      <c r="N65" s="20">
        <f t="shared" si="29"/>
        <v>120</v>
      </c>
      <c r="O65" s="20">
        <f t="shared" si="20"/>
        <v>0</v>
      </c>
      <c r="P65" s="20">
        <f t="shared" si="21"/>
        <v>0</v>
      </c>
      <c r="Q65" s="20">
        <f t="shared" si="30"/>
        <v>0</v>
      </c>
      <c r="R65" s="20">
        <f t="shared" si="22"/>
        <v>-80</v>
      </c>
      <c r="S65" s="20">
        <f t="shared" si="23"/>
        <v>-120</v>
      </c>
      <c r="T65" s="20">
        <f t="shared" si="24"/>
        <v>-40</v>
      </c>
      <c r="U65" s="20">
        <f t="shared" si="25"/>
        <v>120</v>
      </c>
      <c r="V65" s="20"/>
      <c r="W65" s="20"/>
    </row>
    <row r="66" spans="1:23" x14ac:dyDescent="0.3">
      <c r="A66" s="9" t="s">
        <v>614</v>
      </c>
      <c r="B66" s="9" t="str">
        <f>IFERROR(INDEX(DICT_ACTIVE,MATCH("PL.FIN.OTHER",DICT_KEY,0))&amp;"","??PL.FIN.OTHER")</f>
        <v>Other financing income and expenses</v>
      </c>
      <c r="C66" s="9" t="s">
        <v>510</v>
      </c>
      <c r="D66" s="9" t="s">
        <v>1400</v>
      </c>
      <c r="E66" s="9">
        <v>-1</v>
      </c>
      <c r="F66" s="9"/>
      <c r="G66" s="9" t="s">
        <v>1398</v>
      </c>
      <c r="H66" s="9"/>
      <c r="I66" s="20">
        <f t="shared" si="16"/>
        <v>0</v>
      </c>
      <c r="J66" s="20">
        <f t="shared" si="17"/>
        <v>0</v>
      </c>
      <c r="K66" s="20">
        <f t="shared" si="28"/>
        <v>0</v>
      </c>
      <c r="L66" s="20">
        <f t="shared" si="18"/>
        <v>0</v>
      </c>
      <c r="M66" s="20">
        <f t="shared" si="19"/>
        <v>0</v>
      </c>
      <c r="N66" s="20">
        <f t="shared" si="29"/>
        <v>0</v>
      </c>
      <c r="O66" s="20">
        <f t="shared" si="20"/>
        <v>0</v>
      </c>
      <c r="P66" s="20">
        <f t="shared" si="21"/>
        <v>0</v>
      </c>
      <c r="Q66" s="20">
        <f t="shared" si="30"/>
        <v>0</v>
      </c>
      <c r="R66" s="20">
        <f t="shared" si="22"/>
        <v>0</v>
      </c>
      <c r="S66" s="20">
        <f t="shared" si="23"/>
        <v>0</v>
      </c>
      <c r="T66" s="20">
        <f t="shared" si="24"/>
        <v>0</v>
      </c>
      <c r="U66" s="20">
        <f t="shared" si="25"/>
        <v>0</v>
      </c>
      <c r="V66" s="20"/>
      <c r="W66" s="20"/>
    </row>
    <row r="67" spans="1:23" x14ac:dyDescent="0.3">
      <c r="A67" s="9" t="s">
        <v>620</v>
      </c>
      <c r="B67" s="9" t="str">
        <f>IFERROR(INDEX(DICT_ACTIVE,MATCH("PL.TAX.CURRENT",DICT_KEY,0))&amp;"","??PL.TAX.CURRENT")</f>
        <v>Current tax expense</v>
      </c>
      <c r="C67" s="9" t="s">
        <v>510</v>
      </c>
      <c r="D67" s="9" t="s">
        <v>1401</v>
      </c>
      <c r="E67" s="9">
        <v>-1</v>
      </c>
      <c r="F67" s="9"/>
      <c r="G67" s="9" t="s">
        <v>1398</v>
      </c>
      <c r="H67" s="9"/>
      <c r="I67" s="20">
        <f t="shared" si="16"/>
        <v>900</v>
      </c>
      <c r="J67" s="20">
        <f t="shared" si="17"/>
        <v>0</v>
      </c>
      <c r="K67" s="20">
        <f t="shared" si="28"/>
        <v>900</v>
      </c>
      <c r="L67" s="20">
        <f t="shared" si="18"/>
        <v>750</v>
      </c>
      <c r="M67" s="20">
        <f t="shared" si="19"/>
        <v>0</v>
      </c>
      <c r="N67" s="20">
        <f t="shared" si="29"/>
        <v>750</v>
      </c>
      <c r="O67" s="20">
        <f t="shared" si="20"/>
        <v>0</v>
      </c>
      <c r="P67" s="20">
        <f t="shared" si="21"/>
        <v>0</v>
      </c>
      <c r="Q67" s="20">
        <f t="shared" si="30"/>
        <v>0</v>
      </c>
      <c r="R67" s="20">
        <f t="shared" si="22"/>
        <v>-900</v>
      </c>
      <c r="S67" s="20">
        <f t="shared" si="23"/>
        <v>-750</v>
      </c>
      <c r="T67" s="20">
        <f t="shared" si="24"/>
        <v>150</v>
      </c>
      <c r="U67" s="20">
        <f t="shared" si="25"/>
        <v>750</v>
      </c>
      <c r="V67" s="20"/>
      <c r="W67" s="20"/>
    </row>
    <row r="68" spans="1:23" x14ac:dyDescent="0.3">
      <c r="A68" s="9" t="s">
        <v>623</v>
      </c>
      <c r="B68" s="9" t="str">
        <f>IFERROR(INDEX(DICT_ACTIVE,MATCH("PL.TAX.DEFERRED",DICT_KEY,0))&amp;"","??PL.TAX.DEFERRED")</f>
        <v>Deferred tax expense</v>
      </c>
      <c r="C68" s="9" t="s">
        <v>510</v>
      </c>
      <c r="D68" s="9" t="s">
        <v>1401</v>
      </c>
      <c r="E68" s="9">
        <v>-1</v>
      </c>
      <c r="F68" s="9"/>
      <c r="G68" s="9" t="s">
        <v>1398</v>
      </c>
      <c r="H68" s="9"/>
      <c r="I68" s="20">
        <f t="shared" ref="I68:I77" si="31">SUMIF(TB_LINEKEY,$A68,TB_CY)</f>
        <v>50</v>
      </c>
      <c r="J68" s="20">
        <f t="shared" ref="J68:J77" si="32">SUMIFS(ADJ_NET,ADJ_LINEKEY,$A68,ADJ_PER,"CY")</f>
        <v>0</v>
      </c>
      <c r="K68" s="20">
        <f t="shared" si="28"/>
        <v>50</v>
      </c>
      <c r="L68" s="20">
        <f t="shared" ref="L68:L77" si="33">SUMIF(TB_LINEKEY,$A68,TB_PY)</f>
        <v>0</v>
      </c>
      <c r="M68" s="20">
        <f t="shared" ref="M68:M77" si="34">SUMIFS(ADJ_NET,ADJ_LINEKEY,$A68,ADJ_PER,"PY")</f>
        <v>0</v>
      </c>
      <c r="N68" s="20">
        <f t="shared" si="29"/>
        <v>0</v>
      </c>
      <c r="O68" s="20">
        <f t="shared" ref="O68:O77" si="35">SUMIF(TB_LINEKEY,$A68,TB_OP)</f>
        <v>0</v>
      </c>
      <c r="P68" s="20">
        <f t="shared" ref="P68:P77" si="36">SUMIFS(ADJ_NET,ADJ_LINEKEY,$A68,ADJ_PER,"OP")</f>
        <v>0</v>
      </c>
      <c r="Q68" s="20">
        <f t="shared" si="30"/>
        <v>0</v>
      </c>
      <c r="R68" s="20">
        <f t="shared" ref="R68:R77" si="37">K68*$E68</f>
        <v>-50</v>
      </c>
      <c r="S68" s="20">
        <f t="shared" ref="S68:S77" si="38">N68*$E68</f>
        <v>0</v>
      </c>
      <c r="T68" s="20">
        <f t="shared" ref="T68:T77" si="39">K68-N68</f>
        <v>50</v>
      </c>
      <c r="U68" s="20">
        <f t="shared" ref="U68:U77" si="40">N68-Q68</f>
        <v>0</v>
      </c>
      <c r="V68" s="20"/>
      <c r="W68" s="20"/>
    </row>
    <row r="69" spans="1:23" x14ac:dyDescent="0.3">
      <c r="A69" s="9" t="s">
        <v>629</v>
      </c>
      <c r="B69" s="9" t="str">
        <f>IFERROR(INDEX(DICT_ACTIVE,MATCH("PL.DISC.RESULT",DICT_KEY,0))&amp;"","??PL.DISC.RESULT")</f>
        <v>Profit or loss from discontinued operations</v>
      </c>
      <c r="C69" s="9" t="s">
        <v>510</v>
      </c>
      <c r="D69" s="9" t="s">
        <v>1402</v>
      </c>
      <c r="E69" s="9">
        <v>-1</v>
      </c>
      <c r="F69" s="9"/>
      <c r="G69" s="9" t="s">
        <v>1397</v>
      </c>
      <c r="H69" s="9"/>
      <c r="I69" s="20">
        <f t="shared" si="31"/>
        <v>0</v>
      </c>
      <c r="J69" s="20">
        <f t="shared" si="32"/>
        <v>0</v>
      </c>
      <c r="K69" s="20">
        <f t="shared" si="28"/>
        <v>0</v>
      </c>
      <c r="L69" s="20">
        <f t="shared" si="33"/>
        <v>0</v>
      </c>
      <c r="M69" s="20">
        <f t="shared" si="34"/>
        <v>0</v>
      </c>
      <c r="N69" s="20">
        <f t="shared" si="29"/>
        <v>0</v>
      </c>
      <c r="O69" s="20">
        <f t="shared" si="35"/>
        <v>0</v>
      </c>
      <c r="P69" s="20">
        <f t="shared" si="36"/>
        <v>0</v>
      </c>
      <c r="Q69" s="20">
        <f t="shared" si="30"/>
        <v>0</v>
      </c>
      <c r="R69" s="20">
        <f t="shared" si="37"/>
        <v>0</v>
      </c>
      <c r="S69" s="20">
        <f t="shared" si="38"/>
        <v>0</v>
      </c>
      <c r="T69" s="20">
        <f t="shared" si="39"/>
        <v>0</v>
      </c>
      <c r="U69" s="20">
        <f t="shared" si="40"/>
        <v>0</v>
      </c>
      <c r="V69" s="20"/>
      <c r="W69" s="20"/>
    </row>
    <row r="70" spans="1:23" x14ac:dyDescent="0.3">
      <c r="A70" s="9" t="s">
        <v>650</v>
      </c>
      <c r="B70" s="9" t="str">
        <f>IFERROR(INDEX(DICT_ACTIVE,MATCH("OCI.NR.REVAL",DICT_KEY,0))&amp;"","??OCI.NR.REVAL")</f>
        <v>Revaluation of property, plant and equipment</v>
      </c>
      <c r="C70" s="9" t="s">
        <v>644</v>
      </c>
      <c r="D70" s="9"/>
      <c r="E70" s="9">
        <v>-1</v>
      </c>
      <c r="F70" s="9"/>
      <c r="G70" s="9"/>
      <c r="H70" s="9" t="s">
        <v>1403</v>
      </c>
      <c r="I70" s="20">
        <f t="shared" si="31"/>
        <v>-100</v>
      </c>
      <c r="J70" s="20">
        <f t="shared" si="32"/>
        <v>0</v>
      </c>
      <c r="K70" s="20">
        <f t="shared" si="28"/>
        <v>-100</v>
      </c>
      <c r="L70" s="20">
        <f t="shared" si="33"/>
        <v>-150</v>
      </c>
      <c r="M70" s="20">
        <f t="shared" si="34"/>
        <v>0</v>
      </c>
      <c r="N70" s="20">
        <f t="shared" si="29"/>
        <v>-150</v>
      </c>
      <c r="O70" s="20">
        <f t="shared" si="35"/>
        <v>0</v>
      </c>
      <c r="P70" s="20">
        <f t="shared" si="36"/>
        <v>0</v>
      </c>
      <c r="Q70" s="20">
        <f t="shared" si="30"/>
        <v>0</v>
      </c>
      <c r="R70" s="20">
        <f t="shared" si="37"/>
        <v>100</v>
      </c>
      <c r="S70" s="20">
        <f t="shared" si="38"/>
        <v>150</v>
      </c>
      <c r="T70" s="20">
        <f t="shared" si="39"/>
        <v>50</v>
      </c>
      <c r="U70" s="20">
        <f t="shared" si="40"/>
        <v>-150</v>
      </c>
      <c r="V70" s="20"/>
      <c r="W70" s="20"/>
    </row>
    <row r="71" spans="1:23" x14ac:dyDescent="0.3">
      <c r="A71" s="9" t="s">
        <v>653</v>
      </c>
      <c r="B71" s="9" t="str">
        <f>IFERROR(INDEX(DICT_ACTIVE,MATCH("OCI.NR.DBP",DICT_KEY,0))&amp;"","??OCI.NR.DBP")</f>
        <v>Remeasurement of defined benefit plans</v>
      </c>
      <c r="C71" s="9" t="s">
        <v>644</v>
      </c>
      <c r="D71" s="9"/>
      <c r="E71" s="9">
        <v>-1</v>
      </c>
      <c r="F71" s="9"/>
      <c r="G71" s="9"/>
      <c r="H71" s="9" t="s">
        <v>1404</v>
      </c>
      <c r="I71" s="20">
        <f t="shared" si="31"/>
        <v>0</v>
      </c>
      <c r="J71" s="20">
        <f t="shared" si="32"/>
        <v>0</v>
      </c>
      <c r="K71" s="20">
        <f t="shared" si="28"/>
        <v>0</v>
      </c>
      <c r="L71" s="20">
        <f t="shared" si="33"/>
        <v>0</v>
      </c>
      <c r="M71" s="20">
        <f t="shared" si="34"/>
        <v>0</v>
      </c>
      <c r="N71" s="20">
        <f t="shared" si="29"/>
        <v>0</v>
      </c>
      <c r="O71" s="20">
        <f t="shared" si="35"/>
        <v>0</v>
      </c>
      <c r="P71" s="20">
        <f t="shared" si="36"/>
        <v>0</v>
      </c>
      <c r="Q71" s="20">
        <f t="shared" si="30"/>
        <v>0</v>
      </c>
      <c r="R71" s="20">
        <f t="shared" si="37"/>
        <v>0</v>
      </c>
      <c r="S71" s="20">
        <f t="shared" si="38"/>
        <v>0</v>
      </c>
      <c r="T71" s="20">
        <f t="shared" si="39"/>
        <v>0</v>
      </c>
      <c r="U71" s="20">
        <f t="shared" si="40"/>
        <v>0</v>
      </c>
      <c r="V71" s="20"/>
      <c r="W71" s="20"/>
    </row>
    <row r="72" spans="1:23" x14ac:dyDescent="0.3">
      <c r="A72" s="9" t="s">
        <v>656</v>
      </c>
      <c r="B72" s="9" t="str">
        <f>IFERROR(INDEX(DICT_ACTIVE,MATCH("OCI.NR.FVOCI.EQ",DICT_KEY,0))&amp;"","??OCI.NR.FVOCI.EQ")</f>
        <v>Equity instruments at fair value through OCI</v>
      </c>
      <c r="C72" s="9" t="s">
        <v>644</v>
      </c>
      <c r="D72" s="9"/>
      <c r="E72" s="9">
        <v>-1</v>
      </c>
      <c r="F72" s="9"/>
      <c r="G72" s="9"/>
      <c r="H72" s="9" t="s">
        <v>1403</v>
      </c>
      <c r="I72" s="20">
        <f t="shared" si="31"/>
        <v>0</v>
      </c>
      <c r="J72" s="20">
        <f t="shared" si="32"/>
        <v>0</v>
      </c>
      <c r="K72" s="20">
        <f t="shared" si="28"/>
        <v>0</v>
      </c>
      <c r="L72" s="20">
        <f t="shared" si="33"/>
        <v>0</v>
      </c>
      <c r="M72" s="20">
        <f t="shared" si="34"/>
        <v>0</v>
      </c>
      <c r="N72" s="20">
        <f t="shared" si="29"/>
        <v>0</v>
      </c>
      <c r="O72" s="20">
        <f t="shared" si="35"/>
        <v>0</v>
      </c>
      <c r="P72" s="20">
        <f t="shared" si="36"/>
        <v>0</v>
      </c>
      <c r="Q72" s="20">
        <f t="shared" si="30"/>
        <v>0</v>
      </c>
      <c r="R72" s="20">
        <f t="shared" si="37"/>
        <v>0</v>
      </c>
      <c r="S72" s="20">
        <f t="shared" si="38"/>
        <v>0</v>
      </c>
      <c r="T72" s="20">
        <f t="shared" si="39"/>
        <v>0</v>
      </c>
      <c r="U72" s="20">
        <f t="shared" si="40"/>
        <v>0</v>
      </c>
      <c r="V72" s="20"/>
      <c r="W72" s="20"/>
    </row>
    <row r="73" spans="1:23" x14ac:dyDescent="0.3">
      <c r="A73" s="9" t="s">
        <v>659</v>
      </c>
      <c r="B73" s="9" t="str">
        <f>IFERROR(INDEX(DICT_ACTIVE,MATCH("OCI.TAX.NR",DICT_KEY,0))&amp;"","??OCI.TAX.NR")</f>
        <v>Income tax on items that will not be reclassified</v>
      </c>
      <c r="C73" s="9" t="s">
        <v>644</v>
      </c>
      <c r="D73" s="9"/>
      <c r="E73" s="9">
        <v>-1</v>
      </c>
      <c r="F73" s="9"/>
      <c r="G73" s="9"/>
      <c r="H73" s="9" t="s">
        <v>1403</v>
      </c>
      <c r="I73" s="20">
        <f t="shared" si="31"/>
        <v>0</v>
      </c>
      <c r="J73" s="20">
        <f t="shared" si="32"/>
        <v>0</v>
      </c>
      <c r="K73" s="20">
        <f t="shared" si="28"/>
        <v>0</v>
      </c>
      <c r="L73" s="20">
        <f t="shared" si="33"/>
        <v>0</v>
      </c>
      <c r="M73" s="20">
        <f t="shared" si="34"/>
        <v>0</v>
      </c>
      <c r="N73" s="20">
        <f t="shared" si="29"/>
        <v>0</v>
      </c>
      <c r="O73" s="20">
        <f t="shared" si="35"/>
        <v>0</v>
      </c>
      <c r="P73" s="20">
        <f t="shared" si="36"/>
        <v>0</v>
      </c>
      <c r="Q73" s="20">
        <f t="shared" si="30"/>
        <v>0</v>
      </c>
      <c r="R73" s="20">
        <f t="shared" si="37"/>
        <v>0</v>
      </c>
      <c r="S73" s="20">
        <f t="shared" si="38"/>
        <v>0</v>
      </c>
      <c r="T73" s="20">
        <f t="shared" si="39"/>
        <v>0</v>
      </c>
      <c r="U73" s="20">
        <f t="shared" si="40"/>
        <v>0</v>
      </c>
      <c r="V73" s="20"/>
      <c r="W73" s="20"/>
    </row>
    <row r="74" spans="1:23" x14ac:dyDescent="0.3">
      <c r="A74" s="9" t="s">
        <v>665</v>
      </c>
      <c r="B74" s="9" t="str">
        <f>IFERROR(INDEX(DICT_ACTIVE,MATCH("OCI.R.FVOCI.DEBT",DICT_KEY,0))&amp;"","??OCI.R.FVOCI.DEBT")</f>
        <v>Debt instruments at fair value through OCI</v>
      </c>
      <c r="C74" s="9" t="s">
        <v>644</v>
      </c>
      <c r="D74" s="9"/>
      <c r="E74" s="9">
        <v>-1</v>
      </c>
      <c r="F74" s="9"/>
      <c r="G74" s="9"/>
      <c r="H74" s="9" t="s">
        <v>1403</v>
      </c>
      <c r="I74" s="20">
        <f t="shared" si="31"/>
        <v>0</v>
      </c>
      <c r="J74" s="20">
        <f t="shared" si="32"/>
        <v>0</v>
      </c>
      <c r="K74" s="20">
        <f t="shared" si="28"/>
        <v>0</v>
      </c>
      <c r="L74" s="20">
        <f t="shared" si="33"/>
        <v>0</v>
      </c>
      <c r="M74" s="20">
        <f t="shared" si="34"/>
        <v>0</v>
      </c>
      <c r="N74" s="20">
        <f t="shared" si="29"/>
        <v>0</v>
      </c>
      <c r="O74" s="20">
        <f t="shared" si="35"/>
        <v>0</v>
      </c>
      <c r="P74" s="20">
        <f t="shared" si="36"/>
        <v>0</v>
      </c>
      <c r="Q74" s="20">
        <f t="shared" si="30"/>
        <v>0</v>
      </c>
      <c r="R74" s="20">
        <f t="shared" si="37"/>
        <v>0</v>
      </c>
      <c r="S74" s="20">
        <f t="shared" si="38"/>
        <v>0</v>
      </c>
      <c r="T74" s="20">
        <f t="shared" si="39"/>
        <v>0</v>
      </c>
      <c r="U74" s="20">
        <f t="shared" si="40"/>
        <v>0</v>
      </c>
      <c r="V74" s="20"/>
      <c r="W74" s="20"/>
    </row>
    <row r="75" spans="1:23" x14ac:dyDescent="0.3">
      <c r="A75" s="9" t="s">
        <v>668</v>
      </c>
      <c r="B75" s="9" t="str">
        <f>IFERROR(INDEX(DICT_ACTIVE,MATCH("OCI.R.HEDGE",DICT_KEY,0))&amp;"","??OCI.R.HEDGE")</f>
        <v>Cash flow hedges</v>
      </c>
      <c r="C75" s="9" t="s">
        <v>644</v>
      </c>
      <c r="D75" s="9"/>
      <c r="E75" s="9">
        <v>-1</v>
      </c>
      <c r="F75" s="9"/>
      <c r="G75" s="9"/>
      <c r="H75" s="9" t="s">
        <v>1403</v>
      </c>
      <c r="I75" s="20">
        <f t="shared" si="31"/>
        <v>0</v>
      </c>
      <c r="J75" s="20">
        <f t="shared" si="32"/>
        <v>0</v>
      </c>
      <c r="K75" s="20">
        <f t="shared" si="28"/>
        <v>0</v>
      </c>
      <c r="L75" s="20">
        <f t="shared" si="33"/>
        <v>0</v>
      </c>
      <c r="M75" s="20">
        <f t="shared" si="34"/>
        <v>0</v>
      </c>
      <c r="N75" s="20">
        <f t="shared" si="29"/>
        <v>0</v>
      </c>
      <c r="O75" s="20">
        <f t="shared" si="35"/>
        <v>0</v>
      </c>
      <c r="P75" s="20">
        <f t="shared" si="36"/>
        <v>0</v>
      </c>
      <c r="Q75" s="20">
        <f t="shared" si="30"/>
        <v>0</v>
      </c>
      <c r="R75" s="20">
        <f t="shared" si="37"/>
        <v>0</v>
      </c>
      <c r="S75" s="20">
        <f t="shared" si="38"/>
        <v>0</v>
      </c>
      <c r="T75" s="20">
        <f t="shared" si="39"/>
        <v>0</v>
      </c>
      <c r="U75" s="20">
        <f t="shared" si="40"/>
        <v>0</v>
      </c>
      <c r="V75" s="20"/>
      <c r="W75" s="20"/>
    </row>
    <row r="76" spans="1:23" x14ac:dyDescent="0.3">
      <c r="A76" s="9" t="s">
        <v>671</v>
      </c>
      <c r="B76" s="9" t="str">
        <f>IFERROR(INDEX(DICT_ACTIVE,MATCH("OCI.R.FX",DICT_KEY,0))&amp;"","??OCI.R.FX")</f>
        <v>Exchange differences on translating foreign operations</v>
      </c>
      <c r="C76" s="9" t="s">
        <v>644</v>
      </c>
      <c r="D76" s="9"/>
      <c r="E76" s="9">
        <v>-1</v>
      </c>
      <c r="F76" s="9"/>
      <c r="G76" s="9"/>
      <c r="H76" s="9" t="s">
        <v>1403</v>
      </c>
      <c r="I76" s="20">
        <f t="shared" si="31"/>
        <v>0</v>
      </c>
      <c r="J76" s="20">
        <f t="shared" si="32"/>
        <v>0</v>
      </c>
      <c r="K76" s="20">
        <f t="shared" si="28"/>
        <v>0</v>
      </c>
      <c r="L76" s="20">
        <f t="shared" si="33"/>
        <v>0</v>
      </c>
      <c r="M76" s="20">
        <f t="shared" si="34"/>
        <v>0</v>
      </c>
      <c r="N76" s="20">
        <f t="shared" si="29"/>
        <v>0</v>
      </c>
      <c r="O76" s="20">
        <f t="shared" si="35"/>
        <v>0</v>
      </c>
      <c r="P76" s="20">
        <f t="shared" si="36"/>
        <v>0</v>
      </c>
      <c r="Q76" s="20">
        <f t="shared" si="30"/>
        <v>0</v>
      </c>
      <c r="R76" s="20">
        <f t="shared" si="37"/>
        <v>0</v>
      </c>
      <c r="S76" s="20">
        <f t="shared" si="38"/>
        <v>0</v>
      </c>
      <c r="T76" s="20">
        <f t="shared" si="39"/>
        <v>0</v>
      </c>
      <c r="U76" s="20">
        <f t="shared" si="40"/>
        <v>0</v>
      </c>
      <c r="V76" s="20"/>
      <c r="W76" s="20"/>
    </row>
    <row r="77" spans="1:23" x14ac:dyDescent="0.3">
      <c r="A77" s="9" t="s">
        <v>674</v>
      </c>
      <c r="B77" s="9" t="str">
        <f>IFERROR(INDEX(DICT_ACTIVE,MATCH("OCI.TAX.R",DICT_KEY,0))&amp;"","??OCI.TAX.R")</f>
        <v>Income tax on items that may be reclassified</v>
      </c>
      <c r="C77" s="9" t="s">
        <v>644</v>
      </c>
      <c r="D77" s="9"/>
      <c r="E77" s="9">
        <v>-1</v>
      </c>
      <c r="F77" s="9"/>
      <c r="G77" s="9"/>
      <c r="H77" s="9" t="s">
        <v>1403</v>
      </c>
      <c r="I77" s="20">
        <f t="shared" si="31"/>
        <v>0</v>
      </c>
      <c r="J77" s="20">
        <f t="shared" si="32"/>
        <v>0</v>
      </c>
      <c r="K77" s="20">
        <f t="shared" si="28"/>
        <v>0</v>
      </c>
      <c r="L77" s="20">
        <f t="shared" si="33"/>
        <v>0</v>
      </c>
      <c r="M77" s="20">
        <f t="shared" si="34"/>
        <v>0</v>
      </c>
      <c r="N77" s="20">
        <f t="shared" si="29"/>
        <v>0</v>
      </c>
      <c r="O77" s="20">
        <f t="shared" si="35"/>
        <v>0</v>
      </c>
      <c r="P77" s="20">
        <f t="shared" si="36"/>
        <v>0</v>
      </c>
      <c r="Q77" s="20">
        <f t="shared" si="30"/>
        <v>0</v>
      </c>
      <c r="R77" s="20">
        <f t="shared" si="37"/>
        <v>0</v>
      </c>
      <c r="S77" s="20">
        <f t="shared" si="38"/>
        <v>0</v>
      </c>
      <c r="T77" s="20">
        <f t="shared" si="39"/>
        <v>0</v>
      </c>
      <c r="U77" s="20">
        <f t="shared" si="40"/>
        <v>0</v>
      </c>
      <c r="V77" s="20"/>
      <c r="W77" s="20"/>
    </row>
    <row r="80" spans="1:23" x14ac:dyDescent="0.3">
      <c r="A80" s="21" t="str">
        <f>IFERROR(INDEX(DICT_ACTIVE,MATCH("ENG.CFT.TITLE",DICT_KEY,0))&amp;"","??ENG.CFT.TITLE")</f>
        <v>Cash flow tag totals (ledger sign, TB + adjustments)</v>
      </c>
    </row>
    <row r="81" spans="1:7" x14ac:dyDescent="0.3">
      <c r="A81" s="3" t="str">
        <f>IFERROR(INDEX(DICT_ACTIVE,MATCH("ENG.CFT.TAG",DICT_KEY,0))&amp;"","??ENG.CFT.TAG")</f>
        <v>Tag</v>
      </c>
      <c r="B81" s="3" t="str">
        <f>IFERROR(INDEX(DICT_ACTIVE,MATCH("ENG.LABEL",DICT_KEY,0))&amp;"","??ENG.LABEL")</f>
        <v>Label</v>
      </c>
      <c r="C81" s="3" t="str">
        <f>IFERROR(INDEX(DICT_ACTIVE,MATCH("ENG.CY",DICT_KEY,0))&amp;"","??ENG.CY")</f>
        <v>Current year (ledger sign)</v>
      </c>
      <c r="D81" s="3" t="str">
        <f>IFERROR(INDEX(DICT_ACTIVE,MATCH("ENG.PY",DICT_KEY,0))&amp;"","??ENG.PY")</f>
        <v>Prior year (ledger sign)</v>
      </c>
      <c r="E81" s="3" t="str">
        <f>IFERROR(INDEX(DICT_ACTIVE,MATCH("ENG.OP",DICT_KEY,0))&amp;"","??ENG.OP")</f>
        <v>Opening (ledger sign)</v>
      </c>
      <c r="F81" s="3" t="str">
        <f>IFERROR(INDEX(DICT_ACTIVE,MATCH("ENG.MOVCY",DICT_KEY,0))&amp;"","??ENG.MOVCY")</f>
        <v>Movement current year</v>
      </c>
      <c r="G81" s="3" t="str">
        <f>IFERROR(INDEX(DICT_ACTIVE,MATCH("ENG.MOVPY",DICT_KEY,0))&amp;"","??ENG.MOVPY")</f>
        <v>Movement prior year</v>
      </c>
    </row>
    <row r="82" spans="1:7" x14ac:dyDescent="0.3">
      <c r="A82" s="9" t="s">
        <v>1405</v>
      </c>
      <c r="B82" s="9" t="str">
        <f>IFERROR(INDEX(INDEX(LIST_CF_TXT,0,LangIdx),MATCH(A82,LIST_CF_CODE,0))&amp;"","")</f>
        <v>Depreciation - PPE</v>
      </c>
      <c r="C82" s="20">
        <f t="shared" ref="C82:C118" si="41">SUMIF(TB_CF,$A82,TB_CY)+SUMIFS(ADJ_NET,ADJ_CF,$A82,ADJ_PER,"CY")</f>
        <v>3500</v>
      </c>
      <c r="D82" s="20">
        <f t="shared" ref="D82:D118" si="42">SUMIF(TB_CF,$A82,TB_PY)+SUMIFS(ADJ_NET,ADJ_CF,$A82,ADJ_PER,"PY")</f>
        <v>3000</v>
      </c>
      <c r="E82" s="20">
        <f t="shared" ref="E82:E118" si="43">SUMIF(TB_CF,$A82,TB_OP)+SUMIFS(ADJ_NET,ADJ_CF,$A82,ADJ_PER,"OP")</f>
        <v>0</v>
      </c>
      <c r="F82" s="20">
        <f t="shared" ref="F82:F118" si="44">C82-D82</f>
        <v>500</v>
      </c>
      <c r="G82" s="20">
        <f t="shared" ref="G82:G118" si="45">D82-E82</f>
        <v>3000</v>
      </c>
    </row>
    <row r="83" spans="1:7" x14ac:dyDescent="0.3">
      <c r="A83" s="9" t="s">
        <v>1406</v>
      </c>
      <c r="B83" s="9" t="str">
        <f>IFERROR(INDEX(INDEX(LIST_CF_TXT,0,LangIdx),MATCH(A83,LIST_CF_CODE,0))&amp;"","")</f>
        <v>Depreciation - right-of-use</v>
      </c>
      <c r="C83" s="20">
        <f t="shared" si="41"/>
        <v>800</v>
      </c>
      <c r="D83" s="20">
        <f t="shared" si="42"/>
        <v>800</v>
      </c>
      <c r="E83" s="20">
        <f t="shared" si="43"/>
        <v>0</v>
      </c>
      <c r="F83" s="20">
        <f t="shared" si="44"/>
        <v>0</v>
      </c>
      <c r="G83" s="20">
        <f t="shared" si="45"/>
        <v>800</v>
      </c>
    </row>
    <row r="84" spans="1:7" x14ac:dyDescent="0.3">
      <c r="A84" s="9" t="s">
        <v>1407</v>
      </c>
      <c r="B84" s="9" t="str">
        <f>IFERROR(INDEX(INDEX(LIST_CF_TXT,0,LangIdx),MATCH(A84,LIST_CF_CODE,0))&amp;"","")</f>
        <v>Amortisation - intangibles</v>
      </c>
      <c r="C84" s="20">
        <f t="shared" si="41"/>
        <v>300</v>
      </c>
      <c r="D84" s="20">
        <f t="shared" si="42"/>
        <v>250</v>
      </c>
      <c r="E84" s="20">
        <f t="shared" si="43"/>
        <v>0</v>
      </c>
      <c r="F84" s="20">
        <f t="shared" si="44"/>
        <v>50</v>
      </c>
      <c r="G84" s="20">
        <f t="shared" si="45"/>
        <v>250</v>
      </c>
    </row>
    <row r="85" spans="1:7" x14ac:dyDescent="0.3">
      <c r="A85" s="9" t="s">
        <v>1408</v>
      </c>
      <c r="B85" s="9" t="str">
        <f>IFERROR(INDEX(INDEX(LIST_CF_TXT,0,LangIdx),MATCH(A85,LIST_CF_CODE,0))&amp;"","")</f>
        <v>Impairment - PPE</v>
      </c>
      <c r="C85" s="20">
        <f t="shared" si="41"/>
        <v>0</v>
      </c>
      <c r="D85" s="20">
        <f t="shared" si="42"/>
        <v>0</v>
      </c>
      <c r="E85" s="20">
        <f t="shared" si="43"/>
        <v>0</v>
      </c>
      <c r="F85" s="20">
        <f t="shared" si="44"/>
        <v>0</v>
      </c>
      <c r="G85" s="20">
        <f t="shared" si="45"/>
        <v>0</v>
      </c>
    </row>
    <row r="86" spans="1:7" x14ac:dyDescent="0.3">
      <c r="A86" s="9" t="s">
        <v>1409</v>
      </c>
      <c r="B86" s="9" t="str">
        <f>IFERROR(INDEX(INDEX(LIST_CF_TXT,0,LangIdx),MATCH(A86,LIST_CF_CODE,0))&amp;"","")</f>
        <v>Impairment of receivables - expense (IFRS 9 ECL)</v>
      </c>
      <c r="C86" s="20">
        <f t="shared" si="41"/>
        <v>90</v>
      </c>
      <c r="D86" s="20">
        <f t="shared" si="42"/>
        <v>70</v>
      </c>
      <c r="E86" s="20">
        <f t="shared" si="43"/>
        <v>0</v>
      </c>
      <c r="F86" s="20">
        <f t="shared" si="44"/>
        <v>20</v>
      </c>
      <c r="G86" s="20">
        <f t="shared" si="45"/>
        <v>70</v>
      </c>
    </row>
    <row r="87" spans="1:7" x14ac:dyDescent="0.3">
      <c r="A87" s="9" t="s">
        <v>1410</v>
      </c>
      <c r="B87" s="9" t="str">
        <f>IFERROR(INDEX(INDEX(LIST_CF_TXT,0,LangIdx),MATCH(A87,LIST_CF_CODE,0))&amp;"","")</f>
        <v>Impairment - intangibles</v>
      </c>
      <c r="C87" s="20">
        <f t="shared" si="41"/>
        <v>0</v>
      </c>
      <c r="D87" s="20">
        <f t="shared" si="42"/>
        <v>0</v>
      </c>
      <c r="E87" s="20">
        <f t="shared" si="43"/>
        <v>0</v>
      </c>
      <c r="F87" s="20">
        <f t="shared" si="44"/>
        <v>0</v>
      </c>
      <c r="G87" s="20">
        <f t="shared" si="45"/>
        <v>0</v>
      </c>
    </row>
    <row r="88" spans="1:7" x14ac:dyDescent="0.3">
      <c r="A88" s="9" t="s">
        <v>1411</v>
      </c>
      <c r="B88" s="9" t="str">
        <f>IFERROR(INDEX(INDEX(LIST_CF_TXT,0,LangIdx),MATCH(A88,LIST_CF_CODE,0))&amp;"","")</f>
        <v>Impairment - investment property</v>
      </c>
      <c r="C88" s="20">
        <f t="shared" si="41"/>
        <v>0</v>
      </c>
      <c r="D88" s="20">
        <f t="shared" si="42"/>
        <v>0</v>
      </c>
      <c r="E88" s="20">
        <f t="shared" si="43"/>
        <v>0</v>
      </c>
      <c r="F88" s="20">
        <f t="shared" si="44"/>
        <v>0</v>
      </c>
      <c r="G88" s="20">
        <f t="shared" si="45"/>
        <v>0</v>
      </c>
    </row>
    <row r="89" spans="1:7" x14ac:dyDescent="0.3">
      <c r="A89" s="9" t="s">
        <v>1412</v>
      </c>
      <c r="B89" s="9" t="str">
        <f>IFERROR(INDEX(INDEX(LIST_CF_TXT,0,LangIdx),MATCH(A89,LIST_CF_CODE,0))&amp;"","")</f>
        <v>Inventory write-down</v>
      </c>
      <c r="C89" s="20">
        <f t="shared" si="41"/>
        <v>200</v>
      </c>
      <c r="D89" s="20">
        <f t="shared" si="42"/>
        <v>150</v>
      </c>
      <c r="E89" s="20">
        <f t="shared" si="43"/>
        <v>0</v>
      </c>
      <c r="F89" s="20">
        <f t="shared" si="44"/>
        <v>50</v>
      </c>
      <c r="G89" s="20">
        <f t="shared" si="45"/>
        <v>150</v>
      </c>
    </row>
    <row r="90" spans="1:7" x14ac:dyDescent="0.3">
      <c r="A90" s="9" t="s">
        <v>1413</v>
      </c>
      <c r="B90" s="9" t="str">
        <f>IFERROR(INDEX(INDEX(LIST_CF_TXT,0,LangIdx),MATCH(A90,LIST_CF_CODE,0))&amp;"","")</f>
        <v>Share-based payment</v>
      </c>
      <c r="C90" s="20">
        <f t="shared" si="41"/>
        <v>0</v>
      </c>
      <c r="D90" s="20">
        <f t="shared" si="42"/>
        <v>0</v>
      </c>
      <c r="E90" s="20">
        <f t="shared" si="43"/>
        <v>0</v>
      </c>
      <c r="F90" s="20">
        <f t="shared" si="44"/>
        <v>0</v>
      </c>
      <c r="G90" s="20">
        <f t="shared" si="45"/>
        <v>0</v>
      </c>
    </row>
    <row r="91" spans="1:7" x14ac:dyDescent="0.3">
      <c r="A91" s="9" t="s">
        <v>1414</v>
      </c>
      <c r="B91" s="9" t="str">
        <f>IFERROR(INDEX(INDEX(LIST_CF_TXT,0,LangIdx),MATCH(A91,LIST_CF_CODE,0))&amp;"","")</f>
        <v>Gain/loss on disposal</v>
      </c>
      <c r="C91" s="20">
        <f t="shared" si="41"/>
        <v>-300</v>
      </c>
      <c r="D91" s="20">
        <f t="shared" si="42"/>
        <v>-100</v>
      </c>
      <c r="E91" s="20">
        <f t="shared" si="43"/>
        <v>0</v>
      </c>
      <c r="F91" s="20">
        <f t="shared" si="44"/>
        <v>-200</v>
      </c>
      <c r="G91" s="20">
        <f t="shared" si="45"/>
        <v>-100</v>
      </c>
    </row>
    <row r="92" spans="1:7" x14ac:dyDescent="0.3">
      <c r="A92" s="9" t="s">
        <v>1415</v>
      </c>
      <c r="B92" s="9" t="str">
        <f>IFERROR(INDEX(INDEX(LIST_CF_TXT,0,LangIdx),MATCH(A92,LIST_CF_CODE,0))&amp;"","")</f>
        <v>Unrealised FX</v>
      </c>
      <c r="C92" s="20">
        <f t="shared" si="41"/>
        <v>0</v>
      </c>
      <c r="D92" s="20">
        <f t="shared" si="42"/>
        <v>0</v>
      </c>
      <c r="E92" s="20">
        <f t="shared" si="43"/>
        <v>0</v>
      </c>
      <c r="F92" s="20">
        <f t="shared" si="44"/>
        <v>0</v>
      </c>
      <c r="G92" s="20">
        <f t="shared" si="45"/>
        <v>0</v>
      </c>
    </row>
    <row r="93" spans="1:7" x14ac:dyDescent="0.3">
      <c r="A93" s="9" t="s">
        <v>1416</v>
      </c>
      <c r="B93" s="9" t="str">
        <f>IFERROR(INDEX(INDEX(LIST_CF_TXT,0,LangIdx),MATCH(A93,LIST_CF_CODE,0))&amp;"","")</f>
        <v>Working capital - inventories</v>
      </c>
      <c r="C93" s="20">
        <f t="shared" si="41"/>
        <v>9800</v>
      </c>
      <c r="D93" s="20">
        <f t="shared" si="42"/>
        <v>8700</v>
      </c>
      <c r="E93" s="20">
        <f t="shared" si="43"/>
        <v>8100</v>
      </c>
      <c r="F93" s="20">
        <f t="shared" si="44"/>
        <v>1100</v>
      </c>
      <c r="G93" s="20">
        <f t="shared" si="45"/>
        <v>600</v>
      </c>
    </row>
    <row r="94" spans="1:7" x14ac:dyDescent="0.3">
      <c r="A94" s="9" t="s">
        <v>1417</v>
      </c>
      <c r="B94" s="9" t="str">
        <f>IFERROR(INDEX(INDEX(LIST_CF_TXT,0,LangIdx),MATCH(A94,LIST_CF_CODE,0))&amp;"","")</f>
        <v>Working capital - trade receivables (gross)</v>
      </c>
      <c r="C94" s="20">
        <f t="shared" si="41"/>
        <v>12700</v>
      </c>
      <c r="D94" s="20">
        <f t="shared" si="42"/>
        <v>11200</v>
      </c>
      <c r="E94" s="20">
        <f t="shared" si="43"/>
        <v>10400</v>
      </c>
      <c r="F94" s="20">
        <f t="shared" si="44"/>
        <v>1500</v>
      </c>
      <c r="G94" s="20">
        <f t="shared" si="45"/>
        <v>800</v>
      </c>
    </row>
    <row r="95" spans="1:7" x14ac:dyDescent="0.3">
      <c r="A95" s="9" t="s">
        <v>1418</v>
      </c>
      <c r="B95" s="9" t="str">
        <f>IFERROR(INDEX(INDEX(LIST_CF_TXT,0,LangIdx),MATCH(A95,LIST_CF_CODE,0))&amp;"","")</f>
        <v>Loss allowance on receivables (balance)</v>
      </c>
      <c r="C95" s="20">
        <f t="shared" si="41"/>
        <v>-260</v>
      </c>
      <c r="D95" s="20">
        <f t="shared" si="42"/>
        <v>-200</v>
      </c>
      <c r="E95" s="20">
        <f t="shared" si="43"/>
        <v>-150</v>
      </c>
      <c r="F95" s="20">
        <f t="shared" si="44"/>
        <v>-60</v>
      </c>
      <c r="G95" s="20">
        <f t="shared" si="45"/>
        <v>-50</v>
      </c>
    </row>
    <row r="96" spans="1:7" x14ac:dyDescent="0.3">
      <c r="A96" s="9" t="s">
        <v>1419</v>
      </c>
      <c r="B96" s="9" t="str">
        <f>IFERROR(INDEX(INDEX(LIST_CF_TXT,0,LangIdx),MATCH(A96,LIST_CF_CODE,0))&amp;"","")</f>
        <v>Working capital - contract assets</v>
      </c>
      <c r="C96" s="20">
        <f t="shared" si="41"/>
        <v>0</v>
      </c>
      <c r="D96" s="20">
        <f t="shared" si="42"/>
        <v>0</v>
      </c>
      <c r="E96" s="20">
        <f t="shared" si="43"/>
        <v>0</v>
      </c>
      <c r="F96" s="20">
        <f t="shared" si="44"/>
        <v>0</v>
      </c>
      <c r="G96" s="20">
        <f t="shared" si="45"/>
        <v>0</v>
      </c>
    </row>
    <row r="97" spans="1:7" x14ac:dyDescent="0.3">
      <c r="A97" s="9" t="s">
        <v>1420</v>
      </c>
      <c r="B97" s="9" t="str">
        <f>IFERROR(INDEX(INDEX(LIST_CF_TXT,0,LangIdx),MATCH(A97,LIST_CF_CODE,0))&amp;"","")</f>
        <v>Working capital - other receivables</v>
      </c>
      <c r="C97" s="20">
        <f t="shared" si="41"/>
        <v>1700</v>
      </c>
      <c r="D97" s="20">
        <f t="shared" si="42"/>
        <v>1650</v>
      </c>
      <c r="E97" s="20">
        <f t="shared" si="43"/>
        <v>1400</v>
      </c>
      <c r="F97" s="20">
        <f t="shared" si="44"/>
        <v>50</v>
      </c>
      <c r="G97" s="20">
        <f t="shared" si="45"/>
        <v>250</v>
      </c>
    </row>
    <row r="98" spans="1:7" x14ac:dyDescent="0.3">
      <c r="A98" s="9" t="s">
        <v>1421</v>
      </c>
      <c r="B98" s="9" t="str">
        <f>IFERROR(INDEX(INDEX(LIST_CF_TXT,0,LangIdx),MATCH(A98,LIST_CF_CODE,0))&amp;"","")</f>
        <v>Working capital - trade payables</v>
      </c>
      <c r="C98" s="20">
        <f t="shared" si="41"/>
        <v>-8900</v>
      </c>
      <c r="D98" s="20">
        <f t="shared" si="42"/>
        <v>-8100</v>
      </c>
      <c r="E98" s="20">
        <f t="shared" si="43"/>
        <v>-7600</v>
      </c>
      <c r="F98" s="20">
        <f t="shared" si="44"/>
        <v>-800</v>
      </c>
      <c r="G98" s="20">
        <f t="shared" si="45"/>
        <v>-500</v>
      </c>
    </row>
    <row r="99" spans="1:7" x14ac:dyDescent="0.3">
      <c r="A99" s="9" t="s">
        <v>1422</v>
      </c>
      <c r="B99" s="9" t="str">
        <f>IFERROR(INDEX(INDEX(LIST_CF_TXT,0,LangIdx),MATCH(A99,LIST_CF_CODE,0))&amp;"","")</f>
        <v>Working capital - contract liabilities</v>
      </c>
      <c r="C99" s="20">
        <f t="shared" si="41"/>
        <v>0</v>
      </c>
      <c r="D99" s="20">
        <f t="shared" si="42"/>
        <v>0</v>
      </c>
      <c r="E99" s="20">
        <f t="shared" si="43"/>
        <v>0</v>
      </c>
      <c r="F99" s="20">
        <f t="shared" si="44"/>
        <v>0</v>
      </c>
      <c r="G99" s="20">
        <f t="shared" si="45"/>
        <v>0</v>
      </c>
    </row>
    <row r="100" spans="1:7" x14ac:dyDescent="0.3">
      <c r="A100" s="9" t="s">
        <v>1423</v>
      </c>
      <c r="B100" s="9" t="str">
        <f>IFERROR(INDEX(INDEX(LIST_CF_TXT,0,LangIdx),MATCH(A100,LIST_CF_CODE,0))&amp;"","")</f>
        <v>Working capital - other payables</v>
      </c>
      <c r="C100" s="20">
        <f t="shared" si="41"/>
        <v>-2100</v>
      </c>
      <c r="D100" s="20">
        <f t="shared" si="42"/>
        <v>-1900</v>
      </c>
      <c r="E100" s="20">
        <f t="shared" si="43"/>
        <v>-1750</v>
      </c>
      <c r="F100" s="20">
        <f t="shared" si="44"/>
        <v>-200</v>
      </c>
      <c r="G100" s="20">
        <f t="shared" si="45"/>
        <v>-150</v>
      </c>
    </row>
    <row r="101" spans="1:7" x14ac:dyDescent="0.3">
      <c r="A101" s="9" t="s">
        <v>1424</v>
      </c>
      <c r="B101" s="9" t="str">
        <f>IFERROR(INDEX(INDEX(LIST_CF_TXT,0,LangIdx),MATCH(A101,LIST_CF_CODE,0))&amp;"","")</f>
        <v>Provisions / employee benefits</v>
      </c>
      <c r="C101" s="20">
        <f t="shared" si="41"/>
        <v>-900</v>
      </c>
      <c r="D101" s="20">
        <f t="shared" si="42"/>
        <v>-750</v>
      </c>
      <c r="E101" s="20">
        <f t="shared" si="43"/>
        <v>-600</v>
      </c>
      <c r="F101" s="20">
        <f t="shared" si="44"/>
        <v>-150</v>
      </c>
      <c r="G101" s="20">
        <f t="shared" si="45"/>
        <v>-150</v>
      </c>
    </row>
    <row r="102" spans="1:7" x14ac:dyDescent="0.3">
      <c r="A102" s="9" t="s">
        <v>1425</v>
      </c>
      <c r="B102" s="9" t="str">
        <f>IFERROR(INDEX(INDEX(LIST_CF_TXT,0,LangIdx),MATCH(A102,LIST_CF_CODE,0))&amp;"","")</f>
        <v>Current tax balances</v>
      </c>
      <c r="C102" s="20">
        <f t="shared" si="41"/>
        <v>-350</v>
      </c>
      <c r="D102" s="20">
        <f t="shared" si="42"/>
        <v>150</v>
      </c>
      <c r="E102" s="20">
        <f t="shared" si="43"/>
        <v>-200</v>
      </c>
      <c r="F102" s="20">
        <f t="shared" si="44"/>
        <v>-500</v>
      </c>
      <c r="G102" s="20">
        <f t="shared" si="45"/>
        <v>350</v>
      </c>
    </row>
    <row r="103" spans="1:7" x14ac:dyDescent="0.3">
      <c r="A103" s="9" t="s">
        <v>1426</v>
      </c>
      <c r="B103" s="9" t="str">
        <f>IFERROR(INDEX(INDEX(LIST_CF_TXT,0,LangIdx),MATCH(A103,LIST_CF_CODE,0))&amp;"","")</f>
        <v>Deferred tax balances</v>
      </c>
      <c r="C103" s="20">
        <f t="shared" si="41"/>
        <v>-200</v>
      </c>
      <c r="D103" s="20">
        <f t="shared" si="42"/>
        <v>-150</v>
      </c>
      <c r="E103" s="20">
        <f t="shared" si="43"/>
        <v>-150</v>
      </c>
      <c r="F103" s="20">
        <f t="shared" si="44"/>
        <v>-50</v>
      </c>
      <c r="G103" s="20">
        <f t="shared" si="45"/>
        <v>0</v>
      </c>
    </row>
    <row r="104" spans="1:7" x14ac:dyDescent="0.3">
      <c r="A104" s="9" t="s">
        <v>1427</v>
      </c>
      <c r="B104" s="9" t="str">
        <f>IFERROR(INDEX(INDEX(LIST_CF_TXT,0,LangIdx),MATCH(A104,LIST_CF_CODE,0))&amp;"","")</f>
        <v>Investing - PPE</v>
      </c>
      <c r="C104" s="20">
        <f t="shared" si="41"/>
        <v>33700</v>
      </c>
      <c r="D104" s="20">
        <f t="shared" si="42"/>
        <v>32000</v>
      </c>
      <c r="E104" s="20">
        <f t="shared" si="43"/>
        <v>31800</v>
      </c>
      <c r="F104" s="20">
        <f t="shared" si="44"/>
        <v>1700</v>
      </c>
      <c r="G104" s="20">
        <f t="shared" si="45"/>
        <v>200</v>
      </c>
    </row>
    <row r="105" spans="1:7" x14ac:dyDescent="0.3">
      <c r="A105" s="9" t="s">
        <v>1428</v>
      </c>
      <c r="B105" s="9" t="str">
        <f>IFERROR(INDEX(INDEX(LIST_CF_TXT,0,LangIdx),MATCH(A105,LIST_CF_CODE,0))&amp;"","")</f>
        <v>Investing - intangibles</v>
      </c>
      <c r="C105" s="20">
        <f t="shared" si="41"/>
        <v>1800</v>
      </c>
      <c r="D105" s="20">
        <f t="shared" si="42"/>
        <v>1600</v>
      </c>
      <c r="E105" s="20">
        <f t="shared" si="43"/>
        <v>1550</v>
      </c>
      <c r="F105" s="20">
        <f t="shared" si="44"/>
        <v>200</v>
      </c>
      <c r="G105" s="20">
        <f t="shared" si="45"/>
        <v>50</v>
      </c>
    </row>
    <row r="106" spans="1:7" x14ac:dyDescent="0.3">
      <c r="A106" s="9" t="s">
        <v>1429</v>
      </c>
      <c r="B106" s="9" t="str">
        <f>IFERROR(INDEX(INDEX(LIST_CF_TXT,0,LangIdx),MATCH(A106,LIST_CF_CODE,0))&amp;"","")</f>
        <v>Investing - investment property</v>
      </c>
      <c r="C106" s="20">
        <f t="shared" si="41"/>
        <v>0</v>
      </c>
      <c r="D106" s="20">
        <f t="shared" si="42"/>
        <v>0</v>
      </c>
      <c r="E106" s="20">
        <f t="shared" si="43"/>
        <v>0</v>
      </c>
      <c r="F106" s="20">
        <f t="shared" si="44"/>
        <v>0</v>
      </c>
      <c r="G106" s="20">
        <f t="shared" si="45"/>
        <v>0</v>
      </c>
    </row>
    <row r="107" spans="1:7" x14ac:dyDescent="0.3">
      <c r="A107" s="9" t="s">
        <v>1430</v>
      </c>
      <c r="B107" s="9" t="str">
        <f>IFERROR(INDEX(INDEX(LIST_CF_TXT,0,LangIdx),MATCH(A107,LIST_CF_CODE,0))&amp;"","")</f>
        <v>Investing - financial assets</v>
      </c>
      <c r="C107" s="20">
        <f t="shared" si="41"/>
        <v>0</v>
      </c>
      <c r="D107" s="20">
        <f t="shared" si="42"/>
        <v>0</v>
      </c>
      <c r="E107" s="20">
        <f t="shared" si="43"/>
        <v>0</v>
      </c>
      <c r="F107" s="20">
        <f t="shared" si="44"/>
        <v>0</v>
      </c>
      <c r="G107" s="20">
        <f t="shared" si="45"/>
        <v>0</v>
      </c>
    </row>
    <row r="108" spans="1:7" x14ac:dyDescent="0.3">
      <c r="A108" s="9" t="s">
        <v>1431</v>
      </c>
      <c r="B108" s="9" t="str">
        <f>IFERROR(INDEX(INDEX(LIST_CF_TXT,0,LangIdx),MATCH(A108,LIST_CF_CODE,0))&amp;"","")</f>
        <v>Investing - associates/JVs</v>
      </c>
      <c r="C108" s="20">
        <f t="shared" si="41"/>
        <v>2500</v>
      </c>
      <c r="D108" s="20">
        <f t="shared" si="42"/>
        <v>2500</v>
      </c>
      <c r="E108" s="20">
        <f t="shared" si="43"/>
        <v>2500</v>
      </c>
      <c r="F108" s="20">
        <f t="shared" si="44"/>
        <v>0</v>
      </c>
      <c r="G108" s="20">
        <f t="shared" si="45"/>
        <v>0</v>
      </c>
    </row>
    <row r="109" spans="1:7" x14ac:dyDescent="0.3">
      <c r="A109" s="9" t="s">
        <v>1432</v>
      </c>
      <c r="B109" s="9" t="str">
        <f>IFERROR(INDEX(INDEX(LIST_CF_TXT,0,LangIdx),MATCH(A109,LIST_CF_CODE,0))&amp;"","")</f>
        <v>Financing - borrowings</v>
      </c>
      <c r="C109" s="20">
        <f t="shared" si="41"/>
        <v>-14000</v>
      </c>
      <c r="D109" s="20">
        <f t="shared" si="42"/>
        <v>-16000</v>
      </c>
      <c r="E109" s="20">
        <f t="shared" si="43"/>
        <v>-18000</v>
      </c>
      <c r="F109" s="20">
        <f t="shared" si="44"/>
        <v>2000</v>
      </c>
      <c r="G109" s="20">
        <f t="shared" si="45"/>
        <v>2000</v>
      </c>
    </row>
    <row r="110" spans="1:7" x14ac:dyDescent="0.3">
      <c r="A110" s="9" t="s">
        <v>1433</v>
      </c>
      <c r="B110" s="9" t="str">
        <f>IFERROR(INDEX(INDEX(LIST_CF_TXT,0,LangIdx),MATCH(A110,LIST_CF_CODE,0))&amp;"","")</f>
        <v>Financing - lease liabilities</v>
      </c>
      <c r="C110" s="20">
        <f t="shared" si="41"/>
        <v>-3900</v>
      </c>
      <c r="D110" s="20">
        <f t="shared" si="42"/>
        <v>-4650</v>
      </c>
      <c r="E110" s="20">
        <f t="shared" si="43"/>
        <v>-5300</v>
      </c>
      <c r="F110" s="20">
        <f t="shared" si="44"/>
        <v>750</v>
      </c>
      <c r="G110" s="20">
        <f t="shared" si="45"/>
        <v>650</v>
      </c>
    </row>
    <row r="111" spans="1:7" x14ac:dyDescent="0.3">
      <c r="A111" s="9" t="s">
        <v>1434</v>
      </c>
      <c r="B111" s="9" t="str">
        <f>IFERROR(INDEX(INDEX(LIST_CF_TXT,0,LangIdx),MATCH(A111,LIST_CF_CODE,0))&amp;"","")</f>
        <v>Interest received</v>
      </c>
      <c r="C111" s="20">
        <f t="shared" si="41"/>
        <v>-250</v>
      </c>
      <c r="D111" s="20">
        <f t="shared" si="42"/>
        <v>-180</v>
      </c>
      <c r="E111" s="20">
        <f t="shared" si="43"/>
        <v>0</v>
      </c>
      <c r="F111" s="20">
        <f t="shared" si="44"/>
        <v>-70</v>
      </c>
      <c r="G111" s="20">
        <f t="shared" si="45"/>
        <v>-180</v>
      </c>
    </row>
    <row r="112" spans="1:7" x14ac:dyDescent="0.3">
      <c r="A112" s="9" t="s">
        <v>1435</v>
      </c>
      <c r="B112" s="9" t="str">
        <f>IFERROR(INDEX(INDEX(LIST_CF_TXT,0,LangIdx),MATCH(A112,LIST_CF_CODE,0))&amp;"","")</f>
        <v>Accrued interest payable (balance)</v>
      </c>
      <c r="C112" s="20">
        <f t="shared" si="41"/>
        <v>0</v>
      </c>
      <c r="D112" s="20">
        <f t="shared" si="42"/>
        <v>0</v>
      </c>
      <c r="E112" s="20">
        <f t="shared" si="43"/>
        <v>0</v>
      </c>
      <c r="F112" s="20">
        <f t="shared" si="44"/>
        <v>0</v>
      </c>
      <c r="G112" s="20">
        <f t="shared" si="45"/>
        <v>0</v>
      </c>
    </row>
    <row r="113" spans="1:7" x14ac:dyDescent="0.3">
      <c r="A113" s="9" t="s">
        <v>1436</v>
      </c>
      <c r="B113" s="9" t="str">
        <f>IFERROR(INDEX(INDEX(LIST_CF_TXT,0,LangIdx),MATCH(A113,LIST_CF_CODE,0))&amp;"","")</f>
        <v>Dividend payable (balance)</v>
      </c>
      <c r="C113" s="20">
        <f t="shared" si="41"/>
        <v>0</v>
      </c>
      <c r="D113" s="20">
        <f t="shared" si="42"/>
        <v>0</v>
      </c>
      <c r="E113" s="20">
        <f t="shared" si="43"/>
        <v>0</v>
      </c>
      <c r="F113" s="20">
        <f t="shared" si="44"/>
        <v>0</v>
      </c>
      <c r="G113" s="20">
        <f t="shared" si="45"/>
        <v>0</v>
      </c>
    </row>
    <row r="114" spans="1:7" x14ac:dyDescent="0.3">
      <c r="A114" s="9" t="s">
        <v>1437</v>
      </c>
      <c r="B114" s="9" t="str">
        <f>IFERROR(INDEX(INDEX(LIST_CF_TXT,0,LangIdx),MATCH(A114,LIST_CF_CODE,0))&amp;"","")</f>
        <v>Interest paid</v>
      </c>
      <c r="C114" s="20">
        <f t="shared" si="41"/>
        <v>1350</v>
      </c>
      <c r="D114" s="20">
        <f t="shared" si="42"/>
        <v>1550</v>
      </c>
      <c r="E114" s="20">
        <f t="shared" si="43"/>
        <v>0</v>
      </c>
      <c r="F114" s="20">
        <f t="shared" si="44"/>
        <v>-200</v>
      </c>
      <c r="G114" s="20">
        <f t="shared" si="45"/>
        <v>1550</v>
      </c>
    </row>
    <row r="115" spans="1:7" x14ac:dyDescent="0.3">
      <c r="A115" s="9" t="s">
        <v>1438</v>
      </c>
      <c r="B115" s="9" t="str">
        <f>IFERROR(INDEX(INDEX(LIST_CF_TXT,0,LangIdx),MATCH(A115,LIST_CF_CODE,0))&amp;"","")</f>
        <v>Dividends received</v>
      </c>
      <c r="C115" s="20">
        <f t="shared" si="41"/>
        <v>0</v>
      </c>
      <c r="D115" s="20">
        <f t="shared" si="42"/>
        <v>0</v>
      </c>
      <c r="E115" s="20">
        <f t="shared" si="43"/>
        <v>0</v>
      </c>
      <c r="F115" s="20">
        <f t="shared" si="44"/>
        <v>0</v>
      </c>
      <c r="G115" s="20">
        <f t="shared" si="45"/>
        <v>0</v>
      </c>
    </row>
    <row r="116" spans="1:7" x14ac:dyDescent="0.3">
      <c r="A116" s="9" t="s">
        <v>1393</v>
      </c>
      <c r="B116" s="9" t="str">
        <f>IFERROR(INDEX(INDEX(LIST_CF_TXT,0,LangIdx),MATCH(A116,LIST_CF_CODE,0))&amp;"","")</f>
        <v>Equity</v>
      </c>
      <c r="C116" s="20">
        <f t="shared" si="41"/>
        <v>-37320</v>
      </c>
      <c r="D116" s="20">
        <f t="shared" si="42"/>
        <v>-26200</v>
      </c>
      <c r="E116" s="20">
        <f t="shared" si="43"/>
        <v>-26200</v>
      </c>
      <c r="F116" s="20">
        <f t="shared" si="44"/>
        <v>-11120</v>
      </c>
      <c r="G116" s="20">
        <f t="shared" si="45"/>
        <v>0</v>
      </c>
    </row>
    <row r="117" spans="1:7" x14ac:dyDescent="0.3">
      <c r="A117" s="9" t="s">
        <v>1439</v>
      </c>
      <c r="B117" s="9" t="str">
        <f>IFERROR(INDEX(INDEX(LIST_CF_TXT,0,LangIdx),MATCH(A117,LIST_CF_CODE,0))&amp;"","")</f>
        <v>Cash and cash equivalents</v>
      </c>
      <c r="C117" s="20">
        <f t="shared" si="41"/>
        <v>21510</v>
      </c>
      <c r="D117" s="20">
        <f t="shared" si="42"/>
        <v>13220</v>
      </c>
      <c r="E117" s="20">
        <f t="shared" si="43"/>
        <v>5000</v>
      </c>
      <c r="F117" s="20">
        <f t="shared" si="44"/>
        <v>8290</v>
      </c>
      <c r="G117" s="20">
        <f t="shared" si="45"/>
        <v>8220</v>
      </c>
    </row>
    <row r="118" spans="1:7" x14ac:dyDescent="0.3">
      <c r="A118" s="9" t="s">
        <v>1440</v>
      </c>
      <c r="B118" s="9" t="str">
        <f>IFERROR(INDEX(INDEX(LIST_CF_TXT,0,LangIdx),MATCH(A118,LIST_CF_CODE,0))&amp;"","")</f>
        <v>OCI reserve (ignored)</v>
      </c>
      <c r="C118" s="20">
        <f t="shared" si="41"/>
        <v>-1050</v>
      </c>
      <c r="D118" s="20">
        <f t="shared" si="42"/>
        <v>-950</v>
      </c>
      <c r="E118" s="20">
        <f t="shared" si="43"/>
        <v>-800</v>
      </c>
      <c r="F118" s="20">
        <f t="shared" si="44"/>
        <v>-100</v>
      </c>
      <c r="G118" s="20">
        <f t="shared" si="45"/>
        <v>-150</v>
      </c>
    </row>
  </sheetData>
  <sheetProtection algorithmName="SHA-512" hashValue="sUK9jzUmUfsK5swHG3RsgoxlzPvrkVgynaocSjW+B8I1coaPWBIGwmcudjsd41x8mWMIQ2SOo8xp9uv2w5P8LA==" saltValue="qoVaZYPKyWVPkbGctiRJVA==" spinCount="100000" sheet="1" objects="1" scenarios="1" formatCells="0" autoFilter="0" pivotTables="0"/>
  <pageMargins left="0.75" right="0.75" top="1" bottom="1" header="0.5" footer="0.5"/>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unka7"/>
  <dimension ref="A1:H60"/>
  <sheetViews>
    <sheetView showGridLines="0" workbookViewId="0">
      <pane ySplit="4" topLeftCell="A5" activePane="bottomLeft" state="frozen"/>
      <selection pane="bottomLeft" activeCell="A2" sqref="A2"/>
    </sheetView>
  </sheetViews>
  <sheetFormatPr defaultRowHeight="14.4" x14ac:dyDescent="0.3"/>
  <cols>
    <col min="1" max="1" width="2" customWidth="1"/>
    <col min="2" max="2" width="62" customWidth="1"/>
    <col min="3" max="3" width="6" customWidth="1"/>
    <col min="4" max="5" width="16" customWidth="1"/>
    <col min="6" max="6" width="2" customWidth="1"/>
    <col min="8" max="8" width="13" hidden="1" customWidth="1"/>
  </cols>
  <sheetData>
    <row r="1" spans="1:8" ht="17.399999999999999" x14ac:dyDescent="0.3">
      <c r="A1" s="1" t="str">
        <f>IFERROR(INDEX(DICT_ACTIVE,MATCH("SFP.TITLE",DICT_KEY,0))&amp;"","??SFP.TITLE")</f>
        <v>Statement of financial position</v>
      </c>
    </row>
    <row r="2" spans="1:8" x14ac:dyDescent="0.3">
      <c r="B2" s="21" t="str">
        <f>EntityName</f>
        <v>Minta Zrt.</v>
      </c>
    </row>
    <row r="3" spans="1:8" x14ac:dyDescent="0.3">
      <c r="B3" s="2" t="str">
        <f>UnitLabel</f>
        <v>in thousands of HUF</v>
      </c>
    </row>
    <row r="4" spans="1:8" x14ac:dyDescent="0.3">
      <c r="B4" s="3"/>
      <c r="C4" s="22" t="str">
        <f>IFERROR(INDEX(DICT_ACTIVE,MATCH("UI.NOTE",DICT_KEY,0))&amp;"","??UI.NOTE")</f>
        <v>Note</v>
      </c>
      <c r="D4" s="23">
        <f>RepDate</f>
        <v>46387</v>
      </c>
      <c r="E4" s="23">
        <f>PyDate</f>
        <v>46022</v>
      </c>
    </row>
    <row r="5" spans="1:8" x14ac:dyDescent="0.3">
      <c r="B5" s="24" t="str">
        <f>IFERROR(INDEX(DICT_ACTIVE,MATCH("SFP.ASSETS",DICT_KEY,0))&amp;"","??SFP.ASSETS")</f>
        <v>ASSETS</v>
      </c>
      <c r="C5" s="24"/>
      <c r="D5" s="25"/>
      <c r="E5" s="25"/>
      <c r="H5" s="10" t="s">
        <v>355</v>
      </c>
    </row>
    <row r="6" spans="1:8" x14ac:dyDescent="0.3">
      <c r="B6" s="24" t="str">
        <f>IFERROR(INDEX(DICT_ACTIVE,MATCH("SFP.NCA",DICT_KEY,0))&amp;"","??SFP.NCA")</f>
        <v>Non-current assets</v>
      </c>
      <c r="C6" s="24"/>
      <c r="D6" s="25"/>
      <c r="E6" s="25"/>
      <c r="H6" s="10" t="s">
        <v>358</v>
      </c>
    </row>
    <row r="7" spans="1:8" x14ac:dyDescent="0.3">
      <c r="B7" s="14" t="str">
        <f>IFERROR(INDEX(DICT_ACTIVE,MATCH("SFP.NCA.PPE",DICT_KEY,0))&amp;"","??SFP.NCA.PPE")</f>
        <v>Property, plant and equipment</v>
      </c>
      <c r="C7" s="14"/>
      <c r="D7" s="26">
        <f t="shared" ref="D7:D16" si="0">IF($H7="","",INDEX(ENG_CYP,MATCH($H7,ENG_KEY,0)))</f>
        <v>29500</v>
      </c>
      <c r="E7" s="26">
        <f t="shared" ref="E7:E16" si="1">IF($H7="","",INDEX(ENG_PYP,MATCH($H7,ENG_KEY,0)))</f>
        <v>27000</v>
      </c>
      <c r="H7" s="10" t="s">
        <v>361</v>
      </c>
    </row>
    <row r="8" spans="1:8" x14ac:dyDescent="0.3">
      <c r="B8" s="14" t="str">
        <f>IFERROR(INDEX(DICT_ACTIVE,MATCH("SFP.NCA.ROU",DICT_KEY,0))&amp;"","??SFP.NCA.ROU")</f>
        <v>Right-of-use assets</v>
      </c>
      <c r="C8" s="14"/>
      <c r="D8" s="26">
        <f t="shared" si="0"/>
        <v>4200</v>
      </c>
      <c r="E8" s="26">
        <f t="shared" si="1"/>
        <v>5000</v>
      </c>
      <c r="H8" s="10" t="s">
        <v>364</v>
      </c>
    </row>
    <row r="9" spans="1:8" x14ac:dyDescent="0.3">
      <c r="B9" s="14" t="str">
        <f>IFERROR(INDEX(DICT_ACTIVE,MATCH("SFP.NCA.INVPROP",DICT_KEY,0))&amp;"","??SFP.NCA.INVPROP")</f>
        <v>Investment property</v>
      </c>
      <c r="C9" s="14"/>
      <c r="D9" s="26">
        <f t="shared" si="0"/>
        <v>0</v>
      </c>
      <c r="E9" s="26">
        <f t="shared" si="1"/>
        <v>0</v>
      </c>
      <c r="H9" s="10" t="s">
        <v>367</v>
      </c>
    </row>
    <row r="10" spans="1:8" x14ac:dyDescent="0.3">
      <c r="B10" s="14" t="str">
        <f>IFERROR(INDEX(DICT_ACTIVE,MATCH("SFP.NCA.INTANG",DICT_KEY,0))&amp;"","??SFP.NCA.INTANG")</f>
        <v>Intangible assets</v>
      </c>
      <c r="C10" s="14"/>
      <c r="D10" s="26">
        <f t="shared" si="0"/>
        <v>1800</v>
      </c>
      <c r="E10" s="26">
        <f t="shared" si="1"/>
        <v>1600</v>
      </c>
      <c r="H10" s="10" t="s">
        <v>370</v>
      </c>
    </row>
    <row r="11" spans="1:8" x14ac:dyDescent="0.3">
      <c r="B11" s="14" t="str">
        <f>IFERROR(INDEX(DICT_ACTIVE,MATCH("SFP.NCA.GOODWILL",DICT_KEY,0))&amp;"","??SFP.NCA.GOODWILL")</f>
        <v>Goodwill</v>
      </c>
      <c r="C11" s="14"/>
      <c r="D11" s="26">
        <f t="shared" si="0"/>
        <v>0</v>
      </c>
      <c r="E11" s="26">
        <f t="shared" si="1"/>
        <v>0</v>
      </c>
      <c r="H11" s="10" t="s">
        <v>373</v>
      </c>
    </row>
    <row r="12" spans="1:8" x14ac:dyDescent="0.3">
      <c r="B12" s="14" t="str">
        <f>IFERROR(INDEX(DICT_ACTIVE,MATCH("SFP.NCA.ASSOC",DICT_KEY,0))&amp;"","??SFP.NCA.ASSOC")</f>
        <v>Investments accounted for using the equity method</v>
      </c>
      <c r="C12" s="14"/>
      <c r="D12" s="26">
        <f t="shared" si="0"/>
        <v>2500</v>
      </c>
      <c r="E12" s="26">
        <f t="shared" si="1"/>
        <v>2500</v>
      </c>
      <c r="H12" s="10" t="s">
        <v>375</v>
      </c>
    </row>
    <row r="13" spans="1:8" x14ac:dyDescent="0.3">
      <c r="B13" s="14" t="str">
        <f>IFERROR(INDEX(DICT_ACTIVE,MATCH("SFP.NCA.FINASSET",DICT_KEY,0))&amp;"","??SFP.NCA.FINASSET")</f>
        <v>Non-current financial assets</v>
      </c>
      <c r="C13" s="14"/>
      <c r="D13" s="26">
        <f t="shared" si="0"/>
        <v>0</v>
      </c>
      <c r="E13" s="26">
        <f t="shared" si="1"/>
        <v>0</v>
      </c>
      <c r="H13" s="10" t="s">
        <v>378</v>
      </c>
    </row>
    <row r="14" spans="1:8" x14ac:dyDescent="0.3">
      <c r="B14" s="14" t="str">
        <f>IFERROR(INDEX(DICT_ACTIVE,MATCH("SFP.NCA.DTA",DICT_KEY,0))&amp;"","??SFP.NCA.DTA")</f>
        <v>Deferred tax assets</v>
      </c>
      <c r="C14" s="14"/>
      <c r="D14" s="26">
        <f t="shared" si="0"/>
        <v>400</v>
      </c>
      <c r="E14" s="26">
        <f t="shared" si="1"/>
        <v>350</v>
      </c>
      <c r="H14" s="10" t="s">
        <v>381</v>
      </c>
    </row>
    <row r="15" spans="1:8" x14ac:dyDescent="0.3">
      <c r="B15" s="14" t="str">
        <f>IFERROR(INDEX(DICT_ACTIVE,MATCH("SFP.NCA.RECEIV",DICT_KEY,0))&amp;"","??SFP.NCA.RECEIV")</f>
        <v>Non-current receivables</v>
      </c>
      <c r="C15" s="14"/>
      <c r="D15" s="26">
        <f t="shared" si="0"/>
        <v>0</v>
      </c>
      <c r="E15" s="26">
        <f t="shared" si="1"/>
        <v>0</v>
      </c>
      <c r="H15" s="10" t="s">
        <v>384</v>
      </c>
    </row>
    <row r="16" spans="1:8" x14ac:dyDescent="0.3">
      <c r="B16" s="14" t="str">
        <f>IFERROR(INDEX(DICT_ACTIVE,MATCH("SFP.NCA.OTHER",DICT_KEY,0))&amp;"","??SFP.NCA.OTHER")</f>
        <v>Other non-current assets</v>
      </c>
      <c r="C16" s="14"/>
      <c r="D16" s="26">
        <f t="shared" si="0"/>
        <v>0</v>
      </c>
      <c r="E16" s="26">
        <f t="shared" si="1"/>
        <v>0</v>
      </c>
      <c r="H16" s="10" t="s">
        <v>387</v>
      </c>
    </row>
    <row r="17" spans="2:8" x14ac:dyDescent="0.3">
      <c r="B17" s="27" t="str">
        <f>IFERROR(INDEX(DICT_ACTIVE,MATCH("SFP.NCA.TOTAL",DICT_KEY,0))&amp;"","??SFP.NCA.TOTAL")</f>
        <v>Total non-current assets</v>
      </c>
      <c r="C17" s="27"/>
      <c r="D17" s="28">
        <f>SUMIFS(ENG_CYP,ENG_STMT,"SFP",ENG_CNC,"NC")</f>
        <v>38400</v>
      </c>
      <c r="E17" s="28">
        <f>SUMIFS(ENG_PYP,ENG_STMT,"SFP",ENG_CNC,"NC")</f>
        <v>36450</v>
      </c>
      <c r="H17" s="10" t="s">
        <v>390</v>
      </c>
    </row>
    <row r="19" spans="2:8" x14ac:dyDescent="0.3">
      <c r="B19" s="24" t="str">
        <f>IFERROR(INDEX(DICT_ACTIVE,MATCH("SFP.CA",DICT_KEY,0))&amp;"","??SFP.CA")</f>
        <v>Current assets</v>
      </c>
      <c r="C19" s="24"/>
      <c r="D19" s="25"/>
      <c r="E19" s="25"/>
      <c r="H19" s="10" t="s">
        <v>393</v>
      </c>
    </row>
    <row r="20" spans="2:8" x14ac:dyDescent="0.3">
      <c r="B20" s="14" t="str">
        <f>IFERROR(INDEX(DICT_ACTIVE,MATCH("SFP.CA.INVENT",DICT_KEY,0))&amp;"","??SFP.CA.INVENT")</f>
        <v>Inventories</v>
      </c>
      <c r="C20" s="14"/>
      <c r="D20" s="26">
        <f t="shared" ref="D20:D27" si="2">IF($H20="","",INDEX(ENG_CYP,MATCH($H20,ENG_KEY,0)))</f>
        <v>9800</v>
      </c>
      <c r="E20" s="26">
        <f t="shared" ref="E20:E27" si="3">IF($H20="","",INDEX(ENG_PYP,MATCH($H20,ENG_KEY,0)))</f>
        <v>8700</v>
      </c>
      <c r="H20" s="10" t="s">
        <v>396</v>
      </c>
    </row>
    <row r="21" spans="2:8" x14ac:dyDescent="0.3">
      <c r="B21" s="14" t="str">
        <f>IFERROR(INDEX(DICT_ACTIVE,MATCH("SFP.CA.TRADEREC",DICT_KEY,0))&amp;"","??SFP.CA.TRADEREC")</f>
        <v>Trade receivables</v>
      </c>
      <c r="C21" s="14"/>
      <c r="D21" s="26">
        <f t="shared" si="2"/>
        <v>12440</v>
      </c>
      <c r="E21" s="26">
        <f t="shared" si="3"/>
        <v>11000</v>
      </c>
      <c r="H21" s="10" t="s">
        <v>399</v>
      </c>
    </row>
    <row r="22" spans="2:8" x14ac:dyDescent="0.3">
      <c r="B22" s="14" t="str">
        <f>IFERROR(INDEX(DICT_ACTIVE,MATCH("SFP.CA.CONTRACT",DICT_KEY,0))&amp;"","??SFP.CA.CONTRACT")</f>
        <v>Contract assets</v>
      </c>
      <c r="C22" s="14"/>
      <c r="D22" s="26">
        <f t="shared" si="2"/>
        <v>0</v>
      </c>
      <c r="E22" s="26">
        <f t="shared" si="3"/>
        <v>0</v>
      </c>
      <c r="H22" s="10" t="s">
        <v>402</v>
      </c>
    </row>
    <row r="23" spans="2:8" x14ac:dyDescent="0.3">
      <c r="B23" s="14" t="str">
        <f>IFERROR(INDEX(DICT_ACTIVE,MATCH("SFP.CA.OTHERREC",DICT_KEY,0))&amp;"","??SFP.CA.OTHERREC")</f>
        <v>Other receivables and prepayments</v>
      </c>
      <c r="C23" s="14"/>
      <c r="D23" s="26">
        <f t="shared" si="2"/>
        <v>1700</v>
      </c>
      <c r="E23" s="26">
        <f t="shared" si="3"/>
        <v>1650</v>
      </c>
      <c r="H23" s="10" t="s">
        <v>405</v>
      </c>
    </row>
    <row r="24" spans="2:8" x14ac:dyDescent="0.3">
      <c r="B24" s="14" t="str">
        <f>IFERROR(INDEX(DICT_ACTIVE,MATCH("SFP.CA.CURTAX",DICT_KEY,0))&amp;"","??SFP.CA.CURTAX")</f>
        <v>Current tax assets</v>
      </c>
      <c r="C24" s="14"/>
      <c r="D24" s="26">
        <f t="shared" si="2"/>
        <v>0</v>
      </c>
      <c r="E24" s="26">
        <f t="shared" si="3"/>
        <v>150</v>
      </c>
      <c r="H24" s="10" t="s">
        <v>408</v>
      </c>
    </row>
    <row r="25" spans="2:8" x14ac:dyDescent="0.3">
      <c r="B25" s="14" t="str">
        <f>IFERROR(INDEX(DICT_ACTIVE,MATCH("SFP.CA.FINASSET",DICT_KEY,0))&amp;"","??SFP.CA.FINASSET")</f>
        <v>Current financial assets</v>
      </c>
      <c r="C25" s="14"/>
      <c r="D25" s="26">
        <f t="shared" si="2"/>
        <v>0</v>
      </c>
      <c r="E25" s="26">
        <f t="shared" si="3"/>
        <v>0</v>
      </c>
      <c r="H25" s="10" t="s">
        <v>411</v>
      </c>
    </row>
    <row r="26" spans="2:8" x14ac:dyDescent="0.3">
      <c r="B26" s="14" t="str">
        <f>IFERROR(INDEX(DICT_ACTIVE,MATCH("SFP.CA.CASH",DICT_KEY,0))&amp;"","??SFP.CA.CASH")</f>
        <v>Cash and cash equivalents</v>
      </c>
      <c r="C26" s="14"/>
      <c r="D26" s="26">
        <f t="shared" si="2"/>
        <v>21510</v>
      </c>
      <c r="E26" s="26">
        <f t="shared" si="3"/>
        <v>13220</v>
      </c>
      <c r="H26" s="10" t="s">
        <v>414</v>
      </c>
    </row>
    <row r="27" spans="2:8" x14ac:dyDescent="0.3">
      <c r="B27" s="14" t="str">
        <f>IFERROR(INDEX(DICT_ACTIVE,MATCH("SFP.CA.HFS",DICT_KEY,0))&amp;"","??SFP.CA.HFS")</f>
        <v>Assets held for sale</v>
      </c>
      <c r="C27" s="14"/>
      <c r="D27" s="26">
        <f t="shared" si="2"/>
        <v>0</v>
      </c>
      <c r="E27" s="26">
        <f t="shared" si="3"/>
        <v>0</v>
      </c>
      <c r="H27" s="10" t="s">
        <v>417</v>
      </c>
    </row>
    <row r="28" spans="2:8" x14ac:dyDescent="0.3">
      <c r="B28" s="27" t="str">
        <f>IFERROR(INDEX(DICT_ACTIVE,MATCH("SFP.CA.TOTAL",DICT_KEY,0))&amp;"","??SFP.CA.TOTAL")</f>
        <v>Total current assets</v>
      </c>
      <c r="C28" s="27"/>
      <c r="D28" s="28">
        <f>SUMIFS(ENG_CYP,ENG_STMT,"SFP",ENG_CNC,"C")</f>
        <v>45450</v>
      </c>
      <c r="E28" s="28">
        <f>SUMIFS(ENG_PYP,ENG_STMT,"SFP",ENG_CNC,"C")</f>
        <v>34720</v>
      </c>
      <c r="H28" s="10" t="s">
        <v>420</v>
      </c>
    </row>
    <row r="29" spans="2:8" x14ac:dyDescent="0.3">
      <c r="B29" s="29" t="str">
        <f>IFERROR(INDEX(DICT_ACTIVE,MATCH("SFP.ASSETS.TOTAL",DICT_KEY,0))&amp;"","??SFP.ASSETS.TOTAL")</f>
        <v>TOTAL ASSETS</v>
      </c>
      <c r="C29" s="29"/>
      <c r="D29" s="30">
        <f>D17+D28</f>
        <v>83850</v>
      </c>
      <c r="E29" s="30">
        <f>E17+E28</f>
        <v>71170</v>
      </c>
      <c r="H29" s="10" t="s">
        <v>423</v>
      </c>
    </row>
    <row r="31" spans="2:8" x14ac:dyDescent="0.3">
      <c r="B31" s="24" t="str">
        <f>IFERROR(INDEX(DICT_ACTIVE,MATCH("SFP.EQL",DICT_KEY,0))&amp;"","??SFP.EQL")</f>
        <v>EQUITY AND LIABILITIES</v>
      </c>
      <c r="C31" s="24"/>
      <c r="D31" s="25"/>
      <c r="E31" s="25"/>
      <c r="H31" s="10" t="s">
        <v>426</v>
      </c>
    </row>
    <row r="32" spans="2:8" x14ac:dyDescent="0.3">
      <c r="B32" s="24" t="str">
        <f>IFERROR(INDEX(DICT_ACTIVE,MATCH("SFP.EQ",DICT_KEY,0))&amp;"","??SFP.EQ")</f>
        <v>Equity</v>
      </c>
      <c r="C32" s="24"/>
      <c r="D32" s="25"/>
      <c r="E32" s="25"/>
      <c r="H32" s="10" t="s">
        <v>429</v>
      </c>
    </row>
    <row r="33" spans="2:8" x14ac:dyDescent="0.3">
      <c r="B33" s="14" t="str">
        <f>IFERROR(INDEX(DICT_ACTIVE,MATCH("SFP.EQ.SC",DICT_KEY,0))&amp;"","??SFP.EQ.SC")</f>
        <v>Share capital</v>
      </c>
      <c r="C33" s="14"/>
      <c r="D33" s="26">
        <f>IF($H33="","",INDEX(ENG_CYP,MATCH($H33,ENG_KEY,0)))</f>
        <v>10000</v>
      </c>
      <c r="E33" s="26">
        <f>IF($H33="","",INDEX(ENG_PYP,MATCH($H33,ENG_KEY,0)))</f>
        <v>10000</v>
      </c>
      <c r="H33" s="10" t="s">
        <v>432</v>
      </c>
    </row>
    <row r="34" spans="2:8" x14ac:dyDescent="0.3">
      <c r="B34" s="14" t="str">
        <f>IFERROR(INDEX(DICT_ACTIVE,MATCH("SFP.EQ.SP",DICT_KEY,0))&amp;"","??SFP.EQ.SP")</f>
        <v>Share premium</v>
      </c>
      <c r="C34" s="14"/>
      <c r="D34" s="26">
        <f>IF($H34="","",INDEX(ENG_CYP,MATCH($H34,ENG_KEY,0)))</f>
        <v>2000</v>
      </c>
      <c r="E34" s="26">
        <f>IF($H34="","",INDEX(ENG_PYP,MATCH($H34,ENG_KEY,0)))</f>
        <v>2000</v>
      </c>
      <c r="H34" s="10" t="s">
        <v>435</v>
      </c>
    </row>
    <row r="35" spans="2:8" x14ac:dyDescent="0.3">
      <c r="B35" s="14" t="str">
        <f>IFERROR(INDEX(DICT_ACTIVE,MATCH("SFP.EQ.OR",DICT_KEY,0))&amp;"","??SFP.EQ.OR")</f>
        <v>Other reserves</v>
      </c>
      <c r="C35" s="14"/>
      <c r="D35" s="26">
        <f>IF($H35="","",INDEX(ENG_CYP,MATCH($H35,ENG_KEY,0)))</f>
        <v>1050</v>
      </c>
      <c r="E35" s="26">
        <f>IF($H35="","",INDEX(ENG_PYP,MATCH($H35,ENG_KEY,0)))</f>
        <v>950</v>
      </c>
      <c r="H35" s="10" t="s">
        <v>438</v>
      </c>
    </row>
    <row r="36" spans="2:8" x14ac:dyDescent="0.3">
      <c r="B36" s="14" t="str">
        <f>IFERROR(INDEX(DICT_ACTIVE,MATCH("SFP.EQ.RE",DICT_KEY,0))&amp;"","??SFP.EQ.RE")</f>
        <v>Retained earnings</v>
      </c>
      <c r="C36" s="14"/>
      <c r="D36" s="26">
        <f>IF($H36="","",INDEX(ENG_CYP,MATCH($H36,ENG_KEY,0)))</f>
        <v>40050</v>
      </c>
      <c r="E36" s="26">
        <f>IF($H36="","",INDEX(ENG_PYP,MATCH($H36,ENG_KEY,0)))</f>
        <v>26320</v>
      </c>
      <c r="H36" s="10" t="s">
        <v>441</v>
      </c>
    </row>
    <row r="37" spans="2:8" x14ac:dyDescent="0.3">
      <c r="B37" s="27" t="str">
        <f>IFERROR(INDEX(DICT_ACTIVE,MATCH("SFP.EQ.TOTAL",DICT_KEY,0))&amp;"","??SFP.EQ.TOTAL")</f>
        <v>Total equity</v>
      </c>
      <c r="C37" s="27"/>
      <c r="D37" s="28">
        <f>SUMIFS(ENG_CYP,ENG_STMT,"SFP",ENG_CNC,"EQ")</f>
        <v>53100</v>
      </c>
      <c r="E37" s="28">
        <f>SUMIFS(ENG_PYP,ENG_STMT,"SFP",ENG_CNC,"EQ")</f>
        <v>39270</v>
      </c>
      <c r="H37" s="10" t="s">
        <v>444</v>
      </c>
    </row>
    <row r="39" spans="2:8" x14ac:dyDescent="0.3">
      <c r="B39" s="24" t="str">
        <f>IFERROR(INDEX(DICT_ACTIVE,MATCH("SFP.NCL",DICT_KEY,0))&amp;"","??SFP.NCL")</f>
        <v>Non-current liabilities</v>
      </c>
      <c r="C39" s="24"/>
      <c r="D39" s="25"/>
      <c r="E39" s="25"/>
      <c r="H39" s="10" t="s">
        <v>447</v>
      </c>
    </row>
    <row r="40" spans="2:8" x14ac:dyDescent="0.3">
      <c r="B40" s="14" t="str">
        <f>IFERROR(INDEX(DICT_ACTIVE,MATCH("SFP.NCL.BORROW",DICT_KEY,0))&amp;"","??SFP.NCL.BORROW")</f>
        <v>Non-current borrowings</v>
      </c>
      <c r="C40" s="14"/>
      <c r="D40" s="26">
        <f t="shared" ref="D40:D45" si="4">IF($H40="","",INDEX(ENG_CYP,MATCH($H40,ENG_KEY,0)))</f>
        <v>12000</v>
      </c>
      <c r="E40" s="26">
        <f t="shared" ref="E40:E45" si="5">IF($H40="","",INDEX(ENG_PYP,MATCH($H40,ENG_KEY,0)))</f>
        <v>14000</v>
      </c>
      <c r="H40" s="10" t="s">
        <v>450</v>
      </c>
    </row>
    <row r="41" spans="2:8" x14ac:dyDescent="0.3">
      <c r="B41" s="14" t="str">
        <f>IFERROR(INDEX(DICT_ACTIVE,MATCH("SFP.NCL.LEASE",DICT_KEY,0))&amp;"","??SFP.NCL.LEASE")</f>
        <v>Non-current lease liabilities</v>
      </c>
      <c r="C41" s="14"/>
      <c r="D41" s="26">
        <f t="shared" si="4"/>
        <v>3000</v>
      </c>
      <c r="E41" s="26">
        <f t="shared" si="5"/>
        <v>3800</v>
      </c>
      <c r="H41" s="10" t="s">
        <v>453</v>
      </c>
    </row>
    <row r="42" spans="2:8" x14ac:dyDescent="0.3">
      <c r="B42" s="14" t="str">
        <f>IFERROR(INDEX(DICT_ACTIVE,MATCH("SFP.NCL.PROV",DICT_KEY,0))&amp;"","??SFP.NCL.PROV")</f>
        <v>Non-current provisions</v>
      </c>
      <c r="C42" s="14"/>
      <c r="D42" s="26">
        <f t="shared" si="4"/>
        <v>900</v>
      </c>
      <c r="E42" s="26">
        <f t="shared" si="5"/>
        <v>750</v>
      </c>
      <c r="H42" s="10" t="s">
        <v>456</v>
      </c>
    </row>
    <row r="43" spans="2:8" x14ac:dyDescent="0.3">
      <c r="B43" s="14" t="str">
        <f>IFERROR(INDEX(DICT_ACTIVE,MATCH("SFP.NCL.EMPBEN",DICT_KEY,0))&amp;"","??SFP.NCL.EMPBEN")</f>
        <v>Employee benefit liabilities</v>
      </c>
      <c r="C43" s="14"/>
      <c r="D43" s="26">
        <f t="shared" si="4"/>
        <v>0</v>
      </c>
      <c r="E43" s="26">
        <f t="shared" si="5"/>
        <v>0</v>
      </c>
      <c r="H43" s="10" t="s">
        <v>459</v>
      </c>
    </row>
    <row r="44" spans="2:8" x14ac:dyDescent="0.3">
      <c r="B44" s="14" t="str">
        <f>IFERROR(INDEX(DICT_ACTIVE,MATCH("SFP.NCL.DTL",DICT_KEY,0))&amp;"","??SFP.NCL.DTL")</f>
        <v>Deferred tax liabilities</v>
      </c>
      <c r="C44" s="14"/>
      <c r="D44" s="26">
        <f t="shared" si="4"/>
        <v>600</v>
      </c>
      <c r="E44" s="26">
        <f t="shared" si="5"/>
        <v>500</v>
      </c>
      <c r="H44" s="10" t="s">
        <v>462</v>
      </c>
    </row>
    <row r="45" spans="2:8" x14ac:dyDescent="0.3">
      <c r="B45" s="14" t="str">
        <f>IFERROR(INDEX(DICT_ACTIVE,MATCH("SFP.NCL.OTHER",DICT_KEY,0))&amp;"","??SFP.NCL.OTHER")</f>
        <v>Other non-current liabilities</v>
      </c>
      <c r="C45" s="14"/>
      <c r="D45" s="26">
        <f t="shared" si="4"/>
        <v>0</v>
      </c>
      <c r="E45" s="26">
        <f t="shared" si="5"/>
        <v>0</v>
      </c>
      <c r="H45" s="10" t="s">
        <v>465</v>
      </c>
    </row>
    <row r="46" spans="2:8" x14ac:dyDescent="0.3">
      <c r="B46" s="27" t="str">
        <f>IFERROR(INDEX(DICT_ACTIVE,MATCH("SFP.NCL.TOTAL",DICT_KEY,0))&amp;"","??SFP.NCL.TOTAL")</f>
        <v>Total non-current liabilities</v>
      </c>
      <c r="C46" s="27"/>
      <c r="D46" s="28">
        <f>SUMIFS(ENG_CYP,ENG_STMT,"SFP",ENG_CNC,"NCL")</f>
        <v>16500</v>
      </c>
      <c r="E46" s="28">
        <f>SUMIFS(ENG_PYP,ENG_STMT,"SFP",ENG_CNC,"NCL")</f>
        <v>19050</v>
      </c>
      <c r="H46" s="10" t="s">
        <v>468</v>
      </c>
    </row>
    <row r="48" spans="2:8" x14ac:dyDescent="0.3">
      <c r="B48" s="24" t="str">
        <f>IFERROR(INDEX(DICT_ACTIVE,MATCH("SFP.CL",DICT_KEY,0))&amp;"","??SFP.CL")</f>
        <v>Current liabilities</v>
      </c>
      <c r="C48" s="24"/>
      <c r="D48" s="25"/>
      <c r="E48" s="25"/>
      <c r="H48" s="10" t="s">
        <v>471</v>
      </c>
    </row>
    <row r="49" spans="2:8" x14ac:dyDescent="0.3">
      <c r="B49" s="14" t="str">
        <f>IFERROR(INDEX(DICT_ACTIVE,MATCH("SFP.CL.TRADEPAY",DICT_KEY,0))&amp;"","??SFP.CL.TRADEPAY")</f>
        <v>Trade payables</v>
      </c>
      <c r="C49" s="14"/>
      <c r="D49" s="26">
        <f t="shared" ref="D49:D56" si="6">IF($H49="","",INDEX(ENG_CYP,MATCH($H49,ENG_KEY,0)))</f>
        <v>8900</v>
      </c>
      <c r="E49" s="26">
        <f t="shared" ref="E49:E56" si="7">IF($H49="","",INDEX(ENG_PYP,MATCH($H49,ENG_KEY,0)))</f>
        <v>8100</v>
      </c>
      <c r="H49" s="10" t="s">
        <v>474</v>
      </c>
    </row>
    <row r="50" spans="2:8" x14ac:dyDescent="0.3">
      <c r="B50" s="14" t="str">
        <f>IFERROR(INDEX(DICT_ACTIVE,MATCH("SFP.CL.CONTRACT",DICT_KEY,0))&amp;"","??SFP.CL.CONTRACT")</f>
        <v>Contract liabilities</v>
      </c>
      <c r="C50" s="14"/>
      <c r="D50" s="26">
        <f t="shared" si="6"/>
        <v>0</v>
      </c>
      <c r="E50" s="26">
        <f t="shared" si="7"/>
        <v>0</v>
      </c>
      <c r="H50" s="10" t="s">
        <v>477</v>
      </c>
    </row>
    <row r="51" spans="2:8" x14ac:dyDescent="0.3">
      <c r="B51" s="14" t="str">
        <f>IFERROR(INDEX(DICT_ACTIVE,MATCH("SFP.CL.BORROW",DICT_KEY,0))&amp;"","??SFP.CL.BORROW")</f>
        <v>Current borrowings</v>
      </c>
      <c r="C51" s="14"/>
      <c r="D51" s="26">
        <f t="shared" si="6"/>
        <v>2000</v>
      </c>
      <c r="E51" s="26">
        <f t="shared" si="7"/>
        <v>2000</v>
      </c>
      <c r="H51" s="10" t="s">
        <v>480</v>
      </c>
    </row>
    <row r="52" spans="2:8" x14ac:dyDescent="0.3">
      <c r="B52" s="14" t="str">
        <f>IFERROR(INDEX(DICT_ACTIVE,MATCH("SFP.CL.LEASE",DICT_KEY,0))&amp;"","??SFP.CL.LEASE")</f>
        <v>Current lease liabilities</v>
      </c>
      <c r="C52" s="14"/>
      <c r="D52" s="26">
        <f t="shared" si="6"/>
        <v>900</v>
      </c>
      <c r="E52" s="26">
        <f t="shared" si="7"/>
        <v>850</v>
      </c>
      <c r="H52" s="10" t="s">
        <v>483</v>
      </c>
    </row>
    <row r="53" spans="2:8" x14ac:dyDescent="0.3">
      <c r="B53" s="14" t="str">
        <f>IFERROR(INDEX(DICT_ACTIVE,MATCH("SFP.CL.PROV",DICT_KEY,0))&amp;"","??SFP.CL.PROV")</f>
        <v>Current provisions</v>
      </c>
      <c r="C53" s="14"/>
      <c r="D53" s="26">
        <f t="shared" si="6"/>
        <v>0</v>
      </c>
      <c r="E53" s="26">
        <f t="shared" si="7"/>
        <v>0</v>
      </c>
      <c r="H53" s="10" t="s">
        <v>486</v>
      </c>
    </row>
    <row r="54" spans="2:8" x14ac:dyDescent="0.3">
      <c r="B54" s="14" t="str">
        <f>IFERROR(INDEX(DICT_ACTIVE,MATCH("SFP.CL.CURTAX",DICT_KEY,0))&amp;"","??SFP.CL.CURTAX")</f>
        <v>Current tax liabilities</v>
      </c>
      <c r="C54" s="14"/>
      <c r="D54" s="26">
        <f t="shared" si="6"/>
        <v>350</v>
      </c>
      <c r="E54" s="26">
        <f t="shared" si="7"/>
        <v>0</v>
      </c>
      <c r="H54" s="10" t="s">
        <v>489</v>
      </c>
    </row>
    <row r="55" spans="2:8" x14ac:dyDescent="0.3">
      <c r="B55" s="14" t="str">
        <f>IFERROR(INDEX(DICT_ACTIVE,MATCH("SFP.CL.OTHER",DICT_KEY,0))&amp;"","??SFP.CL.OTHER")</f>
        <v>Other current liabilities and accruals</v>
      </c>
      <c r="C55" s="14"/>
      <c r="D55" s="26">
        <f t="shared" si="6"/>
        <v>2100</v>
      </c>
      <c r="E55" s="26">
        <f t="shared" si="7"/>
        <v>1900</v>
      </c>
      <c r="H55" s="10" t="s">
        <v>492</v>
      </c>
    </row>
    <row r="56" spans="2:8" x14ac:dyDescent="0.3">
      <c r="B56" s="14" t="str">
        <f>IFERROR(INDEX(DICT_ACTIVE,MATCH("SFP.CL.HFS",DICT_KEY,0))&amp;"","??SFP.CL.HFS")</f>
        <v>Liabilities associated with assets held for sale</v>
      </c>
      <c r="C56" s="14"/>
      <c r="D56" s="26">
        <f t="shared" si="6"/>
        <v>0</v>
      </c>
      <c r="E56" s="26">
        <f t="shared" si="7"/>
        <v>0</v>
      </c>
      <c r="H56" s="10" t="s">
        <v>495</v>
      </c>
    </row>
    <row r="57" spans="2:8" x14ac:dyDescent="0.3">
      <c r="B57" s="27" t="str">
        <f>IFERROR(INDEX(DICT_ACTIVE,MATCH("SFP.CL.TOTAL",DICT_KEY,0))&amp;"","??SFP.CL.TOTAL")</f>
        <v>Total current liabilities</v>
      </c>
      <c r="C57" s="27"/>
      <c r="D57" s="28">
        <f>SUMIFS(ENG_CYP,ENG_STMT,"SFP",ENG_CNC,"CL")</f>
        <v>14250</v>
      </c>
      <c r="E57" s="28">
        <f>SUMIFS(ENG_PYP,ENG_STMT,"SFP",ENG_CNC,"CL")</f>
        <v>12850</v>
      </c>
      <c r="H57" s="10" t="s">
        <v>498</v>
      </c>
    </row>
    <row r="58" spans="2:8" x14ac:dyDescent="0.3">
      <c r="B58" s="29" t="str">
        <f>IFERROR(INDEX(DICT_ACTIVE,MATCH("SFP.EQL.TOTAL",DICT_KEY,0))&amp;"","??SFP.EQL.TOTAL")</f>
        <v>TOTAL EQUITY AND LIABILITIES</v>
      </c>
      <c r="C58" s="29"/>
      <c r="D58" s="30">
        <f>D37+D46+D57</f>
        <v>83850</v>
      </c>
      <c r="E58" s="30">
        <f>E37+E46+E57</f>
        <v>71170</v>
      </c>
      <c r="H58" s="10" t="s">
        <v>501</v>
      </c>
    </row>
    <row r="60" spans="2:8" x14ac:dyDescent="0.3">
      <c r="B60" s="2" t="str">
        <f>IFERROR(INDEX(DICT_ACTIVE,MATCH("SFP.DIFF",DICT_KEY,0))&amp;"","??SFP.DIFF")</f>
        <v>Balance difference (must be zero)</v>
      </c>
      <c r="C60" s="14"/>
      <c r="D60" s="26">
        <f>ROUND(D29-D58,0)</f>
        <v>0</v>
      </c>
      <c r="E60" s="26">
        <f>ROUND(E29-E58,0)</f>
        <v>0</v>
      </c>
      <c r="H60" s="10" t="s">
        <v>504</v>
      </c>
    </row>
  </sheetData>
  <sheetProtection algorithmName="SHA-512" hashValue="ICVUj04bl1HHnUn/XUp8DZChdROY7FwmT+2X2xU4+jQLZCKFjJkOXbqP1zqJVggkfEtFwicKddE58l3Nmf4qOQ==" saltValue="3sZVkEMBva3XOl0s8i/J6Q==" spinCount="100000" sheet="1" objects="1" scenarios="1" formatCells="0" autoFilter="0" pivotTables="0"/>
  <conditionalFormatting sqref="D60:E60">
    <cfRule type="expression" dxfId="16" priority="1">
      <formula>D60&lt;&gt;0</formula>
    </cfRule>
    <cfRule type="expression" dxfId="15" priority="2">
      <formula>D60=0</formula>
    </cfRule>
  </conditionalFormatting>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unka8"/>
  <dimension ref="A1:J46"/>
  <sheetViews>
    <sheetView showGridLines="0" workbookViewId="0">
      <pane ySplit="4" topLeftCell="A5" activePane="bottomLeft" state="frozen"/>
      <selection pane="bottomLeft" activeCell="A2" sqref="A2"/>
    </sheetView>
  </sheetViews>
  <sheetFormatPr defaultRowHeight="14.4" x14ac:dyDescent="0.3"/>
  <cols>
    <col min="1" max="1" width="2" customWidth="1"/>
    <col min="2" max="2" width="62" customWidth="1"/>
    <col min="3" max="3" width="6" customWidth="1"/>
    <col min="4" max="5" width="16" customWidth="1"/>
    <col min="6" max="6" width="2" customWidth="1"/>
    <col min="8" max="10" width="13" hidden="1" customWidth="1"/>
  </cols>
  <sheetData>
    <row r="1" spans="1:8" ht="17.399999999999999" x14ac:dyDescent="0.3">
      <c r="A1" s="1" t="str">
        <f>IFERROR(INDEX(DICT_ACTIVE,MATCH("PL.TITLE",DICT_KEY,0))&amp;"","??PL.TITLE")</f>
        <v>Statement of profit or loss</v>
      </c>
    </row>
    <row r="2" spans="1:8" x14ac:dyDescent="0.3">
      <c r="B2" s="21" t="str">
        <f>EntityName</f>
        <v>Minta Zrt.</v>
      </c>
    </row>
    <row r="3" spans="1:8" x14ac:dyDescent="0.3">
      <c r="B3" s="2" t="str">
        <f>UnitLabel</f>
        <v>in thousands of HUF</v>
      </c>
    </row>
    <row r="4" spans="1:8" x14ac:dyDescent="0.3">
      <c r="B4" s="3"/>
      <c r="C4" s="22" t="str">
        <f>IFERROR(INDEX(DICT_ACTIVE,MATCH("UI.NOTE",DICT_KEY,0))&amp;"","??UI.NOTE")</f>
        <v>Note</v>
      </c>
      <c r="D4" s="31">
        <f>YEAR(RepDate)</f>
        <v>2026</v>
      </c>
      <c r="E4" s="31">
        <f>YEAR(PyDate)</f>
        <v>2025</v>
      </c>
    </row>
    <row r="5" spans="1:8" x14ac:dyDescent="0.3">
      <c r="B5" s="24" t="str">
        <f>IFERROR(INDEX(DICT_ACTIVE,MATCH("PL.CAT.OP",DICT_KEY,0))&amp;"","??PL.CAT.OP")</f>
        <v>Operating</v>
      </c>
      <c r="C5" s="24"/>
      <c r="D5" s="25"/>
      <c r="E5" s="25"/>
      <c r="H5" s="10" t="s">
        <v>512</v>
      </c>
    </row>
    <row r="6" spans="1:8" x14ac:dyDescent="0.3">
      <c r="B6" s="14" t="str">
        <f>IFERROR(INDEX(DICT_ACTIVE,MATCH("PL.OP.REVENUE",DICT_KEY,0))&amp;"","??PL.OP.REVENUE")</f>
        <v>Revenue</v>
      </c>
      <c r="C6" s="14"/>
      <c r="D6" s="26">
        <f t="shared" ref="D6:D16" si="0">IF($H6="","",INDEX(ENG_CYP,MATCH($H6,ENG_KEY,0)))</f>
        <v>90000</v>
      </c>
      <c r="E6" s="26">
        <f t="shared" ref="E6:E16" si="1">IF($H6="","",INDEX(ENG_PYP,MATCH($H6,ENG_KEY,0)))</f>
        <v>80000</v>
      </c>
      <c r="H6" s="10" t="s">
        <v>530</v>
      </c>
    </row>
    <row r="7" spans="1:8" x14ac:dyDescent="0.3">
      <c r="B7" s="14" t="str">
        <f>IFERROR(INDEX(DICT_ACTIVE,MATCH("PL.OP.OTHERINC",DICT_KEY,0))&amp;"","??PL.OP.OTHERINC")</f>
        <v>Other operating income</v>
      </c>
      <c r="C7" s="14"/>
      <c r="D7" s="26">
        <f t="shared" si="0"/>
        <v>1200</v>
      </c>
      <c r="E7" s="26">
        <f t="shared" si="1"/>
        <v>800</v>
      </c>
      <c r="H7" s="10" t="s">
        <v>533</v>
      </c>
    </row>
    <row r="8" spans="1:8" x14ac:dyDescent="0.3">
      <c r="B8" s="14" t="str">
        <f t="shared" ref="B8:B14" si="2">IF($H8="","",IFERROR(INDEX(DICT_ACTIVE,MATCH($H8,DICT_KEY,0))&amp;"","??"&amp;$H8))</f>
        <v>Raw materials, consumables and changes in inventories</v>
      </c>
      <c r="C8" s="14"/>
      <c r="D8" s="26">
        <f t="shared" si="0"/>
        <v>-43000</v>
      </c>
      <c r="E8" s="26">
        <f t="shared" si="1"/>
        <v>-38300</v>
      </c>
      <c r="H8" s="10" t="str">
        <f>IF(ExpIsFunction,IFERROR(INDEX(LIST_LINEKEYS_F_CODE,1)&amp;"",""),IFERROR(INDEX(LIST_LINEKEYS_N_CODE,1)&amp;"",""))</f>
        <v>PL.OP.N.MATERIALS</v>
      </c>
    </row>
    <row r="9" spans="1:8" x14ac:dyDescent="0.3">
      <c r="B9" s="14" t="str">
        <f t="shared" si="2"/>
        <v>Employee benefit expenses</v>
      </c>
      <c r="C9" s="14"/>
      <c r="D9" s="26">
        <f t="shared" si="0"/>
        <v>-15900</v>
      </c>
      <c r="E9" s="26">
        <f t="shared" si="1"/>
        <v>-14550</v>
      </c>
      <c r="H9" s="10" t="str">
        <f>IF(ExpIsFunction,IFERROR(INDEX(LIST_LINEKEYS_F_CODE,2)&amp;"",""),IFERROR(INDEX(LIST_LINEKEYS_N_CODE,2)&amp;"",""))</f>
        <v>PL.OP.N.EMPLOYEE</v>
      </c>
    </row>
    <row r="10" spans="1:8" x14ac:dyDescent="0.3">
      <c r="B10" s="14" t="str">
        <f t="shared" si="2"/>
        <v>Depreciation</v>
      </c>
      <c r="C10" s="14"/>
      <c r="D10" s="26">
        <f t="shared" si="0"/>
        <v>-4300</v>
      </c>
      <c r="E10" s="26">
        <f t="shared" si="1"/>
        <v>-3800</v>
      </c>
      <c r="H10" s="10" t="str">
        <f>IF(ExpIsFunction,IFERROR(INDEX(LIST_LINEKEYS_F_CODE,3)&amp;"",""),IFERROR(INDEX(LIST_LINEKEYS_N_CODE,3)&amp;"",""))</f>
        <v>PL.OP.N.DEP</v>
      </c>
    </row>
    <row r="11" spans="1:8" x14ac:dyDescent="0.3">
      <c r="B11" s="14" t="str">
        <f t="shared" si="2"/>
        <v>Amortisation</v>
      </c>
      <c r="C11" s="14"/>
      <c r="D11" s="26">
        <f t="shared" si="0"/>
        <v>-300</v>
      </c>
      <c r="E11" s="26">
        <f t="shared" si="1"/>
        <v>-250</v>
      </c>
      <c r="H11" s="10" t="str">
        <f>IF(ExpIsFunction,IFERROR(INDEX(LIST_LINEKEYS_F_CODE,4)&amp;"",""),IFERROR(INDEX(LIST_LINEKEYS_N_CODE,4)&amp;"",""))</f>
        <v>PL.OP.N.AMORT</v>
      </c>
    </row>
    <row r="12" spans="1:8" x14ac:dyDescent="0.3">
      <c r="B12" s="14" t="str">
        <f t="shared" si="2"/>
        <v>Impairment losses and reversals</v>
      </c>
      <c r="C12" s="14"/>
      <c r="D12" s="26">
        <f t="shared" si="0"/>
        <v>-90</v>
      </c>
      <c r="E12" s="26">
        <f t="shared" si="1"/>
        <v>-70</v>
      </c>
      <c r="H12" s="10" t="str">
        <f>IF(ExpIsFunction,IFERROR(INDEX(LIST_LINEKEYS_F_CODE,5)&amp;"",""),IFERROR(INDEX(LIST_LINEKEYS_N_CODE,5)&amp;"",""))</f>
        <v>PL.OP.N.IMPAIR</v>
      </c>
    </row>
    <row r="13" spans="1:8" x14ac:dyDescent="0.3">
      <c r="B13" s="14" t="str">
        <f t="shared" si="2"/>
        <v>Write-downs of inventories and reversals</v>
      </c>
      <c r="C13" s="14"/>
      <c r="D13" s="26">
        <f t="shared" si="0"/>
        <v>-200</v>
      </c>
      <c r="E13" s="26">
        <f t="shared" si="1"/>
        <v>-150</v>
      </c>
      <c r="H13" s="10" t="str">
        <f>IF(ExpIsFunction,IFERROR(INDEX(LIST_LINEKEYS_F_CODE,6)&amp;"",""),IFERROR(INDEX(LIST_LINEKEYS_N_CODE,6)&amp;"",""))</f>
        <v>PL.OP.N.INVWRITE</v>
      </c>
    </row>
    <row r="14" spans="1:8" x14ac:dyDescent="0.3">
      <c r="B14" s="14" t="str">
        <f t="shared" si="2"/>
        <v>Other expenses by nature</v>
      </c>
      <c r="C14" s="14"/>
      <c r="D14" s="26">
        <f t="shared" si="0"/>
        <v>-9500</v>
      </c>
      <c r="E14" s="26">
        <f t="shared" si="1"/>
        <v>-8600</v>
      </c>
      <c r="H14" s="10" t="str">
        <f>IF(ExpIsFunction,IFERROR(INDEX(LIST_LINEKEYS_F_CODE,7)&amp;"",""),IFERROR(INDEX(LIST_LINEKEYS_N_CODE,7)&amp;"",""))</f>
        <v>PL.OP.N.OTHER</v>
      </c>
    </row>
    <row r="15" spans="1:8" x14ac:dyDescent="0.3">
      <c r="B15" s="14" t="str">
        <f>IFERROR(INDEX(DICT_ACTIVE,MATCH("PL.OP.FX",DICT_KEY,0))&amp;"","??PL.OP.FX")</f>
        <v>Foreign exchange differences - operating</v>
      </c>
      <c r="C15" s="14"/>
      <c r="D15" s="26">
        <f t="shared" si="0"/>
        <v>-150</v>
      </c>
      <c r="E15" s="26">
        <f t="shared" si="1"/>
        <v>80</v>
      </c>
      <c r="H15" s="10" t="s">
        <v>572</v>
      </c>
    </row>
    <row r="16" spans="1:8" x14ac:dyDescent="0.3">
      <c r="B16" s="14" t="str">
        <f>IFERROR(INDEX(DICT_ACTIVE,MATCH("PL.OP.OTHEREXP",DICT_KEY,0))&amp;"","??PL.OP.OTHEREXP")</f>
        <v>Other operating expenses</v>
      </c>
      <c r="C16" s="14"/>
      <c r="D16" s="26">
        <f t="shared" si="0"/>
        <v>-1100</v>
      </c>
      <c r="E16" s="26">
        <f t="shared" si="1"/>
        <v>-950</v>
      </c>
      <c r="H16" s="10" t="s">
        <v>575</v>
      </c>
    </row>
    <row r="17" spans="2:10" x14ac:dyDescent="0.3">
      <c r="B17" s="27" t="str">
        <f>IFERROR(INDEX(DICT_ACTIVE,MATCH("PL.SUB.OP",DICT_KEY,0))&amp;"","??PL.SUB.OP")</f>
        <v>Operating profit or loss</v>
      </c>
      <c r="C17" s="27"/>
      <c r="D17" s="28">
        <f>SUMIFS(ENG_CYP,ENG_STMT,"PL",ENG_CAT,"OP")</f>
        <v>16660</v>
      </c>
      <c r="E17" s="28">
        <f>SUMIFS(ENG_PYP,ENG_STMT,"PL",ENG_CAT,"OP")</f>
        <v>14210</v>
      </c>
      <c r="H17" s="10" t="s">
        <v>578</v>
      </c>
    </row>
    <row r="18" spans="2:10" x14ac:dyDescent="0.3">
      <c r="B18" s="32" t="str">
        <f>IF(ShowEbitda="Yes",IFERROR(INDEX(DICT_ACTIVE,MATCH("PL.SUB.EBITDA",DICT_KEY,0))&amp;"","??PL.SUB.EBITDA"),"")</f>
        <v/>
      </c>
      <c r="C18" s="32"/>
      <c r="D18" s="32" t="str">
        <f>IF(ShowEbitda="Yes",I18,"")</f>
        <v/>
      </c>
      <c r="E18" s="32" t="str">
        <f>IF(ShowEbitda="Yes",J18,"")</f>
        <v/>
      </c>
      <c r="I18" s="10">
        <f>D17+INDEX(ENG_NATCY,MATCH("PL.OP.N.DEP",ENG_KEY,0))+INDEX(ENG_NATCY,MATCH("PL.OP.N.AMORT",ENG_KEY,0))+INDEX(ENG_NATCY,MATCH("PL.OP.N.IMPAIR",ENG_KEY,0))-INDEX(CFT_CY,MATCH("NC.IMPAIR.RECEIV",CFT_TAG,0))</f>
        <v>21260</v>
      </c>
      <c r="J18" s="10">
        <f>E17+INDEX(ENG_NATPY,MATCH("PL.OP.N.DEP",ENG_KEY,0))+INDEX(ENG_NATPY,MATCH("PL.OP.N.AMORT",ENG_KEY,0))+INDEX(ENG_NATPY,MATCH("PL.OP.N.IMPAIR",ENG_KEY,0))-INDEX(CFT_PY,MATCH("NC.IMPAIR.RECEIV",CFT_TAG,0))</f>
        <v>18260</v>
      </c>
    </row>
    <row r="20" spans="2:10" x14ac:dyDescent="0.3">
      <c r="B20" s="24" t="str">
        <f>IFERROR(INDEX(DICT_ACTIVE,MATCH("PL.CAT.INV",DICT_KEY,0))&amp;"","??PL.CAT.INV")</f>
        <v>Investing</v>
      </c>
      <c r="C20" s="24"/>
      <c r="D20" s="25"/>
      <c r="E20" s="25"/>
      <c r="H20" s="10" t="s">
        <v>515</v>
      </c>
    </row>
    <row r="21" spans="2:10" x14ac:dyDescent="0.3">
      <c r="B21" s="14" t="str">
        <f>IFERROR(INDEX(DICT_ACTIVE,MATCH("PL.INV.ASSOC",DICT_KEY,0))&amp;"","??PL.INV.ASSOC")</f>
        <v>Share of profit or loss of associates and joint ventures</v>
      </c>
      <c r="C21" s="14"/>
      <c r="D21" s="26">
        <f>IF($H21="","",INDEX(ENG_CYP,MATCH($H21,ENG_KEY,0)))</f>
        <v>200</v>
      </c>
      <c r="E21" s="26">
        <f>IF($H21="","",INDEX(ENG_PYP,MATCH($H21,ENG_KEY,0)))</f>
        <v>150</v>
      </c>
      <c r="H21" s="10" t="s">
        <v>581</v>
      </c>
    </row>
    <row r="22" spans="2:10" x14ac:dyDescent="0.3">
      <c r="B22" s="14" t="str">
        <f>IFERROR(INDEX(DICT_ACTIVE,MATCH("PL.INV.INTCASH",DICT_KEY,0))&amp;"","??PL.INV.INTCASH")</f>
        <v>Interest income on cash and cash equivalents</v>
      </c>
      <c r="C22" s="14"/>
      <c r="D22" s="26">
        <f>IF($H22="","",INDEX(ENG_CYP,MATCH($H22,ENG_KEY,0)))</f>
        <v>250</v>
      </c>
      <c r="E22" s="26">
        <f>IF($H22="","",INDEX(ENG_PYP,MATCH($H22,ENG_KEY,0)))</f>
        <v>180</v>
      </c>
      <c r="H22" s="10" t="s">
        <v>584</v>
      </c>
    </row>
    <row r="23" spans="2:10" x14ac:dyDescent="0.3">
      <c r="B23" s="14" t="str">
        <f>IFERROR(INDEX(DICT_ACTIVE,MATCH("PL.INV.INVPROP",DICT_KEY,0))&amp;"","??PL.INV.INVPROP")</f>
        <v>Income from investment property</v>
      </c>
      <c r="C23" s="14"/>
      <c r="D23" s="26">
        <f>IF($H23="","",INDEX(ENG_CYP,MATCH($H23,ENG_KEY,0)))</f>
        <v>0</v>
      </c>
      <c r="E23" s="26">
        <f>IF($H23="","",INDEX(ENG_PYP,MATCH($H23,ENG_KEY,0)))</f>
        <v>0</v>
      </c>
      <c r="H23" s="10" t="s">
        <v>587</v>
      </c>
    </row>
    <row r="24" spans="2:10" x14ac:dyDescent="0.3">
      <c r="B24" s="14" t="str">
        <f>IFERROR(INDEX(DICT_ACTIVE,MATCH("PL.INV.FINASSET",DICT_KEY,0))&amp;"","??PL.INV.FINASSET")</f>
        <v>Income from other financial assets</v>
      </c>
      <c r="C24" s="14"/>
      <c r="D24" s="26">
        <f>IF($H24="","",INDEX(ENG_CYP,MATCH($H24,ENG_KEY,0)))</f>
        <v>0</v>
      </c>
      <c r="E24" s="26">
        <f>IF($H24="","",INDEX(ENG_PYP,MATCH($H24,ENG_KEY,0)))</f>
        <v>0</v>
      </c>
      <c r="H24" s="10" t="s">
        <v>590</v>
      </c>
    </row>
    <row r="25" spans="2:10" x14ac:dyDescent="0.3">
      <c r="B25" s="14" t="str">
        <f>IFERROR(INDEX(DICT_ACTIVE,MATCH("PL.INV.OTHER",DICT_KEY,0))&amp;"","??PL.INV.OTHER")</f>
        <v>Other investing income and expenses</v>
      </c>
      <c r="C25" s="14"/>
      <c r="D25" s="26">
        <f>IF($H25="","",INDEX(ENG_CYP,MATCH($H25,ENG_KEY,0)))</f>
        <v>0</v>
      </c>
      <c r="E25" s="26">
        <f>IF($H25="","",INDEX(ENG_PYP,MATCH($H25,ENG_KEY,0)))</f>
        <v>0</v>
      </c>
      <c r="H25" s="10" t="s">
        <v>593</v>
      </c>
    </row>
    <row r="26" spans="2:10" x14ac:dyDescent="0.3">
      <c r="B26" s="27" t="str">
        <f>IFERROR(INDEX(DICT_ACTIVE,MATCH("PL.SUB.PBFIT",DICT_KEY,0))&amp;"","??PL.SUB.PBFIT")</f>
        <v>Profit or loss before financing and income taxes</v>
      </c>
      <c r="C26" s="27"/>
      <c r="D26" s="28">
        <f>D17+SUMIFS(ENG_CYP,ENG_STMT,"PL",ENG_CAT,"INV")</f>
        <v>17110</v>
      </c>
      <c r="E26" s="28">
        <f>E17+SUMIFS(ENG_PYP,ENG_STMT,"PL",ENG_CAT,"INV")</f>
        <v>14540</v>
      </c>
      <c r="H26" s="10" t="s">
        <v>596</v>
      </c>
    </row>
    <row r="28" spans="2:10" x14ac:dyDescent="0.3">
      <c r="B28" s="24" t="str">
        <f>IFERROR(INDEX(DICT_ACTIVE,MATCH("PL.CAT.FIN",DICT_KEY,0))&amp;"","??PL.CAT.FIN")</f>
        <v>Financing</v>
      </c>
      <c r="C28" s="24"/>
      <c r="D28" s="25"/>
      <c r="E28" s="25"/>
      <c r="H28" s="10" t="s">
        <v>518</v>
      </c>
    </row>
    <row r="29" spans="2:10" x14ac:dyDescent="0.3">
      <c r="B29" s="14" t="str">
        <f>IFERROR(INDEX(DICT_ACTIVE,MATCH("PL.FIN.INTBORROW",DICT_KEY,0))&amp;"","??PL.FIN.INTBORROW")</f>
        <v>Interest expense on borrowings</v>
      </c>
      <c r="C29" s="14"/>
      <c r="D29" s="26">
        <f t="shared" ref="D29:D34" si="3">IF($H29="","",INDEX(ENG_CYP,MATCH($H29,ENG_KEY,0)))</f>
        <v>-1100</v>
      </c>
      <c r="E29" s="26">
        <f t="shared" ref="E29:E34" si="4">IF($H29="","",INDEX(ENG_PYP,MATCH($H29,ENG_KEY,0)))</f>
        <v>-1250</v>
      </c>
      <c r="H29" s="10" t="s">
        <v>599</v>
      </c>
    </row>
    <row r="30" spans="2:10" x14ac:dyDescent="0.3">
      <c r="B30" s="14" t="str">
        <f>IFERROR(INDEX(DICT_ACTIVE,MATCH("PL.FIN.INTLEASE",DICT_KEY,0))&amp;"","??PL.FIN.INTLEASE")</f>
        <v>Interest on lease liabilities</v>
      </c>
      <c r="C30" s="14"/>
      <c r="D30" s="26">
        <f t="shared" si="3"/>
        <v>-250</v>
      </c>
      <c r="E30" s="26">
        <f t="shared" si="4"/>
        <v>-300</v>
      </c>
      <c r="H30" s="10" t="s">
        <v>602</v>
      </c>
    </row>
    <row r="31" spans="2:10" x14ac:dyDescent="0.3">
      <c r="B31" s="14" t="str">
        <f>IFERROR(INDEX(DICT_ACTIVE,MATCH("PL.FIN.UNWIND",DICT_KEY,0))&amp;"","??PL.FIN.UNWIND")</f>
        <v>Unwinding of discount on provisions</v>
      </c>
      <c r="C31" s="14"/>
      <c r="D31" s="26">
        <f t="shared" si="3"/>
        <v>0</v>
      </c>
      <c r="E31" s="26">
        <f t="shared" si="4"/>
        <v>0</v>
      </c>
      <c r="H31" s="10" t="s">
        <v>605</v>
      </c>
    </row>
    <row r="32" spans="2:10" x14ac:dyDescent="0.3">
      <c r="B32" s="14" t="str">
        <f>IFERROR(INDEX(DICT_ACTIVE,MATCH("PL.FIN.EMPBEN",DICT_KEY,0))&amp;"","??PL.FIN.EMPBEN")</f>
        <v>Net interest on employee benefit liabilities</v>
      </c>
      <c r="C32" s="14"/>
      <c r="D32" s="26">
        <f t="shared" si="3"/>
        <v>0</v>
      </c>
      <c r="E32" s="26">
        <f t="shared" si="4"/>
        <v>0</v>
      </c>
      <c r="H32" s="10" t="s">
        <v>608</v>
      </c>
    </row>
    <row r="33" spans="2:8" x14ac:dyDescent="0.3">
      <c r="B33" s="14" t="str">
        <f>IFERROR(INDEX(DICT_ACTIVE,MATCH("PL.FIN.FX",DICT_KEY,0))&amp;"","??PL.FIN.FX")</f>
        <v>Foreign exchange differences - financing</v>
      </c>
      <c r="C33" s="14"/>
      <c r="D33" s="26">
        <f t="shared" si="3"/>
        <v>-80</v>
      </c>
      <c r="E33" s="26">
        <f t="shared" si="4"/>
        <v>-120</v>
      </c>
      <c r="H33" s="10" t="s">
        <v>611</v>
      </c>
    </row>
    <row r="34" spans="2:8" x14ac:dyDescent="0.3">
      <c r="B34" s="14" t="str">
        <f>IFERROR(INDEX(DICT_ACTIVE,MATCH("PL.FIN.OTHER",DICT_KEY,0))&amp;"","??PL.FIN.OTHER")</f>
        <v>Other financing income and expenses</v>
      </c>
      <c r="C34" s="14"/>
      <c r="D34" s="26">
        <f t="shared" si="3"/>
        <v>0</v>
      </c>
      <c r="E34" s="26">
        <f t="shared" si="4"/>
        <v>0</v>
      </c>
      <c r="H34" s="10" t="s">
        <v>614</v>
      </c>
    </row>
    <row r="35" spans="2:8" x14ac:dyDescent="0.3">
      <c r="B35" s="27" t="str">
        <f>IFERROR(INDEX(DICT_ACTIVE,MATCH("PL.SUB.PBT",DICT_KEY,0))&amp;"","??PL.SUB.PBT")</f>
        <v>Profit or loss before income taxes</v>
      </c>
      <c r="C35" s="27"/>
      <c r="D35" s="28">
        <f>D26+SUMIFS(ENG_CYP,ENG_STMT,"PL",ENG_CAT,"FIN")</f>
        <v>15680</v>
      </c>
      <c r="E35" s="28">
        <f>E26+SUMIFS(ENG_PYP,ENG_STMT,"PL",ENG_CAT,"FIN")</f>
        <v>12870</v>
      </c>
      <c r="H35" s="10" t="s">
        <v>617</v>
      </c>
    </row>
    <row r="37" spans="2:8" x14ac:dyDescent="0.3">
      <c r="B37" s="24" t="str">
        <f>IFERROR(INDEX(DICT_ACTIVE,MATCH("PL.CAT.TAX",DICT_KEY,0))&amp;"","??PL.CAT.TAX")</f>
        <v>Income taxes</v>
      </c>
      <c r="C37" s="24"/>
      <c r="D37" s="25"/>
      <c r="E37" s="25"/>
      <c r="H37" s="10" t="s">
        <v>521</v>
      </c>
    </row>
    <row r="38" spans="2:8" x14ac:dyDescent="0.3">
      <c r="B38" s="14" t="str">
        <f>IFERROR(INDEX(DICT_ACTIVE,MATCH("PL.TAX.CURRENT",DICT_KEY,0))&amp;"","??PL.TAX.CURRENT")</f>
        <v>Current tax expense</v>
      </c>
      <c r="C38" s="14"/>
      <c r="D38" s="26">
        <f>IF($H38="","",INDEX(ENG_CYP,MATCH($H38,ENG_KEY,0)))</f>
        <v>-900</v>
      </c>
      <c r="E38" s="26">
        <f>IF($H38="","",INDEX(ENG_PYP,MATCH($H38,ENG_KEY,0)))</f>
        <v>-750</v>
      </c>
      <c r="H38" s="10" t="s">
        <v>620</v>
      </c>
    </row>
    <row r="39" spans="2:8" x14ac:dyDescent="0.3">
      <c r="B39" s="14" t="str">
        <f>IFERROR(INDEX(DICT_ACTIVE,MATCH("PL.TAX.DEFERRED",DICT_KEY,0))&amp;"","??PL.TAX.DEFERRED")</f>
        <v>Deferred tax expense</v>
      </c>
      <c r="C39" s="14"/>
      <c r="D39" s="26">
        <f>IF($H39="","",INDEX(ENG_CYP,MATCH($H39,ENG_KEY,0)))</f>
        <v>-50</v>
      </c>
      <c r="E39" s="26">
        <f>IF($H39="","",INDEX(ENG_PYP,MATCH($H39,ENG_KEY,0)))</f>
        <v>0</v>
      </c>
      <c r="H39" s="10" t="s">
        <v>623</v>
      </c>
    </row>
    <row r="40" spans="2:8" x14ac:dyDescent="0.3">
      <c r="B40" s="27" t="str">
        <f>IFERROR(INDEX(DICT_ACTIVE,MATCH("PL.SUB.CONT",DICT_KEY,0))&amp;"","??PL.SUB.CONT")</f>
        <v>Profit or loss from continuing operations</v>
      </c>
      <c r="C40" s="27"/>
      <c r="D40" s="28">
        <f>D35+SUMIFS(ENG_CYP,ENG_STMT,"PL",ENG_CAT,"TAX")</f>
        <v>14730</v>
      </c>
      <c r="E40" s="28">
        <f>E35+SUMIFS(ENG_PYP,ENG_STMT,"PL",ENG_CAT,"TAX")</f>
        <v>12120</v>
      </c>
      <c r="H40" s="10" t="s">
        <v>626</v>
      </c>
    </row>
    <row r="42" spans="2:8" x14ac:dyDescent="0.3">
      <c r="B42" s="24" t="str">
        <f>IFERROR(INDEX(DICT_ACTIVE,MATCH("PL.CAT.DISC",DICT_KEY,0))&amp;"","??PL.CAT.DISC")</f>
        <v>Discontinued operations</v>
      </c>
      <c r="C42" s="24"/>
      <c r="D42" s="25"/>
      <c r="E42" s="25"/>
      <c r="H42" s="10" t="s">
        <v>524</v>
      </c>
    </row>
    <row r="43" spans="2:8" x14ac:dyDescent="0.3">
      <c r="B43" s="14" t="str">
        <f>IFERROR(INDEX(DICT_ACTIVE,MATCH("PL.DISC.RESULT",DICT_KEY,0))&amp;"","??PL.DISC.RESULT")</f>
        <v>Profit or loss from discontinued operations</v>
      </c>
      <c r="C43" s="14"/>
      <c r="D43" s="26">
        <f>IF($H43="","",INDEX(ENG_CYP,MATCH($H43,ENG_KEY,0)))</f>
        <v>0</v>
      </c>
      <c r="E43" s="26">
        <f>IF($H43="","",INDEX(ENG_PYP,MATCH($H43,ENG_KEY,0)))</f>
        <v>0</v>
      </c>
      <c r="H43" s="10" t="s">
        <v>629</v>
      </c>
    </row>
    <row r="44" spans="2:8" x14ac:dyDescent="0.3">
      <c r="B44" s="29" t="str">
        <f>IFERROR(INDEX(DICT_ACTIVE,MATCH("PL.SUB.PL",DICT_KEY,0))&amp;"","??PL.SUB.PL")</f>
        <v>Profit or loss for the year</v>
      </c>
      <c r="C44" s="29"/>
      <c r="D44" s="30">
        <f>D40+SUMIFS(ENG_CYP,ENG_STMT,"PL",ENG_CAT,"DISC")</f>
        <v>14730</v>
      </c>
      <c r="E44" s="30">
        <f>E40+SUMIFS(ENG_PYP,ENG_STMT,"PL",ENG_CAT,"DISC")</f>
        <v>12120</v>
      </c>
      <c r="H44" s="10" t="s">
        <v>632</v>
      </c>
    </row>
    <row r="46" spans="2:8" x14ac:dyDescent="0.3">
      <c r="B46" s="33" t="str">
        <f>IF(SUMIFS(ENG_CYP,ENG_STMT,"PL")=0,"",IF(SUMPRODUCT(ISNUMBER(SEARCH("OTHER",ENG_KEY))*(ABS(ENG_CYP)&gt;OtherThreshold))&gt;0,IFERROR(INDEX(DICT_ACTIVE,MATCH("PL.WARN.OTHER",DICT_KEY,0))&amp;"","??PL.WARN.OTHER"),""))</f>
        <v>Material 'Other' line - disaggregate or explain (IFRS 18)</v>
      </c>
    </row>
  </sheetData>
  <sheetProtection algorithmName="SHA-512" hashValue="NRME45y6IAisF4fTF9jm47FUyF77OrB2Qg6HgxAKc6wdQXtF43ckLJMIAa123rrp5v49k76rAlVd+uOdVfSd/g==" saltValue="ABuHp3Nmc1l13hb8loLinA==" spinCount="100000" sheet="1" objects="1" scenarios="1" formatCells="0" autoFilter="0" pivotTables="0"/>
  <conditionalFormatting sqref="D5:E44">
    <cfRule type="expression" dxfId="14" priority="1">
      <formula>AND(ISNUMBER(SEARCH("OTHER",$H5)),ISNUMBER(D5),ABS(N(D5))&gt;OtherThreshold)</formula>
    </cfRule>
  </conditionalFormatting>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unka9"/>
  <dimension ref="A1:H19"/>
  <sheetViews>
    <sheetView showGridLines="0" workbookViewId="0">
      <pane ySplit="4" topLeftCell="A5" activePane="bottomLeft" state="frozen"/>
      <selection pane="bottomLeft" activeCell="A2" sqref="A2"/>
    </sheetView>
  </sheetViews>
  <sheetFormatPr defaultRowHeight="14.4" x14ac:dyDescent="0.3"/>
  <cols>
    <col min="1" max="1" width="2" customWidth="1"/>
    <col min="2" max="2" width="62" customWidth="1"/>
    <col min="3" max="3" width="6" customWidth="1"/>
    <col min="4" max="5" width="16" customWidth="1"/>
    <col min="6" max="6" width="2" customWidth="1"/>
    <col min="8" max="8" width="13" hidden="1" customWidth="1"/>
  </cols>
  <sheetData>
    <row r="1" spans="1:8" ht="17.399999999999999" x14ac:dyDescent="0.3">
      <c r="A1" s="1" t="str">
        <f>IFERROR(INDEX(DICT_ACTIVE,MATCH("OCI.TITLE",DICT_KEY,0))&amp;"","??OCI.TITLE")</f>
        <v>Statement presenting comprehensive income</v>
      </c>
    </row>
    <row r="2" spans="1:8" x14ac:dyDescent="0.3">
      <c r="B2" s="21" t="str">
        <f>EntityName</f>
        <v>Minta Zrt.</v>
      </c>
    </row>
    <row r="3" spans="1:8" x14ac:dyDescent="0.3">
      <c r="B3" s="2" t="str">
        <f>UnitLabel</f>
        <v>in thousands of HUF</v>
      </c>
    </row>
    <row r="4" spans="1:8" x14ac:dyDescent="0.3">
      <c r="B4" s="3"/>
      <c r="C4" s="22" t="str">
        <f>IFERROR(INDEX(DICT_ACTIVE,MATCH("UI.NOTE",DICT_KEY,0))&amp;"","??UI.NOTE")</f>
        <v>Note</v>
      </c>
      <c r="D4" s="31">
        <f>YEAR(RepDate)</f>
        <v>2026</v>
      </c>
      <c r="E4" s="31">
        <f>YEAR(PyDate)</f>
        <v>2025</v>
      </c>
    </row>
    <row r="5" spans="1:8" x14ac:dyDescent="0.3">
      <c r="B5" s="27" t="str">
        <f>IFERROR(INDEX(DICT_ACTIVE,MATCH("OCI.PL",DICT_KEY,0))&amp;"","??OCI.PL")</f>
        <v>Profit or loss for the year</v>
      </c>
      <c r="C5" s="27"/>
      <c r="D5" s="28">
        <f>PL_PROFIT_CY</f>
        <v>14730</v>
      </c>
      <c r="E5" s="28">
        <f>PL_PROFIT_PY</f>
        <v>12120</v>
      </c>
      <c r="H5" s="10" t="s">
        <v>646</v>
      </c>
    </row>
    <row r="7" spans="1:8" x14ac:dyDescent="0.3">
      <c r="B7" s="24" t="str">
        <f>IFERROR(INDEX(DICT_ACTIVE,MATCH("OCI.NR",DICT_KEY,0))&amp;"","??OCI.NR")</f>
        <v>Items that will not be reclassified subsequently to profit or loss</v>
      </c>
      <c r="C7" s="24"/>
      <c r="D7" s="25"/>
      <c r="E7" s="25"/>
      <c r="H7" s="10" t="s">
        <v>647</v>
      </c>
    </row>
    <row r="8" spans="1:8" x14ac:dyDescent="0.3">
      <c r="B8" s="14" t="str">
        <f>IFERROR(INDEX(DICT_ACTIVE,MATCH("OCI.NR.REVAL",DICT_KEY,0))&amp;"","??OCI.NR.REVAL")</f>
        <v>Revaluation of property, plant and equipment</v>
      </c>
      <c r="C8" s="14"/>
      <c r="D8" s="26">
        <f>IF($H8="","",INDEX(ENG_CYP,MATCH($H8,ENG_KEY,0)))</f>
        <v>100</v>
      </c>
      <c r="E8" s="26">
        <f>IF($H8="","",INDEX(ENG_PYP,MATCH($H8,ENG_KEY,0)))</f>
        <v>150</v>
      </c>
      <c r="H8" s="10" t="s">
        <v>650</v>
      </c>
    </row>
    <row r="9" spans="1:8" x14ac:dyDescent="0.3">
      <c r="B9" s="14" t="str">
        <f>IFERROR(INDEX(DICT_ACTIVE,MATCH("OCI.NR.DBP",DICT_KEY,0))&amp;"","??OCI.NR.DBP")</f>
        <v>Remeasurement of defined benefit plans</v>
      </c>
      <c r="C9" s="14"/>
      <c r="D9" s="26">
        <f>IF($H9="","",INDEX(ENG_CYP,MATCH($H9,ENG_KEY,0)))</f>
        <v>0</v>
      </c>
      <c r="E9" s="26">
        <f>IF($H9="","",INDEX(ENG_PYP,MATCH($H9,ENG_KEY,0)))</f>
        <v>0</v>
      </c>
      <c r="H9" s="10" t="s">
        <v>653</v>
      </c>
    </row>
    <row r="10" spans="1:8" x14ac:dyDescent="0.3">
      <c r="B10" s="14" t="str">
        <f>IFERROR(INDEX(DICT_ACTIVE,MATCH("OCI.NR.FVOCI.EQ",DICT_KEY,0))&amp;"","??OCI.NR.FVOCI.EQ")</f>
        <v>Equity instruments at fair value through OCI</v>
      </c>
      <c r="C10" s="14"/>
      <c r="D10" s="26">
        <f>IF($H10="","",INDEX(ENG_CYP,MATCH($H10,ENG_KEY,0)))</f>
        <v>0</v>
      </c>
      <c r="E10" s="26">
        <f>IF($H10="","",INDEX(ENG_PYP,MATCH($H10,ENG_KEY,0)))</f>
        <v>0</v>
      </c>
      <c r="H10" s="10" t="s">
        <v>656</v>
      </c>
    </row>
    <row r="11" spans="1:8" x14ac:dyDescent="0.3">
      <c r="B11" s="14" t="str">
        <f>IFERROR(INDEX(DICT_ACTIVE,MATCH("OCI.TAX.NR",DICT_KEY,0))&amp;"","??OCI.TAX.NR")</f>
        <v>Income tax on items that will not be reclassified</v>
      </c>
      <c r="C11" s="14"/>
      <c r="D11" s="26">
        <f>IF($H11="","",INDEX(ENG_CYP,MATCH($H11,ENG_KEY,0)))</f>
        <v>0</v>
      </c>
      <c r="E11" s="26">
        <f>IF($H11="","",INDEX(ENG_PYP,MATCH($H11,ENG_KEY,0)))</f>
        <v>0</v>
      </c>
      <c r="H11" s="10" t="s">
        <v>659</v>
      </c>
    </row>
    <row r="13" spans="1:8" x14ac:dyDescent="0.3">
      <c r="B13" s="24" t="str">
        <f>IFERROR(INDEX(DICT_ACTIVE,MATCH("OCI.R",DICT_KEY,0))&amp;"","??OCI.R")</f>
        <v>Items that may be reclassified subsequently to profit or loss</v>
      </c>
      <c r="C13" s="24"/>
      <c r="D13" s="25"/>
      <c r="E13" s="25"/>
      <c r="H13" s="10" t="s">
        <v>662</v>
      </c>
    </row>
    <row r="14" spans="1:8" x14ac:dyDescent="0.3">
      <c r="B14" s="14" t="str">
        <f>IFERROR(INDEX(DICT_ACTIVE,MATCH("OCI.R.FVOCI.DEBT",DICT_KEY,0))&amp;"","??OCI.R.FVOCI.DEBT")</f>
        <v>Debt instruments at fair value through OCI</v>
      </c>
      <c r="C14" s="14"/>
      <c r="D14" s="26">
        <f>IF($H14="","",INDEX(ENG_CYP,MATCH($H14,ENG_KEY,0)))</f>
        <v>0</v>
      </c>
      <c r="E14" s="26">
        <f>IF($H14="","",INDEX(ENG_PYP,MATCH($H14,ENG_KEY,0)))</f>
        <v>0</v>
      </c>
      <c r="H14" s="10" t="s">
        <v>665</v>
      </c>
    </row>
    <row r="15" spans="1:8" x14ac:dyDescent="0.3">
      <c r="B15" s="14" t="str">
        <f>IFERROR(INDEX(DICT_ACTIVE,MATCH("OCI.R.HEDGE",DICT_KEY,0))&amp;"","??OCI.R.HEDGE")</f>
        <v>Cash flow hedges</v>
      </c>
      <c r="C15" s="14"/>
      <c r="D15" s="26">
        <f>IF($H15="","",INDEX(ENG_CYP,MATCH($H15,ENG_KEY,0)))</f>
        <v>0</v>
      </c>
      <c r="E15" s="26">
        <f>IF($H15="","",INDEX(ENG_PYP,MATCH($H15,ENG_KEY,0)))</f>
        <v>0</v>
      </c>
      <c r="H15" s="10" t="s">
        <v>668</v>
      </c>
    </row>
    <row r="16" spans="1:8" x14ac:dyDescent="0.3">
      <c r="B16" s="14" t="str">
        <f>IFERROR(INDEX(DICT_ACTIVE,MATCH("OCI.R.FX",DICT_KEY,0))&amp;"","??OCI.R.FX")</f>
        <v>Exchange differences on translating foreign operations</v>
      </c>
      <c r="C16" s="14"/>
      <c r="D16" s="26">
        <f>IF($H16="","",INDEX(ENG_CYP,MATCH($H16,ENG_KEY,0)))</f>
        <v>0</v>
      </c>
      <c r="E16" s="26">
        <f>IF($H16="","",INDEX(ENG_PYP,MATCH($H16,ENG_KEY,0)))</f>
        <v>0</v>
      </c>
      <c r="H16" s="10" t="s">
        <v>671</v>
      </c>
    </row>
    <row r="17" spans="2:8" x14ac:dyDescent="0.3">
      <c r="B17" s="14" t="str">
        <f>IFERROR(INDEX(DICT_ACTIVE,MATCH("OCI.TAX.R",DICT_KEY,0))&amp;"","??OCI.TAX.R")</f>
        <v>Income tax on items that may be reclassified</v>
      </c>
      <c r="C17" s="14"/>
      <c r="D17" s="26">
        <f>IF($H17="","",INDEX(ENG_CYP,MATCH($H17,ENG_KEY,0)))</f>
        <v>0</v>
      </c>
      <c r="E17" s="26">
        <f>IF($H17="","",INDEX(ENG_PYP,MATCH($H17,ENG_KEY,0)))</f>
        <v>0</v>
      </c>
      <c r="H17" s="10" t="s">
        <v>674</v>
      </c>
    </row>
    <row r="18" spans="2:8" x14ac:dyDescent="0.3">
      <c r="B18" s="27" t="str">
        <f>IFERROR(INDEX(DICT_ACTIVE,MATCH("OCI.TOTAL",DICT_KEY,0))&amp;"","??OCI.TOTAL")</f>
        <v>Other comprehensive income for the year, net of tax</v>
      </c>
      <c r="C18" s="27"/>
      <c r="D18" s="28">
        <f>SUMIFS(ENG_CYP,ENG_STMT,"OCI")</f>
        <v>100</v>
      </c>
      <c r="E18" s="28">
        <f>SUMIFS(ENG_PYP,ENG_STMT,"OCI")</f>
        <v>150</v>
      </c>
      <c r="H18" s="10" t="s">
        <v>677</v>
      </c>
    </row>
    <row r="19" spans="2:8" x14ac:dyDescent="0.3">
      <c r="B19" s="29" t="str">
        <f>IFERROR(INDEX(DICT_ACTIVE,MATCH("OCI.TCI",DICT_KEY,0))&amp;"","??OCI.TCI")</f>
        <v>Total comprehensive income for the year</v>
      </c>
      <c r="C19" s="29"/>
      <c r="D19" s="30">
        <f>D5+D18</f>
        <v>14830</v>
      </c>
      <c r="E19" s="30">
        <f>E5+E18</f>
        <v>12270</v>
      </c>
      <c r="H19" s="10" t="s">
        <v>680</v>
      </c>
    </row>
  </sheetData>
  <sheetProtection algorithmName="SHA-512" hashValue="WV0xAal9qA+GAn4yy42cTets/fRTXUmRXtJJlOSQrKx78o64jmgCIvVoxmNroTK7+b8GN2cljjnfjEo5PvF1Ig==" saltValue="df8+lhrvjeH4f3WAY/Bm+Q==" spinCount="100000" sheet="1" objects="1" scenarios="1" formatCells="0" autoFilter="0" pivotTables="0"/>
  <pageMargins left="0.75" right="0.75" top="1" bottom="1" header="0.5" footer="0.5"/>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unka10"/>
  <dimension ref="A1:H29"/>
  <sheetViews>
    <sheetView showGridLines="0" workbookViewId="0">
      <pane ySplit="4" topLeftCell="A5" activePane="bottomLeft" state="frozen"/>
      <selection pane="bottomLeft" activeCell="A2" sqref="A2"/>
    </sheetView>
  </sheetViews>
  <sheetFormatPr defaultRowHeight="14.4" x14ac:dyDescent="0.3"/>
  <cols>
    <col min="1" max="1" width="2" customWidth="1"/>
    <col min="2" max="2" width="44" customWidth="1"/>
    <col min="3" max="3" width="2" customWidth="1"/>
    <col min="4" max="8" width="16" customWidth="1"/>
  </cols>
  <sheetData>
    <row r="1" spans="1:8" ht="17.399999999999999" x14ac:dyDescent="0.3">
      <c r="A1" s="1" t="str">
        <f>IFERROR(INDEX(DICT_ACTIVE,MATCH("SCE.TITLE",DICT_KEY,0))&amp;"","??SCE.TITLE")</f>
        <v>Statement of changes in equity</v>
      </c>
    </row>
    <row r="2" spans="1:8" x14ac:dyDescent="0.3">
      <c r="B2" s="21" t="str">
        <f>EntityName</f>
        <v>Minta Zrt.</v>
      </c>
    </row>
    <row r="3" spans="1:8" x14ac:dyDescent="0.3">
      <c r="B3" s="2" t="str">
        <f>UnitLabel</f>
        <v>in thousands of HUF</v>
      </c>
    </row>
    <row r="5" spans="1:8" x14ac:dyDescent="0.3">
      <c r="B5" s="34">
        <f>YEAR(PyDate)</f>
        <v>2025</v>
      </c>
    </row>
    <row r="6" spans="1:8" ht="30" customHeight="1" x14ac:dyDescent="0.3">
      <c r="B6" s="3"/>
      <c r="C6" s="3"/>
      <c r="D6" s="35" t="str">
        <f>IFERROR(INDEX(DICT_ACTIVE,MATCH("SFP.EQ.SC",DICT_KEY,0))&amp;"","??SFP.EQ.SC")</f>
        <v>Share capital</v>
      </c>
      <c r="E6" s="35" t="str">
        <f>IFERROR(INDEX(DICT_ACTIVE,MATCH("SFP.EQ.SP",DICT_KEY,0))&amp;"","??SFP.EQ.SP")</f>
        <v>Share premium</v>
      </c>
      <c r="F6" s="35" t="str">
        <f>IFERROR(INDEX(DICT_ACTIVE,MATCH("SFP.EQ.OR",DICT_KEY,0))&amp;"","??SFP.EQ.OR")</f>
        <v>Other reserves</v>
      </c>
      <c r="G6" s="35" t="str">
        <f>IFERROR(INDEX(DICT_ACTIVE,MATCH("SFP.EQ.RE",DICT_KEY,0))&amp;"","??SFP.EQ.RE")</f>
        <v>Retained earnings</v>
      </c>
      <c r="H6" s="36" t="str">
        <f>IFERROR(INDEX(DICT_ACTIVE,MATCH("UI.TOTAL",DICT_KEY,0))&amp;"","??UI.TOTAL")</f>
        <v>Total</v>
      </c>
    </row>
    <row r="7" spans="1:8" x14ac:dyDescent="0.3">
      <c r="B7" s="21" t="str">
        <f>IFERROR(INDEX(DICT_ACTIVE,MATCH("SCE.ROW.OPEN",DICT_KEY,0))&amp;"","??SCE.ROW.OPEN")</f>
        <v>Balance at beginning of year</v>
      </c>
      <c r="D7" s="37">
        <f>-INDEX(ENG_OP,MATCH("SFP.EQ.SC",ENG_KEY,0))</f>
        <v>10000</v>
      </c>
      <c r="E7" s="37">
        <f>-INDEX(ENG_OP,MATCH("SFP.EQ.SP",ENG_KEY,0))</f>
        <v>2000</v>
      </c>
      <c r="F7" s="37">
        <f>-INDEX(ENG_OP,MATCH("SFP.EQ.OR",ENG_KEY,0))</f>
        <v>800</v>
      </c>
      <c r="G7" s="37">
        <f>-INDEX(ENG_OP,MATCH("SFP.EQ.RE",ENG_KEY,0))</f>
        <v>14200</v>
      </c>
      <c r="H7" s="37">
        <f t="shared" ref="H7:H15" si="0">SUM(D7:G7)</f>
        <v>27000</v>
      </c>
    </row>
    <row r="8" spans="1:8" x14ac:dyDescent="0.3">
      <c r="B8" s="14" t="str">
        <f>IFERROR(INDEX(DICT_ACTIVE,MATCH("SCE.ROW.PL",DICT_KEY,0))&amp;"","??SCE.ROW.PL")</f>
        <v>Profit or loss for the year</v>
      </c>
      <c r="D8" s="26">
        <v>0</v>
      </c>
      <c r="E8" s="26">
        <v>0</v>
      </c>
      <c r="F8" s="26">
        <v>0</v>
      </c>
      <c r="G8" s="26">
        <f>SUMIFS(ENG_PYP,ENG_STMT,"PL")</f>
        <v>12120</v>
      </c>
      <c r="H8" s="26">
        <f t="shared" si="0"/>
        <v>12120</v>
      </c>
    </row>
    <row r="9" spans="1:8" x14ac:dyDescent="0.3">
      <c r="B9" s="14" t="str">
        <f>IFERROR(INDEX(DICT_ACTIVE,MATCH("SCE.ROW.OCI",DICT_KEY,0))&amp;"","??SCE.ROW.OCI")</f>
        <v>Other comprehensive income</v>
      </c>
      <c r="D9" s="26">
        <v>0</v>
      </c>
      <c r="E9" s="26">
        <v>0</v>
      </c>
      <c r="F9" s="26">
        <f>SUMIFS(ENG_PYP,ENG_STMT,"OCI",ENG_RECLASS,"OR")</f>
        <v>150</v>
      </c>
      <c r="G9" s="26">
        <f>SUMIFS(ENG_PYP,ENG_STMT,"OCI",ENG_RECLASS,"RE")</f>
        <v>0</v>
      </c>
      <c r="H9" s="26">
        <f t="shared" si="0"/>
        <v>150</v>
      </c>
    </row>
    <row r="10" spans="1:8" x14ac:dyDescent="0.3">
      <c r="B10" s="21" t="str">
        <f>IFERROR(INDEX(DICT_ACTIVE,MATCH("SCE.ROW.TCI",DICT_KEY,0))&amp;"","??SCE.ROW.TCI")</f>
        <v>Total comprehensive income</v>
      </c>
      <c r="D10" s="37">
        <f>D8+D9</f>
        <v>0</v>
      </c>
      <c r="E10" s="37">
        <f>E8+E9</f>
        <v>0</v>
      </c>
      <c r="F10" s="37">
        <f>F8+F9</f>
        <v>150</v>
      </c>
      <c r="G10" s="37">
        <f>G8+G9</f>
        <v>12120</v>
      </c>
      <c r="H10" s="37">
        <f t="shared" si="0"/>
        <v>12270</v>
      </c>
    </row>
    <row r="11" spans="1:8" x14ac:dyDescent="0.3">
      <c r="B11" s="14" t="str">
        <f>IFERROR(INDEX(DICT_ACTIVE,MATCH("SCE.ROW.ISSUE",DICT_KEY,0))&amp;"","??SCE.ROW.ISSUE")</f>
        <v>Issue of shares</v>
      </c>
      <c r="D11" s="17">
        <f>-INDEX(ENG_MOVPY,MATCH("SFP.EQ.SC",ENG_KEY,0))</f>
        <v>0</v>
      </c>
      <c r="E11" s="17">
        <f>-INDEX(ENG_MOVPY,MATCH("SFP.EQ.SP",ENG_KEY,0))</f>
        <v>0</v>
      </c>
      <c r="F11" s="26">
        <v>0</v>
      </c>
      <c r="G11" s="26">
        <v>0</v>
      </c>
      <c r="H11" s="26">
        <f t="shared" si="0"/>
        <v>0</v>
      </c>
    </row>
    <row r="12" spans="1:8" x14ac:dyDescent="0.3">
      <c r="B12" s="14" t="str">
        <f>IFERROR(INDEX(DICT_ACTIVE,MATCH("SCE.ROW.DIV",DICT_KEY,0))&amp;"","??SCE.ROW.DIV")</f>
        <v>Dividends declared</v>
      </c>
      <c r="D12" s="26">
        <v>0</v>
      </c>
      <c r="E12" s="26">
        <v>0</v>
      </c>
      <c r="F12" s="26">
        <v>0</v>
      </c>
      <c r="G12" s="17">
        <v>0</v>
      </c>
      <c r="H12" s="26">
        <f t="shared" si="0"/>
        <v>0</v>
      </c>
    </row>
    <row r="13" spans="1:8" x14ac:dyDescent="0.3">
      <c r="B13" s="14" t="str">
        <f>IFERROR(INDEX(DICT_ACTIVE,MATCH("SCE.ROW.TRANSFER",DICT_KEY,0))&amp;"","??SCE.ROW.TRANSFER")</f>
        <v>Transfers between reserves</v>
      </c>
      <c r="D13" s="26">
        <v>0</v>
      </c>
      <c r="E13" s="26">
        <v>0</v>
      </c>
      <c r="F13" s="17">
        <v>0</v>
      </c>
      <c r="G13" s="17">
        <v>0</v>
      </c>
      <c r="H13" s="26">
        <f t="shared" si="0"/>
        <v>0</v>
      </c>
    </row>
    <row r="14" spans="1:8" x14ac:dyDescent="0.3">
      <c r="B14" s="14" t="str">
        <f>IFERROR(INDEX(DICT_ACTIVE,MATCH("SCE.ROW.OTHER",DICT_KEY,0))&amp;"","??SCE.ROW.OTHER")</f>
        <v>Other movements (unexplained)</v>
      </c>
      <c r="D14" s="26">
        <f>ROUND(D15-(D7+D10+D11+D12+D13),0)</f>
        <v>0</v>
      </c>
      <c r="E14" s="26">
        <f>ROUND(E15-(E7+E10+E11+E12+E13),0)</f>
        <v>0</v>
      </c>
      <c r="F14" s="26">
        <f>ROUND(F15-(F7+F10+F11+F12+F13),0)</f>
        <v>0</v>
      </c>
      <c r="G14" s="26">
        <f>ROUND(G15-(G7+G10+G11+G12+G13),0)</f>
        <v>0</v>
      </c>
      <c r="H14" s="26">
        <f t="shared" si="0"/>
        <v>0</v>
      </c>
    </row>
    <row r="15" spans="1:8" x14ac:dyDescent="0.3">
      <c r="B15" s="21" t="str">
        <f>IFERROR(INDEX(DICT_ACTIVE,MATCH("SCE.ROW.CLOSE",DICT_KEY,0))&amp;"","??SCE.ROW.CLOSE")</f>
        <v>Balance at end of year</v>
      </c>
      <c r="D15" s="38">
        <f>INDEX(ENG_PYP,MATCH("SFP.EQ.SC",ENG_KEY,0))</f>
        <v>10000</v>
      </c>
      <c r="E15" s="38">
        <f>INDEX(ENG_PYP,MATCH("SFP.EQ.SP",ENG_KEY,0))</f>
        <v>2000</v>
      </c>
      <c r="F15" s="38">
        <f>INDEX(ENG_PYP,MATCH("SFP.EQ.OR",ENG_KEY,0))</f>
        <v>950</v>
      </c>
      <c r="G15" s="38">
        <f>INDEX(ENG_PYP,MATCH("SFP.EQ.RE",ENG_KEY,0))</f>
        <v>26320</v>
      </c>
      <c r="H15" s="38">
        <f t="shared" si="0"/>
        <v>39270</v>
      </c>
    </row>
    <row r="17" spans="2:8" x14ac:dyDescent="0.3">
      <c r="B17" s="34">
        <f>YEAR(RepDate)</f>
        <v>2026</v>
      </c>
    </row>
    <row r="18" spans="2:8" ht="30" customHeight="1" x14ac:dyDescent="0.3">
      <c r="B18" s="3"/>
      <c r="C18" s="3"/>
      <c r="D18" s="35" t="str">
        <f>IFERROR(INDEX(DICT_ACTIVE,MATCH("SFP.EQ.SC",DICT_KEY,0))&amp;"","??SFP.EQ.SC")</f>
        <v>Share capital</v>
      </c>
      <c r="E18" s="35" t="str">
        <f>IFERROR(INDEX(DICT_ACTIVE,MATCH("SFP.EQ.SP",DICT_KEY,0))&amp;"","??SFP.EQ.SP")</f>
        <v>Share premium</v>
      </c>
      <c r="F18" s="35" t="str">
        <f>IFERROR(INDEX(DICT_ACTIVE,MATCH("SFP.EQ.OR",DICT_KEY,0))&amp;"","??SFP.EQ.OR")</f>
        <v>Other reserves</v>
      </c>
      <c r="G18" s="35" t="str">
        <f>IFERROR(INDEX(DICT_ACTIVE,MATCH("SFP.EQ.RE",DICT_KEY,0))&amp;"","??SFP.EQ.RE")</f>
        <v>Retained earnings</v>
      </c>
      <c r="H18" s="36" t="str">
        <f>IFERROR(INDEX(DICT_ACTIVE,MATCH("UI.TOTAL",DICT_KEY,0))&amp;"","??UI.TOTAL")</f>
        <v>Total</v>
      </c>
    </row>
    <row r="19" spans="2:8" x14ac:dyDescent="0.3">
      <c r="B19" s="21" t="str">
        <f>IFERROR(INDEX(DICT_ACTIVE,MATCH("SCE.ROW.OPEN",DICT_KEY,0))&amp;"","??SCE.ROW.OPEN")</f>
        <v>Balance at beginning of year</v>
      </c>
      <c r="D19" s="37">
        <f>INDEX(ENG_PYP,MATCH("SFP.EQ.SC",ENG_KEY,0))</f>
        <v>10000</v>
      </c>
      <c r="E19" s="37">
        <f>INDEX(ENG_PYP,MATCH("SFP.EQ.SP",ENG_KEY,0))</f>
        <v>2000</v>
      </c>
      <c r="F19" s="37">
        <f>INDEX(ENG_PYP,MATCH("SFP.EQ.OR",ENG_KEY,0))</f>
        <v>950</v>
      </c>
      <c r="G19" s="37">
        <f>INDEX(ENG_PYP,MATCH("SFP.EQ.RE",ENG_KEY,0))</f>
        <v>26320</v>
      </c>
      <c r="H19" s="37">
        <f t="shared" ref="H19:H27" si="1">SUM(D19:G19)</f>
        <v>39270</v>
      </c>
    </row>
    <row r="20" spans="2:8" x14ac:dyDescent="0.3">
      <c r="B20" s="14" t="str">
        <f>IFERROR(INDEX(DICT_ACTIVE,MATCH("SCE.ROW.PL",DICT_KEY,0))&amp;"","??SCE.ROW.PL")</f>
        <v>Profit or loss for the year</v>
      </c>
      <c r="D20" s="26">
        <v>0</v>
      </c>
      <c r="E20" s="26">
        <v>0</v>
      </c>
      <c r="F20" s="26">
        <v>0</v>
      </c>
      <c r="G20" s="26">
        <f>SUMIFS(ENG_CYP,ENG_STMT,"PL")</f>
        <v>14730</v>
      </c>
      <c r="H20" s="26">
        <f t="shared" si="1"/>
        <v>14730</v>
      </c>
    </row>
    <row r="21" spans="2:8" x14ac:dyDescent="0.3">
      <c r="B21" s="14" t="str">
        <f>IFERROR(INDEX(DICT_ACTIVE,MATCH("SCE.ROW.OCI",DICT_KEY,0))&amp;"","??SCE.ROW.OCI")</f>
        <v>Other comprehensive income</v>
      </c>
      <c r="D21" s="26">
        <v>0</v>
      </c>
      <c r="E21" s="26">
        <v>0</v>
      </c>
      <c r="F21" s="26">
        <f>SUMIFS(ENG_CYP,ENG_STMT,"OCI",ENG_RECLASS,"OR")</f>
        <v>100</v>
      </c>
      <c r="G21" s="26">
        <f>SUMIFS(ENG_CYP,ENG_STMT,"OCI",ENG_RECLASS,"RE")</f>
        <v>0</v>
      </c>
      <c r="H21" s="26">
        <f t="shared" si="1"/>
        <v>100</v>
      </c>
    </row>
    <row r="22" spans="2:8" x14ac:dyDescent="0.3">
      <c r="B22" s="21" t="str">
        <f>IFERROR(INDEX(DICT_ACTIVE,MATCH("SCE.ROW.TCI",DICT_KEY,0))&amp;"","??SCE.ROW.TCI")</f>
        <v>Total comprehensive income</v>
      </c>
      <c r="D22" s="37">
        <f>D20+D21</f>
        <v>0</v>
      </c>
      <c r="E22" s="37">
        <f>E20+E21</f>
        <v>0</v>
      </c>
      <c r="F22" s="37">
        <f>F20+F21</f>
        <v>100</v>
      </c>
      <c r="G22" s="37">
        <f>G20+G21</f>
        <v>14730</v>
      </c>
      <c r="H22" s="37">
        <f t="shared" si="1"/>
        <v>14830</v>
      </c>
    </row>
    <row r="23" spans="2:8" x14ac:dyDescent="0.3">
      <c r="B23" s="14" t="str">
        <f>IFERROR(INDEX(DICT_ACTIVE,MATCH("SCE.ROW.ISSUE",DICT_KEY,0))&amp;"","??SCE.ROW.ISSUE")</f>
        <v>Issue of shares</v>
      </c>
      <c r="D23" s="17">
        <f>-INDEX(ENG_MOVCY,MATCH("SFP.EQ.SC",ENG_KEY,0))</f>
        <v>0</v>
      </c>
      <c r="E23" s="17">
        <f>-INDEX(ENG_MOVCY,MATCH("SFP.EQ.SP",ENG_KEY,0))</f>
        <v>0</v>
      </c>
      <c r="F23" s="26">
        <v>0</v>
      </c>
      <c r="G23" s="26">
        <v>0</v>
      </c>
      <c r="H23" s="26">
        <f t="shared" si="1"/>
        <v>0</v>
      </c>
    </row>
    <row r="24" spans="2:8" x14ac:dyDescent="0.3">
      <c r="B24" s="14" t="str">
        <f>IFERROR(INDEX(DICT_ACTIVE,MATCH("SCE.ROW.DIV",DICT_KEY,0))&amp;"","??SCE.ROW.DIV")</f>
        <v>Dividends declared</v>
      </c>
      <c r="D24" s="26">
        <v>0</v>
      </c>
      <c r="E24" s="26">
        <v>0</v>
      </c>
      <c r="F24" s="26">
        <v>0</v>
      </c>
      <c r="G24" s="17">
        <v>-1000</v>
      </c>
      <c r="H24" s="26">
        <f t="shared" si="1"/>
        <v>-1000</v>
      </c>
    </row>
    <row r="25" spans="2:8" x14ac:dyDescent="0.3">
      <c r="B25" s="14" t="str">
        <f>IFERROR(INDEX(DICT_ACTIVE,MATCH("SCE.ROW.TRANSFER",DICT_KEY,0))&amp;"","??SCE.ROW.TRANSFER")</f>
        <v>Transfers between reserves</v>
      </c>
      <c r="D25" s="26">
        <v>0</v>
      </c>
      <c r="E25" s="26">
        <v>0</v>
      </c>
      <c r="F25" s="17">
        <v>0</v>
      </c>
      <c r="G25" s="17">
        <v>0</v>
      </c>
      <c r="H25" s="26">
        <f t="shared" si="1"/>
        <v>0</v>
      </c>
    </row>
    <row r="26" spans="2:8" x14ac:dyDescent="0.3">
      <c r="B26" s="14" t="str">
        <f>IFERROR(INDEX(DICT_ACTIVE,MATCH("SCE.ROW.OTHER",DICT_KEY,0))&amp;"","??SCE.ROW.OTHER")</f>
        <v>Other movements (unexplained)</v>
      </c>
      <c r="D26" s="26">
        <f>ROUND(D27-(D19+D22+D23+D24+D25),0)</f>
        <v>0</v>
      </c>
      <c r="E26" s="26">
        <f>ROUND(E27-(E19+E22+E23+E24+E25),0)</f>
        <v>0</v>
      </c>
      <c r="F26" s="26">
        <f>ROUND(F27-(F19+F22+F23+F24+F25),0)</f>
        <v>0</v>
      </c>
      <c r="G26" s="26">
        <f>ROUND(G27-(G19+G22+G23+G24+G25),0)</f>
        <v>0</v>
      </c>
      <c r="H26" s="26">
        <f t="shared" si="1"/>
        <v>0</v>
      </c>
    </row>
    <row r="27" spans="2:8" x14ac:dyDescent="0.3">
      <c r="B27" s="21" t="str">
        <f>IFERROR(INDEX(DICT_ACTIVE,MATCH("SCE.ROW.CLOSE",DICT_KEY,0))&amp;"","??SCE.ROW.CLOSE")</f>
        <v>Balance at end of year</v>
      </c>
      <c r="D27" s="38">
        <f>INDEX(ENG_CYP,MATCH("SFP.EQ.SC",ENG_KEY,0))</f>
        <v>10000</v>
      </c>
      <c r="E27" s="38">
        <f>INDEX(ENG_CYP,MATCH("SFP.EQ.SP",ENG_KEY,0))</f>
        <v>2000</v>
      </c>
      <c r="F27" s="38">
        <f>INDEX(ENG_CYP,MATCH("SFP.EQ.OR",ENG_KEY,0))</f>
        <v>1050</v>
      </c>
      <c r="G27" s="38">
        <f>INDEX(ENG_CYP,MATCH("SFP.EQ.RE",ENG_KEY,0))</f>
        <v>40050</v>
      </c>
      <c r="H27" s="38">
        <f t="shared" si="1"/>
        <v>53100</v>
      </c>
    </row>
    <row r="29" spans="2:8" x14ac:dyDescent="0.3">
      <c r="B29" s="2" t="str">
        <f>IFERROR(INDEX(DICT_ACTIVE,MATCH("SCE.ROW.OTHER",DICT_KEY,0))&amp;"","??SCE.ROW.OTHER")</f>
        <v>Other movements (unexplained)</v>
      </c>
      <c r="H29" s="39">
        <f>SUMPRODUCT(ABS(D14:G14))+SUMPRODUCT(ABS(D26:G26))</f>
        <v>0</v>
      </c>
    </row>
  </sheetData>
  <sheetProtection algorithmName="SHA-512" hashValue="74ZrH77d8k+MJe92TXGRJ4u/UeeRrh2IReFFTu7pvHFY2oPFLc0kx+tHUwOz8866psa5L+dq3pdUEpTLjd3/7g==" saltValue="KpcNdgMjB3YZD8jphNYSAw==" spinCount="100000" sheet="1" objects="1" scenarios="1" formatCells="0" autoFilter="0" pivotTables="0"/>
  <conditionalFormatting sqref="D14:H14">
    <cfRule type="expression" dxfId="13" priority="1">
      <formula>D14&lt;&gt;0</formula>
    </cfRule>
  </conditionalFormatting>
  <conditionalFormatting sqref="D26:H26">
    <cfRule type="expression" dxfId="12" priority="6">
      <formula>D26&lt;&gt;0</formula>
    </cfRule>
  </conditionalFormatting>
  <pageMargins left="0.75" right="0.75" top="1" bottom="1" header="0.5" footer="0.5"/>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unka11"/>
  <dimension ref="A1:H126"/>
  <sheetViews>
    <sheetView showGridLines="0" workbookViewId="0">
      <pane ySplit="4" topLeftCell="A5" activePane="bottomLeft" state="frozen"/>
      <selection pane="bottomLeft" activeCell="A2" sqref="A2"/>
    </sheetView>
  </sheetViews>
  <sheetFormatPr defaultRowHeight="14.4" x14ac:dyDescent="0.3"/>
  <cols>
    <col min="1" max="1" width="2" customWidth="1"/>
    <col min="2" max="2" width="62" customWidth="1"/>
    <col min="3" max="3" width="6" customWidth="1"/>
    <col min="4" max="5" width="16" customWidth="1"/>
    <col min="6" max="6" width="2" customWidth="1"/>
    <col min="8" max="8" width="13" hidden="1" customWidth="1"/>
  </cols>
  <sheetData>
    <row r="1" spans="1:8" ht="17.399999999999999" x14ac:dyDescent="0.3">
      <c r="A1" s="1" t="str">
        <f>IFERROR(INDEX(DICT_ACTIVE,MATCH("CF.TITLE",DICT_KEY,0))&amp;"","??CF.TITLE")</f>
        <v>Statement of cash flows</v>
      </c>
    </row>
    <row r="2" spans="1:8" x14ac:dyDescent="0.3">
      <c r="B2" s="21" t="str">
        <f>EntityName</f>
        <v>Minta Zrt.</v>
      </c>
    </row>
    <row r="3" spans="1:8" x14ac:dyDescent="0.3">
      <c r="B3" s="2" t="str">
        <f>UnitLabel</f>
        <v>in thousands of HUF</v>
      </c>
    </row>
    <row r="4" spans="1:8" x14ac:dyDescent="0.3">
      <c r="B4" s="3"/>
      <c r="C4" s="22" t="str">
        <f>IFERROR(INDEX(DICT_ACTIVE,MATCH("UI.NOTE",DICT_KEY,0))&amp;"","??UI.NOTE")</f>
        <v>Note</v>
      </c>
      <c r="D4" s="31">
        <f>YEAR(RepDate)</f>
        <v>2026</v>
      </c>
      <c r="E4" s="31">
        <f>YEAR(PyDate)</f>
        <v>2025</v>
      </c>
    </row>
    <row r="5" spans="1:8" x14ac:dyDescent="0.3">
      <c r="B5" s="24" t="str">
        <f>IFERROR(INDEX(DICT_ACTIVE,MATCH("CF.SEC.OP",DICT_KEY,0))&amp;"","??CF.SEC.OP")</f>
        <v>Cash flows from operating activities</v>
      </c>
      <c r="C5" s="24"/>
      <c r="D5" s="25"/>
      <c r="E5" s="25"/>
      <c r="H5" s="10" t="s">
        <v>718</v>
      </c>
    </row>
    <row r="6" spans="1:8" x14ac:dyDescent="0.3">
      <c r="B6" s="27" t="str">
        <f>IFERROR(INDEX(DICT_ACTIVE,MATCH("CF.OP.START",DICT_KEY,0))&amp;"","??CF.OP.START")</f>
        <v>Operating profit or loss</v>
      </c>
      <c r="C6" s="27"/>
      <c r="D6" s="28">
        <f>PL_OP_CY</f>
        <v>16660</v>
      </c>
      <c r="E6" s="28">
        <f>PL_OP_PY</f>
        <v>14210</v>
      </c>
      <c r="H6" s="10" t="s">
        <v>727</v>
      </c>
    </row>
    <row r="7" spans="1:8" x14ac:dyDescent="0.3">
      <c r="B7" s="14" t="str">
        <f>IFERROR(INDEX(DICT_ACTIVE,MATCH("CF.OP.DEP",DICT_KEY,0))&amp;"","??CF.OP.DEP")</f>
        <v>Depreciation, amortisation and impairment</v>
      </c>
      <c r="C7" s="14"/>
      <c r="D7" s="26">
        <f>INDEX(CFT_CY,MATCH("NC.DEP.PPE",CFT_TAG,0))+INDEX(CFT_CY,MATCH("NC.DEP.ROU",CFT_TAG,0))+INDEX(CFT_CY,MATCH("NC.AMORT.INTANG",CFT_TAG,0))+INDEX(CFT_CY,MATCH("NC.IMPAIR.PPE",CFT_TAG,0))+INDEX(CFT_CY,MATCH("NC.IMPAIR.INTANG",CFT_TAG,0))+INDEX(CFT_CY,MATCH("NC.IMPAIR.INVPROP",CFT_TAG,0))</f>
        <v>4600</v>
      </c>
      <c r="E7" s="26">
        <f>INDEX(CFT_PY,MATCH("NC.DEP.PPE",CFT_TAG,0))+INDEX(CFT_PY,MATCH("NC.DEP.ROU",CFT_TAG,0))+INDEX(CFT_PY,MATCH("NC.AMORT.INTANG",CFT_TAG,0))+INDEX(CFT_PY,MATCH("NC.IMPAIR.PPE",CFT_TAG,0))+INDEX(CFT_PY,MATCH("NC.IMPAIR.INTANG",CFT_TAG,0))+INDEX(CFT_PY,MATCH("NC.IMPAIR.INVPROP",CFT_TAG,0))</f>
        <v>4050</v>
      </c>
      <c r="H7" s="10" t="s">
        <v>728</v>
      </c>
    </row>
    <row r="8" spans="1:8" x14ac:dyDescent="0.3">
      <c r="B8" s="14" t="str">
        <f>IFERROR(INDEX(DICT_ACTIVE,MATCH("CF.OP.INVWRITE",DICT_KEY,0))&amp;"","??CF.OP.INVWRITE")</f>
        <v>Write-downs of inventories</v>
      </c>
      <c r="C8" s="14"/>
      <c r="D8" s="26">
        <f>INDEX(CFT_CY,MATCH("NC.INVWRITE",CFT_TAG,0))</f>
        <v>200</v>
      </c>
      <c r="E8" s="26">
        <f>INDEX(CFT_PY,MATCH("NC.INVWRITE",CFT_TAG,0))</f>
        <v>150</v>
      </c>
      <c r="H8" s="10" t="s">
        <v>731</v>
      </c>
    </row>
    <row r="9" spans="1:8" x14ac:dyDescent="0.3">
      <c r="B9" s="14" t="str">
        <f>IFERROR(INDEX(DICT_ACTIVE,MATCH("CF.OP.SBP",DICT_KEY,0))&amp;"","??CF.OP.SBP")</f>
        <v>Share-based payment expense</v>
      </c>
      <c r="C9" s="14"/>
      <c r="D9" s="26">
        <f>INDEX(CFT_CY,MATCH("NC.SBP",CFT_TAG,0))</f>
        <v>0</v>
      </c>
      <c r="E9" s="26">
        <f>INDEX(CFT_PY,MATCH("NC.SBP",CFT_TAG,0))</f>
        <v>0</v>
      </c>
      <c r="H9" s="10" t="s">
        <v>734</v>
      </c>
    </row>
    <row r="10" spans="1:8" x14ac:dyDescent="0.3">
      <c r="B10" s="14" t="str">
        <f>IFERROR(INDEX(DICT_ACTIVE,MATCH("CF.OP.DISPGAIN",DICT_KEY,0))&amp;"","??CF.OP.DISPGAIN")</f>
        <v>(Gain)/loss on disposal of non-current assets</v>
      </c>
      <c r="C10" s="14"/>
      <c r="D10" s="26">
        <f>INDEX(CFT_CY,MATCH("NC.DISPGAIN",CFT_TAG,0))</f>
        <v>-300</v>
      </c>
      <c r="E10" s="26">
        <f>INDEX(CFT_PY,MATCH("NC.DISPGAIN",CFT_TAG,0))</f>
        <v>-100</v>
      </c>
      <c r="H10" s="10" t="s">
        <v>737</v>
      </c>
    </row>
    <row r="11" spans="1:8" x14ac:dyDescent="0.3">
      <c r="B11" s="14" t="str">
        <f>IFERROR(INDEX(DICT_ACTIVE,MATCH("CF.OP.FXUNREAL",DICT_KEY,0))&amp;"","??CF.OP.FXUNREAL")</f>
        <v>Unrealised foreign exchange differences</v>
      </c>
      <c r="C11" s="14"/>
      <c r="D11" s="26">
        <f>INDEX(CFT_CY,MATCH("NC.FXUNREAL",CFT_TAG,0))</f>
        <v>0</v>
      </c>
      <c r="E11" s="26">
        <f>INDEX(CFT_PY,MATCH("NC.FXUNREAL",CFT_TAG,0))</f>
        <v>0</v>
      </c>
      <c r="H11" s="10" t="s">
        <v>740</v>
      </c>
    </row>
    <row r="12" spans="1:8" x14ac:dyDescent="0.3">
      <c r="B12" s="14" t="str">
        <f>IFERROR(INDEX(DICT_ACTIVE,MATCH("CF.OP.PROV",DICT_KEY,0))&amp;"","??CF.OP.PROV")</f>
        <v>Movement in provisions and employee benefit liabilities</v>
      </c>
      <c r="C12" s="14"/>
      <c r="D12" s="26">
        <f>-INDEX(CFT_MOVCY,MATCH("PROV",CFT_TAG,0))</f>
        <v>150</v>
      </c>
      <c r="E12" s="26">
        <f>-INDEX(CFT_MOVPY,MATCH("PROV",CFT_TAG,0))</f>
        <v>150</v>
      </c>
      <c r="H12" s="10" t="s">
        <v>743</v>
      </c>
    </row>
    <row r="13" spans="1:8" x14ac:dyDescent="0.3">
      <c r="B13" s="14" t="str">
        <f>IFERROR(INDEX(DICT_ACTIVE,MATCH("CF.OP.ECL",DICT_KEY,0))&amp;"","??CF.OP.ECL")</f>
        <v>Impairment losses on receivables</v>
      </c>
      <c r="C13" s="14"/>
      <c r="D13" s="26">
        <f>INDEX(CFT_CY,MATCH("NC.IMPAIR.RECEIV",CFT_TAG,0))</f>
        <v>90</v>
      </c>
      <c r="E13" s="26">
        <f>INDEX(CFT_PY,MATCH("NC.IMPAIR.RECEIV",CFT_TAG,0))</f>
        <v>70</v>
      </c>
      <c r="H13" s="10" t="s">
        <v>746</v>
      </c>
    </row>
    <row r="14" spans="1:8" x14ac:dyDescent="0.3">
      <c r="B14" s="14" t="str">
        <f>IFERROR(INDEX(DICT_ACTIVE,MATCH("CF.OP.WRITEOFF",DICT_KEY,0))&amp;"","??CF.OP.WRITEOFF")</f>
        <v>Receivables written off against the loss allowance</v>
      </c>
      <c r="C14" s="14"/>
      <c r="D14" s="26">
        <f>D105</f>
        <v>-30</v>
      </c>
      <c r="E14" s="26">
        <f>E105</f>
        <v>-20</v>
      </c>
      <c r="H14" s="10" t="s">
        <v>749</v>
      </c>
    </row>
    <row r="15" spans="1:8" x14ac:dyDescent="0.3">
      <c r="B15" s="14" t="str">
        <f>IFERROR(INDEX(DICT_ACTIVE,MATCH("CF.OP.WC.INVENT",DICT_KEY,0))&amp;"","??CF.OP.WC.INVENT")</f>
        <v>Change in inventories</v>
      </c>
      <c r="C15" s="14"/>
      <c r="D15" s="26">
        <f>-INDEX(CFT_MOVCY,MATCH("WC.INVENT",CFT_TAG,0))</f>
        <v>-1100</v>
      </c>
      <c r="E15" s="26">
        <f>-INDEX(CFT_MOVPY,MATCH("WC.INVENT",CFT_TAG,0))</f>
        <v>-600</v>
      </c>
      <c r="H15" s="10" t="s">
        <v>752</v>
      </c>
    </row>
    <row r="16" spans="1:8" x14ac:dyDescent="0.3">
      <c r="B16" s="14" t="str">
        <f>IFERROR(INDEX(DICT_ACTIVE,MATCH("CF.OP.WC.TRADEREC",DICT_KEY,0))&amp;"","??CF.OP.WC.TRADEREC")</f>
        <v>Change in trade receivables (gross)</v>
      </c>
      <c r="C16" s="14"/>
      <c r="D16" s="26">
        <f>-INDEX(CFT_MOVCY,MATCH("WC.TRADEREC",CFT_TAG,0))</f>
        <v>-1500</v>
      </c>
      <c r="E16" s="26">
        <f>-INDEX(CFT_MOVPY,MATCH("WC.TRADEREC",CFT_TAG,0))</f>
        <v>-800</v>
      </c>
      <c r="H16" s="10" t="s">
        <v>755</v>
      </c>
    </row>
    <row r="17" spans="2:8" x14ac:dyDescent="0.3">
      <c r="B17" s="14" t="str">
        <f>IFERROR(INDEX(DICT_ACTIVE,MATCH("CF.OP.WC.CONTRACT",DICT_KEY,0))&amp;"","??CF.OP.WC.CONTRACT")</f>
        <v>Change in contract assets</v>
      </c>
      <c r="C17" s="14"/>
      <c r="D17" s="26">
        <f>-INDEX(CFT_MOVCY,MATCH("WC.CONTRACT",CFT_TAG,0))</f>
        <v>0</v>
      </c>
      <c r="E17" s="26">
        <f>-INDEX(CFT_MOVPY,MATCH("WC.CONTRACT",CFT_TAG,0))</f>
        <v>0</v>
      </c>
      <c r="H17" s="10" t="s">
        <v>758</v>
      </c>
    </row>
    <row r="18" spans="2:8" x14ac:dyDescent="0.3">
      <c r="B18" s="14" t="str">
        <f>IFERROR(INDEX(DICT_ACTIVE,MATCH("CF.OP.WC.OTHERREC",DICT_KEY,0))&amp;"","??CF.OP.WC.OTHERREC")</f>
        <v>Change in other receivables</v>
      </c>
      <c r="C18" s="14"/>
      <c r="D18" s="26">
        <f>-INDEX(CFT_MOVCY,MATCH("WC.OTHERREC",CFT_TAG,0))</f>
        <v>-50</v>
      </c>
      <c r="E18" s="26">
        <f>-INDEX(CFT_MOVPY,MATCH("WC.OTHERREC",CFT_TAG,0))</f>
        <v>-250</v>
      </c>
      <c r="H18" s="10" t="s">
        <v>761</v>
      </c>
    </row>
    <row r="19" spans="2:8" x14ac:dyDescent="0.3">
      <c r="B19" s="14" t="str">
        <f>IFERROR(INDEX(DICT_ACTIVE,MATCH("CF.OP.WC.TRADEPAY",DICT_KEY,0))&amp;"","??CF.OP.WC.TRADEPAY")</f>
        <v>Change in trade payables</v>
      </c>
      <c r="C19" s="14"/>
      <c r="D19" s="26">
        <f>-INDEX(CFT_MOVCY,MATCH("WC.TRADEPAY",CFT_TAG,0))</f>
        <v>800</v>
      </c>
      <c r="E19" s="26">
        <f>-INDEX(CFT_MOVPY,MATCH("WC.TRADEPAY",CFT_TAG,0))</f>
        <v>500</v>
      </c>
      <c r="H19" s="10" t="s">
        <v>764</v>
      </c>
    </row>
    <row r="20" spans="2:8" x14ac:dyDescent="0.3">
      <c r="B20" s="14" t="str">
        <f>IFERROR(INDEX(DICT_ACTIVE,MATCH("CF.OP.WC.CONTRLIAB",DICT_KEY,0))&amp;"","??CF.OP.WC.CONTRLIAB")</f>
        <v>Change in contract liabilities</v>
      </c>
      <c r="C20" s="14"/>
      <c r="D20" s="26">
        <f>-INDEX(CFT_MOVCY,MATCH("WC.CONTRLIAB",CFT_TAG,0))</f>
        <v>0</v>
      </c>
      <c r="E20" s="26">
        <f>-INDEX(CFT_MOVPY,MATCH("WC.CONTRLIAB",CFT_TAG,0))</f>
        <v>0</v>
      </c>
      <c r="H20" s="10" t="s">
        <v>767</v>
      </c>
    </row>
    <row r="21" spans="2:8" x14ac:dyDescent="0.3">
      <c r="B21" s="14" t="str">
        <f>IFERROR(INDEX(DICT_ACTIVE,MATCH("CF.OP.WC.OTHERPAY",DICT_KEY,0))&amp;"","??CF.OP.WC.OTHERPAY")</f>
        <v>Change in other payables</v>
      </c>
      <c r="C21" s="14"/>
      <c r="D21" s="26">
        <f>-INDEX(CFT_MOVCY,MATCH("WC.OTHERPAY",CFT_TAG,0))</f>
        <v>200</v>
      </c>
      <c r="E21" s="26">
        <f>-INDEX(CFT_MOVPY,MATCH("WC.OTHERPAY",CFT_TAG,0))</f>
        <v>150</v>
      </c>
      <c r="H21" s="10" t="s">
        <v>770</v>
      </c>
    </row>
    <row r="22" spans="2:8" x14ac:dyDescent="0.3">
      <c r="B22" s="27" t="str">
        <f>IFERROR(INDEX(DICT_ACTIVE,MATCH("CF.OP.CGO",DICT_KEY,0))&amp;"","??CF.OP.CGO")</f>
        <v>Cash generated from operations</v>
      </c>
      <c r="C22" s="27"/>
      <c r="D22" s="28">
        <f>SUM(D6:D21)</f>
        <v>19720</v>
      </c>
      <c r="E22" s="28">
        <f>SUM(E6:E21)</f>
        <v>17510</v>
      </c>
      <c r="H22" s="10" t="s">
        <v>773</v>
      </c>
    </row>
    <row r="23" spans="2:8" x14ac:dyDescent="0.3">
      <c r="B23" s="14" t="str">
        <f>IFERROR(INDEX(DICT_ACTIVE,MATCH("CF.OP.TAXPAID",DICT_KEY,0))&amp;"","??CF.OP.TAXPAID")</f>
        <v>Income taxes paid</v>
      </c>
      <c r="C23" s="14"/>
      <c r="D23" s="26">
        <f>-(INDEX(ENG_CY,MATCH("PL.TAX.CURRENT",ENG_KEY,0))+INDEX(CFT_MOVCY,MATCH("TAXCUR",CFT_TAG,0)))</f>
        <v>-400</v>
      </c>
      <c r="E23" s="26">
        <f>-(INDEX(ENG_PY,MATCH("PL.TAX.CURRENT",ENG_KEY,0))+INDEX(CFT_MOVPY,MATCH("TAXCUR",CFT_TAG,0)))</f>
        <v>-1100</v>
      </c>
      <c r="H23" s="10" t="s">
        <v>776</v>
      </c>
    </row>
    <row r="24" spans="2:8" x14ac:dyDescent="0.3">
      <c r="B24" s="29" t="str">
        <f>IFERROR(INDEX(DICT_ACTIVE,MATCH("CF.OP.NET",DICT_KEY,0))&amp;"","??CF.OP.NET")</f>
        <v>Net cash from operating activities</v>
      </c>
      <c r="C24" s="29"/>
      <c r="D24" s="30">
        <f>D22+D23</f>
        <v>19320</v>
      </c>
      <c r="E24" s="30">
        <f>E22+E23</f>
        <v>16410</v>
      </c>
      <c r="H24" s="10" t="s">
        <v>779</v>
      </c>
    </row>
    <row r="26" spans="2:8" x14ac:dyDescent="0.3">
      <c r="B26" s="24" t="str">
        <f>IFERROR(INDEX(DICT_ACTIVE,MATCH("CF.SEC.INV",DICT_KEY,0))&amp;"","??CF.SEC.INV")</f>
        <v>Cash flows from investing activities</v>
      </c>
      <c r="C26" s="24"/>
      <c r="D26" s="25"/>
      <c r="E26" s="25"/>
      <c r="H26" s="10" t="s">
        <v>721</v>
      </c>
    </row>
    <row r="27" spans="2:8" x14ac:dyDescent="0.3">
      <c r="B27" s="14" t="str">
        <f>IFERROR(INDEX(DICT_ACTIVE,MATCH("CF.INV.PPE",DICT_KEY,0))&amp;"","??CF.INV.PPE")</f>
        <v>Purchase of property, plant and equipment</v>
      </c>
      <c r="C27" s="14"/>
      <c r="D27" s="26">
        <f>-D64</f>
        <v>-6000</v>
      </c>
      <c r="E27" s="26">
        <f>-E64</f>
        <v>-3900</v>
      </c>
      <c r="H27" s="10" t="s">
        <v>782</v>
      </c>
    </row>
    <row r="28" spans="2:8" x14ac:dyDescent="0.3">
      <c r="B28" s="14" t="str">
        <f>IFERROR(INDEX(DICT_ACTIVE,MATCH("CF.INV.INTANG",DICT_KEY,0))&amp;"","??CF.INV.INTANG")</f>
        <v>Purchase of intangible assets</v>
      </c>
      <c r="C28" s="14"/>
      <c r="D28" s="26">
        <f>-D75</f>
        <v>-500</v>
      </c>
      <c r="E28" s="26">
        <f>-E75</f>
        <v>-300</v>
      </c>
      <c r="H28" s="10" t="s">
        <v>785</v>
      </c>
    </row>
    <row r="29" spans="2:8" x14ac:dyDescent="0.3">
      <c r="B29" s="14" t="str">
        <f>IFERROR(INDEX(DICT_ACTIVE,MATCH("CF.INV.INVPROP",DICT_KEY,0))&amp;"","??CF.INV.INVPROP")</f>
        <v>Purchase of investment property</v>
      </c>
      <c r="C29" s="14"/>
      <c r="D29" s="26">
        <f>-D85</f>
        <v>0</v>
      </c>
      <c r="E29" s="26">
        <f>-E85</f>
        <v>0</v>
      </c>
      <c r="H29" s="10" t="s">
        <v>788</v>
      </c>
    </row>
    <row r="30" spans="2:8" x14ac:dyDescent="0.3">
      <c r="B30" s="14" t="str">
        <f>IFERROR(INDEX(DICT_ACTIVE,MATCH("CF.INV.DISPOSAL",DICT_KEY,0))&amp;"","??CF.INV.DISPOSAL")</f>
        <v>Proceeds from disposal of non-current assets</v>
      </c>
      <c r="C30" s="14"/>
      <c r="D30" s="26">
        <f>-(D69+D79+D89)-INDEX(CFT_CY,MATCH("NC.DISPGAIN",CFT_TAG,0))</f>
        <v>400</v>
      </c>
      <c r="E30" s="26">
        <f>-(E69+E79+E89)-INDEX(CFT_PY,MATCH("NC.DISPGAIN",CFT_TAG,0))</f>
        <v>150</v>
      </c>
      <c r="H30" s="10" t="s">
        <v>791</v>
      </c>
    </row>
    <row r="31" spans="2:8" x14ac:dyDescent="0.3">
      <c r="B31" s="14" t="str">
        <f>IFERROR(INDEX(DICT_ACTIVE,MATCH("CF.INV.FINASSET.BUY",DICT_KEY,0))&amp;"","??CF.INV.FINASSET.BUY")</f>
        <v>Purchase of financial assets</v>
      </c>
      <c r="C31" s="14"/>
      <c r="D31" s="26">
        <f>-D95</f>
        <v>0</v>
      </c>
      <c r="E31" s="26">
        <f>-E95</f>
        <v>0</v>
      </c>
      <c r="H31" s="10" t="s">
        <v>914</v>
      </c>
    </row>
    <row r="32" spans="2:8" x14ac:dyDescent="0.3">
      <c r="B32" s="14" t="str">
        <f>IFERROR(INDEX(DICT_ACTIVE,MATCH("CF.INV.FINASSET.SELL",DICT_KEY,0))&amp;"","??CF.INV.FINASSET.SELL")</f>
        <v>Proceeds from sale of financial assets</v>
      </c>
      <c r="C32" s="14"/>
      <c r="D32" s="26">
        <f>-D96</f>
        <v>0</v>
      </c>
      <c r="E32" s="26">
        <f>-E96</f>
        <v>0</v>
      </c>
      <c r="H32" s="10" t="s">
        <v>917</v>
      </c>
    </row>
    <row r="33" spans="2:8" x14ac:dyDescent="0.3">
      <c r="B33" s="14" t="str">
        <f>IFERROR(INDEX(DICT_ACTIVE,MATCH("CF.INV.ASSOC",DICT_KEY,0))&amp;"","??CF.INV.ASSOC")</f>
        <v>Investments in associates and joint ventures</v>
      </c>
      <c r="C33" s="14"/>
      <c r="D33" s="17">
        <f>-INDEX(CFT_MOVCY,MATCH("INV.ASSOC",CFT_TAG,0))</f>
        <v>0</v>
      </c>
      <c r="E33" s="17">
        <f>-INDEX(CFT_MOVPY,MATCH("INV.ASSOC",CFT_TAG,0))</f>
        <v>0</v>
      </c>
      <c r="H33" s="10" t="s">
        <v>797</v>
      </c>
    </row>
    <row r="34" spans="2:8" x14ac:dyDescent="0.3">
      <c r="B34" s="14" t="str">
        <f>IFERROR(INDEX(DICT_ACTIVE,MATCH("CF.INV.INTREC",DICT_KEY,0))&amp;"","??CF.INV.INTREC")</f>
        <v>Interest received</v>
      </c>
      <c r="C34" s="14"/>
      <c r="D34" s="26">
        <f>-INDEX(CFT_CY,MATCH("INT.REC",CFT_TAG,0))</f>
        <v>250</v>
      </c>
      <c r="E34" s="26">
        <f>-INDEX(CFT_PY,MATCH("INT.REC",CFT_TAG,0))</f>
        <v>180</v>
      </c>
      <c r="H34" s="10" t="s">
        <v>800</v>
      </c>
    </row>
    <row r="35" spans="2:8" x14ac:dyDescent="0.3">
      <c r="B35" s="14" t="str">
        <f>IFERROR(INDEX(DICT_ACTIVE,MATCH("CF.INV.DIVREC",DICT_KEY,0))&amp;"","??CF.INV.DIVREC")</f>
        <v>Dividends received</v>
      </c>
      <c r="C35" s="14"/>
      <c r="D35" s="17">
        <f>-INDEX(CFT_CY,MATCH("DIV.REC",CFT_TAG,0))</f>
        <v>0</v>
      </c>
      <c r="E35" s="17">
        <f>-INDEX(CFT_PY,MATCH("DIV.REC",CFT_TAG,0))</f>
        <v>0</v>
      </c>
      <c r="H35" s="10" t="s">
        <v>803</v>
      </c>
    </row>
    <row r="36" spans="2:8" x14ac:dyDescent="0.3">
      <c r="B36" s="29" t="str">
        <f>IFERROR(INDEX(DICT_ACTIVE,MATCH("CF.INV.NET",DICT_KEY,0))&amp;"","??CF.INV.NET")</f>
        <v>Net cash from investing activities</v>
      </c>
      <c r="C36" s="29"/>
      <c r="D36" s="30">
        <f>SUM(D27:D35)</f>
        <v>-5850</v>
      </c>
      <c r="E36" s="30">
        <f>SUM(E27:E35)</f>
        <v>-3870</v>
      </c>
      <c r="H36" s="10" t="s">
        <v>806</v>
      </c>
    </row>
    <row r="38" spans="2:8" x14ac:dyDescent="0.3">
      <c r="B38" s="24" t="str">
        <f>IFERROR(INDEX(DICT_ACTIVE,MATCH("CF.SEC.FIN",DICT_KEY,0))&amp;"","??CF.SEC.FIN")</f>
        <v>Cash flows from financing activities</v>
      </c>
      <c r="C38" s="24"/>
      <c r="D38" s="25"/>
      <c r="E38" s="25"/>
      <c r="H38" s="10" t="s">
        <v>724</v>
      </c>
    </row>
    <row r="39" spans="2:8" x14ac:dyDescent="0.3">
      <c r="B39" s="14" t="str">
        <f>IFERROR(INDEX(DICT_ACTIVE,MATCH("CF.FIN.PROCEEDS",DICT_KEY,0))&amp;"","??CF.FIN.PROCEEDS")</f>
        <v>Proceeds from borrowings</v>
      </c>
      <c r="C39" s="14"/>
      <c r="D39" s="26">
        <f>D111</f>
        <v>0</v>
      </c>
      <c r="E39" s="26">
        <f>E111</f>
        <v>0</v>
      </c>
      <c r="H39" s="10" t="s">
        <v>809</v>
      </c>
    </row>
    <row r="40" spans="2:8" x14ac:dyDescent="0.3">
      <c r="B40" s="14" t="str">
        <f>IFERROR(INDEX(DICT_ACTIVE,MATCH("CF.FIN.REPAY",DICT_KEY,0))&amp;"","??CF.FIN.REPAY")</f>
        <v>Repayment of borrowings</v>
      </c>
      <c r="C40" s="14"/>
      <c r="D40" s="26">
        <f>D113</f>
        <v>-2080</v>
      </c>
      <c r="E40" s="26">
        <f>E113</f>
        <v>-2120</v>
      </c>
      <c r="H40" s="10" t="s">
        <v>812</v>
      </c>
    </row>
    <row r="41" spans="2:8" x14ac:dyDescent="0.3">
      <c r="B41" s="14" t="str">
        <f>IFERROR(INDEX(DICT_ACTIVE,MATCH("CF.FIN.LEASE",DICT_KEY,0))&amp;"","??CF.FIN.LEASE")</f>
        <v>Payment of lease liabilities (principal)</v>
      </c>
      <c r="C41" s="14"/>
      <c r="D41" s="26">
        <f>D122+D120</f>
        <v>-750</v>
      </c>
      <c r="E41" s="26">
        <f>E122+E120</f>
        <v>-650</v>
      </c>
      <c r="H41" s="10" t="s">
        <v>815</v>
      </c>
    </row>
    <row r="42" spans="2:8" x14ac:dyDescent="0.3">
      <c r="B42" s="14" t="str">
        <f>IFERROR(INDEX(DICT_ACTIVE,MATCH("CF.FIN.INTPAID",DICT_KEY,0))&amp;"","??CF.FIN.INTPAID")</f>
        <v>Interest paid</v>
      </c>
      <c r="C42" s="14"/>
      <c r="D42" s="26">
        <f>-INDEX(CFT_CY,MATCH("INT.PAID",CFT_TAG,0))-INDEX(CFT_MOVCY,MATCH("INT.ACCRUED",CFT_TAG,0))</f>
        <v>-1350</v>
      </c>
      <c r="E42" s="26">
        <f>-INDEX(CFT_PY,MATCH("INT.PAID",CFT_TAG,0))-INDEX(CFT_MOVPY,MATCH("INT.ACCRUED",CFT_TAG,0))</f>
        <v>-1550</v>
      </c>
      <c r="H42" s="10" t="s">
        <v>818</v>
      </c>
    </row>
    <row r="43" spans="2:8" x14ac:dyDescent="0.3">
      <c r="B43" s="14" t="str">
        <f>IFERROR(INDEX(DICT_ACTIVE,MATCH("CF.FIN.SHARES",DICT_KEY,0))&amp;"","??CF.FIN.SHARES")</f>
        <v>Proceeds from issue of shares</v>
      </c>
      <c r="C43" s="14"/>
      <c r="D43" s="26">
        <f>SUM(SCE_ISSUE_CY)</f>
        <v>0</v>
      </c>
      <c r="E43" s="26">
        <f>SUM(SCE_ISSUE_PY)</f>
        <v>0</v>
      </c>
      <c r="H43" s="10" t="s">
        <v>821</v>
      </c>
    </row>
    <row r="44" spans="2:8" x14ac:dyDescent="0.3">
      <c r="B44" s="14" t="str">
        <f>IFERROR(INDEX(DICT_ACTIVE,MATCH("CF.FIN.DIVPAID",DICT_KEY,0))&amp;"","??CF.FIN.DIVPAID")</f>
        <v>Dividends paid</v>
      </c>
      <c r="C44" s="14"/>
      <c r="D44" s="26">
        <f>SCE_DIV_CY-INDEX(CFT_MOVCY,MATCH("DIV.PAYABLE",CFT_TAG,0))</f>
        <v>-1000</v>
      </c>
      <c r="E44" s="26">
        <f>SCE_DIV_PY-INDEX(CFT_MOVPY,MATCH("DIV.PAYABLE",CFT_TAG,0))</f>
        <v>0</v>
      </c>
      <c r="H44" s="10" t="s">
        <v>824</v>
      </c>
    </row>
    <row r="45" spans="2:8" x14ac:dyDescent="0.3">
      <c r="B45" s="29" t="str">
        <f>IFERROR(INDEX(DICT_ACTIVE,MATCH("CF.FIN.NET",DICT_KEY,0))&amp;"","??CF.FIN.NET")</f>
        <v>Net cash from financing activities</v>
      </c>
      <c r="C45" s="29"/>
      <c r="D45" s="30">
        <f>SUM(D39:D44)</f>
        <v>-5180</v>
      </c>
      <c r="E45" s="30">
        <f>SUM(E39:E44)</f>
        <v>-4320</v>
      </c>
      <c r="H45" s="10" t="s">
        <v>827</v>
      </c>
    </row>
    <row r="47" spans="2:8" x14ac:dyDescent="0.3">
      <c r="B47" s="27" t="str">
        <f>IFERROR(INDEX(DICT_ACTIVE,MATCH("CF.NETCHANGE",DICT_KEY,0))&amp;"","??CF.NETCHANGE")</f>
        <v>Net increase/(decrease) in cash and cash equivalents</v>
      </c>
      <c r="C47" s="27"/>
      <c r="D47" s="28">
        <f>D24+D36+D45</f>
        <v>8290</v>
      </c>
      <c r="E47" s="28">
        <f>E24+E36+E45</f>
        <v>8220</v>
      </c>
      <c r="H47" s="10" t="s">
        <v>830</v>
      </c>
    </row>
    <row r="48" spans="2:8" x14ac:dyDescent="0.3">
      <c r="B48" s="14" t="str">
        <f>IFERROR(INDEX(DICT_ACTIVE,MATCH("CF.FXCASH",DICT_KEY,0))&amp;"","??CF.FXCASH")</f>
        <v>Effect of exchange rate changes on cash</v>
      </c>
      <c r="C48" s="14"/>
      <c r="D48" s="17">
        <v>0</v>
      </c>
      <c r="E48" s="17">
        <v>0</v>
      </c>
      <c r="H48" s="10" t="s">
        <v>833</v>
      </c>
    </row>
    <row r="49" spans="2:8" x14ac:dyDescent="0.3">
      <c r="B49" s="14" t="str">
        <f>IFERROR(INDEX(DICT_ACTIVE,MATCH("CF.OPENING",DICT_KEY,0))&amp;"","??CF.OPENING")</f>
        <v>Cash and cash equivalents at beginning of year</v>
      </c>
      <c r="C49" s="14"/>
      <c r="D49" s="26">
        <f>INDEX(ENG_PYP,MATCH("SFP.CA.CASH",ENG_KEY,0))</f>
        <v>13220</v>
      </c>
      <c r="E49" s="26">
        <f>INDEX(ENG_OP,MATCH("SFP.CA.CASH",ENG_KEY,0))*INDEX(ENG_SIGN,MATCH("SFP.CA.CASH",ENG_KEY,0))</f>
        <v>5000</v>
      </c>
      <c r="H49" s="10" t="s">
        <v>836</v>
      </c>
    </row>
    <row r="50" spans="2:8" x14ac:dyDescent="0.3">
      <c r="B50" s="29" t="str">
        <f>IFERROR(INDEX(DICT_ACTIVE,MATCH("CF.CLOSING",DICT_KEY,0))&amp;"","??CF.CLOSING")</f>
        <v>Cash and cash equivalents at end of year</v>
      </c>
      <c r="C50" s="29"/>
      <c r="D50" s="30">
        <f>D49+D47+D48</f>
        <v>21510</v>
      </c>
      <c r="E50" s="30">
        <f>E49+E47+E48</f>
        <v>13220</v>
      </c>
      <c r="H50" s="10" t="s">
        <v>839</v>
      </c>
    </row>
    <row r="51" spans="2:8" x14ac:dyDescent="0.3">
      <c r="B51" s="14" t="str">
        <f>IFERROR(INDEX(DICT_ACTIVE,MATCH("CF.PERSFP",DICT_KEY,0))&amp;"","??CF.PERSFP")</f>
        <v>Cash and cash equivalents per statement of financial position</v>
      </c>
      <c r="C51" s="14"/>
      <c r="D51" s="26">
        <f>INDEX(ENG_CYP,MATCH("SFP.CA.CASH",ENG_KEY,0))</f>
        <v>21510</v>
      </c>
      <c r="E51" s="26">
        <f>INDEX(ENG_PYP,MATCH("SFP.CA.CASH",ENG_KEY,0))</f>
        <v>13220</v>
      </c>
      <c r="H51" s="10" t="s">
        <v>842</v>
      </c>
    </row>
    <row r="52" spans="2:8" x14ac:dyDescent="0.3">
      <c r="B52" s="2" t="str">
        <f>IFERROR(INDEX(DICT_ACTIVE,MATCH("CF.DIFF",DICT_KEY,0))&amp;"","??CF.DIFF")</f>
        <v>Difference (must be zero)</v>
      </c>
      <c r="C52" s="14"/>
      <c r="D52" s="26">
        <f>ROUND(D50-D51,0)</f>
        <v>0</v>
      </c>
      <c r="E52" s="26">
        <f>ROUND(E50-E51,0)</f>
        <v>0</v>
      </c>
      <c r="H52" s="10" t="s">
        <v>845</v>
      </c>
    </row>
    <row r="60" spans="2:8" x14ac:dyDescent="0.3">
      <c r="B60" s="24" t="str">
        <f>IFERROR(INDEX(DICT_ACTIVE,MATCH("CF.ROLL.TITLE",DICT_KEY,0))&amp;"","??CF.ROLL.TITLE")</f>
        <v>Roll-forward of balances (non-cash split)</v>
      </c>
    </row>
    <row r="61" spans="2:8" x14ac:dyDescent="0.3">
      <c r="B61" s="2" t="str">
        <f>IFERROR(INDEX(DICT_ACTIVE,MATCH("CF.NOTE.ECL",DICT_KEY,0))&amp;"","??CF.NOTE.ECL")</f>
        <v>Split into gross change and allowance movement only if the loss allowance account carries the 'Loss allowance on receivables (balance)' tag and the expense account the 'Impairment of receivables' tag; otherwise the net change already covers it.</v>
      </c>
    </row>
    <row r="62" spans="2:8" x14ac:dyDescent="0.3">
      <c r="B62" s="21" t="str">
        <f>IFERROR(INDEX(DICT_ACTIVE,MATCH("SFP.NCA.PPE",DICT_KEY,0))&amp;"","??SFP.NCA.PPE")</f>
        <v>Property, plant and equipment</v>
      </c>
    </row>
    <row r="63" spans="2:8" x14ac:dyDescent="0.3">
      <c r="B63" s="14" t="str">
        <f>IFERROR(INDEX(DICT_ACTIVE,MATCH("CF.ROLL.OPEN",DICT_KEY,0))&amp;"","??CF.ROLL.OPEN")</f>
        <v>Opening carrying amount</v>
      </c>
      <c r="D63" s="26">
        <f>INDEX(CFT_PY,MATCH("INV.PPE",CFT_TAG,0))</f>
        <v>32000</v>
      </c>
      <c r="E63" s="26">
        <f>INDEX(CFT_OP,MATCH("INV.PPE",CFT_TAG,0))</f>
        <v>31800</v>
      </c>
    </row>
    <row r="64" spans="2:8" x14ac:dyDescent="0.3">
      <c r="B64" s="14" t="str">
        <f>IFERROR(INDEX(DICT_ACTIVE,MATCH("CF.ROLL.ADD",DICT_KEY,0))&amp;"","??CF.ROLL.ADD")</f>
        <v>Additions (cash)</v>
      </c>
      <c r="D64" s="17">
        <v>6000</v>
      </c>
      <c r="E64" s="17">
        <v>3900</v>
      </c>
    </row>
    <row r="65" spans="2:5" x14ac:dyDescent="0.3">
      <c r="B65" s="14" t="str">
        <f>IFERROR(INDEX(DICT_ACTIVE,MATCH("CF.ROLL.ADDNC",DICT_KEY,0))&amp;"","??CF.ROLL.ADDNC")</f>
        <v>Additions (non-cash)</v>
      </c>
      <c r="D65" s="17">
        <v>0</v>
      </c>
      <c r="E65" s="17">
        <v>0</v>
      </c>
    </row>
    <row r="66" spans="2:5" x14ac:dyDescent="0.3">
      <c r="B66" s="14" t="str">
        <f>IFERROR(INDEX(DICT_ACTIVE,MATCH("CF.ROLL.DEP",DICT_KEY,0))&amp;"","??CF.ROLL.DEP")</f>
        <v>Depreciation / amortisation</v>
      </c>
      <c r="D66" s="26">
        <f>-(INDEX(CFT_CY,MATCH("NC.DEP.PPE",CFT_TAG,0))+INDEX(CFT_CY,MATCH("NC.DEP.ROU",CFT_TAG,0)))</f>
        <v>-4300</v>
      </c>
      <c r="E66" s="26">
        <f>-(INDEX(CFT_PY,MATCH("NC.DEP.PPE",CFT_TAG,0))+INDEX(CFT_PY,MATCH("NC.DEP.ROU",CFT_TAG,0)))</f>
        <v>-3800</v>
      </c>
    </row>
    <row r="67" spans="2:5" x14ac:dyDescent="0.3">
      <c r="B67" s="14" t="str">
        <f>IFERROR(INDEX(DICT_ACTIVE,MATCH("CF.ROLL.IMP",DICT_KEY,0))&amp;"","??CF.ROLL.IMP")</f>
        <v>Impairment</v>
      </c>
      <c r="D67" s="26">
        <f>-INDEX(CFT_CY,MATCH("NC.IMPAIR.PPE",CFT_TAG,0))</f>
        <v>0</v>
      </c>
      <c r="E67" s="26">
        <f>-INDEX(CFT_PY,MATCH("NC.IMPAIR.PPE",CFT_TAG,0))</f>
        <v>0</v>
      </c>
    </row>
    <row r="68" spans="2:5" x14ac:dyDescent="0.3">
      <c r="B68" s="14" t="str">
        <f>IFERROR(INDEX(DICT_ACTIVE,MATCH("CF.ROLL.REVAL",DICT_KEY,0))&amp;"","??CF.ROLL.REVAL")</f>
        <v>Revaluation (OCI)</v>
      </c>
      <c r="D68" s="26">
        <f>-INDEX(ENG_CY,MATCH("OCI.NR.REVAL",ENG_KEY,0))</f>
        <v>100</v>
      </c>
      <c r="E68" s="26">
        <f>-INDEX(ENG_PY,MATCH("OCI.NR.REVAL",ENG_KEY,0))</f>
        <v>150</v>
      </c>
    </row>
    <row r="69" spans="2:5" x14ac:dyDescent="0.3">
      <c r="B69" s="14" t="str">
        <f>IFERROR(INDEX(DICT_ACTIVE,MATCH("CF.ROLL.DISP",DICT_KEY,0))&amp;"","??CF.ROLL.DISP")</f>
        <v>Disposals at carrying amount</v>
      </c>
      <c r="D69" s="17">
        <v>-100</v>
      </c>
      <c r="E69" s="17">
        <v>-50</v>
      </c>
    </row>
    <row r="70" spans="2:5" x14ac:dyDescent="0.3">
      <c r="B70" s="14" t="str">
        <f>IFERROR(INDEX(DICT_ACTIVE,MATCH("CF.ROLL.CLOSE",DICT_KEY,0))&amp;"","??CF.ROLL.CLOSE")</f>
        <v>Closing per statement of financial position</v>
      </c>
      <c r="D70" s="40">
        <f>INDEX(CFT_CY,MATCH("INV.PPE",CFT_TAG,0))</f>
        <v>33700</v>
      </c>
      <c r="E70" s="40">
        <f>INDEX(CFT_PY,MATCH("INV.PPE",CFT_TAG,0))</f>
        <v>32000</v>
      </c>
    </row>
    <row r="71" spans="2:5" x14ac:dyDescent="0.3">
      <c r="B71" s="14" t="str">
        <f>IFERROR(INDEX(DICT_ACTIVE,MATCH("CF.ROLL.UNEXPL",DICT_KEY,0))&amp;"","??CF.ROLL.UNEXPL")</f>
        <v>Unexplained movement</v>
      </c>
      <c r="D71" s="26">
        <f>ROUND(D70-(D63+D64+D65+D66+D67+D68+D69),0)</f>
        <v>0</v>
      </c>
      <c r="E71" s="26">
        <f>ROUND(E70-(E63+E64+E65+E66+E67+E68+E69),0)</f>
        <v>0</v>
      </c>
    </row>
    <row r="73" spans="2:5" x14ac:dyDescent="0.3">
      <c r="B73" s="21" t="str">
        <f>IFERROR(INDEX(DICT_ACTIVE,MATCH("SFP.NCA.INTANG",DICT_KEY,0))&amp;"","??SFP.NCA.INTANG")</f>
        <v>Intangible assets</v>
      </c>
    </row>
    <row r="74" spans="2:5" x14ac:dyDescent="0.3">
      <c r="B74" s="14" t="str">
        <f>IFERROR(INDEX(DICT_ACTIVE,MATCH("CF.ROLL.OPEN",DICT_KEY,0))&amp;"","??CF.ROLL.OPEN")</f>
        <v>Opening carrying amount</v>
      </c>
      <c r="D74" s="26">
        <f>INDEX(CFT_PY,MATCH("INV.INTANG",CFT_TAG,0))</f>
        <v>1600</v>
      </c>
      <c r="E74" s="26">
        <f>INDEX(CFT_OP,MATCH("INV.INTANG",CFT_TAG,0))</f>
        <v>1550</v>
      </c>
    </row>
    <row r="75" spans="2:5" x14ac:dyDescent="0.3">
      <c r="B75" s="14" t="str">
        <f>IFERROR(INDEX(DICT_ACTIVE,MATCH("CF.ROLL.ADD",DICT_KEY,0))&amp;"","??CF.ROLL.ADD")</f>
        <v>Additions (cash)</v>
      </c>
      <c r="D75" s="17">
        <v>500</v>
      </c>
      <c r="E75" s="17">
        <v>300</v>
      </c>
    </row>
    <row r="76" spans="2:5" x14ac:dyDescent="0.3">
      <c r="B76" s="14" t="str">
        <f>IFERROR(INDEX(DICT_ACTIVE,MATCH("CF.ROLL.ADDNC",DICT_KEY,0))&amp;"","??CF.ROLL.ADDNC")</f>
        <v>Additions (non-cash)</v>
      </c>
      <c r="D76" s="17">
        <v>0</v>
      </c>
      <c r="E76" s="17">
        <v>0</v>
      </c>
    </row>
    <row r="77" spans="2:5" x14ac:dyDescent="0.3">
      <c r="B77" s="14" t="str">
        <f>IFERROR(INDEX(DICT_ACTIVE,MATCH("CF.ROLL.DEP",DICT_KEY,0))&amp;"","??CF.ROLL.DEP")</f>
        <v>Depreciation / amortisation</v>
      </c>
      <c r="D77" s="26">
        <f>-(INDEX(CFT_CY,MATCH("NC.AMORT.INTANG",CFT_TAG,0)))</f>
        <v>-300</v>
      </c>
      <c r="E77" s="26">
        <f>-(INDEX(CFT_PY,MATCH("NC.AMORT.INTANG",CFT_TAG,0)))</f>
        <v>-250</v>
      </c>
    </row>
    <row r="78" spans="2:5" x14ac:dyDescent="0.3">
      <c r="B78" s="14" t="str">
        <f>IFERROR(INDEX(DICT_ACTIVE,MATCH("CF.ROLL.IMP",DICT_KEY,0))&amp;"","??CF.ROLL.IMP")</f>
        <v>Impairment</v>
      </c>
      <c r="D78" s="26">
        <f>-INDEX(CFT_CY,MATCH("NC.IMPAIR.INTANG",CFT_TAG,0))</f>
        <v>0</v>
      </c>
      <c r="E78" s="26">
        <f>-INDEX(CFT_PY,MATCH("NC.IMPAIR.INTANG",CFT_TAG,0))</f>
        <v>0</v>
      </c>
    </row>
    <row r="79" spans="2:5" x14ac:dyDescent="0.3">
      <c r="B79" s="14" t="str">
        <f>IFERROR(INDEX(DICT_ACTIVE,MATCH("CF.ROLL.DISP",DICT_KEY,0))&amp;"","??CF.ROLL.DISP")</f>
        <v>Disposals at carrying amount</v>
      </c>
      <c r="D79" s="17">
        <v>0</v>
      </c>
      <c r="E79" s="17">
        <v>0</v>
      </c>
    </row>
    <row r="80" spans="2:5" x14ac:dyDescent="0.3">
      <c r="B80" s="14" t="str">
        <f>IFERROR(INDEX(DICT_ACTIVE,MATCH("CF.ROLL.CLOSE",DICT_KEY,0))&amp;"","??CF.ROLL.CLOSE")</f>
        <v>Closing per statement of financial position</v>
      </c>
      <c r="D80" s="40">
        <f>INDEX(CFT_CY,MATCH("INV.INTANG",CFT_TAG,0))</f>
        <v>1800</v>
      </c>
      <c r="E80" s="40">
        <f>INDEX(CFT_PY,MATCH("INV.INTANG",CFT_TAG,0))</f>
        <v>1600</v>
      </c>
    </row>
    <row r="81" spans="2:5" x14ac:dyDescent="0.3">
      <c r="B81" s="14" t="str">
        <f>IFERROR(INDEX(DICT_ACTIVE,MATCH("CF.ROLL.UNEXPL",DICT_KEY,0))&amp;"","??CF.ROLL.UNEXPL")</f>
        <v>Unexplained movement</v>
      </c>
      <c r="D81" s="26">
        <f>ROUND(D80-(D74+D75+D76+D77+D78+D79),0)</f>
        <v>0</v>
      </c>
      <c r="E81" s="26">
        <f>ROUND(E80-(E74+E75+E76+E77+E78+E79),0)</f>
        <v>0</v>
      </c>
    </row>
    <row r="83" spans="2:5" x14ac:dyDescent="0.3">
      <c r="B83" s="21" t="str">
        <f>IFERROR(INDEX(DICT_ACTIVE,MATCH("SFP.NCA.INVPROP",DICT_KEY,0))&amp;"","??SFP.NCA.INVPROP")</f>
        <v>Investment property</v>
      </c>
    </row>
    <row r="84" spans="2:5" x14ac:dyDescent="0.3">
      <c r="B84" s="14" t="str">
        <f>IFERROR(INDEX(DICT_ACTIVE,MATCH("CF.ROLL.OPEN",DICT_KEY,0))&amp;"","??CF.ROLL.OPEN")</f>
        <v>Opening carrying amount</v>
      </c>
      <c r="D84" s="26">
        <f>INDEX(CFT_PY,MATCH("INV.INVPROP",CFT_TAG,0))</f>
        <v>0</v>
      </c>
      <c r="E84" s="26">
        <f>INDEX(CFT_OP,MATCH("INV.INVPROP",CFT_TAG,0))</f>
        <v>0</v>
      </c>
    </row>
    <row r="85" spans="2:5" x14ac:dyDescent="0.3">
      <c r="B85" s="14" t="str">
        <f>IFERROR(INDEX(DICT_ACTIVE,MATCH("CF.ROLL.ADD",DICT_KEY,0))&amp;"","??CF.ROLL.ADD")</f>
        <v>Additions (cash)</v>
      </c>
      <c r="D85" s="17">
        <v>0</v>
      </c>
      <c r="E85" s="17">
        <v>0</v>
      </c>
    </row>
    <row r="86" spans="2:5" x14ac:dyDescent="0.3">
      <c r="B86" s="14" t="str">
        <f>IFERROR(INDEX(DICT_ACTIVE,MATCH("CF.ROLL.ADDNC",DICT_KEY,0))&amp;"","??CF.ROLL.ADDNC")</f>
        <v>Additions (non-cash)</v>
      </c>
      <c r="D86" s="17">
        <v>0</v>
      </c>
      <c r="E86" s="17">
        <v>0</v>
      </c>
    </row>
    <row r="87" spans="2:5" x14ac:dyDescent="0.3">
      <c r="B87" s="14" t="str">
        <f>IFERROR(INDEX(DICT_ACTIVE,MATCH("CF.ROLL.DEP",DICT_KEY,0))&amp;"","??CF.ROLL.DEP")</f>
        <v>Depreciation / amortisation</v>
      </c>
      <c r="D87" s="26">
        <v>0</v>
      </c>
      <c r="E87" s="26">
        <v>0</v>
      </c>
    </row>
    <row r="88" spans="2:5" x14ac:dyDescent="0.3">
      <c r="B88" s="14" t="str">
        <f>IFERROR(INDEX(DICT_ACTIVE,MATCH("CF.ROLL.IMP",DICT_KEY,0))&amp;"","??CF.ROLL.IMP")</f>
        <v>Impairment</v>
      </c>
      <c r="D88" s="26">
        <f>-INDEX(CFT_CY,MATCH("NC.IMPAIR.INVPROP",CFT_TAG,0))</f>
        <v>0</v>
      </c>
      <c r="E88" s="26">
        <f>-INDEX(CFT_PY,MATCH("NC.IMPAIR.INVPROP",CFT_TAG,0))</f>
        <v>0</v>
      </c>
    </row>
    <row r="89" spans="2:5" x14ac:dyDescent="0.3">
      <c r="B89" s="14" t="str">
        <f>IFERROR(INDEX(DICT_ACTIVE,MATCH("CF.ROLL.DISP",DICT_KEY,0))&amp;"","??CF.ROLL.DISP")</f>
        <v>Disposals at carrying amount</v>
      </c>
      <c r="D89" s="17">
        <v>0</v>
      </c>
      <c r="E89" s="17">
        <v>0</v>
      </c>
    </row>
    <row r="90" spans="2:5" x14ac:dyDescent="0.3">
      <c r="B90" s="14" t="str">
        <f>IFERROR(INDEX(DICT_ACTIVE,MATCH("CF.ROLL.CLOSE",DICT_KEY,0))&amp;"","??CF.ROLL.CLOSE")</f>
        <v>Closing per statement of financial position</v>
      </c>
      <c r="D90" s="40">
        <f>INDEX(CFT_CY,MATCH("INV.INVPROP",CFT_TAG,0))</f>
        <v>0</v>
      </c>
      <c r="E90" s="40">
        <f>INDEX(CFT_PY,MATCH("INV.INVPROP",CFT_TAG,0))</f>
        <v>0</v>
      </c>
    </row>
    <row r="91" spans="2:5" x14ac:dyDescent="0.3">
      <c r="B91" s="14" t="str">
        <f>IFERROR(INDEX(DICT_ACTIVE,MATCH("CF.ROLL.UNEXPL",DICT_KEY,0))&amp;"","??CF.ROLL.UNEXPL")</f>
        <v>Unexplained movement</v>
      </c>
      <c r="D91" s="26">
        <f>ROUND(D90-(D84+D85+D86+D87+D88+D89),0)</f>
        <v>0</v>
      </c>
      <c r="E91" s="26">
        <f>ROUND(E90-(E84+E85+E86+E87+E88+E89),0)</f>
        <v>0</v>
      </c>
    </row>
    <row r="93" spans="2:5" x14ac:dyDescent="0.3">
      <c r="B93" s="21" t="str">
        <f>IFERROR(INDEX(DICT_ACTIVE,MATCH("SFP.NCA.FINASSET",DICT_KEY,0))&amp;"","??SFP.NCA.FINASSET")</f>
        <v>Non-current financial assets</v>
      </c>
    </row>
    <row r="94" spans="2:5" x14ac:dyDescent="0.3">
      <c r="B94" s="14" t="str">
        <f>IFERROR(INDEX(DICT_ACTIVE,MATCH("CF.ROLL.OPEN",DICT_KEY,0))&amp;"","??CF.ROLL.OPEN")</f>
        <v>Opening carrying amount</v>
      </c>
      <c r="D94" s="26">
        <f>INDEX(CFT_PY,MATCH("INV.FINASSET",CFT_TAG,0))</f>
        <v>0</v>
      </c>
      <c r="E94" s="26">
        <f>INDEX(CFT_OP,MATCH("INV.FINASSET",CFT_TAG,0))</f>
        <v>0</v>
      </c>
    </row>
    <row r="95" spans="2:5" x14ac:dyDescent="0.3">
      <c r="B95" s="14" t="str">
        <f>IFERROR(INDEX(DICT_ACTIVE,MATCH("CF.ROLL.ADD",DICT_KEY,0))&amp;"","??CF.ROLL.ADD")</f>
        <v>Additions (cash)</v>
      </c>
      <c r="D95" s="17">
        <f>MAX(INDEX(CFT_MOVCY,MATCH("INV.FINASSET",CFT_TAG,0)),0)</f>
        <v>0</v>
      </c>
      <c r="E95" s="17">
        <f>MAX(INDEX(CFT_MOVPY,MATCH("INV.FINASSET",CFT_TAG,0)),0)</f>
        <v>0</v>
      </c>
    </row>
    <row r="96" spans="2:5" x14ac:dyDescent="0.3">
      <c r="B96" s="14" t="str">
        <f>IFERROR(INDEX(DICT_ACTIVE,MATCH("CF.ROLL.SALE",DICT_KEY,0))&amp;"","??CF.ROLL.SALE")</f>
        <v>Sales at carrying amount</v>
      </c>
      <c r="D96" s="17">
        <f>MIN(INDEX(CFT_MOVCY,MATCH("INV.FINASSET",CFT_TAG,0)),0)</f>
        <v>0</v>
      </c>
      <c r="E96" s="17">
        <f>MIN(INDEX(CFT_MOVPY,MATCH("INV.FINASSET",CFT_TAG,0)),0)</f>
        <v>0</v>
      </c>
    </row>
    <row r="97" spans="2:5" x14ac:dyDescent="0.3">
      <c r="B97" s="14" t="str">
        <f>IFERROR(INDEX(DICT_ACTIVE,MATCH("CF.ROLL.FV",DICT_KEY,0))&amp;"","??CF.ROLL.FV")</f>
        <v>Fair value change (non-cash)</v>
      </c>
      <c r="D97" s="17">
        <v>0</v>
      </c>
      <c r="E97" s="17">
        <v>0</v>
      </c>
    </row>
    <row r="98" spans="2:5" x14ac:dyDescent="0.3">
      <c r="B98" s="14" t="str">
        <f>IFERROR(INDEX(DICT_ACTIVE,MATCH("CF.ROLL.FXOTHER",DICT_KEY,0))&amp;"","??CF.ROLL.FXOTHER")</f>
        <v>FX and other</v>
      </c>
      <c r="D98" s="17">
        <v>0</v>
      </c>
      <c r="E98" s="17">
        <v>0</v>
      </c>
    </row>
    <row r="99" spans="2:5" x14ac:dyDescent="0.3">
      <c r="B99" s="14" t="str">
        <f>IFERROR(INDEX(DICT_ACTIVE,MATCH("CF.ROLL.CLOSE",DICT_KEY,0))&amp;"","??CF.ROLL.CLOSE")</f>
        <v>Closing per statement of financial position</v>
      </c>
      <c r="D99" s="40">
        <f>INDEX(CFT_CY,MATCH("INV.FINASSET",CFT_TAG,0))</f>
        <v>0</v>
      </c>
      <c r="E99" s="40">
        <f>INDEX(CFT_PY,MATCH("INV.FINASSET",CFT_TAG,0))</f>
        <v>0</v>
      </c>
    </row>
    <row r="100" spans="2:5" x14ac:dyDescent="0.3">
      <c r="B100" s="14" t="str">
        <f>IFERROR(INDEX(DICT_ACTIVE,MATCH("CF.ROLL.UNEXPL",DICT_KEY,0))&amp;"","??CF.ROLL.UNEXPL")</f>
        <v>Unexplained movement</v>
      </c>
      <c r="D100" s="26">
        <f>ROUND(D99-(D94+D95+D96+D97+D98),0)</f>
        <v>0</v>
      </c>
      <c r="E100" s="26">
        <f>ROUND(E99-(E94+E95+E96+E97+E98),0)</f>
        <v>0</v>
      </c>
    </row>
    <row r="102" spans="2:5" x14ac:dyDescent="0.3">
      <c r="B102" s="21" t="str">
        <f>IFERROR(INDEX(DICT_ACTIVE,MATCH("CF.ROLL.ECL.TITLE",DICT_KEY,0))&amp;"","??CF.ROLL.ECL.TITLE")</f>
        <v>Loss allowance on trade receivables</v>
      </c>
    </row>
    <row r="103" spans="2:5" x14ac:dyDescent="0.3">
      <c r="B103" s="14" t="str">
        <f>IFERROR(INDEX(DICT_ACTIVE,MATCH("CF.ROLL.OPEN",DICT_KEY,0))&amp;"","??CF.ROLL.OPEN")</f>
        <v>Opening carrying amount</v>
      </c>
      <c r="D103" s="26">
        <f>-INDEX(CFT_PY,MATCH("WC.TRADEREC.ALLOW",CFT_TAG,0))</f>
        <v>200</v>
      </c>
      <c r="E103" s="26">
        <f>-INDEX(CFT_OP,MATCH("WC.TRADEREC.ALLOW",CFT_TAG,0))</f>
        <v>150</v>
      </c>
    </row>
    <row r="104" spans="2:5" x14ac:dyDescent="0.3">
      <c r="B104" s="14" t="str">
        <f>IFERROR(INDEX(DICT_ACTIVE,MATCH("CF.ROLL.CHARGE",DICT_KEY,0))&amp;"","??CF.ROLL.CHARGE")</f>
        <v>Charge for the year</v>
      </c>
      <c r="D104" s="26">
        <f>INDEX(CFT_CY,MATCH("NC.IMPAIR.RECEIV",CFT_TAG,0))</f>
        <v>90</v>
      </c>
      <c r="E104" s="26">
        <f>INDEX(CFT_PY,MATCH("NC.IMPAIR.RECEIV",CFT_TAG,0))</f>
        <v>70</v>
      </c>
    </row>
    <row r="105" spans="2:5" x14ac:dyDescent="0.3">
      <c r="B105" s="14" t="str">
        <f>IFERROR(INDEX(DICT_ACTIVE,MATCH("CF.ROLL.UTIL",DICT_KEY,0))&amp;"","??CF.ROLL.UTIL")</f>
        <v>Utilisation (derived)</v>
      </c>
      <c r="D105" s="26">
        <f>D106-D103-D104</f>
        <v>-30</v>
      </c>
      <c r="E105" s="26">
        <f>E106-E103-E104</f>
        <v>-20</v>
      </c>
    </row>
    <row r="106" spans="2:5" x14ac:dyDescent="0.3">
      <c r="B106" s="14" t="str">
        <f>IFERROR(INDEX(DICT_ACTIVE,MATCH("CF.ROLL.CLOSE",DICT_KEY,0))&amp;"","??CF.ROLL.CLOSE")</f>
        <v>Closing per statement of financial position</v>
      </c>
      <c r="D106" s="40">
        <f>-INDEX(CFT_CY,MATCH("WC.TRADEREC.ALLOW",CFT_TAG,0))</f>
        <v>260</v>
      </c>
      <c r="E106" s="40">
        <f>-INDEX(CFT_PY,MATCH("WC.TRADEREC.ALLOW",CFT_TAG,0))</f>
        <v>200</v>
      </c>
    </row>
    <row r="107" spans="2:5" x14ac:dyDescent="0.3">
      <c r="B107" s="14" t="str">
        <f>IFERROR(INDEX(DICT_ACTIVE,MATCH("CF.ROLL.UNEXPL",DICT_KEY,0))&amp;"","??CF.ROLL.UNEXPL")</f>
        <v>Unexplained movement</v>
      </c>
      <c r="D107" s="26">
        <f>ROUND(D106-(D103+D104+D105),0)</f>
        <v>0</v>
      </c>
      <c r="E107" s="26">
        <f>ROUND(E106-(E103+E104+E105),0)</f>
        <v>0</v>
      </c>
    </row>
    <row r="109" spans="2:5" x14ac:dyDescent="0.3">
      <c r="B109" s="21" t="str">
        <f>IFERROR(INDEX(DICT_ACTIVE,MATCH("SFP.NCL.BORROW",DICT_KEY,0))&amp;"","??SFP.NCL.BORROW")</f>
        <v>Non-current borrowings</v>
      </c>
    </row>
    <row r="110" spans="2:5" x14ac:dyDescent="0.3">
      <c r="B110" s="14" t="str">
        <f>IFERROR(INDEX(DICT_ACTIVE,MATCH("CF.ROLL.OPEN",DICT_KEY,0))&amp;"","??CF.ROLL.OPEN")</f>
        <v>Opening carrying amount</v>
      </c>
      <c r="D110" s="26">
        <f>-INDEX(CFT_PY,MATCH("FIN.BORROW",CFT_TAG,0))</f>
        <v>16000</v>
      </c>
      <c r="E110" s="26">
        <f>-INDEX(CFT_OP,MATCH("FIN.BORROW",CFT_TAG,0))</f>
        <v>18000</v>
      </c>
    </row>
    <row r="111" spans="2:5" x14ac:dyDescent="0.3">
      <c r="B111" s="14" t="str">
        <f>IFERROR(INDEX(DICT_ACTIVE,MATCH("CF.ROLL.DRAW",DICT_KEY,0))&amp;"","??CF.ROLL.DRAW")</f>
        <v>Drawdowns</v>
      </c>
      <c r="D111" s="17">
        <v>0</v>
      </c>
      <c r="E111" s="17">
        <v>0</v>
      </c>
    </row>
    <row r="112" spans="2:5" x14ac:dyDescent="0.3">
      <c r="B112" s="14" t="str">
        <f>IFERROR(INDEX(DICT_ACTIVE,MATCH("CF.ROLL.FXOTHER",DICT_KEY,0))&amp;"","??CF.ROLL.FXOTHER")</f>
        <v>FX and other</v>
      </c>
      <c r="D112" s="17">
        <f>INDEX(ENG_CY,MATCH("PL.FIN.FX",ENG_KEY,0))</f>
        <v>80</v>
      </c>
      <c r="E112" s="17">
        <f>INDEX(ENG_PY,MATCH("PL.FIN.FX",ENG_KEY,0))</f>
        <v>120</v>
      </c>
    </row>
    <row r="113" spans="2:5" x14ac:dyDescent="0.3">
      <c r="B113" s="14" t="str">
        <f>IFERROR(INDEX(DICT_ACTIVE,MATCH("CF.ROLL.REPAY",DICT_KEY,0))&amp;"","??CF.ROLL.REPAY")</f>
        <v>Repayments (derived)</v>
      </c>
      <c r="D113" s="26">
        <f>D114-D110-D111-D112</f>
        <v>-2080</v>
      </c>
      <c r="E113" s="26">
        <f>E114-E110-E111-E112</f>
        <v>-2120</v>
      </c>
    </row>
    <row r="114" spans="2:5" x14ac:dyDescent="0.3">
      <c r="B114" s="14" t="str">
        <f>IFERROR(INDEX(DICT_ACTIVE,MATCH("CF.ROLL.CLOSE",DICT_KEY,0))&amp;"","??CF.ROLL.CLOSE")</f>
        <v>Closing per statement of financial position</v>
      </c>
      <c r="D114" s="40">
        <f>-INDEX(CFT_CY,MATCH("FIN.BORROW",CFT_TAG,0))</f>
        <v>14000</v>
      </c>
      <c r="E114" s="40">
        <f>-INDEX(CFT_PY,MATCH("FIN.BORROW",CFT_TAG,0))</f>
        <v>16000</v>
      </c>
    </row>
    <row r="115" spans="2:5" x14ac:dyDescent="0.3">
      <c r="B115" s="14" t="str">
        <f>IFERROR(INDEX(DICT_ACTIVE,MATCH("CF.ROLL.UNEXPL",DICT_KEY,0))&amp;"","??CF.ROLL.UNEXPL")</f>
        <v>Unexplained movement</v>
      </c>
      <c r="D115" s="26">
        <f>ROUND(D114-(D110+D111+D112+D113),0)</f>
        <v>0</v>
      </c>
      <c r="E115" s="26">
        <f>ROUND(E114-(E110+E111+E112+E113),0)</f>
        <v>0</v>
      </c>
    </row>
    <row r="117" spans="2:5" x14ac:dyDescent="0.3">
      <c r="B117" s="21" t="str">
        <f>IFERROR(INDEX(DICT_ACTIVE,MATCH("SFP.NCL.LEASE",DICT_KEY,0))&amp;"","??SFP.NCL.LEASE")</f>
        <v>Non-current lease liabilities</v>
      </c>
    </row>
    <row r="118" spans="2:5" x14ac:dyDescent="0.3">
      <c r="B118" s="14" t="str">
        <f>IFERROR(INDEX(DICT_ACTIVE,MATCH("CF.ROLL.OPEN",DICT_KEY,0))&amp;"","??CF.ROLL.OPEN")</f>
        <v>Opening carrying amount</v>
      </c>
      <c r="D118" s="26">
        <f>-INDEX(CFT_PY,MATCH("FIN.LEASE",CFT_TAG,0))</f>
        <v>4650</v>
      </c>
      <c r="E118" s="26">
        <f>-INDEX(CFT_OP,MATCH("FIN.LEASE",CFT_TAG,0))</f>
        <v>5300</v>
      </c>
    </row>
    <row r="119" spans="2:5" x14ac:dyDescent="0.3">
      <c r="B119" s="14" t="str">
        <f>IFERROR(INDEX(DICT_ACTIVE,MATCH("CF.ROLL.NEWLEASE",DICT_KEY,0))&amp;"","??CF.ROLL.NEWLEASE")</f>
        <v>New leases</v>
      </c>
      <c r="D119" s="17">
        <v>0</v>
      </c>
      <c r="E119" s="17">
        <v>0</v>
      </c>
    </row>
    <row r="120" spans="2:5" x14ac:dyDescent="0.3">
      <c r="B120" s="14" t="str">
        <f>IFERROR(INDEX(DICT_ACTIVE,MATCH("CF.ROLL.INT",DICT_KEY,0))&amp;"","??CF.ROLL.INT")</f>
        <v>Interest accrued</v>
      </c>
      <c r="D120" s="26">
        <f>IF(LeaseIntAccrued="Yes",INDEX(ENG_CY,MATCH("PL.FIN.INTLEASE",ENG_KEY,0)),0)</f>
        <v>0</v>
      </c>
      <c r="E120" s="26">
        <f>IF(LeaseIntAccrued="Yes",INDEX(ENG_PY,MATCH("PL.FIN.INTLEASE",ENG_KEY,0)),0)</f>
        <v>0</v>
      </c>
    </row>
    <row r="121" spans="2:5" x14ac:dyDescent="0.3">
      <c r="B121" s="14" t="str">
        <f>IFERROR(INDEX(DICT_ACTIVE,MATCH("CF.ROLL.FXOTHER",DICT_KEY,0))&amp;"","??CF.ROLL.FXOTHER")</f>
        <v>FX and other</v>
      </c>
      <c r="D121" s="17">
        <v>0</v>
      </c>
      <c r="E121" s="17">
        <v>0</v>
      </c>
    </row>
    <row r="122" spans="2:5" x14ac:dyDescent="0.3">
      <c r="B122" s="14" t="str">
        <f>IFERROR(INDEX(DICT_ACTIVE,MATCH("CF.ROLL.PAYMENT",DICT_KEY,0))&amp;"","??CF.ROLL.PAYMENT")</f>
        <v>Payments (derived)</v>
      </c>
      <c r="D122" s="26">
        <f>D123-D118-D119-D120-D121</f>
        <v>-750</v>
      </c>
      <c r="E122" s="26">
        <f>E123-E118-E119-E120-E121</f>
        <v>-650</v>
      </c>
    </row>
    <row r="123" spans="2:5" x14ac:dyDescent="0.3">
      <c r="B123" s="14" t="str">
        <f>IFERROR(INDEX(DICT_ACTIVE,MATCH("CF.ROLL.CLOSE",DICT_KEY,0))&amp;"","??CF.ROLL.CLOSE")</f>
        <v>Closing per statement of financial position</v>
      </c>
      <c r="D123" s="40">
        <f>-INDEX(CFT_CY,MATCH("FIN.LEASE",CFT_TAG,0))</f>
        <v>3900</v>
      </c>
      <c r="E123" s="40">
        <f>-INDEX(CFT_PY,MATCH("FIN.LEASE",CFT_TAG,0))</f>
        <v>4650</v>
      </c>
    </row>
    <row r="124" spans="2:5" x14ac:dyDescent="0.3">
      <c r="B124" s="14" t="str">
        <f>IFERROR(INDEX(DICT_ACTIVE,MATCH("CF.ROLL.UNEXPL",DICT_KEY,0))&amp;"","??CF.ROLL.UNEXPL")</f>
        <v>Unexplained movement</v>
      </c>
      <c r="D124" s="26">
        <f>ROUND(D123-(D118+D119+D120+D121+D122),0)</f>
        <v>0</v>
      </c>
      <c r="E124" s="26">
        <f>ROUND(E123-(E118+E119+E120+E121+E122),0)</f>
        <v>0</v>
      </c>
    </row>
    <row r="126" spans="2:5" x14ac:dyDescent="0.3">
      <c r="B126" s="2" t="str">
        <f>IFERROR(INDEX(DICT_ACTIVE,MATCH("CF.ROLL.UNEXPL",DICT_KEY,0))&amp;"","??CF.ROLL.UNEXPL")</f>
        <v>Unexplained movement</v>
      </c>
      <c r="D126" s="39">
        <f>ABS(D71)+ABS(E71)+ABS(D81)+ABS(E81)+ABS(D91)+ABS(E91)+ABS(D100)+ABS(E100)+ABS(D107)+ABS(E107)+ABS(D115)+ABS(E115)+ABS(D124)+ABS(E124)</f>
        <v>0</v>
      </c>
    </row>
  </sheetData>
  <sheetProtection algorithmName="SHA-512" hashValue="S4IywqKnvsPiM6SfYSjhFi7OhmRNb3oQ1Arl168JOihYo9RtKbTTOIMofPChJ+DXJt9BRNI/AtIO/tQVictRRw==" saltValue="xUq+SCVEQmHAD63P8hc1kQ==" spinCount="100000" sheet="1" objects="1" scenarios="1" formatCells="0" autoFilter="0" pivotTables="0"/>
  <conditionalFormatting sqref="D52:E52">
    <cfRule type="expression" dxfId="11" priority="1">
      <formula>D52&lt;&gt;0</formula>
    </cfRule>
  </conditionalFormatting>
  <conditionalFormatting sqref="D71:E71">
    <cfRule type="expression" dxfId="10" priority="3">
      <formula>D71&lt;&gt;0</formula>
    </cfRule>
  </conditionalFormatting>
  <conditionalFormatting sqref="D81:E81">
    <cfRule type="expression" dxfId="9" priority="5">
      <formula>D81&lt;&gt;0</formula>
    </cfRule>
  </conditionalFormatting>
  <conditionalFormatting sqref="D91:E91">
    <cfRule type="expression" dxfId="8" priority="7">
      <formula>D91&lt;&gt;0</formula>
    </cfRule>
  </conditionalFormatting>
  <conditionalFormatting sqref="D100:E100">
    <cfRule type="expression" dxfId="7" priority="9">
      <formula>D100&lt;&gt;0</formula>
    </cfRule>
  </conditionalFormatting>
  <conditionalFormatting sqref="D107:E107">
    <cfRule type="expression" dxfId="6" priority="11">
      <formula>D107&lt;&gt;0</formula>
    </cfRule>
  </conditionalFormatting>
  <conditionalFormatting sqref="D115:E115">
    <cfRule type="expression" dxfId="5" priority="13">
      <formula>D115&lt;&gt;0</formula>
    </cfRule>
  </conditionalFormatting>
  <conditionalFormatting sqref="D124:E124">
    <cfRule type="expression" dxfId="4" priority="15">
      <formula>D124&lt;&gt;0</formula>
    </cfRule>
  </conditionalFormatting>
  <pageMargins left="0.75" right="0.75" top="1" bottom="1" header="0.5" footer="0.5"/>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unka12"/>
  <dimension ref="A1:M66"/>
  <sheetViews>
    <sheetView showGridLines="0" workbookViewId="0">
      <pane ySplit="4" topLeftCell="A5" activePane="bottomLeft" state="frozen"/>
      <selection pane="bottomLeft" activeCell="A2" sqref="A2"/>
    </sheetView>
  </sheetViews>
  <sheetFormatPr defaultRowHeight="14.4" x14ac:dyDescent="0.3"/>
  <cols>
    <col min="1" max="1" width="2" customWidth="1"/>
    <col min="2" max="2" width="46" customWidth="1"/>
    <col min="3" max="3" width="34" customWidth="1"/>
    <col min="4" max="9" width="14" customWidth="1"/>
    <col min="10" max="10" width="2" customWidth="1"/>
    <col min="11" max="11" width="10" hidden="1" customWidth="1"/>
    <col min="12" max="12" width="8" hidden="1" customWidth="1"/>
    <col min="13" max="13" width="34" customWidth="1"/>
  </cols>
  <sheetData>
    <row r="1" spans="1:13" ht="17.399999999999999" x14ac:dyDescent="0.3">
      <c r="A1" s="1" t="str">
        <f>IFERROR(INDEX(DICT_ACTIVE,MATCH("MPM.TITLE",DICT_KEY,0))&amp;"","??MPM.TITLE")</f>
        <v>Management-defined performance measures</v>
      </c>
    </row>
    <row r="2" spans="1:13" x14ac:dyDescent="0.3">
      <c r="B2" s="21" t="str">
        <f>EntityName</f>
        <v>Minta Zrt.</v>
      </c>
    </row>
    <row r="3" spans="1:13" x14ac:dyDescent="0.3">
      <c r="B3" s="2" t="str">
        <f>UnitLabel</f>
        <v>in thousands of HUF</v>
      </c>
    </row>
    <row r="5" spans="1:13" x14ac:dyDescent="0.3">
      <c r="B5" s="24" t="str">
        <f>IFERROR(INDEX(DICT_ACTIVE,MATCH("MPM.NAME",DICT_KEY,0))&amp;"","??MPM.NAME")</f>
        <v>Name of the measure</v>
      </c>
      <c r="C5" s="2" t="str">
        <f>IFERROR(INDEX(DICT_ACTIVE,MATCH("UI.DICT.EN",DICT_KEY,0))&amp;"","??UI.DICT.EN")</f>
        <v>English</v>
      </c>
      <c r="G5" s="2" t="str">
        <f>IFERROR(INDEX(DICT_ACTIVE,MATCH("UI.DICT.HU",DICT_KEY,0))&amp;"","??UI.DICT.HU")</f>
        <v>Hungarian</v>
      </c>
    </row>
    <row r="6" spans="1:13" x14ac:dyDescent="0.3">
      <c r="B6" s="21" t="str">
        <f>IF(LangIdx=2,G6&amp;"",D6&amp;"")</f>
        <v>Adjusted operating profit</v>
      </c>
      <c r="D6" s="53" t="s">
        <v>1441</v>
      </c>
      <c r="E6" s="51"/>
      <c r="F6" s="51"/>
      <c r="G6" s="53" t="s">
        <v>1442</v>
      </c>
      <c r="H6" s="51"/>
      <c r="I6" s="51"/>
    </row>
    <row r="7" spans="1:13" x14ac:dyDescent="0.3">
      <c r="B7" s="14" t="str">
        <f>IFERROR(INDEX(DICT_ACTIVE,MATCH("MPM.GATE1",DICT_KEY,0))&amp;"","??MPM.GATE1")</f>
        <v>Used in public communications outside the financial statements?</v>
      </c>
      <c r="D7" s="5" t="s">
        <v>1330</v>
      </c>
      <c r="K7" s="10" t="str">
        <f>IFERROR(INDEX(LIST_YN_CODE,MATCH(D7,LIST_YN_EN,0)),IFERROR(INDEX(LIST_YN_CODE,MATCH(D7,LIST_YN_HU,0)),""))</f>
        <v>Yes</v>
      </c>
    </row>
    <row r="8" spans="1:13" x14ac:dyDescent="0.3">
      <c r="B8" s="14" t="str">
        <f>IFERROR(INDEX(DICT_ACTIVE,MATCH("MPM.GATE2",DICT_KEY,0))&amp;"","??MPM.GATE2")</f>
        <v>Communicates management's view of an aspect of financial performance?</v>
      </c>
      <c r="D8" s="5" t="s">
        <v>1330</v>
      </c>
      <c r="K8" s="10" t="str">
        <f>IFERROR(INDEX(LIST_YN_CODE,MATCH(D8,LIST_YN_EN,0)),IFERROR(INDEX(LIST_YN_CODE,MATCH(D8,LIST_YN_HU,0)),""))</f>
        <v>Yes</v>
      </c>
    </row>
    <row r="9" spans="1:13" x14ac:dyDescent="0.3">
      <c r="B9" s="14" t="str">
        <f>IFERROR(INDEX(DICT_ACTIVE,MATCH("MPM.GATE3",DICT_KEY,0))&amp;"","??MPM.GATE3")</f>
        <v>Not a subtotal specified by IFRS?</v>
      </c>
      <c r="D9" s="5" t="s">
        <v>1330</v>
      </c>
      <c r="K9" s="10" t="str">
        <f>IFERROR(INDEX(LIST_YN_CODE,MATCH(D9,LIST_YN_EN,0)),IFERROR(INDEX(LIST_YN_CODE,MATCH(D9,LIST_YN_HU,0)),""))</f>
        <v>Yes</v>
      </c>
    </row>
    <row r="10" spans="1:13" x14ac:dyDescent="0.3">
      <c r="B10" s="14" t="str">
        <f>IFERROR(INDEX(DICT_ACTIVE,MATCH("MPM.WHY",DICT_KEY,0))&amp;"","??MPM.WHY")</f>
        <v>Why the measure provides useful information</v>
      </c>
      <c r="D10" s="53" t="s">
        <v>1443</v>
      </c>
      <c r="E10" s="51"/>
      <c r="F10" s="51"/>
      <c r="G10" s="53" t="s">
        <v>1444</v>
      </c>
      <c r="H10" s="51"/>
      <c r="I10" s="51"/>
    </row>
    <row r="11" spans="1:13" x14ac:dyDescent="0.3">
      <c r="B11" s="14" t="str">
        <f>IFERROR(INDEX(DICT_ACTIVE,MATCH("MPM.START",DICT_KEY,0))&amp;"","??MPM.START")</f>
        <v>Most directly comparable IFRS-specified subtotal</v>
      </c>
      <c r="D11" s="53" t="s">
        <v>579</v>
      </c>
      <c r="E11" s="54"/>
      <c r="F11" s="55"/>
      <c r="K11" s="10" t="str">
        <f>IFERROR(INDEX(LIST_SUBT_CODE,MATCH(D11,LIST_SUBT_EN,0)),IFERROR(INDEX(LIST_SUBT_CODE,MATCH(D11,LIST_SUBT_HU,0)),""))</f>
        <v>SUB.OP</v>
      </c>
    </row>
    <row r="12" spans="1:13" ht="30" customHeight="1" x14ac:dyDescent="0.3">
      <c r="B12" s="41" t="str">
        <f>IFERROR(INDEX(DICT_ACTIVE,MATCH("MPM.ITEM",DICT_KEY,0))&amp;"","??MPM.ITEM")</f>
        <v>Reconciling item</v>
      </c>
      <c r="C12" s="41" t="str">
        <f>IFERROR(INDEX(DICT_ACTIVE,MATCH("UI.DICT.EN",DICT_KEY,0))&amp;"","??UI.DICT.EN")</f>
        <v>English</v>
      </c>
      <c r="D12" s="35" t="str">
        <f>IFERROR(INDEX(DICT_ACTIVE,MATCH("MPM.AMOUNT",DICT_KEY,0))&amp;"","??MPM.AMOUNT")</f>
        <v>Amount</v>
      </c>
      <c r="E12" s="35" t="str">
        <f>IFERROR(INDEX(DICT_ACTIVE,MATCH("MPM.TAXEFF",DICT_KEY,0))&amp;"","??MPM.TAXEFF")</f>
        <v>Income tax effect</v>
      </c>
      <c r="F12" s="35" t="str">
        <f>IFERROR(INDEX(DICT_ACTIVE,MATCH("MPM.NCIEFF",DICT_KEY,0))&amp;"","??MPM.NCIEFF")</f>
        <v>Effect on non-controlling interests</v>
      </c>
      <c r="G12" s="35" t="str">
        <f>IFERROR(INDEX(DICT_ACTIVE,MATCH("MPM.AMOUNT",DICT_KEY,0))&amp;"","??MPM.AMOUNT")</f>
        <v>Amount</v>
      </c>
      <c r="H12" s="35" t="str">
        <f>IFERROR(INDEX(DICT_ACTIVE,MATCH("MPM.TAXEFF",DICT_KEY,0))&amp;"","??MPM.TAXEFF")</f>
        <v>Income tax effect</v>
      </c>
      <c r="I12" s="35" t="str">
        <f>IFERROR(INDEX(DICT_ACTIVE,MATCH("MPM.NCIEFF",DICT_KEY,0))&amp;"","??MPM.NCIEFF")</f>
        <v>Effect on non-controlling interests</v>
      </c>
      <c r="M12" s="35" t="str">
        <f>IFERROR(INDEX(DICT_ACTIVE,MATCH("UI.DICT.HU",DICT_KEY,0))&amp;"","??UI.DICT.HU")</f>
        <v>Hungarian</v>
      </c>
    </row>
    <row r="13" spans="1:13" x14ac:dyDescent="0.3">
      <c r="B13" s="42" t="str">
        <f>IFERROR(INDEX(DICT_ACTIVE,MATCH("UI.CY",DICT_KEY,0))&amp;"","??UI.CY")</f>
        <v>Current year</v>
      </c>
      <c r="D13" s="52">
        <f>YEAR(RepDate)</f>
        <v>2026</v>
      </c>
      <c r="E13" s="51"/>
      <c r="F13" s="51"/>
      <c r="G13" s="52">
        <f>YEAR(PyDate)</f>
        <v>2025</v>
      </c>
      <c r="H13" s="51"/>
      <c r="I13" s="51"/>
    </row>
    <row r="14" spans="1:13" x14ac:dyDescent="0.3">
      <c r="B14" s="21" t="str">
        <f>IF(K11="","",IFERROR(INDEX(INDEX(LIST_SUBT_TXT,0,LangIdx),MATCH(K11,LIST_SUBT_CODE,0))&amp;"",""))</f>
        <v>Operating profit or loss</v>
      </c>
      <c r="D14" s="37">
        <f>IFERROR(CHOOSE(MATCH(K11,LIST_SUBT_CODE,0),PL_OP_CY,PL_PBFIT_CY,PL_PBT_CY,PL_PROFIT_CY,PL_EBITDA_CY),0)</f>
        <v>16660</v>
      </c>
      <c r="G14" s="37">
        <f>IFERROR(CHOOSE(MATCH(K11,LIST_SUBT_CODE,0),PL_OP_PY,PL_PBFIT_PY,PL_PBT_PY,PL_PROFIT_PY,PL_EBITDA_PY),0)</f>
        <v>14210</v>
      </c>
    </row>
    <row r="15" spans="1:13" x14ac:dyDescent="0.3">
      <c r="B15" s="14" t="str">
        <f>IF(LangIdx=2,M15&amp;"",C15&amp;"")</f>
        <v>One-off inventory write-downs</v>
      </c>
      <c r="C15" s="5" t="s">
        <v>1445</v>
      </c>
      <c r="D15" s="17">
        <v>200</v>
      </c>
      <c r="E15" s="17">
        <f>-D15*TaxRate</f>
        <v>-18</v>
      </c>
      <c r="F15" s="17">
        <v>0</v>
      </c>
      <c r="G15" s="17">
        <v>150</v>
      </c>
      <c r="H15" s="17">
        <f>-G15*TaxRate</f>
        <v>-13.5</v>
      </c>
      <c r="I15" s="17">
        <v>0</v>
      </c>
      <c r="M15" s="5" t="s">
        <v>1446</v>
      </c>
    </row>
    <row r="16" spans="1:13" x14ac:dyDescent="0.3">
      <c r="B16" s="14" t="str">
        <f>IF(LangIdx=2,M16&amp;"",C16&amp;"")</f>
        <v/>
      </c>
      <c r="C16" s="5"/>
      <c r="D16" s="17"/>
      <c r="E16" s="17"/>
      <c r="F16" s="17"/>
      <c r="G16" s="17"/>
      <c r="H16" s="17"/>
      <c r="I16" s="17"/>
      <c r="M16" s="5"/>
    </row>
    <row r="17" spans="2:13" x14ac:dyDescent="0.3">
      <c r="B17" s="14" t="str">
        <f>IF(LangIdx=2,M17&amp;"",C17&amp;"")</f>
        <v/>
      </c>
      <c r="C17" s="5"/>
      <c r="D17" s="17"/>
      <c r="E17" s="17"/>
      <c r="F17" s="17"/>
      <c r="G17" s="17"/>
      <c r="H17" s="17"/>
      <c r="I17" s="17"/>
      <c r="M17" s="5"/>
    </row>
    <row r="18" spans="2:13" x14ac:dyDescent="0.3">
      <c r="B18" s="14" t="str">
        <f>IF(LangIdx=2,M18&amp;"",C18&amp;"")</f>
        <v/>
      </c>
      <c r="C18" s="5"/>
      <c r="D18" s="17"/>
      <c r="E18" s="17"/>
      <c r="F18" s="17"/>
      <c r="G18" s="17"/>
      <c r="H18" s="17"/>
      <c r="I18" s="17"/>
      <c r="M18" s="5"/>
    </row>
    <row r="19" spans="2:13" x14ac:dyDescent="0.3">
      <c r="B19" s="14" t="str">
        <f>IF(LangIdx=2,M19&amp;"",C19&amp;"")</f>
        <v/>
      </c>
      <c r="C19" s="5"/>
      <c r="D19" s="17"/>
      <c r="E19" s="17"/>
      <c r="F19" s="17"/>
      <c r="G19" s="17"/>
      <c r="H19" s="17"/>
      <c r="I19" s="17"/>
      <c r="M19" s="5"/>
    </row>
    <row r="20" spans="2:13" x14ac:dyDescent="0.3">
      <c r="B20" s="14" t="str">
        <f>IF(LangIdx=2,M20&amp;"",C20&amp;"")</f>
        <v/>
      </c>
      <c r="C20" s="5"/>
      <c r="D20" s="17"/>
      <c r="E20" s="17"/>
      <c r="F20" s="17"/>
      <c r="G20" s="17"/>
      <c r="H20" s="17"/>
      <c r="I20" s="17"/>
      <c r="M20" s="5"/>
    </row>
    <row r="21" spans="2:13" x14ac:dyDescent="0.3">
      <c r="B21" s="30" t="str">
        <f>IFERROR(INDEX(DICT_ACTIVE,MATCH("MPM.RESULT",DICT_KEY,0))&amp;"","??MPM.RESULT")</f>
        <v>Management-defined performance measure</v>
      </c>
      <c r="C21" s="30"/>
      <c r="D21" s="30">
        <f>D14+SUM(D15:D20)</f>
        <v>16860</v>
      </c>
      <c r="E21" s="30">
        <f>SUM(E15:E20)</f>
        <v>-18</v>
      </c>
      <c r="F21" s="30">
        <f>SUM(F15:F20)</f>
        <v>0</v>
      </c>
      <c r="G21" s="30">
        <f>G14+SUM(G15:G20)</f>
        <v>14360</v>
      </c>
      <c r="H21" s="30">
        <f>SUM(H15:H20)</f>
        <v>-13.5</v>
      </c>
      <c r="I21" s="30">
        <f>SUM(I15:I20)</f>
        <v>0</v>
      </c>
    </row>
    <row r="22" spans="2:13" x14ac:dyDescent="0.3">
      <c r="B22" s="14" t="str">
        <f>IFERROR(INDEX(DICT_ACTIVE,MATCH("MPM.CHANGE",DICT_KEY,0))&amp;"","??MPM.CHANGE")</f>
        <v>Change in calculation compared with prior period?</v>
      </c>
      <c r="D22" s="5" t="s">
        <v>4</v>
      </c>
      <c r="K22" s="10" t="str">
        <f>IFERROR(INDEX(LIST_YN_CODE,MATCH(D22,LIST_YN_EN,0)),IFERROR(INDEX(LIST_YN_CODE,MATCH(D22,LIST_YN_HU,0)),""))</f>
        <v>No</v>
      </c>
    </row>
    <row r="23" spans="2:13" x14ac:dyDescent="0.3">
      <c r="B23" s="14" t="str">
        <f>IFERROR(INDEX(DICT_ACTIVE,MATCH("MPM.CHANGE.WHY",DICT_KEY,0))&amp;"","??MPM.CHANGE.WHY")</f>
        <v>Explanation of the change</v>
      </c>
      <c r="D23" s="53"/>
      <c r="E23" s="51"/>
      <c r="F23" s="51"/>
      <c r="G23" s="53"/>
      <c r="H23" s="51"/>
      <c r="I23" s="51"/>
    </row>
    <row r="24" spans="2:13" ht="30" customHeight="1" x14ac:dyDescent="0.3">
      <c r="B24" s="50" t="str">
        <f>IF(D6="","",IF(AND(K7="Yes",K8="Yes",K9="Yes"),IFERROR(INDEX(DICT_ACTIVE,MATCH("MPM.DISCLAIM",DICT_KEY,0))&amp;"","??MPM.DISCLAIM"),IFERROR(INDEX(DICT_ACTIVE,MATCH("MPM.NOTMPM",DICT_KEY,0))&amp;"","??MPM.NOTMPM")))</f>
        <v>This measure reflects management's view of an aspect of the entity's financial performance and is not necessarily comparable with measures with similar names presented by other entities.</v>
      </c>
      <c r="C24" s="51"/>
      <c r="D24" s="51"/>
      <c r="E24" s="51"/>
      <c r="F24" s="51"/>
      <c r="G24" s="51"/>
      <c r="H24" s="51"/>
      <c r="I24" s="51"/>
      <c r="L24" s="10">
        <f>IF(OR(D6="",NOT(AND(K7="Yes",K8="Yes",K9="Yes"))),0,SUMPRODUCT((D15:D20&lt;&gt;0)*(E15:E20=""))+SUMPRODUCT((G15:G20&lt;&gt;0)*(H15:H20=""))+IF(SUMPRODUCT(ABS(D15:D20))+SUMPRODUCT(ABS(G15:G20))=0,1,0)+IF(K11="",1,0))</f>
        <v>0</v>
      </c>
    </row>
    <row r="26" spans="2:13" x14ac:dyDescent="0.3">
      <c r="B26" s="24" t="str">
        <f>IFERROR(INDEX(DICT_ACTIVE,MATCH("MPM.NAME",DICT_KEY,0))&amp;"","??MPM.NAME")</f>
        <v>Name of the measure</v>
      </c>
      <c r="C26" s="2" t="str">
        <f>IFERROR(INDEX(DICT_ACTIVE,MATCH("UI.DICT.EN",DICT_KEY,0))&amp;"","??UI.DICT.EN")</f>
        <v>English</v>
      </c>
      <c r="G26" s="2" t="str">
        <f>IFERROR(INDEX(DICT_ACTIVE,MATCH("UI.DICT.HU",DICT_KEY,0))&amp;"","??UI.DICT.HU")</f>
        <v>Hungarian</v>
      </c>
    </row>
    <row r="27" spans="2:13" x14ac:dyDescent="0.3">
      <c r="B27" s="21" t="str">
        <f>IF(LangIdx=2,G27&amp;"",D27&amp;"")</f>
        <v/>
      </c>
      <c r="D27" s="53"/>
      <c r="E27" s="51"/>
      <c r="F27" s="51"/>
      <c r="G27" s="53"/>
      <c r="H27" s="51"/>
      <c r="I27" s="51"/>
    </row>
    <row r="28" spans="2:13" x14ac:dyDescent="0.3">
      <c r="B28" s="14" t="str">
        <f>IFERROR(INDEX(DICT_ACTIVE,MATCH("MPM.GATE1",DICT_KEY,0))&amp;"","??MPM.GATE1")</f>
        <v>Used in public communications outside the financial statements?</v>
      </c>
      <c r="D28" s="5" t="s">
        <v>4</v>
      </c>
      <c r="K28" s="10" t="str">
        <f>IFERROR(INDEX(LIST_YN_CODE,MATCH(D28,LIST_YN_EN,0)),IFERROR(INDEX(LIST_YN_CODE,MATCH(D28,LIST_YN_HU,0)),""))</f>
        <v>No</v>
      </c>
    </row>
    <row r="29" spans="2:13" x14ac:dyDescent="0.3">
      <c r="B29" s="14" t="str">
        <f>IFERROR(INDEX(DICT_ACTIVE,MATCH("MPM.GATE2",DICT_KEY,0))&amp;"","??MPM.GATE2")</f>
        <v>Communicates management's view of an aspect of financial performance?</v>
      </c>
      <c r="D29" s="5" t="s">
        <v>4</v>
      </c>
      <c r="K29" s="10" t="str">
        <f>IFERROR(INDEX(LIST_YN_CODE,MATCH(D29,LIST_YN_EN,0)),IFERROR(INDEX(LIST_YN_CODE,MATCH(D29,LIST_YN_HU,0)),""))</f>
        <v>No</v>
      </c>
    </row>
    <row r="30" spans="2:13" x14ac:dyDescent="0.3">
      <c r="B30" s="14" t="str">
        <f>IFERROR(INDEX(DICT_ACTIVE,MATCH("MPM.GATE3",DICT_KEY,0))&amp;"","??MPM.GATE3")</f>
        <v>Not a subtotal specified by IFRS?</v>
      </c>
      <c r="D30" s="5" t="s">
        <v>4</v>
      </c>
      <c r="K30" s="10" t="str">
        <f>IFERROR(INDEX(LIST_YN_CODE,MATCH(D30,LIST_YN_EN,0)),IFERROR(INDEX(LIST_YN_CODE,MATCH(D30,LIST_YN_HU,0)),""))</f>
        <v>No</v>
      </c>
    </row>
    <row r="31" spans="2:13" x14ac:dyDescent="0.3">
      <c r="B31" s="14" t="str">
        <f>IFERROR(INDEX(DICT_ACTIVE,MATCH("MPM.WHY",DICT_KEY,0))&amp;"","??MPM.WHY")</f>
        <v>Why the measure provides useful information</v>
      </c>
      <c r="D31" s="53"/>
      <c r="E31" s="51"/>
      <c r="F31" s="51"/>
      <c r="G31" s="53"/>
      <c r="H31" s="51"/>
      <c r="I31" s="51"/>
    </row>
    <row r="32" spans="2:13" x14ac:dyDescent="0.3">
      <c r="B32" s="14" t="str">
        <f>IFERROR(INDEX(DICT_ACTIVE,MATCH("MPM.START",DICT_KEY,0))&amp;"","??MPM.START")</f>
        <v>Most directly comparable IFRS-specified subtotal</v>
      </c>
      <c r="D32" s="53"/>
      <c r="E32" s="54"/>
      <c r="F32" s="55"/>
      <c r="K32" s="10" t="str">
        <f>IFERROR(INDEX(LIST_SUBT_CODE,MATCH(D32,LIST_SUBT_EN,0)),IFERROR(INDEX(LIST_SUBT_CODE,MATCH(D32,LIST_SUBT_HU,0)),""))</f>
        <v/>
      </c>
    </row>
    <row r="33" spans="2:13" ht="30" customHeight="1" x14ac:dyDescent="0.3">
      <c r="B33" s="41" t="str">
        <f>IFERROR(INDEX(DICT_ACTIVE,MATCH("MPM.ITEM",DICT_KEY,0))&amp;"","??MPM.ITEM")</f>
        <v>Reconciling item</v>
      </c>
      <c r="C33" s="41" t="str">
        <f>IFERROR(INDEX(DICT_ACTIVE,MATCH("UI.DICT.EN",DICT_KEY,0))&amp;"","??UI.DICT.EN")</f>
        <v>English</v>
      </c>
      <c r="D33" s="35" t="str">
        <f>IFERROR(INDEX(DICT_ACTIVE,MATCH("MPM.AMOUNT",DICT_KEY,0))&amp;"","??MPM.AMOUNT")</f>
        <v>Amount</v>
      </c>
      <c r="E33" s="35" t="str">
        <f>IFERROR(INDEX(DICT_ACTIVE,MATCH("MPM.TAXEFF",DICT_KEY,0))&amp;"","??MPM.TAXEFF")</f>
        <v>Income tax effect</v>
      </c>
      <c r="F33" s="35" t="str">
        <f>IFERROR(INDEX(DICT_ACTIVE,MATCH("MPM.NCIEFF",DICT_KEY,0))&amp;"","??MPM.NCIEFF")</f>
        <v>Effect on non-controlling interests</v>
      </c>
      <c r="G33" s="35" t="str">
        <f>IFERROR(INDEX(DICT_ACTIVE,MATCH("MPM.AMOUNT",DICT_KEY,0))&amp;"","??MPM.AMOUNT")</f>
        <v>Amount</v>
      </c>
      <c r="H33" s="35" t="str">
        <f>IFERROR(INDEX(DICT_ACTIVE,MATCH("MPM.TAXEFF",DICT_KEY,0))&amp;"","??MPM.TAXEFF")</f>
        <v>Income tax effect</v>
      </c>
      <c r="I33" s="35" t="str">
        <f>IFERROR(INDEX(DICT_ACTIVE,MATCH("MPM.NCIEFF",DICT_KEY,0))&amp;"","??MPM.NCIEFF")</f>
        <v>Effect on non-controlling interests</v>
      </c>
      <c r="M33" s="35" t="str">
        <f>IFERROR(INDEX(DICT_ACTIVE,MATCH("UI.DICT.HU",DICT_KEY,0))&amp;"","??UI.DICT.HU")</f>
        <v>Hungarian</v>
      </c>
    </row>
    <row r="34" spans="2:13" x14ac:dyDescent="0.3">
      <c r="B34" s="42" t="str">
        <f>IFERROR(INDEX(DICT_ACTIVE,MATCH("UI.CY",DICT_KEY,0))&amp;"","??UI.CY")</f>
        <v>Current year</v>
      </c>
      <c r="D34" s="52">
        <f>YEAR(RepDate)</f>
        <v>2026</v>
      </c>
      <c r="E34" s="51"/>
      <c r="F34" s="51"/>
      <c r="G34" s="52">
        <f>YEAR(PyDate)</f>
        <v>2025</v>
      </c>
      <c r="H34" s="51"/>
      <c r="I34" s="51"/>
    </row>
    <row r="35" spans="2:13" x14ac:dyDescent="0.3">
      <c r="B35" s="21" t="str">
        <f>IF(K32="","",IFERROR(INDEX(INDEX(LIST_SUBT_TXT,0,LangIdx),MATCH(K32,LIST_SUBT_CODE,0))&amp;"",""))</f>
        <v/>
      </c>
      <c r="D35" s="37">
        <f>IFERROR(CHOOSE(MATCH(K32,LIST_SUBT_CODE,0),PL_OP_CY,PL_PBFIT_CY,PL_PBT_CY,PL_PROFIT_CY,PL_EBITDA_CY),0)</f>
        <v>0</v>
      </c>
      <c r="G35" s="37">
        <f>IFERROR(CHOOSE(MATCH(K32,LIST_SUBT_CODE,0),PL_OP_PY,PL_PBFIT_PY,PL_PBT_PY,PL_PROFIT_PY,PL_EBITDA_PY),0)</f>
        <v>0</v>
      </c>
    </row>
    <row r="36" spans="2:13" x14ac:dyDescent="0.3">
      <c r="B36" s="14" t="str">
        <f>IF(LangIdx=2,M36&amp;"",C36&amp;"")</f>
        <v/>
      </c>
      <c r="C36" s="5"/>
      <c r="D36" s="17"/>
      <c r="E36" s="17"/>
      <c r="F36" s="17"/>
      <c r="G36" s="17"/>
      <c r="H36" s="17"/>
      <c r="I36" s="17"/>
      <c r="M36" s="5"/>
    </row>
    <row r="37" spans="2:13" x14ac:dyDescent="0.3">
      <c r="B37" s="14" t="str">
        <f>IF(LangIdx=2,M37&amp;"",C37&amp;"")</f>
        <v/>
      </c>
      <c r="C37" s="5"/>
      <c r="D37" s="17"/>
      <c r="E37" s="17"/>
      <c r="F37" s="17"/>
      <c r="G37" s="17"/>
      <c r="H37" s="17"/>
      <c r="I37" s="17"/>
      <c r="M37" s="5"/>
    </row>
    <row r="38" spans="2:13" x14ac:dyDescent="0.3">
      <c r="B38" s="14" t="str">
        <f>IF(LangIdx=2,M38&amp;"",C38&amp;"")</f>
        <v/>
      </c>
      <c r="C38" s="5"/>
      <c r="D38" s="17"/>
      <c r="E38" s="17"/>
      <c r="F38" s="17"/>
      <c r="G38" s="17"/>
      <c r="H38" s="17"/>
      <c r="I38" s="17"/>
      <c r="M38" s="5"/>
    </row>
    <row r="39" spans="2:13" x14ac:dyDescent="0.3">
      <c r="B39" s="14" t="str">
        <f>IF(LangIdx=2,M39&amp;"",C39&amp;"")</f>
        <v/>
      </c>
      <c r="C39" s="5"/>
      <c r="D39" s="17"/>
      <c r="E39" s="17"/>
      <c r="F39" s="17"/>
      <c r="G39" s="17"/>
      <c r="H39" s="17"/>
      <c r="I39" s="17"/>
      <c r="M39" s="5"/>
    </row>
    <row r="40" spans="2:13" x14ac:dyDescent="0.3">
      <c r="B40" s="14" t="str">
        <f>IF(LangIdx=2,M40&amp;"",C40&amp;"")</f>
        <v/>
      </c>
      <c r="C40" s="5"/>
      <c r="D40" s="17"/>
      <c r="E40" s="17"/>
      <c r="F40" s="17"/>
      <c r="G40" s="17"/>
      <c r="H40" s="17"/>
      <c r="I40" s="17"/>
      <c r="M40" s="5"/>
    </row>
    <row r="41" spans="2:13" x14ac:dyDescent="0.3">
      <c r="B41" s="14" t="str">
        <f>IF(LangIdx=2,M41&amp;"",C41&amp;"")</f>
        <v/>
      </c>
      <c r="C41" s="5"/>
      <c r="D41" s="17"/>
      <c r="E41" s="17"/>
      <c r="F41" s="17"/>
      <c r="G41" s="17"/>
      <c r="H41" s="17"/>
      <c r="I41" s="17"/>
      <c r="M41" s="5"/>
    </row>
    <row r="42" spans="2:13" x14ac:dyDescent="0.3">
      <c r="B42" s="30" t="str">
        <f>IFERROR(INDEX(DICT_ACTIVE,MATCH("MPM.RESULT",DICT_KEY,0))&amp;"","??MPM.RESULT")</f>
        <v>Management-defined performance measure</v>
      </c>
      <c r="C42" s="30"/>
      <c r="D42" s="30">
        <f>D35+SUM(D36:D41)</f>
        <v>0</v>
      </c>
      <c r="E42" s="30">
        <f>SUM(E36:E41)</f>
        <v>0</v>
      </c>
      <c r="F42" s="30">
        <f>SUM(F36:F41)</f>
        <v>0</v>
      </c>
      <c r="G42" s="30">
        <f>G35+SUM(G36:G41)</f>
        <v>0</v>
      </c>
      <c r="H42" s="30">
        <f>SUM(H36:H41)</f>
        <v>0</v>
      </c>
      <c r="I42" s="30">
        <f>SUM(I36:I41)</f>
        <v>0</v>
      </c>
    </row>
    <row r="43" spans="2:13" x14ac:dyDescent="0.3">
      <c r="B43" s="14" t="str">
        <f>IFERROR(INDEX(DICT_ACTIVE,MATCH("MPM.CHANGE",DICT_KEY,0))&amp;"","??MPM.CHANGE")</f>
        <v>Change in calculation compared with prior period?</v>
      </c>
      <c r="D43" s="5" t="s">
        <v>4</v>
      </c>
      <c r="K43" s="10" t="str">
        <f>IFERROR(INDEX(LIST_YN_CODE,MATCH(D43,LIST_YN_EN,0)),IFERROR(INDEX(LIST_YN_CODE,MATCH(D43,LIST_YN_HU,0)),""))</f>
        <v>No</v>
      </c>
    </row>
    <row r="44" spans="2:13" x14ac:dyDescent="0.3">
      <c r="B44" s="14" t="str">
        <f>IFERROR(INDEX(DICT_ACTIVE,MATCH("MPM.CHANGE.WHY",DICT_KEY,0))&amp;"","??MPM.CHANGE.WHY")</f>
        <v>Explanation of the change</v>
      </c>
      <c r="D44" s="53"/>
      <c r="E44" s="51"/>
      <c r="F44" s="51"/>
      <c r="G44" s="53"/>
      <c r="H44" s="51"/>
      <c r="I44" s="51"/>
    </row>
    <row r="45" spans="2:13" ht="30" customHeight="1" x14ac:dyDescent="0.3">
      <c r="B45" s="50" t="str">
        <f>IF(D27="","",IF(AND(K28="Yes",K29="Yes",K30="Yes"),IFERROR(INDEX(DICT_ACTIVE,MATCH("MPM.DISCLAIM",DICT_KEY,0))&amp;"","??MPM.DISCLAIM"),IFERROR(INDEX(DICT_ACTIVE,MATCH("MPM.NOTMPM",DICT_KEY,0))&amp;"","??MPM.NOTMPM")))</f>
        <v/>
      </c>
      <c r="C45" s="51"/>
      <c r="D45" s="51"/>
      <c r="E45" s="51"/>
      <c r="F45" s="51"/>
      <c r="G45" s="51"/>
      <c r="H45" s="51"/>
      <c r="I45" s="51"/>
      <c r="L45" s="10">
        <f>IF(OR(D27="",NOT(AND(K28="Yes",K29="Yes",K30="Yes"))),0,SUMPRODUCT((D36:D41&lt;&gt;0)*(E36:E41=""))+SUMPRODUCT((G36:G41&lt;&gt;0)*(H36:H41=""))+IF(SUMPRODUCT(ABS(D36:D41))+SUMPRODUCT(ABS(G36:G41))=0,1,0)+IF(K32="",1,0))</f>
        <v>0</v>
      </c>
    </row>
    <row r="47" spans="2:13" x14ac:dyDescent="0.3">
      <c r="B47" s="24" t="str">
        <f>IFERROR(INDEX(DICT_ACTIVE,MATCH("MPM.NAME",DICT_KEY,0))&amp;"","??MPM.NAME")</f>
        <v>Name of the measure</v>
      </c>
      <c r="C47" s="2" t="str">
        <f>IFERROR(INDEX(DICT_ACTIVE,MATCH("UI.DICT.EN",DICT_KEY,0))&amp;"","??UI.DICT.EN")</f>
        <v>English</v>
      </c>
      <c r="G47" s="2" t="str">
        <f>IFERROR(INDEX(DICT_ACTIVE,MATCH("UI.DICT.HU",DICT_KEY,0))&amp;"","??UI.DICT.HU")</f>
        <v>Hungarian</v>
      </c>
    </row>
    <row r="48" spans="2:13" x14ac:dyDescent="0.3">
      <c r="B48" s="21" t="str">
        <f>IF(LangIdx=2,G48&amp;"",D48&amp;"")</f>
        <v/>
      </c>
      <c r="D48" s="53"/>
      <c r="E48" s="51"/>
      <c r="F48" s="51"/>
      <c r="G48" s="53"/>
      <c r="H48" s="51"/>
      <c r="I48" s="51"/>
    </row>
    <row r="49" spans="2:13" x14ac:dyDescent="0.3">
      <c r="B49" s="14" t="str">
        <f>IFERROR(INDEX(DICT_ACTIVE,MATCH("MPM.GATE1",DICT_KEY,0))&amp;"","??MPM.GATE1")</f>
        <v>Used in public communications outside the financial statements?</v>
      </c>
      <c r="D49" s="5" t="s">
        <v>4</v>
      </c>
      <c r="K49" s="10" t="str">
        <f>IFERROR(INDEX(LIST_YN_CODE,MATCH(D49,LIST_YN_EN,0)),IFERROR(INDEX(LIST_YN_CODE,MATCH(D49,LIST_YN_HU,0)),""))</f>
        <v>No</v>
      </c>
    </row>
    <row r="50" spans="2:13" x14ac:dyDescent="0.3">
      <c r="B50" s="14" t="str">
        <f>IFERROR(INDEX(DICT_ACTIVE,MATCH("MPM.GATE2",DICT_KEY,0))&amp;"","??MPM.GATE2")</f>
        <v>Communicates management's view of an aspect of financial performance?</v>
      </c>
      <c r="D50" s="5" t="s">
        <v>4</v>
      </c>
      <c r="K50" s="10" t="str">
        <f>IFERROR(INDEX(LIST_YN_CODE,MATCH(D50,LIST_YN_EN,0)),IFERROR(INDEX(LIST_YN_CODE,MATCH(D50,LIST_YN_HU,0)),""))</f>
        <v>No</v>
      </c>
    </row>
    <row r="51" spans="2:13" x14ac:dyDescent="0.3">
      <c r="B51" s="14" t="str">
        <f>IFERROR(INDEX(DICT_ACTIVE,MATCH("MPM.GATE3",DICT_KEY,0))&amp;"","??MPM.GATE3")</f>
        <v>Not a subtotal specified by IFRS?</v>
      </c>
      <c r="D51" s="5" t="s">
        <v>4</v>
      </c>
      <c r="K51" s="10" t="str">
        <f>IFERROR(INDEX(LIST_YN_CODE,MATCH(D51,LIST_YN_EN,0)),IFERROR(INDEX(LIST_YN_CODE,MATCH(D51,LIST_YN_HU,0)),""))</f>
        <v>No</v>
      </c>
    </row>
    <row r="52" spans="2:13" x14ac:dyDescent="0.3">
      <c r="B52" s="14" t="str">
        <f>IFERROR(INDEX(DICT_ACTIVE,MATCH("MPM.WHY",DICT_KEY,0))&amp;"","??MPM.WHY")</f>
        <v>Why the measure provides useful information</v>
      </c>
      <c r="D52" s="53"/>
      <c r="E52" s="51"/>
      <c r="F52" s="51"/>
      <c r="G52" s="53"/>
      <c r="H52" s="51"/>
      <c r="I52" s="51"/>
    </row>
    <row r="53" spans="2:13" x14ac:dyDescent="0.3">
      <c r="B53" s="14" t="str">
        <f>IFERROR(INDEX(DICT_ACTIVE,MATCH("MPM.START",DICT_KEY,0))&amp;"","??MPM.START")</f>
        <v>Most directly comparable IFRS-specified subtotal</v>
      </c>
      <c r="D53" s="53"/>
      <c r="E53" s="54"/>
      <c r="F53" s="55"/>
      <c r="K53" s="10" t="str">
        <f>IFERROR(INDEX(LIST_SUBT_CODE,MATCH(D53,LIST_SUBT_EN,0)),IFERROR(INDEX(LIST_SUBT_CODE,MATCH(D53,LIST_SUBT_HU,0)),""))</f>
        <v/>
      </c>
    </row>
    <row r="54" spans="2:13" ht="30" customHeight="1" x14ac:dyDescent="0.3">
      <c r="B54" s="41" t="str">
        <f>IFERROR(INDEX(DICT_ACTIVE,MATCH("MPM.ITEM",DICT_KEY,0))&amp;"","??MPM.ITEM")</f>
        <v>Reconciling item</v>
      </c>
      <c r="C54" s="41" t="str">
        <f>IFERROR(INDEX(DICT_ACTIVE,MATCH("UI.DICT.EN",DICT_KEY,0))&amp;"","??UI.DICT.EN")</f>
        <v>English</v>
      </c>
      <c r="D54" s="35" t="str">
        <f>IFERROR(INDEX(DICT_ACTIVE,MATCH("MPM.AMOUNT",DICT_KEY,0))&amp;"","??MPM.AMOUNT")</f>
        <v>Amount</v>
      </c>
      <c r="E54" s="35" t="str">
        <f>IFERROR(INDEX(DICT_ACTIVE,MATCH("MPM.TAXEFF",DICT_KEY,0))&amp;"","??MPM.TAXEFF")</f>
        <v>Income tax effect</v>
      </c>
      <c r="F54" s="35" t="str">
        <f>IFERROR(INDEX(DICT_ACTIVE,MATCH("MPM.NCIEFF",DICT_KEY,0))&amp;"","??MPM.NCIEFF")</f>
        <v>Effect on non-controlling interests</v>
      </c>
      <c r="G54" s="35" t="str">
        <f>IFERROR(INDEX(DICT_ACTIVE,MATCH("MPM.AMOUNT",DICT_KEY,0))&amp;"","??MPM.AMOUNT")</f>
        <v>Amount</v>
      </c>
      <c r="H54" s="35" t="str">
        <f>IFERROR(INDEX(DICT_ACTIVE,MATCH("MPM.TAXEFF",DICT_KEY,0))&amp;"","??MPM.TAXEFF")</f>
        <v>Income tax effect</v>
      </c>
      <c r="I54" s="35" t="str">
        <f>IFERROR(INDEX(DICT_ACTIVE,MATCH("MPM.NCIEFF",DICT_KEY,0))&amp;"","??MPM.NCIEFF")</f>
        <v>Effect on non-controlling interests</v>
      </c>
      <c r="M54" s="35" t="str">
        <f>IFERROR(INDEX(DICT_ACTIVE,MATCH("UI.DICT.HU",DICT_KEY,0))&amp;"","??UI.DICT.HU")</f>
        <v>Hungarian</v>
      </c>
    </row>
    <row r="55" spans="2:13" x14ac:dyDescent="0.3">
      <c r="B55" s="42" t="str">
        <f>IFERROR(INDEX(DICT_ACTIVE,MATCH("UI.CY",DICT_KEY,0))&amp;"","??UI.CY")</f>
        <v>Current year</v>
      </c>
      <c r="D55" s="52">
        <f>YEAR(RepDate)</f>
        <v>2026</v>
      </c>
      <c r="E55" s="51"/>
      <c r="F55" s="51"/>
      <c r="G55" s="52">
        <f>YEAR(PyDate)</f>
        <v>2025</v>
      </c>
      <c r="H55" s="51"/>
      <c r="I55" s="51"/>
    </row>
    <row r="56" spans="2:13" x14ac:dyDescent="0.3">
      <c r="B56" s="21" t="str">
        <f>IF(K53="","",IFERROR(INDEX(INDEX(LIST_SUBT_TXT,0,LangIdx),MATCH(K53,LIST_SUBT_CODE,0))&amp;"",""))</f>
        <v/>
      </c>
      <c r="D56" s="37">
        <f>IFERROR(CHOOSE(MATCH(K53,LIST_SUBT_CODE,0),PL_OP_CY,PL_PBFIT_CY,PL_PBT_CY,PL_PROFIT_CY,PL_EBITDA_CY),0)</f>
        <v>0</v>
      </c>
      <c r="G56" s="37">
        <f>IFERROR(CHOOSE(MATCH(K53,LIST_SUBT_CODE,0),PL_OP_PY,PL_PBFIT_PY,PL_PBT_PY,PL_PROFIT_PY,PL_EBITDA_PY),0)</f>
        <v>0</v>
      </c>
    </row>
    <row r="57" spans="2:13" x14ac:dyDescent="0.3">
      <c r="B57" s="14" t="str">
        <f>IF(LangIdx=2,M57&amp;"",C57&amp;"")</f>
        <v/>
      </c>
      <c r="C57" s="5"/>
      <c r="D57" s="17"/>
      <c r="E57" s="17"/>
      <c r="F57" s="17"/>
      <c r="G57" s="17"/>
      <c r="H57" s="17"/>
      <c r="I57" s="17"/>
      <c r="M57" s="5"/>
    </row>
    <row r="58" spans="2:13" x14ac:dyDescent="0.3">
      <c r="B58" s="14" t="str">
        <f>IF(LangIdx=2,M58&amp;"",C58&amp;"")</f>
        <v/>
      </c>
      <c r="C58" s="5"/>
      <c r="D58" s="17"/>
      <c r="E58" s="17"/>
      <c r="F58" s="17"/>
      <c r="G58" s="17"/>
      <c r="H58" s="17"/>
      <c r="I58" s="17"/>
      <c r="M58" s="5"/>
    </row>
    <row r="59" spans="2:13" x14ac:dyDescent="0.3">
      <c r="B59" s="14" t="str">
        <f>IF(LangIdx=2,M59&amp;"",C59&amp;"")</f>
        <v/>
      </c>
      <c r="C59" s="5"/>
      <c r="D59" s="17"/>
      <c r="E59" s="17"/>
      <c r="F59" s="17"/>
      <c r="G59" s="17"/>
      <c r="H59" s="17"/>
      <c r="I59" s="17"/>
      <c r="M59" s="5"/>
    </row>
    <row r="60" spans="2:13" x14ac:dyDescent="0.3">
      <c r="B60" s="14" t="str">
        <f>IF(LangIdx=2,M60&amp;"",C60&amp;"")</f>
        <v/>
      </c>
      <c r="C60" s="5"/>
      <c r="D60" s="17"/>
      <c r="E60" s="17"/>
      <c r="F60" s="17"/>
      <c r="G60" s="17"/>
      <c r="H60" s="17"/>
      <c r="I60" s="17"/>
      <c r="M60" s="5"/>
    </row>
    <row r="61" spans="2:13" x14ac:dyDescent="0.3">
      <c r="B61" s="14" t="str">
        <f>IF(LangIdx=2,M61&amp;"",C61&amp;"")</f>
        <v/>
      </c>
      <c r="C61" s="5"/>
      <c r="D61" s="17"/>
      <c r="E61" s="17"/>
      <c r="F61" s="17"/>
      <c r="G61" s="17"/>
      <c r="H61" s="17"/>
      <c r="I61" s="17"/>
      <c r="M61" s="5"/>
    </row>
    <row r="62" spans="2:13" x14ac:dyDescent="0.3">
      <c r="B62" s="14" t="str">
        <f>IF(LangIdx=2,M62&amp;"",C62&amp;"")</f>
        <v/>
      </c>
      <c r="C62" s="5"/>
      <c r="D62" s="17"/>
      <c r="E62" s="17"/>
      <c r="F62" s="17"/>
      <c r="G62" s="17"/>
      <c r="H62" s="17"/>
      <c r="I62" s="17"/>
      <c r="M62" s="5"/>
    </row>
    <row r="63" spans="2:13" x14ac:dyDescent="0.3">
      <c r="B63" s="30" t="str">
        <f>IFERROR(INDEX(DICT_ACTIVE,MATCH("MPM.RESULT",DICT_KEY,0))&amp;"","??MPM.RESULT")</f>
        <v>Management-defined performance measure</v>
      </c>
      <c r="C63" s="30"/>
      <c r="D63" s="30">
        <f>D56+SUM(D57:D62)</f>
        <v>0</v>
      </c>
      <c r="E63" s="30">
        <f>SUM(E57:E62)</f>
        <v>0</v>
      </c>
      <c r="F63" s="30">
        <f>SUM(F57:F62)</f>
        <v>0</v>
      </c>
      <c r="G63" s="30">
        <f>G56+SUM(G57:G62)</f>
        <v>0</v>
      </c>
      <c r="H63" s="30">
        <f>SUM(H57:H62)</f>
        <v>0</v>
      </c>
      <c r="I63" s="30">
        <f>SUM(I57:I62)</f>
        <v>0</v>
      </c>
    </row>
    <row r="64" spans="2:13" x14ac:dyDescent="0.3">
      <c r="B64" s="14" t="str">
        <f>IFERROR(INDEX(DICT_ACTIVE,MATCH("MPM.CHANGE",DICT_KEY,0))&amp;"","??MPM.CHANGE")</f>
        <v>Change in calculation compared with prior period?</v>
      </c>
      <c r="D64" s="5" t="s">
        <v>4</v>
      </c>
      <c r="K64" s="10" t="str">
        <f>IFERROR(INDEX(LIST_YN_CODE,MATCH(D64,LIST_YN_EN,0)),IFERROR(INDEX(LIST_YN_CODE,MATCH(D64,LIST_YN_HU,0)),""))</f>
        <v>No</v>
      </c>
    </row>
    <row r="65" spans="2:12" x14ac:dyDescent="0.3">
      <c r="B65" s="14" t="str">
        <f>IFERROR(INDEX(DICT_ACTIVE,MATCH("MPM.CHANGE.WHY",DICT_KEY,0))&amp;"","??MPM.CHANGE.WHY")</f>
        <v>Explanation of the change</v>
      </c>
      <c r="D65" s="53"/>
      <c r="E65" s="51"/>
      <c r="F65" s="51"/>
      <c r="G65" s="53"/>
      <c r="H65" s="51"/>
      <c r="I65" s="51"/>
    </row>
    <row r="66" spans="2:12" ht="30" customHeight="1" x14ac:dyDescent="0.3">
      <c r="B66" s="50" t="str">
        <f>IF(D48="","",IF(AND(K49="Yes",K50="Yes",K51="Yes"),IFERROR(INDEX(DICT_ACTIVE,MATCH("MPM.DISCLAIM",DICT_KEY,0))&amp;"","??MPM.DISCLAIM"),IFERROR(INDEX(DICT_ACTIVE,MATCH("MPM.NOTMPM",DICT_KEY,0))&amp;"","??MPM.NOTMPM")))</f>
        <v/>
      </c>
      <c r="C66" s="51"/>
      <c r="D66" s="51"/>
      <c r="E66" s="51"/>
      <c r="F66" s="51"/>
      <c r="G66" s="51"/>
      <c r="H66" s="51"/>
      <c r="I66" s="51"/>
      <c r="L66" s="10">
        <f>IF(OR(D48="",NOT(AND(K49="Yes",K50="Yes",K51="Yes"))),0,SUMPRODUCT((D57:D62&lt;&gt;0)*(E57:E62=""))+SUMPRODUCT((G57:G62&lt;&gt;0)*(H57:H62=""))+IF(SUMPRODUCT(ABS(D57:D62))+SUMPRODUCT(ABS(G57:G62))=0,1,0)+IF(K53="",1,0))</f>
        <v>0</v>
      </c>
    </row>
  </sheetData>
  <sheetProtection algorithmName="SHA-512" hashValue="V0FoyPZhCJrqWB9UhUBLDLxhWp1vtSX5TVB+uQs+vrZX6DM/QAX7eqjkY55S5ga5gED7VmjaVGYXKEk7N2v9jQ==" saltValue="ejbh6EWMpdkaBhAk9tjnkw==" spinCount="100000" sheet="1" objects="1" scenarios="1" formatCells="0" autoFilter="0" pivotTables="0"/>
  <mergeCells count="30">
    <mergeCell ref="G31:I31"/>
    <mergeCell ref="D44:F44"/>
    <mergeCell ref="G52:I52"/>
    <mergeCell ref="D34:F34"/>
    <mergeCell ref="D10:F10"/>
    <mergeCell ref="G27:I27"/>
    <mergeCell ref="B24:I24"/>
    <mergeCell ref="D31:F31"/>
    <mergeCell ref="G23:I23"/>
    <mergeCell ref="G48:I48"/>
    <mergeCell ref="B45:I45"/>
    <mergeCell ref="D32:F32"/>
    <mergeCell ref="D48:F48"/>
    <mergeCell ref="D52:F52"/>
    <mergeCell ref="D11:F11"/>
    <mergeCell ref="G10:I10"/>
    <mergeCell ref="B66:I66"/>
    <mergeCell ref="G34:I34"/>
    <mergeCell ref="D53:F53"/>
    <mergeCell ref="G65:I65"/>
    <mergeCell ref="G55:I55"/>
    <mergeCell ref="D55:F55"/>
    <mergeCell ref="G44:I44"/>
    <mergeCell ref="D65:F65"/>
    <mergeCell ref="D13:F13"/>
    <mergeCell ref="D27:F27"/>
    <mergeCell ref="G6:I6"/>
    <mergeCell ref="G13:I13"/>
    <mergeCell ref="D23:F23"/>
    <mergeCell ref="D6:F6"/>
  </mergeCells>
  <dataValidations count="2">
    <dataValidation type="list" allowBlank="1" showErrorMessage="1" sqref="D64 D49:D51 D43 D28:D30 D22 D7:D9" xr:uid="{00000000-0002-0000-0B00-000000000000}">
      <formula1>INDEX(LIST_YN_TXT,0,LangIdx)</formula1>
    </dataValidation>
    <dataValidation type="list" allowBlank="1" showErrorMessage="1" sqref="D11 D53 D32" xr:uid="{00000000-0002-0000-0B00-000003000000}">
      <formula1>INDEX(LIST_SUBT_TXT,0,LangIdx)</formula1>
    </dataValidation>
  </dataValidations>
  <pageMargins left="0.75" right="0.75" top="1" bottom="1" header="0.5" footer="0.5"/>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Munka13"/>
  <dimension ref="A1:H60"/>
  <sheetViews>
    <sheetView showGridLines="0" workbookViewId="0">
      <pane ySplit="4" topLeftCell="A5" activePane="bottomLeft" state="frozen"/>
      <selection pane="bottomLeft" activeCell="A2" sqref="A2"/>
    </sheetView>
  </sheetViews>
  <sheetFormatPr defaultRowHeight="14.4" x14ac:dyDescent="0.3"/>
  <cols>
    <col min="1" max="1" width="2" customWidth="1"/>
    <col min="2" max="2" width="62" customWidth="1"/>
    <col min="3" max="3" width="6" customWidth="1"/>
    <col min="4" max="5" width="16" customWidth="1"/>
    <col min="6" max="6" width="46" customWidth="1"/>
    <col min="8" max="8" width="13" hidden="1" customWidth="1"/>
  </cols>
  <sheetData>
    <row r="1" spans="1:8" ht="17.399999999999999" x14ac:dyDescent="0.3">
      <c r="A1" s="1" t="str">
        <f>IFERROR(INDEX(DICT_ACTIVE,MATCH("UI.SHEET.NOTES",DICT_KEY,0))&amp;"","??UI.SHEET.NOTES")</f>
        <v>Notes to the financial statements</v>
      </c>
    </row>
    <row r="2" spans="1:8" x14ac:dyDescent="0.3">
      <c r="B2" s="21" t="str">
        <f>EntityName</f>
        <v>Minta Zrt.</v>
      </c>
    </row>
    <row r="3" spans="1:8" x14ac:dyDescent="0.3">
      <c r="B3" s="2" t="str">
        <f>UnitLabel</f>
        <v>in thousands of HUF</v>
      </c>
    </row>
    <row r="4" spans="1:8" x14ac:dyDescent="0.3">
      <c r="B4" s="3"/>
      <c r="C4" s="22" t="str">
        <f>IFERROR(INDEX(DICT_ACTIVE,MATCH("UI.NOTE",DICT_KEY,0))&amp;"","??UI.NOTE")</f>
        <v>Note</v>
      </c>
      <c r="D4" s="31">
        <f>YEAR(RepDate)</f>
        <v>2026</v>
      </c>
      <c r="E4" s="31">
        <f>YEAR(PyDate)</f>
        <v>2025</v>
      </c>
    </row>
    <row r="5" spans="1:8" x14ac:dyDescent="0.3">
      <c r="B5" s="24" t="str">
        <f>IF(ExpIsFunction,"1. "&amp;IFERROR(INDEX(DICT_ACTIVE,MATCH("NOTE.A.TITLE",DICT_KEY,0))&amp;"","??NOTE.A.TITLE"),"")</f>
        <v/>
      </c>
      <c r="D5" s="43"/>
      <c r="E5" s="43"/>
    </row>
    <row r="6" spans="1:8" x14ac:dyDescent="0.3">
      <c r="B6" t="str">
        <f>IF(ExpIsFunction,IFERROR(INDEX(DICT_ACTIVE,MATCH("PL.OP.N.DEP",DICT_KEY,0))&amp;"","??PL.OP.N.DEP"),"")</f>
        <v/>
      </c>
      <c r="D6" s="43" t="str">
        <f>IF(ExpIsFunction,-INDEX(ENG_NATCY,MATCH("PL.OP.N.DEP",ENG_KEY,0)),"")</f>
        <v/>
      </c>
      <c r="E6" s="43" t="str">
        <f>IF(ExpIsFunction,-INDEX(ENG_NATPY,MATCH("PL.OP.N.DEP",ENG_KEY,0)),"")</f>
        <v/>
      </c>
      <c r="H6" s="10" t="s">
        <v>557</v>
      </c>
    </row>
    <row r="7" spans="1:8" x14ac:dyDescent="0.3">
      <c r="B7" t="str">
        <f>IF(ExpIsFunction,IFERROR(INDEX(DICT_ACTIVE,MATCH("PL.OP.N.AMORT",DICT_KEY,0))&amp;"","??PL.OP.N.AMORT"),"")</f>
        <v/>
      </c>
      <c r="D7" s="43" t="str">
        <f>IF(ExpIsFunction,-INDEX(ENG_NATCY,MATCH("PL.OP.N.AMORT",ENG_KEY,0)),"")</f>
        <v/>
      </c>
      <c r="E7" s="43" t="str">
        <f>IF(ExpIsFunction,-INDEX(ENG_NATPY,MATCH("PL.OP.N.AMORT",ENG_KEY,0)),"")</f>
        <v/>
      </c>
      <c r="H7" s="10" t="s">
        <v>560</v>
      </c>
    </row>
    <row r="8" spans="1:8" x14ac:dyDescent="0.3">
      <c r="B8" t="str">
        <f>IF(ExpIsFunction,IFERROR(INDEX(DICT_ACTIVE,MATCH("PL.OP.N.EMPLOYEE",DICT_KEY,0))&amp;"","??PL.OP.N.EMPLOYEE"),"")</f>
        <v/>
      </c>
      <c r="D8" s="43" t="str">
        <f>IF(ExpIsFunction,-INDEX(ENG_NATCY,MATCH("PL.OP.N.EMPLOYEE",ENG_KEY,0)),"")</f>
        <v/>
      </c>
      <c r="E8" s="43" t="str">
        <f>IF(ExpIsFunction,-INDEX(ENG_NATPY,MATCH("PL.OP.N.EMPLOYEE",ENG_KEY,0)),"")</f>
        <v/>
      </c>
      <c r="H8" s="10" t="s">
        <v>554</v>
      </c>
    </row>
    <row r="9" spans="1:8" x14ac:dyDescent="0.3">
      <c r="B9" t="str">
        <f>IF(ExpIsFunction,IFERROR(INDEX(DICT_ACTIVE,MATCH("PL.OP.N.IMPAIR",DICT_KEY,0))&amp;"","??PL.OP.N.IMPAIR"),"")</f>
        <v/>
      </c>
      <c r="D9" s="43" t="str">
        <f>IF(ExpIsFunction,-INDEX(ENG_NATCY,MATCH("PL.OP.N.IMPAIR",ENG_KEY,0)),"")</f>
        <v/>
      </c>
      <c r="E9" s="43" t="str">
        <f>IF(ExpIsFunction,-INDEX(ENG_NATPY,MATCH("PL.OP.N.IMPAIR",ENG_KEY,0)),"")</f>
        <v/>
      </c>
      <c r="H9" s="10" t="s">
        <v>563</v>
      </c>
    </row>
    <row r="10" spans="1:8" x14ac:dyDescent="0.3">
      <c r="B10" t="str">
        <f>IF(ExpIsFunction,IFERROR(INDEX(DICT_ACTIVE,MATCH("PL.OP.N.INVWRITE",DICT_KEY,0))&amp;"","??PL.OP.N.INVWRITE"),"")</f>
        <v/>
      </c>
      <c r="D10" s="43" t="str">
        <f>IF(ExpIsFunction,-INDEX(ENG_NATCY,MATCH("PL.OP.N.INVWRITE",ENG_KEY,0)),"")</f>
        <v/>
      </c>
      <c r="E10" s="43" t="str">
        <f>IF(ExpIsFunction,-INDEX(ENG_NATPY,MATCH("PL.OP.N.INVWRITE",ENG_KEY,0)),"")</f>
        <v/>
      </c>
      <c r="H10" s="10" t="s">
        <v>566</v>
      </c>
    </row>
    <row r="11" spans="1:8" x14ac:dyDescent="0.3">
      <c r="B11" s="21" t="str">
        <f>IF(ExpIsFunction,IFERROR(INDEX(DICT_ACTIVE,MATCH("NOTE.A.SUB5",DICT_KEY,0))&amp;"","??NOTE.A.SUB5"),"")</f>
        <v/>
      </c>
      <c r="D11" s="37" t="str">
        <f>IF(ExpIsFunction,SUM(D6:D10),"")</f>
        <v/>
      </c>
      <c r="E11" s="37" t="str">
        <f>IF(ExpIsFunction,SUM(E6:E10),"")</f>
        <v/>
      </c>
    </row>
    <row r="12" spans="1:8" x14ac:dyDescent="0.3">
      <c r="B12" t="str">
        <f>IF(ExpIsFunction,IFERROR(INDEX(DICT_ACTIVE,MATCH("NOTE.A.OTHER",DICT_KEY,0))&amp;"","??NOTE.A.OTHER"),"")</f>
        <v/>
      </c>
      <c r="D12" s="43" t="str">
        <f>IF(ExpIsFunction,-(INDEX(ENG_NATCY,MATCH("PL.OP.N.MATERIALS",ENG_KEY,0))+INDEX(ENG_NATCY,MATCH("PL.OP.N.OTHER",ENG_KEY,0))),"")</f>
        <v/>
      </c>
      <c r="E12" s="43" t="str">
        <f>IF(ExpIsFunction,-(INDEX(ENG_NATPY,MATCH("PL.OP.N.MATERIALS",ENG_KEY,0))+INDEX(ENG_NATPY,MATCH("PL.OP.N.OTHER",ENG_KEY,0))),"")</f>
        <v/>
      </c>
    </row>
    <row r="13" spans="1:8" x14ac:dyDescent="0.3">
      <c r="B13" s="21" t="str">
        <f>IF(ExpIsFunction,IFERROR(INDEX(DICT_ACTIVE,MATCH("NOTE.A.TOTAL",DICT_KEY,0))&amp;"","??NOTE.A.TOTAL"),"")</f>
        <v/>
      </c>
      <c r="D13" s="37" t="str">
        <f>IF(ExpIsFunction,D11+D12,"")</f>
        <v/>
      </c>
      <c r="E13" s="37" t="str">
        <f>IF(ExpIsFunction,E11+E12,"")</f>
        <v/>
      </c>
    </row>
    <row r="14" spans="1:8" x14ac:dyDescent="0.3">
      <c r="B14" s="2" t="str">
        <f>IF(ExpIsFunction,IFERROR(INDEX(DICT_ACTIVE,MATCH("NOTE.A.AGREE",DICT_KEY,0))&amp;"","??NOTE.A.AGREE"),"")</f>
        <v/>
      </c>
      <c r="D14" s="43">
        <f>IF(ExpIsFunction,ROUND(D13-SUMPRODUCT((LEFT(ENG_KEY,8)="PL.OP.F.")*ENG_CYP),0),0)</f>
        <v>0</v>
      </c>
      <c r="E14" s="43">
        <f>IF(ExpIsFunction,ROUND(E13-SUMPRODUCT((LEFT(ENG_KEY,8)="PL.OP.F.")*ENG_PYP),0),0)</f>
        <v>0</v>
      </c>
    </row>
    <row r="16" spans="1:8" x14ac:dyDescent="0.3">
      <c r="B16" s="24" t="str">
        <f>"2. "&amp;IFERROR(INDEX(DICT_ACTIVE,MATCH("NOTE.B.TITLE",DICT_KEY,0))&amp;"","??NOTE.B.TITLE")</f>
        <v>2. Composition of the investing and financing categories</v>
      </c>
      <c r="F16" s="24" t="str">
        <f>IFERROR(INDEX(DICT_ACTIVE,MATCH("NOTE.B.BASIS",DICT_KEY,0))&amp;"","??NOTE.B.BASIS")</f>
        <v>Basis of classification</v>
      </c>
    </row>
    <row r="17" spans="2:8" x14ac:dyDescent="0.3">
      <c r="B17" s="21" t="str">
        <f>IFERROR(INDEX(DICT_ACTIVE,MATCH("PL.CAT.INV",DICT_KEY,0))&amp;"","??PL.CAT.INV")</f>
        <v>Investing</v>
      </c>
    </row>
    <row r="18" spans="2:8" x14ac:dyDescent="0.3">
      <c r="B18" s="14" t="str">
        <f>IFERROR(INDEX(DICT_ACTIVE,MATCH("PL.INV.ASSOC",DICT_KEY,0))&amp;"","??PL.INV.ASSOC")</f>
        <v>Share of profit or loss of associates and joint ventures</v>
      </c>
      <c r="C18" s="14"/>
      <c r="D18" s="26">
        <f>IF($H18="","",INDEX(ENG_CYP,MATCH($H18,ENG_KEY,0)))</f>
        <v>200</v>
      </c>
      <c r="E18" s="26">
        <f>IF($H18="","",INDEX(ENG_PYP,MATCH($H18,ENG_KEY,0)))</f>
        <v>150</v>
      </c>
      <c r="F18" s="2" t="str">
        <f>IFERROR(INDEX(DICT_ACTIVE,MATCH("NOTE.B.BASIS.ASSOC",DICT_KEY,0))&amp;"","??NOTE.B.BASIS.ASSOC")</f>
        <v>Investment in associate / joint venture</v>
      </c>
      <c r="H18" s="10" t="s">
        <v>581</v>
      </c>
    </row>
    <row r="19" spans="2:8" x14ac:dyDescent="0.3">
      <c r="B19" s="14" t="str">
        <f>IFERROR(INDEX(DICT_ACTIVE,MATCH("PL.INV.INTCASH",DICT_KEY,0))&amp;"","??PL.INV.INTCASH")</f>
        <v>Interest income on cash and cash equivalents</v>
      </c>
      <c r="C19" s="14"/>
      <c r="D19" s="26">
        <f>IF($H19="","",INDEX(ENG_CYP,MATCH($H19,ENG_KEY,0)))</f>
        <v>250</v>
      </c>
      <c r="E19" s="26">
        <f>IF($H19="","",INDEX(ENG_PYP,MATCH($H19,ENG_KEY,0)))</f>
        <v>180</v>
      </c>
      <c r="F19" s="2" t="str">
        <f>IFERROR(INDEX(DICT_ACTIVE,MATCH("NOTE.B.BASIS.CASH",DICT_KEY,0))&amp;"","??NOTE.B.BASIS.CASH")</f>
        <v>Cash and cash equivalents</v>
      </c>
      <c r="H19" s="10" t="s">
        <v>584</v>
      </c>
    </row>
    <row r="20" spans="2:8" x14ac:dyDescent="0.3">
      <c r="B20" s="14" t="str">
        <f>IFERROR(INDEX(DICT_ACTIVE,MATCH("PL.INV.INVPROP",DICT_KEY,0))&amp;"","??PL.INV.INVPROP")</f>
        <v>Income from investment property</v>
      </c>
      <c r="C20" s="14"/>
      <c r="D20" s="26">
        <f>IF($H20="","",INDEX(ENG_CYP,MATCH($H20,ENG_KEY,0)))</f>
        <v>0</v>
      </c>
      <c r="E20" s="26">
        <f>IF($H20="","",INDEX(ENG_PYP,MATCH($H20,ENG_KEY,0)))</f>
        <v>0</v>
      </c>
      <c r="F20" s="2" t="str">
        <f>IFERROR(INDEX(DICT_ACTIVE,MATCH("NOTE.B.BASIS.INDEP",DICT_KEY,0))&amp;"","??NOTE.B.BASIS.INDEP")</f>
        <v>Asset generating returns individually and largely independently</v>
      </c>
      <c r="H20" s="10" t="s">
        <v>587</v>
      </c>
    </row>
    <row r="21" spans="2:8" x14ac:dyDescent="0.3">
      <c r="B21" s="14" t="str">
        <f>IFERROR(INDEX(DICT_ACTIVE,MATCH("PL.INV.FINASSET",DICT_KEY,0))&amp;"","??PL.INV.FINASSET")</f>
        <v>Income from other financial assets</v>
      </c>
      <c r="C21" s="14"/>
      <c r="D21" s="26">
        <f>IF($H21="","",INDEX(ENG_CYP,MATCH($H21,ENG_KEY,0)))</f>
        <v>0</v>
      </c>
      <c r="E21" s="26">
        <f>IF($H21="","",INDEX(ENG_PYP,MATCH($H21,ENG_KEY,0)))</f>
        <v>0</v>
      </c>
      <c r="F21" s="2" t="str">
        <f>IFERROR(INDEX(DICT_ACTIVE,MATCH("NOTE.B.BASIS.INDEP",DICT_KEY,0))&amp;"","??NOTE.B.BASIS.INDEP")</f>
        <v>Asset generating returns individually and largely independently</v>
      </c>
      <c r="H21" s="10" t="s">
        <v>590</v>
      </c>
    </row>
    <row r="22" spans="2:8" x14ac:dyDescent="0.3">
      <c r="B22" s="14" t="str">
        <f>IFERROR(INDEX(DICT_ACTIVE,MATCH("PL.INV.OTHER",DICT_KEY,0))&amp;"","??PL.INV.OTHER")</f>
        <v>Other investing income and expenses</v>
      </c>
      <c r="C22" s="14"/>
      <c r="D22" s="26">
        <f>IF($H22="","",INDEX(ENG_CYP,MATCH($H22,ENG_KEY,0)))</f>
        <v>0</v>
      </c>
      <c r="E22" s="26">
        <f>IF($H22="","",INDEX(ENG_PYP,MATCH($H22,ENG_KEY,0)))</f>
        <v>0</v>
      </c>
      <c r="F22" s="2" t="str">
        <f>IFERROR(INDEX(DICT_ACTIVE,MATCH("NOTE.B.BASIS.INDEP",DICT_KEY,0))&amp;"","??NOTE.B.BASIS.INDEP")</f>
        <v>Asset generating returns individually and largely independently</v>
      </c>
      <c r="H22" s="10" t="s">
        <v>593</v>
      </c>
    </row>
    <row r="23" spans="2:8" x14ac:dyDescent="0.3">
      <c r="B23" s="21" t="str">
        <f>IFERROR(INDEX(DICT_ACTIVE,MATCH("UI.TOTAL",DICT_KEY,0))&amp;"","??UI.TOTAL")</f>
        <v>Total</v>
      </c>
      <c r="D23" s="37">
        <f>SUMIFS(ENG_CYP,ENG_STMT,"PL",ENG_CAT,"INV")</f>
        <v>450</v>
      </c>
      <c r="E23" s="37">
        <f>SUMIFS(ENG_PYP,ENG_STMT,"PL",ENG_CAT,"INV")</f>
        <v>330</v>
      </c>
    </row>
    <row r="25" spans="2:8" x14ac:dyDescent="0.3">
      <c r="B25" s="21" t="str">
        <f>IFERROR(INDEX(DICT_ACTIVE,MATCH("PL.CAT.FIN",DICT_KEY,0))&amp;"","??PL.CAT.FIN")</f>
        <v>Financing</v>
      </c>
    </row>
    <row r="26" spans="2:8" x14ac:dyDescent="0.3">
      <c r="B26" s="14" t="str">
        <f>IFERROR(INDEX(DICT_ACTIVE,MATCH("PL.FIN.INTBORROW",DICT_KEY,0))&amp;"","??PL.FIN.INTBORROW")</f>
        <v>Interest expense on borrowings</v>
      </c>
      <c r="C26" s="14"/>
      <c r="D26" s="26">
        <f t="shared" ref="D26:D31" si="0">IF($H26="","",INDEX(ENG_CYP,MATCH($H26,ENG_KEY,0)))</f>
        <v>-1100</v>
      </c>
      <c r="E26" s="26">
        <f t="shared" ref="E26:E31" si="1">IF($H26="","",INDEX(ENG_PYP,MATCH($H26,ENG_KEY,0)))</f>
        <v>-1250</v>
      </c>
      <c r="F26" s="2" t="str">
        <f>IFERROR(INDEX(DICT_ACTIVE,MATCH("NOTE.B.BASIS.RAISE",DICT_KEY,0))&amp;"","??NOTE.B.BASIS.RAISE")</f>
        <v>Liability from transactions involving only the raising of finance</v>
      </c>
      <c r="H26" s="10" t="s">
        <v>599</v>
      </c>
    </row>
    <row r="27" spans="2:8" x14ac:dyDescent="0.3">
      <c r="B27" s="14" t="str">
        <f>IFERROR(INDEX(DICT_ACTIVE,MATCH("PL.FIN.INTLEASE",DICT_KEY,0))&amp;"","??PL.FIN.INTLEASE")</f>
        <v>Interest on lease liabilities</v>
      </c>
      <c r="C27" s="14"/>
      <c r="D27" s="26">
        <f t="shared" si="0"/>
        <v>-250</v>
      </c>
      <c r="E27" s="26">
        <f t="shared" si="1"/>
        <v>-300</v>
      </c>
      <c r="F27" s="2" t="str">
        <f>IFERROR(INDEX(DICT_ACTIVE,MATCH("NOTE.B.BASIS.OTHERLIAB",DICT_KEY,0))&amp;"","??NOTE.B.BASIS.OTHERLIAB")</f>
        <v>Interest on other liabilities</v>
      </c>
      <c r="H27" s="10" t="s">
        <v>602</v>
      </c>
    </row>
    <row r="28" spans="2:8" x14ac:dyDescent="0.3">
      <c r="B28" s="14" t="str">
        <f>IFERROR(INDEX(DICT_ACTIVE,MATCH("PL.FIN.UNWIND",DICT_KEY,0))&amp;"","??PL.FIN.UNWIND")</f>
        <v>Unwinding of discount on provisions</v>
      </c>
      <c r="C28" s="14"/>
      <c r="D28" s="26">
        <f t="shared" si="0"/>
        <v>0</v>
      </c>
      <c r="E28" s="26">
        <f t="shared" si="1"/>
        <v>0</v>
      </c>
      <c r="F28" s="2" t="str">
        <f>IFERROR(INDEX(DICT_ACTIVE,MATCH("NOTE.B.BASIS.OTHERLIAB",DICT_KEY,0))&amp;"","??NOTE.B.BASIS.OTHERLIAB")</f>
        <v>Interest on other liabilities</v>
      </c>
      <c r="H28" s="10" t="s">
        <v>605</v>
      </c>
    </row>
    <row r="29" spans="2:8" x14ac:dyDescent="0.3">
      <c r="B29" s="14" t="str">
        <f>IFERROR(INDEX(DICT_ACTIVE,MATCH("PL.FIN.EMPBEN",DICT_KEY,0))&amp;"","??PL.FIN.EMPBEN")</f>
        <v>Net interest on employee benefit liabilities</v>
      </c>
      <c r="C29" s="14"/>
      <c r="D29" s="26">
        <f t="shared" si="0"/>
        <v>0</v>
      </c>
      <c r="E29" s="26">
        <f t="shared" si="1"/>
        <v>0</v>
      </c>
      <c r="F29" s="2" t="str">
        <f>IFERROR(INDEX(DICT_ACTIVE,MATCH("NOTE.B.BASIS.OTHERLIAB",DICT_KEY,0))&amp;"","??NOTE.B.BASIS.OTHERLIAB")</f>
        <v>Interest on other liabilities</v>
      </c>
      <c r="H29" s="10" t="s">
        <v>608</v>
      </c>
    </row>
    <row r="30" spans="2:8" x14ac:dyDescent="0.3">
      <c r="B30" s="14" t="str">
        <f>IFERROR(INDEX(DICT_ACTIVE,MATCH("PL.FIN.FX",DICT_KEY,0))&amp;"","??PL.FIN.FX")</f>
        <v>Foreign exchange differences - financing</v>
      </c>
      <c r="C30" s="14"/>
      <c r="D30" s="26">
        <f t="shared" si="0"/>
        <v>-80</v>
      </c>
      <c r="E30" s="26">
        <f t="shared" si="1"/>
        <v>-120</v>
      </c>
      <c r="F30" s="2" t="str">
        <f>IFERROR(INDEX(DICT_ACTIVE,MATCH("NOTE.B.BASIS.RAISE",DICT_KEY,0))&amp;"","??NOTE.B.BASIS.RAISE")</f>
        <v>Liability from transactions involving only the raising of finance</v>
      </c>
      <c r="H30" s="10" t="s">
        <v>611</v>
      </c>
    </row>
    <row r="31" spans="2:8" x14ac:dyDescent="0.3">
      <c r="B31" s="14" t="str">
        <f>IFERROR(INDEX(DICT_ACTIVE,MATCH("PL.FIN.OTHER",DICT_KEY,0))&amp;"","??PL.FIN.OTHER")</f>
        <v>Other financing income and expenses</v>
      </c>
      <c r="C31" s="14"/>
      <c r="D31" s="26">
        <f t="shared" si="0"/>
        <v>0</v>
      </c>
      <c r="E31" s="26">
        <f t="shared" si="1"/>
        <v>0</v>
      </c>
      <c r="F31" s="2" t="str">
        <f>IFERROR(INDEX(DICT_ACTIVE,MATCH("NOTE.B.BASIS.RAISE",DICT_KEY,0))&amp;"","??NOTE.B.BASIS.RAISE")</f>
        <v>Liability from transactions involving only the raising of finance</v>
      </c>
      <c r="H31" s="10" t="s">
        <v>614</v>
      </c>
    </row>
    <row r="32" spans="2:8" x14ac:dyDescent="0.3">
      <c r="B32" s="21" t="str">
        <f>IFERROR(INDEX(DICT_ACTIVE,MATCH("UI.TOTAL",DICT_KEY,0))&amp;"","??UI.TOTAL")</f>
        <v>Total</v>
      </c>
      <c r="D32" s="37">
        <f>SUMIFS(ENG_CYP,ENG_STMT,"PL",ENG_CAT,"FIN")</f>
        <v>-1430</v>
      </c>
      <c r="E32" s="37">
        <f>SUMIFS(ENG_PYP,ENG_STMT,"PL",ENG_CAT,"FIN")</f>
        <v>-1670</v>
      </c>
    </row>
    <row r="34" spans="2:8" x14ac:dyDescent="0.3">
      <c r="B34" s="21" t="str">
        <f>IFERROR(INDEX(DICT_ACTIVE,MATCH("NOTE.B.MBA",DICT_KEY,0))&amp;"","??NOTE.B.MBA")</f>
        <v>Main business activity assessment</v>
      </c>
    </row>
    <row r="35" spans="2:8" x14ac:dyDescent="0.3">
      <c r="B35" t="str">
        <f>IFERROR(INDEX(DICT_ACTIVE,MATCH("SET.MBA.INV",DICT_KEY,0))&amp;"","??SET.MBA.INV")</f>
        <v>Main business activity: investing in assets?</v>
      </c>
      <c r="D35" t="str">
        <f>'00_SETTINGS'!C16</f>
        <v>No</v>
      </c>
    </row>
    <row r="36" spans="2:8" x14ac:dyDescent="0.3">
      <c r="B36" t="str">
        <f>IFERROR(INDEX(DICT_ACTIVE,MATCH("SET.MBA.FIN",DICT_KEY,0))&amp;"","??SET.MBA.FIN")</f>
        <v>Main business activity: providing financing to customers?</v>
      </c>
      <c r="D36" t="str">
        <f>'00_SETTINGS'!C17</f>
        <v>No</v>
      </c>
    </row>
    <row r="38" spans="2:8" x14ac:dyDescent="0.3">
      <c r="B38" s="24" t="str">
        <f>"3. "&amp;IFERROR(INDEX(DICT_ACTIVE,MATCH("NOTE.C.TITLE",DICT_KEY,0))&amp;"","??NOTE.C.TITLE")</f>
        <v>3. Income taxes</v>
      </c>
    </row>
    <row r="39" spans="2:8" x14ac:dyDescent="0.3">
      <c r="B39" s="14" t="str">
        <f>IFERROR(INDEX(DICT_ACTIVE,MATCH("PL.TAX.CURRENT",DICT_KEY,0))&amp;"","??PL.TAX.CURRENT")</f>
        <v>Current tax expense</v>
      </c>
      <c r="C39" s="14"/>
      <c r="D39" s="26">
        <f>IF($H39="","",INDEX(ENG_CYP,MATCH($H39,ENG_KEY,0)))</f>
        <v>-900</v>
      </c>
      <c r="E39" s="26">
        <f>IF($H39="","",INDEX(ENG_PYP,MATCH($H39,ENG_KEY,0)))</f>
        <v>-750</v>
      </c>
      <c r="H39" s="10" t="s">
        <v>620</v>
      </c>
    </row>
    <row r="40" spans="2:8" x14ac:dyDescent="0.3">
      <c r="B40" s="14" t="str">
        <f>IFERROR(INDEX(DICT_ACTIVE,MATCH("PL.TAX.DEFERRED",DICT_KEY,0))&amp;"","??PL.TAX.DEFERRED")</f>
        <v>Deferred tax expense</v>
      </c>
      <c r="C40" s="14"/>
      <c r="D40" s="26">
        <f>IF($H40="","",INDEX(ENG_CYP,MATCH($H40,ENG_KEY,0)))</f>
        <v>-50</v>
      </c>
      <c r="E40" s="26">
        <f>IF($H40="","",INDEX(ENG_PYP,MATCH($H40,ENG_KEY,0)))</f>
        <v>0</v>
      </c>
      <c r="H40" s="10" t="s">
        <v>623</v>
      </c>
    </row>
    <row r="41" spans="2:8" x14ac:dyDescent="0.3">
      <c r="B41" s="27" t="str">
        <f>IFERROR(INDEX(DICT_ACTIVE,MATCH("PL.CAT.TAX",DICT_KEY,0))&amp;"","??PL.CAT.TAX")</f>
        <v>Income taxes</v>
      </c>
      <c r="C41" s="27"/>
      <c r="D41" s="28">
        <f>SUMIFS(ENG_CYP,ENG_STMT,"PL",ENG_CAT,"TAX")</f>
        <v>-950</v>
      </c>
      <c r="E41" s="28">
        <f>SUMIFS(ENG_PYP,ENG_STMT,"PL",ENG_CAT,"TAX")</f>
        <v>-750</v>
      </c>
      <c r="H41" s="10" t="s">
        <v>521</v>
      </c>
    </row>
    <row r="43" spans="2:8" x14ac:dyDescent="0.3">
      <c r="B43" s="14" t="str">
        <f>IFERROR(INDEX(DICT_ACTIVE,MATCH("PL.SUB.PBT",DICT_KEY,0))&amp;"","??PL.SUB.PBT")</f>
        <v>Profit or loss before income taxes</v>
      </c>
      <c r="C43" s="14"/>
      <c r="D43" s="26">
        <f>PL_PBT_CY</f>
        <v>15680</v>
      </c>
      <c r="E43" s="26">
        <f>PL_PBT_PY</f>
        <v>12870</v>
      </c>
      <c r="H43" s="10" t="s">
        <v>617</v>
      </c>
    </row>
    <row r="44" spans="2:8" x14ac:dyDescent="0.3">
      <c r="B44" s="14" t="str">
        <f>IFERROR(INDEX(DICT_ACTIVE,MATCH("NOTE.C.EXPECTED",DICT_KEY,0))&amp;"","??NOTE.C.EXPECTED")</f>
        <v>Tax at the statutory rate</v>
      </c>
      <c r="C44" s="14"/>
      <c r="D44" s="26">
        <f>-D43*TaxRate</f>
        <v>-1411.2</v>
      </c>
      <c r="E44" s="26">
        <f>-E43*TaxRate</f>
        <v>-1158.3</v>
      </c>
      <c r="H44" s="10" t="s">
        <v>1009</v>
      </c>
    </row>
    <row r="45" spans="2:8" x14ac:dyDescent="0.3">
      <c r="B45" s="14" t="str">
        <f>IFERROR(INDEX(DICT_ACTIVE,MATCH("NOTE.C.RECON",DICT_KEY,0))&amp;"","??NOTE.C.RECON")</f>
        <v>Reconciling items</v>
      </c>
      <c r="C45" s="14"/>
      <c r="D45" s="26">
        <f>D41-D44</f>
        <v>461.20000000000005</v>
      </c>
      <c r="E45" s="26">
        <f>E41-E44</f>
        <v>408.29999999999995</v>
      </c>
      <c r="H45" s="10" t="s">
        <v>1012</v>
      </c>
    </row>
    <row r="46" spans="2:8" x14ac:dyDescent="0.3">
      <c r="B46" s="14" t="str">
        <f>IFERROR(INDEX(DICT_ACTIVE,MATCH("NOTE.C.ETR",DICT_KEY,0))&amp;"","??NOTE.C.ETR")</f>
        <v>Effective tax rate</v>
      </c>
      <c r="C46" s="14"/>
      <c r="D46" s="44">
        <f>IFERROR(-D41/D43,0)</f>
        <v>6.0586734693877549E-2</v>
      </c>
      <c r="E46" s="44">
        <f>IFERROR(-E41/E43,0)</f>
        <v>5.8275058275058272E-2</v>
      </c>
      <c r="H46" s="10" t="s">
        <v>1015</v>
      </c>
    </row>
    <row r="47" spans="2:8" x14ac:dyDescent="0.3">
      <c r="B47" s="2" t="str">
        <f>IFERROR(INDEX(DICT_ACTIVE,MATCH("NOTE.C.SCOPE",DICT_KEY,0))&amp;"","??NOTE.C.SCOPE")</f>
        <v>A full IAS 12 rate reconciliation is outside the scope of this template.</v>
      </c>
    </row>
    <row r="49" spans="2:6" x14ac:dyDescent="0.3">
      <c r="B49" s="2" t="str">
        <f>IFERROR(INDEX(DICT_ACTIVE,MATCH("UI.DICT.EN",DICT_KEY,0))&amp;"","??UI.DICT.EN")</f>
        <v>English</v>
      </c>
      <c r="F49" s="2" t="str">
        <f>IFERROR(INDEX(DICT_ACTIVE,MATCH("UI.DICT.HU",DICT_KEY,0))&amp;"","??UI.DICT.HU")</f>
        <v>Hungarian</v>
      </c>
    </row>
    <row r="50" spans="2:6" x14ac:dyDescent="0.3">
      <c r="B50" s="24" t="str">
        <f>"4. "&amp;IFERROR(INDEX(DICT_ACTIVE,MATCH("NOTE.POLICY.BASIS",DICT_KEY,0))&amp;"","??NOTE.POLICY.BASIS")</f>
        <v>4. Basis of preparation</v>
      </c>
    </row>
    <row r="51" spans="2:6" ht="60" customHeight="1" x14ac:dyDescent="0.3">
      <c r="B51" s="57"/>
      <c r="C51" s="51"/>
      <c r="D51" s="51"/>
      <c r="E51" s="51"/>
      <c r="F51" s="45"/>
    </row>
    <row r="52" spans="2:6" ht="60" customHeight="1" x14ac:dyDescent="0.3">
      <c r="B52" s="56" t="str">
        <f>IF(LangIdx=2,F51&amp;"",B51&amp;"")</f>
        <v/>
      </c>
      <c r="C52" s="51"/>
      <c r="D52" s="51"/>
      <c r="E52" s="51"/>
      <c r="F52" s="51"/>
    </row>
    <row r="54" spans="2:6" x14ac:dyDescent="0.3">
      <c r="B54" s="24" t="str">
        <f>"5. "&amp;IFERROR(INDEX(DICT_ACTIVE,MATCH("NOTE.POLICY.MBA",DICT_KEY,0))&amp;"","??NOTE.POLICY.MBA")</f>
        <v>5. Judgement: main business activities</v>
      </c>
    </row>
    <row r="55" spans="2:6" ht="60" customHeight="1" x14ac:dyDescent="0.3">
      <c r="B55" s="57"/>
      <c r="C55" s="51"/>
      <c r="D55" s="51"/>
      <c r="E55" s="51"/>
      <c r="F55" s="45"/>
    </row>
    <row r="56" spans="2:6" ht="60" customHeight="1" x14ac:dyDescent="0.3">
      <c r="B56" s="56" t="str">
        <f>IF(LangIdx=2,F55&amp;"",B55&amp;"")</f>
        <v/>
      </c>
      <c r="C56" s="51"/>
      <c r="D56" s="51"/>
      <c r="E56" s="51"/>
      <c r="F56" s="51"/>
    </row>
    <row r="58" spans="2:6" x14ac:dyDescent="0.3">
      <c r="B58" s="24" t="str">
        <f>"6. "&amp;IFERROR(INDEX(DICT_ACTIVE,MATCH("NOTE.POLICY.MPM",DICT_KEY,0))&amp;"","??NOTE.POLICY.MPM")</f>
        <v>6. Management-defined performance measures</v>
      </c>
    </row>
    <row r="59" spans="2:6" ht="60" customHeight="1" x14ac:dyDescent="0.3">
      <c r="B59" s="57"/>
      <c r="C59" s="51"/>
      <c r="D59" s="51"/>
      <c r="E59" s="51"/>
      <c r="F59" s="45"/>
    </row>
    <row r="60" spans="2:6" ht="60" customHeight="1" x14ac:dyDescent="0.3">
      <c r="B60" s="56" t="str">
        <f>IF(LangIdx=2,F59&amp;"",B59&amp;"")</f>
        <v/>
      </c>
      <c r="C60" s="51"/>
      <c r="D60" s="51"/>
      <c r="E60" s="51"/>
      <c r="F60" s="51"/>
    </row>
  </sheetData>
  <sheetProtection algorithmName="SHA-512" hashValue="UbH3p9w/wAUEGCxkU5qbdyw26GMzsSvuT5MWcd3YOzfAu5frUbUCN7CIAIYNKJ0XMzvBY11UbynSDk42oK3LFg==" saltValue="ACc6CXdmtDtQe932IozV2g==" spinCount="100000" sheet="1" objects="1" scenarios="1" formatCells="0" autoFilter="0" pivotTables="0"/>
  <mergeCells count="6">
    <mergeCell ref="B60:F60"/>
    <mergeCell ref="B55:E55"/>
    <mergeCell ref="B59:E59"/>
    <mergeCell ref="B51:E51"/>
    <mergeCell ref="B56:F56"/>
    <mergeCell ref="B52:F52"/>
  </mergeCells>
  <conditionalFormatting sqref="D14:E14">
    <cfRule type="expression" dxfId="3" priority="1">
      <formula>D14&lt;&gt;0</formula>
    </cfRule>
  </conditionalFormatting>
  <pageMargins left="0.75" right="0.75" top="1" bottom="1" header="0.5" footer="0.5"/>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Munka14"/>
  <dimension ref="A1:D13"/>
  <sheetViews>
    <sheetView showGridLines="0" workbookViewId="0">
      <selection activeCell="A2" sqref="A2"/>
    </sheetView>
  </sheetViews>
  <sheetFormatPr defaultRowHeight="14.4" x14ac:dyDescent="0.3"/>
  <cols>
    <col min="1" max="1" width="6" customWidth="1"/>
    <col min="2" max="2" width="70" customWidth="1"/>
    <col min="3" max="3" width="10" customWidth="1"/>
    <col min="4" max="4" width="50" customWidth="1"/>
  </cols>
  <sheetData>
    <row r="1" spans="1:4" ht="17.399999999999999" x14ac:dyDescent="0.3">
      <c r="A1" s="1" t="str">
        <f>IFERROR(INDEX(DICT_ACTIVE,MATCH("CHK.TITLE",DICT_KEY,0))&amp;"","??CHK.TITLE")</f>
        <v>Checks</v>
      </c>
      <c r="B1" s="21" t="str">
        <f>IFERROR(INDEX(DICT_ACTIVE,MATCH("CHK.COUNT",DICT_KEY,0))&amp;"","??CHK.COUNT")</f>
        <v>Errors</v>
      </c>
      <c r="C1" s="21">
        <f>SUM(C4:C12)</f>
        <v>0</v>
      </c>
    </row>
    <row r="3" spans="1:4" x14ac:dyDescent="0.3">
      <c r="A3" s="3" t="str">
        <f>IFERROR(INDEX(DICT_ACTIVE,MATCH("CHK.NO",DICT_KEY,0))&amp;"","??CHK.NO")</f>
        <v>#</v>
      </c>
      <c r="B3" s="3" t="str">
        <f>IFERROR(INDEX(DICT_ACTIVE,MATCH("CHK.DESC",DICT_KEY,0))&amp;"","??CHK.DESC")</f>
        <v>Test</v>
      </c>
      <c r="C3" s="3" t="str">
        <f>IFERROR(INDEX(DICT_ACTIVE,MATCH("CHK.COUNT",DICT_KEY,0))&amp;"","??CHK.COUNT")</f>
        <v>Errors</v>
      </c>
      <c r="D3" s="3" t="str">
        <f>IFERROR(INDEX(DICT_ACTIVE,MATCH("CHK.DETAIL",DICT_KEY,0))&amp;"","??CHK.DETAIL")</f>
        <v>Detail</v>
      </c>
    </row>
    <row r="4" spans="1:4" x14ac:dyDescent="0.3">
      <c r="A4" s="9">
        <v>1</v>
      </c>
      <c r="B4" s="9" t="str">
        <f>IFERROR(INDEX(DICT_ACTIVE,MATCH("CHK.01",DICT_KEY,0))&amp;"","??CHK.01")</f>
        <v>Statement of financial position balances</v>
      </c>
      <c r="C4" s="9">
        <f>0+(SFP_DIFF_CY&lt;&gt;0)+(SFP_DIFF_PY&lt;&gt;0)</f>
        <v>0</v>
      </c>
      <c r="D4" s="9" t="str">
        <f>"06_SFP"</f>
        <v>06_SFP</v>
      </c>
    </row>
    <row r="5" spans="1:4" x14ac:dyDescent="0.3">
      <c r="A5" s="9">
        <v>2</v>
      </c>
      <c r="B5" s="9" t="str">
        <f>IFERROR(INDEX(DICT_ACTIVE,MATCH("CHK.02",DICT_KEY,0))&amp;"","??CHK.02")</f>
        <v>Trial balance and adjustments: debits = credits</v>
      </c>
      <c r="C5" s="9">
        <f>(TB_SUM_CY&lt;&gt;0)+(TB_SUM_PY&lt;&gt;0)+(TB_SUM_OP&lt;&gt;0)+SUMPRODUCT(--(ADJ_CHK&lt;&gt;""))</f>
        <v>0</v>
      </c>
      <c r="D5" s="9" t="str">
        <f>"03_TB / 04_ADJ"</f>
        <v>03_TB / 04_ADJ</v>
      </c>
    </row>
    <row r="6" spans="1:4" x14ac:dyDescent="0.3">
      <c r="A6" s="9">
        <v>3</v>
      </c>
      <c r="B6" s="9" t="str">
        <f>IFERROR(INDEX(DICT_ACTIVE,MATCH("CHK.03",DICT_KEY,0))&amp;"","??CHK.03")</f>
        <v>Mapping complete, keys unique and translated</v>
      </c>
      <c r="C6" s="9">
        <f>SUMPRODUCT(--(TB_CHK&lt;&gt;""))+SUMPRODUCT(--(COA_CHK&lt;&gt;""))+COUNTIF(DICT_DUP,"DUP")+SUMPRODUCT((ENG_KEY&lt;&gt;"")*ISNA(MATCH(ENG_KEY,DICT_KEY,0)))</f>
        <v>0</v>
      </c>
      <c r="D6" s="9" t="str">
        <f>"03_TB / 02_COA / 01_DICT / 05_ENGINE"</f>
        <v>03_TB / 02_COA / 01_DICT / 05_ENGINE</v>
      </c>
    </row>
    <row r="7" spans="1:4" x14ac:dyDescent="0.3">
      <c r="A7" s="9">
        <v>4</v>
      </c>
      <c r="B7" s="9" t="str">
        <f>IFERROR(INDEX(DICT_ACTIVE,MATCH("CHK.04",DICT_KEY,0))&amp;"","??CHK.04")</f>
        <v>Statement of changes in equity reconciles</v>
      </c>
      <c r="C7" s="9">
        <f>0+(ROUND(SCE_RESID_TOTAL,0)&lt;&gt;0)+(ROUND(SCE_CLOSE_TOTAL_CY-SFP_EQ_CY,0)&lt;&gt;0)+(ROUND(SCE_CLOSE_TOTAL_PY-SFP_EQ_PY,0)&lt;&gt;0)</f>
        <v>0</v>
      </c>
      <c r="D7" s="9" t="str">
        <f>"09_SCE"</f>
        <v>09_SCE</v>
      </c>
    </row>
    <row r="8" spans="1:4" x14ac:dyDescent="0.3">
      <c r="A8" s="9">
        <v>5</v>
      </c>
      <c r="B8" s="9" t="str">
        <f>IFERROR(INDEX(DICT_ACTIVE,MATCH("CHK.05",DICT_KEY,0))&amp;"","??CHK.05")</f>
        <v>Closing cash per cash flow = statement of financial position</v>
      </c>
      <c r="C8" s="9">
        <f>0+(CF_DIFF_CY&lt;&gt;0)+(CF_DIFF_PY&lt;&gt;0)</f>
        <v>0</v>
      </c>
      <c r="D8" s="9" t="str">
        <f>"10_CF"</f>
        <v>10_CF</v>
      </c>
    </row>
    <row r="9" spans="1:4" x14ac:dyDescent="0.3">
      <c r="A9" s="9">
        <v>6</v>
      </c>
      <c r="B9" s="9" t="str">
        <f>IFERROR(INDEX(DICT_ACTIVE,MATCH("CHK.06",DICT_KEY,0))&amp;"","??CHK.06")</f>
        <v>All balance movements explained</v>
      </c>
      <c r="C9" s="9">
        <f>0+(ROUND(CF_UNEXPL_TOTAL,0)&lt;&gt;0)</f>
        <v>0</v>
      </c>
      <c r="D9" s="9" t="str">
        <f>"10_CF"</f>
        <v>10_CF</v>
      </c>
    </row>
    <row r="10" spans="1:4" x14ac:dyDescent="0.3">
      <c r="A10" s="9">
        <v>7</v>
      </c>
      <c r="B10" s="9" t="str">
        <f>IFERROR(INDEX(DICT_ACTIVE,MATCH("CHK.07",DICT_KEY,0))&amp;"","??CHK.07")</f>
        <v>MPM reconciliations complete</v>
      </c>
      <c r="C10" s="9">
        <f>SUM(MPM_CHK)</f>
        <v>0</v>
      </c>
      <c r="D10" s="9" t="str">
        <f>"11_MPM"</f>
        <v>11_MPM</v>
      </c>
    </row>
    <row r="11" spans="1:4" x14ac:dyDescent="0.3">
      <c r="A11" s="9">
        <v>8</v>
      </c>
      <c r="B11" s="9" t="str">
        <f>IFERROR(INDEX(DICT_ACTIVE,MATCH("CHK.08",DICT_KEY,0))&amp;"","??CHK.08")</f>
        <v>By-nature disclosure agrees with by-function presentation</v>
      </c>
      <c r="C11" s="9">
        <f>0+(NOTEA_AGREE_CY&lt;&gt;0)+(NOTEA_AGREE_PY&lt;&gt;0)</f>
        <v>0</v>
      </c>
      <c r="D11" s="9" t="str">
        <f>"12_NOTES"</f>
        <v>12_NOTES</v>
      </c>
    </row>
    <row r="12" spans="1:4" x14ac:dyDescent="0.3">
      <c r="A12" s="9">
        <v>9</v>
      </c>
      <c r="B12" s="9" t="str">
        <f>IFERROR(INDEX(DICT_ACTIVE,MATCH("CHK.09",DICT_KEY,0))&amp;"","??CHK.09")</f>
        <v>All dropdowns resolve to a valid code</v>
      </c>
      <c r="C12" s="9">
        <f>COUNTBLANK('00_SETTINGS'!$D$15:$D$19)+SUMPRODUCT((COA_ACCT&lt;&gt;"")*(COA_STMT=""))</f>
        <v>0</v>
      </c>
      <c r="D12" s="9" t="str">
        <f>"00_SETTINGS / 02_COA"</f>
        <v>00_SETTINGS / 02_COA</v>
      </c>
    </row>
    <row r="13" spans="1:4" x14ac:dyDescent="0.3">
      <c r="A13" s="9">
        <v>10</v>
      </c>
      <c r="B13" s="9" t="str">
        <f>IFERROR(INDEX(DICT_ACTIVE,MATCH("CHK.10",DICT_KEY,0))&amp;"","??CHK.10")</f>
        <v>Material 'Other' lines (information only)</v>
      </c>
      <c r="C13" s="9">
        <f>SUMPRODUCT(ISNUMBER(SEARCH("OTHER",ENG_KEY))*(ABS(ENG_CYP)&gt;OtherThreshold))</f>
        <v>5</v>
      </c>
      <c r="D13" s="9" t="str">
        <f>"07_PL / 06_SFP"</f>
        <v>07_PL / 06_SFP</v>
      </c>
    </row>
  </sheetData>
  <sheetProtection algorithmName="SHA-512" hashValue="xEZyc+miDRfV12uJyNU45nIGOFG0tfHSBB2PHTXFTWl/KcAkC9MlLH/MK2/zScZgfMKqE2ouTujHkm7OgVV7ow==" saltValue="0chTvM1wxDIFj94YAXwIww==" spinCount="100000" sheet="1" objects="1" scenarios="1" formatCells="0" autoFilter="0" pivotTables="0"/>
  <conditionalFormatting sqref="C4:C12">
    <cfRule type="expression" dxfId="2" priority="1">
      <formula>C4&gt;0</formula>
    </cfRule>
    <cfRule type="expression" dxfId="1" priority="2">
      <formula>C4=0</formula>
    </cfRule>
  </conditionalFormatting>
  <conditionalFormatting sqref="C13">
    <cfRule type="expression" dxfId="0" priority="19">
      <formula>C13&gt;0</formula>
    </cfRule>
  </conditionalFormatting>
  <pageMargins left="0.75" right="0.75" top="1" bottom="1" header="0.5" footer="0.5"/>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unka15"/>
  <dimension ref="A1:D209"/>
  <sheetViews>
    <sheetView showGridLines="0" workbookViewId="0">
      <pane ySplit="3" topLeftCell="A4" activePane="bottomLeft" state="frozen"/>
      <selection pane="bottomLeft"/>
    </sheetView>
  </sheetViews>
  <sheetFormatPr defaultRowHeight="14.4" x14ac:dyDescent="0.3"/>
  <cols>
    <col min="1" max="1" width="10" customWidth="1"/>
    <col min="2" max="2" width="16" customWidth="1"/>
    <col min="3" max="3" width="52" customWidth="1"/>
    <col min="4" max="4" width="60" customWidth="1"/>
  </cols>
  <sheetData>
    <row r="1" spans="1:4" ht="17.399999999999999" x14ac:dyDescent="0.3">
      <c r="A1" s="1" t="str">
        <f>IFERROR(INDEX(DICT_ACTIVE,MATCH("UI.SHEET.LISTS",DICT_KEY,0))&amp;"","??UI.SHEET.LISTS")</f>
        <v>Lists (validation sources)</v>
      </c>
    </row>
    <row r="3" spans="1:4" x14ac:dyDescent="0.3">
      <c r="A3" s="3" t="s">
        <v>1447</v>
      </c>
      <c r="B3" s="3" t="s">
        <v>1448</v>
      </c>
      <c r="C3" s="3" t="s">
        <v>1449</v>
      </c>
      <c r="D3" s="3" t="s">
        <v>1450</v>
      </c>
    </row>
    <row r="4" spans="1:4" x14ac:dyDescent="0.3">
      <c r="A4" s="14" t="s">
        <v>1451</v>
      </c>
      <c r="B4" s="14" t="s">
        <v>0</v>
      </c>
      <c r="C4" s="14" t="s">
        <v>0</v>
      </c>
      <c r="D4" s="14" t="s">
        <v>97</v>
      </c>
    </row>
    <row r="5" spans="1:4" x14ac:dyDescent="0.3">
      <c r="A5" s="14" t="s">
        <v>1451</v>
      </c>
      <c r="B5" s="14" t="s">
        <v>97</v>
      </c>
      <c r="C5" s="14" t="s">
        <v>0</v>
      </c>
      <c r="D5" s="14" t="s">
        <v>97</v>
      </c>
    </row>
    <row r="7" spans="1:4" x14ac:dyDescent="0.3">
      <c r="A7" s="14" t="s">
        <v>1398</v>
      </c>
      <c r="B7" s="14" t="s">
        <v>1452</v>
      </c>
      <c r="C7" s="14" t="s">
        <v>3</v>
      </c>
      <c r="D7" s="14" t="s">
        <v>1453</v>
      </c>
    </row>
    <row r="8" spans="1:4" x14ac:dyDescent="0.3">
      <c r="A8" s="14" t="s">
        <v>1398</v>
      </c>
      <c r="B8" s="14" t="s">
        <v>1454</v>
      </c>
      <c r="C8" s="14" t="s">
        <v>1455</v>
      </c>
      <c r="D8" s="14" t="s">
        <v>1456</v>
      </c>
    </row>
    <row r="10" spans="1:4" x14ac:dyDescent="0.3">
      <c r="A10" s="14" t="s">
        <v>1457</v>
      </c>
      <c r="B10" s="14" t="s">
        <v>4</v>
      </c>
      <c r="C10" s="14" t="s">
        <v>4</v>
      </c>
      <c r="D10" s="14" t="s">
        <v>1458</v>
      </c>
    </row>
    <row r="11" spans="1:4" x14ac:dyDescent="0.3">
      <c r="A11" s="14" t="s">
        <v>1457</v>
      </c>
      <c r="B11" s="14" t="s">
        <v>1330</v>
      </c>
      <c r="C11" s="14" t="s">
        <v>1330</v>
      </c>
      <c r="D11" s="14" t="s">
        <v>1459</v>
      </c>
    </row>
    <row r="13" spans="1:4" x14ac:dyDescent="0.3">
      <c r="A13" s="14" t="s">
        <v>1460</v>
      </c>
      <c r="B13" s="14" t="s">
        <v>353</v>
      </c>
      <c r="C13" s="14" t="s">
        <v>351</v>
      </c>
      <c r="D13" s="14" t="s">
        <v>352</v>
      </c>
    </row>
    <row r="14" spans="1:4" x14ac:dyDescent="0.3">
      <c r="A14" s="14" t="s">
        <v>1460</v>
      </c>
      <c r="B14" s="14" t="s">
        <v>510</v>
      </c>
      <c r="C14" s="14" t="s">
        <v>1335</v>
      </c>
      <c r="D14" s="14" t="s">
        <v>509</v>
      </c>
    </row>
    <row r="15" spans="1:4" x14ac:dyDescent="0.3">
      <c r="A15" s="14" t="s">
        <v>1460</v>
      </c>
      <c r="B15" s="14" t="s">
        <v>644</v>
      </c>
      <c r="C15" s="14" t="s">
        <v>693</v>
      </c>
      <c r="D15" s="14" t="s">
        <v>694</v>
      </c>
    </row>
    <row r="17" spans="1:4" x14ac:dyDescent="0.3">
      <c r="A17" s="14" t="s">
        <v>1461</v>
      </c>
      <c r="B17" s="14" t="s">
        <v>1396</v>
      </c>
      <c r="C17" s="14" t="s">
        <v>513</v>
      </c>
      <c r="D17" s="14" t="s">
        <v>514</v>
      </c>
    </row>
    <row r="18" spans="1:4" x14ac:dyDescent="0.3">
      <c r="A18" s="14" t="s">
        <v>1461</v>
      </c>
      <c r="B18" s="14" t="s">
        <v>1399</v>
      </c>
      <c r="C18" s="14" t="s">
        <v>516</v>
      </c>
      <c r="D18" s="14" t="s">
        <v>517</v>
      </c>
    </row>
    <row r="19" spans="1:4" x14ac:dyDescent="0.3">
      <c r="A19" s="14" t="s">
        <v>1461</v>
      </c>
      <c r="B19" s="14" t="s">
        <v>1400</v>
      </c>
      <c r="C19" s="14" t="s">
        <v>519</v>
      </c>
      <c r="D19" s="14" t="s">
        <v>520</v>
      </c>
    </row>
    <row r="20" spans="1:4" x14ac:dyDescent="0.3">
      <c r="A20" s="14" t="s">
        <v>1461</v>
      </c>
      <c r="B20" s="14" t="s">
        <v>1401</v>
      </c>
      <c r="C20" s="14" t="s">
        <v>522</v>
      </c>
      <c r="D20" s="14" t="s">
        <v>523</v>
      </c>
    </row>
    <row r="21" spans="1:4" x14ac:dyDescent="0.3">
      <c r="A21" s="14" t="s">
        <v>1461</v>
      </c>
      <c r="B21" s="14" t="s">
        <v>1402</v>
      </c>
      <c r="C21" s="14" t="s">
        <v>525</v>
      </c>
      <c r="D21" s="14" t="s">
        <v>526</v>
      </c>
    </row>
    <row r="23" spans="1:4" x14ac:dyDescent="0.3">
      <c r="A23" s="14" t="s">
        <v>1462</v>
      </c>
      <c r="B23" s="14" t="s">
        <v>1463</v>
      </c>
      <c r="C23" s="14" t="s">
        <v>1269</v>
      </c>
      <c r="D23" s="14" t="s">
        <v>1464</v>
      </c>
    </row>
    <row r="24" spans="1:4" x14ac:dyDescent="0.3">
      <c r="A24" s="14" t="s">
        <v>1462</v>
      </c>
      <c r="B24" s="14" t="s">
        <v>1399</v>
      </c>
      <c r="C24" s="14" t="s">
        <v>1376</v>
      </c>
      <c r="D24" s="14" t="s">
        <v>1465</v>
      </c>
    </row>
    <row r="25" spans="1:4" x14ac:dyDescent="0.3">
      <c r="A25" s="14" t="s">
        <v>1462</v>
      </c>
      <c r="B25" s="14" t="s">
        <v>1400</v>
      </c>
      <c r="C25" s="14" t="s">
        <v>1379</v>
      </c>
      <c r="D25" s="14" t="s">
        <v>1466</v>
      </c>
    </row>
    <row r="27" spans="1:4" x14ac:dyDescent="0.3">
      <c r="A27" s="14" t="s">
        <v>1467</v>
      </c>
      <c r="B27" s="14" t="s">
        <v>1468</v>
      </c>
      <c r="C27" s="14" t="s">
        <v>16</v>
      </c>
      <c r="D27" s="14" t="s">
        <v>17</v>
      </c>
    </row>
    <row r="28" spans="1:4" x14ac:dyDescent="0.3">
      <c r="A28" s="14" t="s">
        <v>1467</v>
      </c>
      <c r="B28" s="14" t="s">
        <v>1469</v>
      </c>
      <c r="C28" s="14" t="s">
        <v>19</v>
      </c>
      <c r="D28" s="14" t="s">
        <v>20</v>
      </c>
    </row>
    <row r="29" spans="1:4" x14ac:dyDescent="0.3">
      <c r="A29" s="14" t="s">
        <v>1467</v>
      </c>
      <c r="B29" s="14" t="s">
        <v>1396</v>
      </c>
      <c r="C29" s="14" t="s">
        <v>22</v>
      </c>
      <c r="D29" s="14" t="s">
        <v>23</v>
      </c>
    </row>
    <row r="31" spans="1:4" x14ac:dyDescent="0.3">
      <c r="A31" s="14" t="s">
        <v>1470</v>
      </c>
      <c r="B31" s="14" t="s">
        <v>1391</v>
      </c>
      <c r="C31" s="14" t="s">
        <v>359</v>
      </c>
      <c r="D31" s="14" t="s">
        <v>360</v>
      </c>
    </row>
    <row r="32" spans="1:4" x14ac:dyDescent="0.3">
      <c r="A32" s="14" t="s">
        <v>1470</v>
      </c>
      <c r="B32" s="14" t="s">
        <v>1392</v>
      </c>
      <c r="C32" s="14" t="s">
        <v>394</v>
      </c>
      <c r="D32" s="14" t="s">
        <v>395</v>
      </c>
    </row>
    <row r="33" spans="1:4" x14ac:dyDescent="0.3">
      <c r="A33" s="14" t="s">
        <v>1470</v>
      </c>
      <c r="B33" s="14" t="s">
        <v>1393</v>
      </c>
      <c r="C33" s="14" t="s">
        <v>430</v>
      </c>
      <c r="D33" s="14" t="s">
        <v>431</v>
      </c>
    </row>
    <row r="34" spans="1:4" x14ac:dyDescent="0.3">
      <c r="A34" s="14" t="s">
        <v>1470</v>
      </c>
      <c r="B34" s="14" t="s">
        <v>1394</v>
      </c>
      <c r="C34" s="14" t="s">
        <v>448</v>
      </c>
      <c r="D34" s="14" t="s">
        <v>449</v>
      </c>
    </row>
    <row r="35" spans="1:4" x14ac:dyDescent="0.3">
      <c r="A35" s="14" t="s">
        <v>1470</v>
      </c>
      <c r="B35" s="14" t="s">
        <v>1395</v>
      </c>
      <c r="C35" s="14" t="s">
        <v>472</v>
      </c>
      <c r="D35" s="14" t="s">
        <v>473</v>
      </c>
    </row>
    <row r="37" spans="1:4" x14ac:dyDescent="0.3">
      <c r="A37" s="14" t="s">
        <v>1471</v>
      </c>
      <c r="B37" s="14" t="s">
        <v>1397</v>
      </c>
      <c r="C37" s="14" t="s">
        <v>1472</v>
      </c>
      <c r="D37" s="14" t="s">
        <v>1473</v>
      </c>
    </row>
    <row r="38" spans="1:4" x14ac:dyDescent="0.3">
      <c r="A38" s="14" t="s">
        <v>1471</v>
      </c>
      <c r="B38" s="14" t="s">
        <v>1398</v>
      </c>
      <c r="C38" s="14" t="s">
        <v>1474</v>
      </c>
      <c r="D38" s="14" t="s">
        <v>1475</v>
      </c>
    </row>
    <row r="40" spans="1:4" x14ac:dyDescent="0.3">
      <c r="A40" s="14" t="s">
        <v>1476</v>
      </c>
      <c r="B40" s="14" t="s">
        <v>1403</v>
      </c>
      <c r="C40" s="14" t="s">
        <v>439</v>
      </c>
      <c r="D40" s="14" t="s">
        <v>440</v>
      </c>
    </row>
    <row r="41" spans="1:4" x14ac:dyDescent="0.3">
      <c r="A41" s="14" t="s">
        <v>1476</v>
      </c>
      <c r="B41" s="14" t="s">
        <v>1404</v>
      </c>
      <c r="C41" s="14" t="s">
        <v>442</v>
      </c>
      <c r="D41" s="14" t="s">
        <v>443</v>
      </c>
    </row>
    <row r="43" spans="1:4" x14ac:dyDescent="0.3">
      <c r="A43" s="14" t="s">
        <v>686</v>
      </c>
      <c r="B43" s="14" t="s">
        <v>1477</v>
      </c>
      <c r="C43" s="14" t="s">
        <v>433</v>
      </c>
      <c r="D43" s="14" t="s">
        <v>434</v>
      </c>
    </row>
    <row r="44" spans="1:4" x14ac:dyDescent="0.3">
      <c r="A44" s="14" t="s">
        <v>686</v>
      </c>
      <c r="B44" s="14" t="s">
        <v>1478</v>
      </c>
      <c r="C44" s="14" t="s">
        <v>436</v>
      </c>
      <c r="D44" s="14" t="s">
        <v>437</v>
      </c>
    </row>
    <row r="45" spans="1:4" x14ac:dyDescent="0.3">
      <c r="A45" s="14" t="s">
        <v>686</v>
      </c>
      <c r="B45" s="14" t="s">
        <v>1403</v>
      </c>
      <c r="C45" s="14" t="s">
        <v>439</v>
      </c>
      <c r="D45" s="14" t="s">
        <v>440</v>
      </c>
    </row>
    <row r="46" spans="1:4" x14ac:dyDescent="0.3">
      <c r="A46" s="14" t="s">
        <v>686</v>
      </c>
      <c r="B46" s="14" t="s">
        <v>1404</v>
      </c>
      <c r="C46" s="14" t="s">
        <v>442</v>
      </c>
      <c r="D46" s="14" t="s">
        <v>443</v>
      </c>
    </row>
    <row r="48" spans="1:4" x14ac:dyDescent="0.3">
      <c r="A48" s="14" t="s">
        <v>716</v>
      </c>
      <c r="B48" s="14" t="s">
        <v>1463</v>
      </c>
      <c r="C48" s="14" t="s">
        <v>1336</v>
      </c>
      <c r="D48" s="14" t="s">
        <v>1479</v>
      </c>
    </row>
    <row r="49" spans="1:4" x14ac:dyDescent="0.3">
      <c r="A49" s="14" t="s">
        <v>716</v>
      </c>
      <c r="B49" s="14" t="s">
        <v>1405</v>
      </c>
      <c r="C49" s="14" t="s">
        <v>1356</v>
      </c>
      <c r="D49" s="14" t="s">
        <v>1355</v>
      </c>
    </row>
    <row r="50" spans="1:4" x14ac:dyDescent="0.3">
      <c r="A50" s="14" t="s">
        <v>716</v>
      </c>
      <c r="B50" s="14" t="s">
        <v>1406</v>
      </c>
      <c r="C50" s="14" t="s">
        <v>1359</v>
      </c>
      <c r="D50" s="14" t="s">
        <v>1358</v>
      </c>
    </row>
    <row r="51" spans="1:4" x14ac:dyDescent="0.3">
      <c r="A51" s="14" t="s">
        <v>716</v>
      </c>
      <c r="B51" s="14" t="s">
        <v>1407</v>
      </c>
      <c r="C51" s="14" t="s">
        <v>1362</v>
      </c>
      <c r="D51" s="14" t="s">
        <v>1361</v>
      </c>
    </row>
    <row r="52" spans="1:4" x14ac:dyDescent="0.3">
      <c r="A52" s="14" t="s">
        <v>716</v>
      </c>
      <c r="B52" s="14" t="s">
        <v>1408</v>
      </c>
      <c r="C52" s="14" t="s">
        <v>1480</v>
      </c>
      <c r="D52" s="14" t="s">
        <v>1481</v>
      </c>
    </row>
    <row r="53" spans="1:4" x14ac:dyDescent="0.3">
      <c r="A53" s="14" t="s">
        <v>716</v>
      </c>
      <c r="B53" s="14" t="s">
        <v>1409</v>
      </c>
      <c r="C53" s="14" t="s">
        <v>1367</v>
      </c>
      <c r="D53" s="14" t="s">
        <v>1482</v>
      </c>
    </row>
    <row r="54" spans="1:4" x14ac:dyDescent="0.3">
      <c r="A54" s="14" t="s">
        <v>716</v>
      </c>
      <c r="B54" s="14" t="s">
        <v>1410</v>
      </c>
      <c r="C54" s="14" t="s">
        <v>1483</v>
      </c>
      <c r="D54" s="14" t="s">
        <v>1484</v>
      </c>
    </row>
    <row r="55" spans="1:4" x14ac:dyDescent="0.3">
      <c r="A55" s="14" t="s">
        <v>716</v>
      </c>
      <c r="B55" s="14" t="s">
        <v>1411</v>
      </c>
      <c r="C55" s="14" t="s">
        <v>1485</v>
      </c>
      <c r="D55" s="14" t="s">
        <v>1486</v>
      </c>
    </row>
    <row r="56" spans="1:4" x14ac:dyDescent="0.3">
      <c r="A56" s="14" t="s">
        <v>716</v>
      </c>
      <c r="B56" s="14" t="s">
        <v>1412</v>
      </c>
      <c r="C56" s="14" t="s">
        <v>1365</v>
      </c>
      <c r="D56" s="14" t="s">
        <v>1487</v>
      </c>
    </row>
    <row r="57" spans="1:4" x14ac:dyDescent="0.3">
      <c r="A57" s="14" t="s">
        <v>716</v>
      </c>
      <c r="B57" s="14" t="s">
        <v>1413</v>
      </c>
      <c r="C57" s="14" t="s">
        <v>1488</v>
      </c>
      <c r="D57" s="14" t="s">
        <v>1489</v>
      </c>
    </row>
    <row r="58" spans="1:4" x14ac:dyDescent="0.3">
      <c r="A58" s="14" t="s">
        <v>716</v>
      </c>
      <c r="B58" s="14" t="s">
        <v>1414</v>
      </c>
      <c r="C58" s="14" t="s">
        <v>1343</v>
      </c>
      <c r="D58" s="14" t="s">
        <v>1490</v>
      </c>
    </row>
    <row r="59" spans="1:4" x14ac:dyDescent="0.3">
      <c r="A59" s="14" t="s">
        <v>716</v>
      </c>
      <c r="B59" s="14" t="s">
        <v>1415</v>
      </c>
      <c r="C59" s="14" t="s">
        <v>1491</v>
      </c>
      <c r="D59" s="14" t="s">
        <v>1492</v>
      </c>
    </row>
    <row r="60" spans="1:4" x14ac:dyDescent="0.3">
      <c r="A60" s="14" t="s">
        <v>716</v>
      </c>
      <c r="B60" s="14" t="s">
        <v>1416</v>
      </c>
      <c r="C60" s="14" t="s">
        <v>1287</v>
      </c>
      <c r="D60" s="14" t="s">
        <v>1493</v>
      </c>
    </row>
    <row r="61" spans="1:4" x14ac:dyDescent="0.3">
      <c r="A61" s="14" t="s">
        <v>716</v>
      </c>
      <c r="B61" s="14" t="s">
        <v>1417</v>
      </c>
      <c r="C61" s="14" t="s">
        <v>1289</v>
      </c>
      <c r="D61" s="14" t="s">
        <v>1494</v>
      </c>
    </row>
    <row r="62" spans="1:4" x14ac:dyDescent="0.3">
      <c r="A62" s="14" t="s">
        <v>716</v>
      </c>
      <c r="B62" s="14" t="s">
        <v>1418</v>
      </c>
      <c r="C62" s="14" t="s">
        <v>1291</v>
      </c>
      <c r="D62" s="14" t="s">
        <v>1495</v>
      </c>
    </row>
    <row r="63" spans="1:4" x14ac:dyDescent="0.3">
      <c r="A63" s="14" t="s">
        <v>716</v>
      </c>
      <c r="B63" s="14" t="s">
        <v>1419</v>
      </c>
      <c r="C63" s="14" t="s">
        <v>1496</v>
      </c>
      <c r="D63" s="14" t="s">
        <v>1497</v>
      </c>
    </row>
    <row r="64" spans="1:4" x14ac:dyDescent="0.3">
      <c r="A64" s="14" t="s">
        <v>716</v>
      </c>
      <c r="B64" s="14" t="s">
        <v>1420</v>
      </c>
      <c r="C64" s="14" t="s">
        <v>1297</v>
      </c>
      <c r="D64" s="14" t="s">
        <v>1498</v>
      </c>
    </row>
    <row r="65" spans="1:4" x14ac:dyDescent="0.3">
      <c r="A65" s="14" t="s">
        <v>716</v>
      </c>
      <c r="B65" s="14" t="s">
        <v>1421</v>
      </c>
      <c r="C65" s="14" t="s">
        <v>1324</v>
      </c>
      <c r="D65" s="14" t="s">
        <v>1499</v>
      </c>
    </row>
    <row r="66" spans="1:4" x14ac:dyDescent="0.3">
      <c r="A66" s="14" t="s">
        <v>716</v>
      </c>
      <c r="B66" s="14" t="s">
        <v>1422</v>
      </c>
      <c r="C66" s="14" t="s">
        <v>1500</v>
      </c>
      <c r="D66" s="14" t="s">
        <v>1501</v>
      </c>
    </row>
    <row r="67" spans="1:4" x14ac:dyDescent="0.3">
      <c r="A67" s="14" t="s">
        <v>716</v>
      </c>
      <c r="B67" s="14" t="s">
        <v>1423</v>
      </c>
      <c r="C67" s="14" t="s">
        <v>1329</v>
      </c>
      <c r="D67" s="14" t="s">
        <v>1502</v>
      </c>
    </row>
    <row r="68" spans="1:4" x14ac:dyDescent="0.3">
      <c r="A68" s="14" t="s">
        <v>716</v>
      </c>
      <c r="B68" s="14" t="s">
        <v>1424</v>
      </c>
      <c r="C68" s="14" t="s">
        <v>1312</v>
      </c>
      <c r="D68" s="14" t="s">
        <v>1503</v>
      </c>
    </row>
    <row r="69" spans="1:4" x14ac:dyDescent="0.3">
      <c r="A69" s="14" t="s">
        <v>716</v>
      </c>
      <c r="B69" s="14" t="s">
        <v>1425</v>
      </c>
      <c r="C69" s="14" t="s">
        <v>1294</v>
      </c>
      <c r="D69" s="14" t="s">
        <v>1504</v>
      </c>
    </row>
    <row r="70" spans="1:4" x14ac:dyDescent="0.3">
      <c r="A70" s="14" t="s">
        <v>716</v>
      </c>
      <c r="B70" s="14" t="s">
        <v>1426</v>
      </c>
      <c r="C70" s="14" t="s">
        <v>1285</v>
      </c>
      <c r="D70" s="14" t="s">
        <v>1505</v>
      </c>
    </row>
    <row r="71" spans="1:4" x14ac:dyDescent="0.3">
      <c r="A71" s="14" t="s">
        <v>716</v>
      </c>
      <c r="B71" s="14" t="s">
        <v>1427</v>
      </c>
      <c r="C71" s="14" t="s">
        <v>1275</v>
      </c>
      <c r="D71" s="14" t="s">
        <v>1506</v>
      </c>
    </row>
    <row r="72" spans="1:4" x14ac:dyDescent="0.3">
      <c r="A72" s="14" t="s">
        <v>716</v>
      </c>
      <c r="B72" s="14" t="s">
        <v>1428</v>
      </c>
      <c r="C72" s="14" t="s">
        <v>1270</v>
      </c>
      <c r="D72" s="14" t="s">
        <v>1507</v>
      </c>
    </row>
    <row r="73" spans="1:4" x14ac:dyDescent="0.3">
      <c r="A73" s="14" t="s">
        <v>716</v>
      </c>
      <c r="B73" s="14" t="s">
        <v>1429</v>
      </c>
      <c r="C73" s="14" t="s">
        <v>1508</v>
      </c>
      <c r="D73" s="14" t="s">
        <v>1509</v>
      </c>
    </row>
    <row r="74" spans="1:4" x14ac:dyDescent="0.3">
      <c r="A74" s="14" t="s">
        <v>716</v>
      </c>
      <c r="B74" s="14" t="s">
        <v>1430</v>
      </c>
      <c r="C74" s="14" t="s">
        <v>1510</v>
      </c>
      <c r="D74" s="14" t="s">
        <v>1511</v>
      </c>
    </row>
    <row r="75" spans="1:4" x14ac:dyDescent="0.3">
      <c r="A75" s="14" t="s">
        <v>716</v>
      </c>
      <c r="B75" s="14" t="s">
        <v>1431</v>
      </c>
      <c r="C75" s="14" t="s">
        <v>1282</v>
      </c>
      <c r="D75" s="14" t="s">
        <v>1512</v>
      </c>
    </row>
    <row r="76" spans="1:4" x14ac:dyDescent="0.3">
      <c r="A76" s="14" t="s">
        <v>716</v>
      </c>
      <c r="B76" s="14" t="s">
        <v>1432</v>
      </c>
      <c r="C76" s="14" t="s">
        <v>1315</v>
      </c>
      <c r="D76" s="14" t="s">
        <v>1513</v>
      </c>
    </row>
    <row r="77" spans="1:4" x14ac:dyDescent="0.3">
      <c r="A77" s="14" t="s">
        <v>716</v>
      </c>
      <c r="B77" s="14" t="s">
        <v>1433</v>
      </c>
      <c r="C77" s="14" t="s">
        <v>1317</v>
      </c>
      <c r="D77" s="14" t="s">
        <v>1514</v>
      </c>
    </row>
    <row r="78" spans="1:4" x14ac:dyDescent="0.3">
      <c r="A78" s="14" t="s">
        <v>716</v>
      </c>
      <c r="B78" s="14" t="s">
        <v>1434</v>
      </c>
      <c r="C78" s="14" t="s">
        <v>801</v>
      </c>
      <c r="D78" s="14" t="s">
        <v>802</v>
      </c>
    </row>
    <row r="79" spans="1:4" x14ac:dyDescent="0.3">
      <c r="A79" s="14" t="s">
        <v>716</v>
      </c>
      <c r="B79" s="14" t="s">
        <v>1435</v>
      </c>
      <c r="C79" s="14" t="s">
        <v>1515</v>
      </c>
      <c r="D79" s="14" t="s">
        <v>1516</v>
      </c>
    </row>
    <row r="80" spans="1:4" x14ac:dyDescent="0.3">
      <c r="A80" s="14" t="s">
        <v>716</v>
      </c>
      <c r="B80" s="14" t="s">
        <v>1436</v>
      </c>
      <c r="C80" s="14" t="s">
        <v>1517</v>
      </c>
      <c r="D80" s="14" t="s">
        <v>1518</v>
      </c>
    </row>
    <row r="81" spans="1:4" x14ac:dyDescent="0.3">
      <c r="A81" s="14" t="s">
        <v>716</v>
      </c>
      <c r="B81" s="14" t="s">
        <v>1437</v>
      </c>
      <c r="C81" s="14" t="s">
        <v>819</v>
      </c>
      <c r="D81" s="14" t="s">
        <v>820</v>
      </c>
    </row>
    <row r="82" spans="1:4" x14ac:dyDescent="0.3">
      <c r="A82" s="14" t="s">
        <v>716</v>
      </c>
      <c r="B82" s="14" t="s">
        <v>1438</v>
      </c>
      <c r="C82" s="14" t="s">
        <v>804</v>
      </c>
      <c r="D82" s="14" t="s">
        <v>805</v>
      </c>
    </row>
    <row r="83" spans="1:4" x14ac:dyDescent="0.3">
      <c r="A83" s="14" t="s">
        <v>716</v>
      </c>
      <c r="B83" s="14" t="s">
        <v>1393</v>
      </c>
      <c r="C83" s="14" t="s">
        <v>430</v>
      </c>
      <c r="D83" s="14" t="s">
        <v>431</v>
      </c>
    </row>
    <row r="84" spans="1:4" x14ac:dyDescent="0.3">
      <c r="A84" s="14" t="s">
        <v>716</v>
      </c>
      <c r="B84" s="14" t="s">
        <v>1439</v>
      </c>
      <c r="C84" s="14" t="s">
        <v>415</v>
      </c>
      <c r="D84" s="14" t="s">
        <v>1519</v>
      </c>
    </row>
    <row r="85" spans="1:4" x14ac:dyDescent="0.3">
      <c r="A85" s="14" t="s">
        <v>716</v>
      </c>
      <c r="B85" s="14" t="s">
        <v>1440</v>
      </c>
      <c r="C85" s="14" t="s">
        <v>1309</v>
      </c>
      <c r="D85" s="14" t="s">
        <v>1520</v>
      </c>
    </row>
    <row r="87" spans="1:4" x14ac:dyDescent="0.3">
      <c r="A87" s="14" t="s">
        <v>1521</v>
      </c>
      <c r="B87" s="14" t="s">
        <v>1522</v>
      </c>
      <c r="C87" s="14" t="s">
        <v>579</v>
      </c>
      <c r="D87" s="14" t="s">
        <v>580</v>
      </c>
    </row>
    <row r="88" spans="1:4" x14ac:dyDescent="0.3">
      <c r="A88" s="14" t="s">
        <v>1521</v>
      </c>
      <c r="B88" s="14" t="s">
        <v>1523</v>
      </c>
      <c r="C88" s="14" t="s">
        <v>1524</v>
      </c>
      <c r="D88" s="14" t="s">
        <v>598</v>
      </c>
    </row>
    <row r="89" spans="1:4" x14ac:dyDescent="0.3">
      <c r="A89" s="14" t="s">
        <v>1521</v>
      </c>
      <c r="B89" s="14" t="s">
        <v>1525</v>
      </c>
      <c r="C89" s="14" t="s">
        <v>1526</v>
      </c>
      <c r="D89" s="14" t="s">
        <v>619</v>
      </c>
    </row>
    <row r="90" spans="1:4" x14ac:dyDescent="0.3">
      <c r="A90" s="14" t="s">
        <v>1521</v>
      </c>
      <c r="B90" s="14" t="s">
        <v>1527</v>
      </c>
      <c r="C90" s="14" t="s">
        <v>1335</v>
      </c>
      <c r="D90" s="14" t="s">
        <v>1528</v>
      </c>
    </row>
    <row r="91" spans="1:4" x14ac:dyDescent="0.3">
      <c r="A91" s="14" t="s">
        <v>1521</v>
      </c>
      <c r="B91" s="14" t="s">
        <v>1529</v>
      </c>
      <c r="C91" s="14" t="s">
        <v>636</v>
      </c>
      <c r="D91" s="14" t="s">
        <v>637</v>
      </c>
    </row>
    <row r="93" spans="1:4" x14ac:dyDescent="0.3">
      <c r="A93" s="14" t="s">
        <v>1530</v>
      </c>
      <c r="B93" s="14" t="s">
        <v>1531</v>
      </c>
      <c r="C93" s="14" t="s">
        <v>1532</v>
      </c>
      <c r="D93" s="14" t="s">
        <v>1533</v>
      </c>
    </row>
    <row r="94" spans="1:4" x14ac:dyDescent="0.3">
      <c r="A94" s="14" t="s">
        <v>1530</v>
      </c>
      <c r="B94" s="14" t="s">
        <v>1534</v>
      </c>
      <c r="C94" s="14" t="s">
        <v>1535</v>
      </c>
      <c r="D94" s="14" t="s">
        <v>140</v>
      </c>
    </row>
    <row r="95" spans="1:4" x14ac:dyDescent="0.3">
      <c r="A95" s="14" t="s">
        <v>1530</v>
      </c>
      <c r="B95" s="14" t="s">
        <v>1536</v>
      </c>
      <c r="C95" s="14" t="s">
        <v>1537</v>
      </c>
      <c r="D95" s="14" t="s">
        <v>143</v>
      </c>
    </row>
    <row r="97" spans="1:4" x14ac:dyDescent="0.3">
      <c r="A97" s="14" t="s">
        <v>1538</v>
      </c>
      <c r="B97" s="14" t="s">
        <v>1539</v>
      </c>
      <c r="C97" s="14" t="s">
        <v>1540</v>
      </c>
      <c r="D97" s="14" t="s">
        <v>1539</v>
      </c>
    </row>
    <row r="98" spans="1:4" x14ac:dyDescent="0.3">
      <c r="A98" s="14" t="s">
        <v>1538</v>
      </c>
      <c r="B98" s="14" t="s">
        <v>1541</v>
      </c>
      <c r="C98" s="14" t="s">
        <v>1542</v>
      </c>
      <c r="D98" s="14" t="s">
        <v>1541</v>
      </c>
    </row>
    <row r="99" spans="1:4" x14ac:dyDescent="0.3">
      <c r="A99" s="14" t="s">
        <v>1538</v>
      </c>
      <c r="B99" s="14" t="s">
        <v>140</v>
      </c>
      <c r="C99" s="14" t="s">
        <v>1543</v>
      </c>
      <c r="D99" s="14" t="s">
        <v>140</v>
      </c>
    </row>
    <row r="100" spans="1:4" x14ac:dyDescent="0.3">
      <c r="A100" s="14" t="s">
        <v>1538</v>
      </c>
      <c r="B100" s="14" t="s">
        <v>143</v>
      </c>
      <c r="C100" s="14" t="s">
        <v>1544</v>
      </c>
      <c r="D100" s="14" t="s">
        <v>143</v>
      </c>
    </row>
    <row r="102" spans="1:4" x14ac:dyDescent="0.3">
      <c r="A102" s="14" t="s">
        <v>1545</v>
      </c>
      <c r="B102" s="14" t="s">
        <v>1546</v>
      </c>
      <c r="C102" s="14" t="s">
        <v>1547</v>
      </c>
      <c r="D102" s="14" t="s">
        <v>1546</v>
      </c>
    </row>
    <row r="103" spans="1:4" x14ac:dyDescent="0.3">
      <c r="A103" s="14" t="s">
        <v>1545</v>
      </c>
      <c r="B103" s="14" t="s">
        <v>1548</v>
      </c>
      <c r="C103" s="14" t="s">
        <v>1549</v>
      </c>
      <c r="D103" s="14" t="s">
        <v>1548</v>
      </c>
    </row>
    <row r="104" spans="1:4" x14ac:dyDescent="0.3">
      <c r="A104" s="14" t="s">
        <v>1545</v>
      </c>
      <c r="B104" s="14" t="s">
        <v>1550</v>
      </c>
      <c r="C104" s="14" t="s">
        <v>1551</v>
      </c>
      <c r="D104" s="14" t="s">
        <v>1550</v>
      </c>
    </row>
    <row r="105" spans="1:4" x14ac:dyDescent="0.3">
      <c r="A105" s="14" t="s">
        <v>1545</v>
      </c>
      <c r="B105" s="14" t="s">
        <v>1552</v>
      </c>
      <c r="C105" s="14" t="s">
        <v>1553</v>
      </c>
      <c r="D105" s="14" t="s">
        <v>1552</v>
      </c>
    </row>
    <row r="106" spans="1:4" x14ac:dyDescent="0.3">
      <c r="A106" s="14" t="s">
        <v>1545</v>
      </c>
      <c r="B106" s="14" t="s">
        <v>1554</v>
      </c>
      <c r="C106" s="14" t="s">
        <v>1555</v>
      </c>
      <c r="D106" s="14" t="s">
        <v>1554</v>
      </c>
    </row>
    <row r="108" spans="1:4" x14ac:dyDescent="0.3">
      <c r="A108" s="14" t="s">
        <v>1556</v>
      </c>
      <c r="B108" s="14" t="s">
        <v>1557</v>
      </c>
      <c r="C108" s="14" t="s">
        <v>1558</v>
      </c>
      <c r="D108" s="14" t="s">
        <v>1557</v>
      </c>
    </row>
    <row r="109" spans="1:4" x14ac:dyDescent="0.3">
      <c r="A109" s="14" t="s">
        <v>1556</v>
      </c>
      <c r="B109" s="14" t="s">
        <v>1559</v>
      </c>
      <c r="C109" s="14" t="s">
        <v>1560</v>
      </c>
      <c r="D109" s="14" t="s">
        <v>1559</v>
      </c>
    </row>
    <row r="110" spans="1:4" x14ac:dyDescent="0.3">
      <c r="A110" s="14" t="s">
        <v>1556</v>
      </c>
      <c r="B110" s="14" t="s">
        <v>1561</v>
      </c>
      <c r="C110" s="14" t="s">
        <v>1562</v>
      </c>
      <c r="D110" s="14" t="s">
        <v>1561</v>
      </c>
    </row>
    <row r="111" spans="1:4" x14ac:dyDescent="0.3">
      <c r="A111" s="14" t="s">
        <v>1556</v>
      </c>
      <c r="B111" s="14" t="s">
        <v>1563</v>
      </c>
      <c r="C111" s="14" t="s">
        <v>1564</v>
      </c>
      <c r="D111" s="14" t="s">
        <v>1563</v>
      </c>
    </row>
    <row r="112" spans="1:4" x14ac:dyDescent="0.3">
      <c r="A112" s="14" t="s">
        <v>1556</v>
      </c>
      <c r="B112" s="14" t="s">
        <v>1565</v>
      </c>
      <c r="C112" s="14" t="s">
        <v>1566</v>
      </c>
      <c r="D112" s="14" t="s">
        <v>1565</v>
      </c>
    </row>
    <row r="114" spans="1:4" x14ac:dyDescent="0.3">
      <c r="A114" s="14" t="s">
        <v>1567</v>
      </c>
      <c r="B114" s="14" t="s">
        <v>1568</v>
      </c>
      <c r="C114" s="14" t="s">
        <v>1569</v>
      </c>
      <c r="D114" s="14" t="s">
        <v>1568</v>
      </c>
    </row>
    <row r="116" spans="1:4" x14ac:dyDescent="0.3">
      <c r="A116" s="14" t="s">
        <v>1570</v>
      </c>
      <c r="B116" s="14" t="s">
        <v>1571</v>
      </c>
      <c r="C116" s="14" t="s">
        <v>1572</v>
      </c>
      <c r="D116" s="14" t="s">
        <v>1571</v>
      </c>
    </row>
    <row r="118" spans="1:4" x14ac:dyDescent="0.3">
      <c r="A118" s="14" t="s">
        <v>1573</v>
      </c>
      <c r="B118" s="14" t="s">
        <v>1574</v>
      </c>
      <c r="C118" s="14" t="s">
        <v>1575</v>
      </c>
      <c r="D118" s="14" t="s">
        <v>1574</v>
      </c>
    </row>
    <row r="120" spans="1:4" x14ac:dyDescent="0.3">
      <c r="A120" s="14" t="s">
        <v>1576</v>
      </c>
      <c r="B120" s="14" t="s">
        <v>1479</v>
      </c>
      <c r="C120" s="14" t="s">
        <v>1336</v>
      </c>
      <c r="D120" s="14" t="s">
        <v>1479</v>
      </c>
    </row>
    <row r="122" spans="1:4" x14ac:dyDescent="0.3">
      <c r="A122" s="14" t="s">
        <v>1577</v>
      </c>
      <c r="B122" s="14" t="s">
        <v>361</v>
      </c>
      <c r="C122" s="14" t="str">
        <f t="shared" ref="C122:C153" si="0">IFERROR(INDEX(DICT_EN,MATCH(B122,DICT_KEY,0))&amp;"","")</f>
        <v>Property, plant and equipment</v>
      </c>
      <c r="D122" s="14" t="str">
        <f t="shared" ref="D122:D153" si="1">IFERROR(INDEX(DICT_HU,MATCH(B122,DICT_KEY,0))&amp;"","")</f>
        <v>Ingatlanok, gépek és berendezések</v>
      </c>
    </row>
    <row r="123" spans="1:4" x14ac:dyDescent="0.3">
      <c r="A123" s="14" t="s">
        <v>1577</v>
      </c>
      <c r="B123" s="14" t="s">
        <v>364</v>
      </c>
      <c r="C123" s="14" t="str">
        <f t="shared" si="0"/>
        <v>Right-of-use assets</v>
      </c>
      <c r="D123" s="14" t="str">
        <f t="shared" si="1"/>
        <v>Használatijog-eszközök</v>
      </c>
    </row>
    <row r="124" spans="1:4" x14ac:dyDescent="0.3">
      <c r="A124" s="14" t="s">
        <v>1577</v>
      </c>
      <c r="B124" s="14" t="s">
        <v>367</v>
      </c>
      <c r="C124" s="14" t="str">
        <f t="shared" si="0"/>
        <v>Investment property</v>
      </c>
      <c r="D124" s="14" t="str">
        <f t="shared" si="1"/>
        <v>Befektetési célú ingatlan</v>
      </c>
    </row>
    <row r="125" spans="1:4" x14ac:dyDescent="0.3">
      <c r="A125" s="14" t="s">
        <v>1577</v>
      </c>
      <c r="B125" s="14" t="s">
        <v>370</v>
      </c>
      <c r="C125" s="14" t="str">
        <f t="shared" si="0"/>
        <v>Intangible assets</v>
      </c>
      <c r="D125" s="14" t="str">
        <f t="shared" si="1"/>
        <v>Immateriális javak</v>
      </c>
    </row>
    <row r="126" spans="1:4" x14ac:dyDescent="0.3">
      <c r="A126" s="14" t="s">
        <v>1577</v>
      </c>
      <c r="B126" s="14" t="s">
        <v>373</v>
      </c>
      <c r="C126" s="14" t="str">
        <f t="shared" si="0"/>
        <v>Goodwill</v>
      </c>
      <c r="D126" s="14" t="str">
        <f t="shared" si="1"/>
        <v>Goodwill</v>
      </c>
    </row>
    <row r="127" spans="1:4" x14ac:dyDescent="0.3">
      <c r="A127" s="14" t="s">
        <v>1577</v>
      </c>
      <c r="B127" s="14" t="s">
        <v>375</v>
      </c>
      <c r="C127" s="14" t="str">
        <f t="shared" si="0"/>
        <v>Investments accounted for using the equity method</v>
      </c>
      <c r="D127" s="14" t="str">
        <f t="shared" si="1"/>
        <v>Tőkemódszerrel elszámolt befektetések</v>
      </c>
    </row>
    <row r="128" spans="1:4" x14ac:dyDescent="0.3">
      <c r="A128" s="14" t="s">
        <v>1577</v>
      </c>
      <c r="B128" s="14" t="s">
        <v>378</v>
      </c>
      <c r="C128" s="14" t="str">
        <f t="shared" si="0"/>
        <v>Non-current financial assets</v>
      </c>
      <c r="D128" s="14" t="str">
        <f t="shared" si="1"/>
        <v>Befektetett pénzügyi eszközök</v>
      </c>
    </row>
    <row r="129" spans="1:4" x14ac:dyDescent="0.3">
      <c r="A129" s="14" t="s">
        <v>1577</v>
      </c>
      <c r="B129" s="14" t="s">
        <v>381</v>
      </c>
      <c r="C129" s="14" t="str">
        <f t="shared" si="0"/>
        <v>Deferred tax assets</v>
      </c>
      <c r="D129" s="14" t="str">
        <f t="shared" si="1"/>
        <v>Halasztott adókövetelések</v>
      </c>
    </row>
    <row r="130" spans="1:4" x14ac:dyDescent="0.3">
      <c r="A130" s="14" t="s">
        <v>1577</v>
      </c>
      <c r="B130" s="14" t="s">
        <v>384</v>
      </c>
      <c r="C130" s="14" t="str">
        <f t="shared" si="0"/>
        <v>Non-current receivables</v>
      </c>
      <c r="D130" s="14" t="str">
        <f t="shared" si="1"/>
        <v>Hosszú lejáratú követelések</v>
      </c>
    </row>
    <row r="131" spans="1:4" x14ac:dyDescent="0.3">
      <c r="A131" s="14" t="s">
        <v>1577</v>
      </c>
      <c r="B131" s="14" t="s">
        <v>387</v>
      </c>
      <c r="C131" s="14" t="str">
        <f t="shared" si="0"/>
        <v>Other non-current assets</v>
      </c>
      <c r="D131" s="14" t="str">
        <f t="shared" si="1"/>
        <v>Egyéb befektetett eszközök</v>
      </c>
    </row>
    <row r="132" spans="1:4" x14ac:dyDescent="0.3">
      <c r="A132" s="14" t="s">
        <v>1577</v>
      </c>
      <c r="B132" s="14" t="s">
        <v>396</v>
      </c>
      <c r="C132" s="14" t="str">
        <f t="shared" si="0"/>
        <v>Inventories</v>
      </c>
      <c r="D132" s="14" t="str">
        <f t="shared" si="1"/>
        <v>Készletek</v>
      </c>
    </row>
    <row r="133" spans="1:4" x14ac:dyDescent="0.3">
      <c r="A133" s="14" t="s">
        <v>1577</v>
      </c>
      <c r="B133" s="14" t="s">
        <v>399</v>
      </c>
      <c r="C133" s="14" t="str">
        <f t="shared" si="0"/>
        <v>Trade receivables</v>
      </c>
      <c r="D133" s="14" t="str">
        <f t="shared" si="1"/>
        <v>Vevőkövetelések</v>
      </c>
    </row>
    <row r="134" spans="1:4" x14ac:dyDescent="0.3">
      <c r="A134" s="14" t="s">
        <v>1577</v>
      </c>
      <c r="B134" s="14" t="s">
        <v>402</v>
      </c>
      <c r="C134" s="14" t="str">
        <f t="shared" si="0"/>
        <v>Contract assets</v>
      </c>
      <c r="D134" s="14" t="str">
        <f t="shared" si="1"/>
        <v>Szerződéses eszközök</v>
      </c>
    </row>
    <row r="135" spans="1:4" x14ac:dyDescent="0.3">
      <c r="A135" s="14" t="s">
        <v>1577</v>
      </c>
      <c r="B135" s="14" t="s">
        <v>405</v>
      </c>
      <c r="C135" s="14" t="str">
        <f t="shared" si="0"/>
        <v>Other receivables and prepayments</v>
      </c>
      <c r="D135" s="14" t="str">
        <f t="shared" si="1"/>
        <v>Egyéb követelések és aktív időbeli elhatárolások</v>
      </c>
    </row>
    <row r="136" spans="1:4" x14ac:dyDescent="0.3">
      <c r="A136" s="14" t="s">
        <v>1577</v>
      </c>
      <c r="B136" s="14" t="s">
        <v>408</v>
      </c>
      <c r="C136" s="14" t="str">
        <f t="shared" si="0"/>
        <v>Current tax assets</v>
      </c>
      <c r="D136" s="14" t="str">
        <f t="shared" si="1"/>
        <v>Tényleges adókövetelések</v>
      </c>
    </row>
    <row r="137" spans="1:4" x14ac:dyDescent="0.3">
      <c r="A137" s="14" t="s">
        <v>1577</v>
      </c>
      <c r="B137" s="14" t="s">
        <v>411</v>
      </c>
      <c r="C137" s="14" t="str">
        <f t="shared" si="0"/>
        <v>Current financial assets</v>
      </c>
      <c r="D137" s="14" t="str">
        <f t="shared" si="1"/>
        <v>Rövid lejáratú pénzügyi eszközök</v>
      </c>
    </row>
    <row r="138" spans="1:4" x14ac:dyDescent="0.3">
      <c r="A138" s="14" t="s">
        <v>1577</v>
      </c>
      <c r="B138" s="14" t="s">
        <v>414</v>
      </c>
      <c r="C138" s="14" t="str">
        <f t="shared" si="0"/>
        <v>Cash and cash equivalents</v>
      </c>
      <c r="D138" s="14" t="str">
        <f t="shared" si="1"/>
        <v>Pénzeszközök és pénzeszköz-egyenértékesek</v>
      </c>
    </row>
    <row r="139" spans="1:4" x14ac:dyDescent="0.3">
      <c r="A139" s="14" t="s">
        <v>1577</v>
      </c>
      <c r="B139" s="14" t="s">
        <v>417</v>
      </c>
      <c r="C139" s="14" t="str">
        <f t="shared" si="0"/>
        <v>Assets held for sale</v>
      </c>
      <c r="D139" s="14" t="str">
        <f t="shared" si="1"/>
        <v>Értékesítésre tartott eszközök</v>
      </c>
    </row>
    <row r="140" spans="1:4" x14ac:dyDescent="0.3">
      <c r="A140" s="14" t="s">
        <v>1577</v>
      </c>
      <c r="B140" s="14" t="s">
        <v>432</v>
      </c>
      <c r="C140" s="14" t="str">
        <f t="shared" si="0"/>
        <v>Share capital</v>
      </c>
      <c r="D140" s="14" t="str">
        <f t="shared" si="1"/>
        <v>Jegyzett tőke</v>
      </c>
    </row>
    <row r="141" spans="1:4" x14ac:dyDescent="0.3">
      <c r="A141" s="14" t="s">
        <v>1577</v>
      </c>
      <c r="B141" s="14" t="s">
        <v>435</v>
      </c>
      <c r="C141" s="14" t="str">
        <f t="shared" si="0"/>
        <v>Share premium</v>
      </c>
      <c r="D141" s="14" t="str">
        <f t="shared" si="1"/>
        <v>Ázsió</v>
      </c>
    </row>
    <row r="142" spans="1:4" x14ac:dyDescent="0.3">
      <c r="A142" s="14" t="s">
        <v>1577</v>
      </c>
      <c r="B142" s="14" t="s">
        <v>438</v>
      </c>
      <c r="C142" s="14" t="str">
        <f t="shared" si="0"/>
        <v>Other reserves</v>
      </c>
      <c r="D142" s="14" t="str">
        <f t="shared" si="1"/>
        <v>Egyéb tartalékok</v>
      </c>
    </row>
    <row r="143" spans="1:4" x14ac:dyDescent="0.3">
      <c r="A143" s="14" t="s">
        <v>1577</v>
      </c>
      <c r="B143" s="14" t="s">
        <v>441</v>
      </c>
      <c r="C143" s="14" t="str">
        <f t="shared" si="0"/>
        <v>Retained earnings</v>
      </c>
      <c r="D143" s="14" t="str">
        <f t="shared" si="1"/>
        <v>Eredménytartalék</v>
      </c>
    </row>
    <row r="144" spans="1:4" x14ac:dyDescent="0.3">
      <c r="A144" s="14" t="s">
        <v>1577</v>
      </c>
      <c r="B144" s="14" t="s">
        <v>450</v>
      </c>
      <c r="C144" s="14" t="str">
        <f t="shared" si="0"/>
        <v>Non-current borrowings</v>
      </c>
      <c r="D144" s="14" t="str">
        <f t="shared" si="1"/>
        <v>Hosszú lejáratú hitelek és kölcsönök</v>
      </c>
    </row>
    <row r="145" spans="1:4" x14ac:dyDescent="0.3">
      <c r="A145" s="14" t="s">
        <v>1577</v>
      </c>
      <c r="B145" s="14" t="s">
        <v>453</v>
      </c>
      <c r="C145" s="14" t="str">
        <f t="shared" si="0"/>
        <v>Non-current lease liabilities</v>
      </c>
      <c r="D145" s="14" t="str">
        <f t="shared" si="1"/>
        <v>Hosszú lejáratú lízingkötelezettségek</v>
      </c>
    </row>
    <row r="146" spans="1:4" x14ac:dyDescent="0.3">
      <c r="A146" s="14" t="s">
        <v>1577</v>
      </c>
      <c r="B146" s="14" t="s">
        <v>456</v>
      </c>
      <c r="C146" s="14" t="str">
        <f t="shared" si="0"/>
        <v>Non-current provisions</v>
      </c>
      <c r="D146" s="14" t="str">
        <f t="shared" si="1"/>
        <v>Hosszú lejáratú céltartalékok</v>
      </c>
    </row>
    <row r="147" spans="1:4" x14ac:dyDescent="0.3">
      <c r="A147" s="14" t="s">
        <v>1577</v>
      </c>
      <c r="B147" s="14" t="s">
        <v>459</v>
      </c>
      <c r="C147" s="14" t="str">
        <f t="shared" si="0"/>
        <v>Employee benefit liabilities</v>
      </c>
      <c r="D147" s="14" t="str">
        <f t="shared" si="1"/>
        <v>Munkavállalói juttatásokból eredő kötelezettségek</v>
      </c>
    </row>
    <row r="148" spans="1:4" x14ac:dyDescent="0.3">
      <c r="A148" s="14" t="s">
        <v>1577</v>
      </c>
      <c r="B148" s="14" t="s">
        <v>462</v>
      </c>
      <c r="C148" s="14" t="str">
        <f t="shared" si="0"/>
        <v>Deferred tax liabilities</v>
      </c>
      <c r="D148" s="14" t="str">
        <f t="shared" si="1"/>
        <v>Halasztott adókötelezettségek</v>
      </c>
    </row>
    <row r="149" spans="1:4" x14ac:dyDescent="0.3">
      <c r="A149" s="14" t="s">
        <v>1577</v>
      </c>
      <c r="B149" s="14" t="s">
        <v>465</v>
      </c>
      <c r="C149" s="14" t="str">
        <f t="shared" si="0"/>
        <v>Other non-current liabilities</v>
      </c>
      <c r="D149" s="14" t="str">
        <f t="shared" si="1"/>
        <v>Egyéb hosszú lejáratú kötelezettségek</v>
      </c>
    </row>
    <row r="150" spans="1:4" x14ac:dyDescent="0.3">
      <c r="A150" s="14" t="s">
        <v>1577</v>
      </c>
      <c r="B150" s="14" t="s">
        <v>474</v>
      </c>
      <c r="C150" s="14" t="str">
        <f t="shared" si="0"/>
        <v>Trade payables</v>
      </c>
      <c r="D150" s="14" t="str">
        <f t="shared" si="1"/>
        <v>Szállítói kötelezettségek</v>
      </c>
    </row>
    <row r="151" spans="1:4" x14ac:dyDescent="0.3">
      <c r="A151" s="14" t="s">
        <v>1577</v>
      </c>
      <c r="B151" s="14" t="s">
        <v>477</v>
      </c>
      <c r="C151" s="14" t="str">
        <f t="shared" si="0"/>
        <v>Contract liabilities</v>
      </c>
      <c r="D151" s="14" t="str">
        <f t="shared" si="1"/>
        <v>Szerződéses kötelezettségek</v>
      </c>
    </row>
    <row r="152" spans="1:4" x14ac:dyDescent="0.3">
      <c r="A152" s="14" t="s">
        <v>1577</v>
      </c>
      <c r="B152" s="14" t="s">
        <v>480</v>
      </c>
      <c r="C152" s="14" t="str">
        <f t="shared" si="0"/>
        <v>Current borrowings</v>
      </c>
      <c r="D152" s="14" t="str">
        <f t="shared" si="1"/>
        <v>Rövid lejáratú hitelek és kölcsönök</v>
      </c>
    </row>
    <row r="153" spans="1:4" x14ac:dyDescent="0.3">
      <c r="A153" s="14" t="s">
        <v>1577</v>
      </c>
      <c r="B153" s="14" t="s">
        <v>483</v>
      </c>
      <c r="C153" s="14" t="str">
        <f t="shared" si="0"/>
        <v>Current lease liabilities</v>
      </c>
      <c r="D153" s="14" t="str">
        <f t="shared" si="1"/>
        <v>Rövid lejáratú lízingkötelezettségek</v>
      </c>
    </row>
    <row r="154" spans="1:4" x14ac:dyDescent="0.3">
      <c r="A154" s="14" t="s">
        <v>1577</v>
      </c>
      <c r="B154" s="14" t="s">
        <v>486</v>
      </c>
      <c r="C154" s="14" t="str">
        <f t="shared" ref="C154:C185" si="2">IFERROR(INDEX(DICT_EN,MATCH(B154,DICT_KEY,0))&amp;"","")</f>
        <v>Current provisions</v>
      </c>
      <c r="D154" s="14" t="str">
        <f t="shared" ref="D154:D185" si="3">IFERROR(INDEX(DICT_HU,MATCH(B154,DICT_KEY,0))&amp;"","")</f>
        <v>Rövid lejáratú céltartalékok</v>
      </c>
    </row>
    <row r="155" spans="1:4" x14ac:dyDescent="0.3">
      <c r="A155" s="14" t="s">
        <v>1577</v>
      </c>
      <c r="B155" s="14" t="s">
        <v>489</v>
      </c>
      <c r="C155" s="14" t="str">
        <f t="shared" si="2"/>
        <v>Current tax liabilities</v>
      </c>
      <c r="D155" s="14" t="str">
        <f t="shared" si="3"/>
        <v>Tényleges adókötelezettségek</v>
      </c>
    </row>
    <row r="156" spans="1:4" x14ac:dyDescent="0.3">
      <c r="A156" s="14" t="s">
        <v>1577</v>
      </c>
      <c r="B156" s="14" t="s">
        <v>492</v>
      </c>
      <c r="C156" s="14" t="str">
        <f t="shared" si="2"/>
        <v>Other current liabilities and accruals</v>
      </c>
      <c r="D156" s="14" t="str">
        <f t="shared" si="3"/>
        <v>Egyéb rövid lejáratú kötelezettségek és passzív időbeli elhatárolások</v>
      </c>
    </row>
    <row r="157" spans="1:4" x14ac:dyDescent="0.3">
      <c r="A157" s="14" t="s">
        <v>1577</v>
      </c>
      <c r="B157" s="14" t="s">
        <v>495</v>
      </c>
      <c r="C157" s="14" t="str">
        <f t="shared" si="2"/>
        <v>Liabilities associated with assets held for sale</v>
      </c>
      <c r="D157" s="14" t="str">
        <f t="shared" si="3"/>
        <v>Értékesítésre tartott eszközökhöz kapcsolódó kötelezettségek</v>
      </c>
    </row>
    <row r="158" spans="1:4" x14ac:dyDescent="0.3">
      <c r="A158" s="14" t="s">
        <v>1577</v>
      </c>
      <c r="B158" s="14" t="s">
        <v>530</v>
      </c>
      <c r="C158" s="14" t="str">
        <f t="shared" si="2"/>
        <v>Revenue</v>
      </c>
      <c r="D158" s="14" t="str">
        <f t="shared" si="3"/>
        <v>Árbevétel</v>
      </c>
    </row>
    <row r="159" spans="1:4" x14ac:dyDescent="0.3">
      <c r="A159" s="14" t="s">
        <v>1577</v>
      </c>
      <c r="B159" s="14" t="s">
        <v>533</v>
      </c>
      <c r="C159" s="14" t="str">
        <f t="shared" si="2"/>
        <v>Other operating income</v>
      </c>
      <c r="D159" s="14" t="str">
        <f t="shared" si="3"/>
        <v>Egyéb működési bevételek</v>
      </c>
    </row>
    <row r="160" spans="1:4" x14ac:dyDescent="0.3">
      <c r="A160" s="14" t="s">
        <v>1577</v>
      </c>
      <c r="B160" s="14" t="s">
        <v>536</v>
      </c>
      <c r="C160" s="14" t="str">
        <f t="shared" si="2"/>
        <v>Cost of sales</v>
      </c>
      <c r="D160" s="14" t="str">
        <f t="shared" si="3"/>
        <v>Értékesítés közvetlen költsége</v>
      </c>
    </row>
    <row r="161" spans="1:4" x14ac:dyDescent="0.3">
      <c r="A161" s="14" t="s">
        <v>1577</v>
      </c>
      <c r="B161" s="14" t="s">
        <v>539</v>
      </c>
      <c r="C161" s="14" t="str">
        <f t="shared" si="2"/>
        <v>Distribution costs</v>
      </c>
      <c r="D161" s="14" t="str">
        <f t="shared" si="3"/>
        <v>Értékesítési költségek</v>
      </c>
    </row>
    <row r="162" spans="1:4" x14ac:dyDescent="0.3">
      <c r="A162" s="14" t="s">
        <v>1577</v>
      </c>
      <c r="B162" s="14" t="s">
        <v>542</v>
      </c>
      <c r="C162" s="14" t="str">
        <f t="shared" si="2"/>
        <v>Administrative expenses</v>
      </c>
      <c r="D162" s="14" t="str">
        <f t="shared" si="3"/>
        <v>Igazgatási költségek</v>
      </c>
    </row>
    <row r="163" spans="1:4" x14ac:dyDescent="0.3">
      <c r="A163" s="14" t="s">
        <v>1577</v>
      </c>
      <c r="B163" s="14" t="s">
        <v>545</v>
      </c>
      <c r="C163" s="14" t="str">
        <f t="shared" si="2"/>
        <v>Research and development expenses</v>
      </c>
      <c r="D163" s="14" t="str">
        <f t="shared" si="3"/>
        <v>Kutatási és fejlesztési költségek</v>
      </c>
    </row>
    <row r="164" spans="1:4" x14ac:dyDescent="0.3">
      <c r="A164" s="14" t="s">
        <v>1577</v>
      </c>
      <c r="B164" s="14" t="s">
        <v>548</v>
      </c>
      <c r="C164" s="14" t="str">
        <f t="shared" si="2"/>
        <v>Other functional expenses</v>
      </c>
      <c r="D164" s="14" t="str">
        <f t="shared" si="3"/>
        <v>Egyéb funkcionális költségek</v>
      </c>
    </row>
    <row r="165" spans="1:4" x14ac:dyDescent="0.3">
      <c r="A165" s="14" t="s">
        <v>1577</v>
      </c>
      <c r="B165" s="14" t="s">
        <v>551</v>
      </c>
      <c r="C165" s="14" t="str">
        <f t="shared" si="2"/>
        <v>Raw materials, consumables and changes in inventories</v>
      </c>
      <c r="D165" s="14" t="str">
        <f t="shared" si="3"/>
        <v>Anyagjellegű ráfordítások és készletváltozás</v>
      </c>
    </row>
    <row r="166" spans="1:4" x14ac:dyDescent="0.3">
      <c r="A166" s="14" t="s">
        <v>1577</v>
      </c>
      <c r="B166" s="14" t="s">
        <v>554</v>
      </c>
      <c r="C166" s="14" t="str">
        <f t="shared" si="2"/>
        <v>Employee benefit expenses</v>
      </c>
      <c r="D166" s="14" t="str">
        <f t="shared" si="3"/>
        <v>Munkavállalói juttatások ráfordításai</v>
      </c>
    </row>
    <row r="167" spans="1:4" x14ac:dyDescent="0.3">
      <c r="A167" s="14" t="s">
        <v>1577</v>
      </c>
      <c r="B167" s="14" t="s">
        <v>557</v>
      </c>
      <c r="C167" s="14" t="str">
        <f t="shared" si="2"/>
        <v>Depreciation</v>
      </c>
      <c r="D167" s="14" t="str">
        <f t="shared" si="3"/>
        <v>Értékcsökkenés</v>
      </c>
    </row>
    <row r="168" spans="1:4" x14ac:dyDescent="0.3">
      <c r="A168" s="14" t="s">
        <v>1577</v>
      </c>
      <c r="B168" s="14" t="s">
        <v>560</v>
      </c>
      <c r="C168" s="14" t="str">
        <f t="shared" si="2"/>
        <v>Amortisation</v>
      </c>
      <c r="D168" s="14" t="str">
        <f t="shared" si="3"/>
        <v>Amortizáció</v>
      </c>
    </row>
    <row r="169" spans="1:4" x14ac:dyDescent="0.3">
      <c r="A169" s="14" t="s">
        <v>1577</v>
      </c>
      <c r="B169" s="14" t="s">
        <v>563</v>
      </c>
      <c r="C169" s="14" t="str">
        <f t="shared" si="2"/>
        <v>Impairment losses and reversals</v>
      </c>
      <c r="D169" s="14" t="str">
        <f t="shared" si="3"/>
        <v>Értékvesztés és visszaírás</v>
      </c>
    </row>
    <row r="170" spans="1:4" x14ac:dyDescent="0.3">
      <c r="A170" s="14" t="s">
        <v>1577</v>
      </c>
      <c r="B170" s="14" t="s">
        <v>566</v>
      </c>
      <c r="C170" s="14" t="str">
        <f t="shared" si="2"/>
        <v>Write-downs of inventories and reversals</v>
      </c>
      <c r="D170" s="14" t="str">
        <f t="shared" si="3"/>
        <v>Készletek leírása és visszaírása</v>
      </c>
    </row>
    <row r="171" spans="1:4" x14ac:dyDescent="0.3">
      <c r="A171" s="14" t="s">
        <v>1577</v>
      </c>
      <c r="B171" s="14" t="s">
        <v>569</v>
      </c>
      <c r="C171" s="14" t="str">
        <f t="shared" si="2"/>
        <v>Other expenses by nature</v>
      </c>
      <c r="D171" s="14" t="str">
        <f t="shared" si="3"/>
        <v>Egyéb költségnem szerinti ráfordítások</v>
      </c>
    </row>
    <row r="172" spans="1:4" x14ac:dyDescent="0.3">
      <c r="A172" s="14" t="s">
        <v>1577</v>
      </c>
      <c r="B172" s="14" t="s">
        <v>572</v>
      </c>
      <c r="C172" s="14" t="str">
        <f t="shared" si="2"/>
        <v>Foreign exchange differences - operating</v>
      </c>
      <c r="D172" s="14" t="str">
        <f t="shared" si="3"/>
        <v>Árfolyam-különbözetek - működési</v>
      </c>
    </row>
    <row r="173" spans="1:4" x14ac:dyDescent="0.3">
      <c r="A173" s="14" t="s">
        <v>1577</v>
      </c>
      <c r="B173" s="14" t="s">
        <v>575</v>
      </c>
      <c r="C173" s="14" t="str">
        <f t="shared" si="2"/>
        <v>Other operating expenses</v>
      </c>
      <c r="D173" s="14" t="str">
        <f t="shared" si="3"/>
        <v>Egyéb működési ráfordítások</v>
      </c>
    </row>
    <row r="174" spans="1:4" x14ac:dyDescent="0.3">
      <c r="A174" s="14" t="s">
        <v>1577</v>
      </c>
      <c r="B174" s="14" t="s">
        <v>581</v>
      </c>
      <c r="C174" s="14" t="str">
        <f t="shared" si="2"/>
        <v>Share of profit or loss of associates and joint ventures</v>
      </c>
      <c r="D174" s="14" t="str">
        <f t="shared" si="3"/>
        <v>Társult és közös vállalkozások eredményéből való részesedés</v>
      </c>
    </row>
    <row r="175" spans="1:4" x14ac:dyDescent="0.3">
      <c r="A175" s="14" t="s">
        <v>1577</v>
      </c>
      <c r="B175" s="14" t="s">
        <v>584</v>
      </c>
      <c r="C175" s="14" t="str">
        <f t="shared" si="2"/>
        <v>Interest income on cash and cash equivalents</v>
      </c>
      <c r="D175" s="14" t="str">
        <f t="shared" si="3"/>
        <v>Pénzeszközök kamatbevétele</v>
      </c>
    </row>
    <row r="176" spans="1:4" x14ac:dyDescent="0.3">
      <c r="A176" s="14" t="s">
        <v>1577</v>
      </c>
      <c r="B176" s="14" t="s">
        <v>587</v>
      </c>
      <c r="C176" s="14" t="str">
        <f t="shared" si="2"/>
        <v>Income from investment property</v>
      </c>
      <c r="D176" s="14" t="str">
        <f t="shared" si="3"/>
        <v>Befektetési célú ingatlan bevételei</v>
      </c>
    </row>
    <row r="177" spans="1:4" x14ac:dyDescent="0.3">
      <c r="A177" s="14" t="s">
        <v>1577</v>
      </c>
      <c r="B177" s="14" t="s">
        <v>590</v>
      </c>
      <c r="C177" s="14" t="str">
        <f t="shared" si="2"/>
        <v>Income from other financial assets</v>
      </c>
      <c r="D177" s="14" t="str">
        <f t="shared" si="3"/>
        <v>Egyéb pénzügyi eszközök bevételei</v>
      </c>
    </row>
    <row r="178" spans="1:4" x14ac:dyDescent="0.3">
      <c r="A178" s="14" t="s">
        <v>1577</v>
      </c>
      <c r="B178" s="14" t="s">
        <v>593</v>
      </c>
      <c r="C178" s="14" t="str">
        <f t="shared" si="2"/>
        <v>Other investing income and expenses</v>
      </c>
      <c r="D178" s="14" t="str">
        <f t="shared" si="3"/>
        <v>Egyéb befektetési bevételek és ráfordítások</v>
      </c>
    </row>
    <row r="179" spans="1:4" x14ac:dyDescent="0.3">
      <c r="A179" s="14" t="s">
        <v>1577</v>
      </c>
      <c r="B179" s="14" t="s">
        <v>599</v>
      </c>
      <c r="C179" s="14" t="str">
        <f t="shared" si="2"/>
        <v>Interest expense on borrowings</v>
      </c>
      <c r="D179" s="14" t="str">
        <f t="shared" si="3"/>
        <v>Hitelek és kölcsönök kamatráfordítása</v>
      </c>
    </row>
    <row r="180" spans="1:4" x14ac:dyDescent="0.3">
      <c r="A180" s="14" t="s">
        <v>1577</v>
      </c>
      <c r="B180" s="14" t="s">
        <v>602</v>
      </c>
      <c r="C180" s="14" t="str">
        <f t="shared" si="2"/>
        <v>Interest on lease liabilities</v>
      </c>
      <c r="D180" s="14" t="str">
        <f t="shared" si="3"/>
        <v>Lízingkötelezettségek kamata</v>
      </c>
    </row>
    <row r="181" spans="1:4" x14ac:dyDescent="0.3">
      <c r="A181" s="14" t="s">
        <v>1577</v>
      </c>
      <c r="B181" s="14" t="s">
        <v>605</v>
      </c>
      <c r="C181" s="14" t="str">
        <f t="shared" si="2"/>
        <v>Unwinding of discount on provisions</v>
      </c>
      <c r="D181" s="14" t="str">
        <f t="shared" si="3"/>
        <v>Céltartalékok diszkontjának feloldása</v>
      </c>
    </row>
    <row r="182" spans="1:4" x14ac:dyDescent="0.3">
      <c r="A182" s="14" t="s">
        <v>1577</v>
      </c>
      <c r="B182" s="14" t="s">
        <v>608</v>
      </c>
      <c r="C182" s="14" t="str">
        <f t="shared" si="2"/>
        <v>Net interest on employee benefit liabilities</v>
      </c>
      <c r="D182" s="14" t="str">
        <f t="shared" si="3"/>
        <v>Munkavállalói juttatási kötelezettségek nettó kamata</v>
      </c>
    </row>
    <row r="183" spans="1:4" x14ac:dyDescent="0.3">
      <c r="A183" s="14" t="s">
        <v>1577</v>
      </c>
      <c r="B183" s="14" t="s">
        <v>611</v>
      </c>
      <c r="C183" s="14" t="str">
        <f t="shared" si="2"/>
        <v>Foreign exchange differences - financing</v>
      </c>
      <c r="D183" s="14" t="str">
        <f t="shared" si="3"/>
        <v>Árfolyam-különbözetek - finanszírozási</v>
      </c>
    </row>
    <row r="184" spans="1:4" x14ac:dyDescent="0.3">
      <c r="A184" s="14" t="s">
        <v>1577</v>
      </c>
      <c r="B184" s="14" t="s">
        <v>614</v>
      </c>
      <c r="C184" s="14" t="str">
        <f t="shared" si="2"/>
        <v>Other financing income and expenses</v>
      </c>
      <c r="D184" s="14" t="str">
        <f t="shared" si="3"/>
        <v>Egyéb finanszírozási bevételek és ráfordítások</v>
      </c>
    </row>
    <row r="185" spans="1:4" x14ac:dyDescent="0.3">
      <c r="A185" s="14" t="s">
        <v>1577</v>
      </c>
      <c r="B185" s="14" t="s">
        <v>620</v>
      </c>
      <c r="C185" s="14" t="str">
        <f t="shared" si="2"/>
        <v>Current tax expense</v>
      </c>
      <c r="D185" s="14" t="str">
        <f t="shared" si="3"/>
        <v>Tényleges nyereségadó</v>
      </c>
    </row>
    <row r="186" spans="1:4" x14ac:dyDescent="0.3">
      <c r="A186" s="14" t="s">
        <v>1577</v>
      </c>
      <c r="B186" s="14" t="s">
        <v>623</v>
      </c>
      <c r="C186" s="14" t="str">
        <f t="shared" ref="C186:C195" si="4">IFERROR(INDEX(DICT_EN,MATCH(B186,DICT_KEY,0))&amp;"","")</f>
        <v>Deferred tax expense</v>
      </c>
      <c r="D186" s="14" t="str">
        <f t="shared" ref="D186:D195" si="5">IFERROR(INDEX(DICT_HU,MATCH(B186,DICT_KEY,0))&amp;"","")</f>
        <v>Halasztott adó</v>
      </c>
    </row>
    <row r="187" spans="1:4" x14ac:dyDescent="0.3">
      <c r="A187" s="14" t="s">
        <v>1577</v>
      </c>
      <c r="B187" s="14" t="s">
        <v>629</v>
      </c>
      <c r="C187" s="14" t="str">
        <f t="shared" si="4"/>
        <v>Profit or loss from discontinued operations</v>
      </c>
      <c r="D187" s="14" t="str">
        <f t="shared" si="5"/>
        <v>Megszűnt tevékenységek eredménye</v>
      </c>
    </row>
    <row r="188" spans="1:4" x14ac:dyDescent="0.3">
      <c r="A188" s="14" t="s">
        <v>1577</v>
      </c>
      <c r="B188" s="14" t="s">
        <v>650</v>
      </c>
      <c r="C188" s="14" t="str">
        <f t="shared" si="4"/>
        <v>Revaluation of property, plant and equipment</v>
      </c>
      <c r="D188" s="14" t="str">
        <f t="shared" si="5"/>
        <v>Ingatlanok, gépek és berendezések átértékelése</v>
      </c>
    </row>
    <row r="189" spans="1:4" x14ac:dyDescent="0.3">
      <c r="A189" s="14" t="s">
        <v>1577</v>
      </c>
      <c r="B189" s="14" t="s">
        <v>653</v>
      </c>
      <c r="C189" s="14" t="str">
        <f t="shared" si="4"/>
        <v>Remeasurement of defined benefit plans</v>
      </c>
      <c r="D189" s="14" t="str">
        <f t="shared" si="5"/>
        <v>Meghatározott juttatási programok újraértékelése</v>
      </c>
    </row>
    <row r="190" spans="1:4" x14ac:dyDescent="0.3">
      <c r="A190" s="14" t="s">
        <v>1577</v>
      </c>
      <c r="B190" s="14" t="s">
        <v>656</v>
      </c>
      <c r="C190" s="14" t="str">
        <f t="shared" si="4"/>
        <v>Equity instruments at fair value through OCI</v>
      </c>
      <c r="D190" s="14" t="str">
        <f t="shared" si="5"/>
        <v>Egyéb átfogó jövedelemmel szemben valós értéken értékelt tőkeinstrumentumok</v>
      </c>
    </row>
    <row r="191" spans="1:4" x14ac:dyDescent="0.3">
      <c r="A191" s="14" t="s">
        <v>1577</v>
      </c>
      <c r="B191" s="14" t="s">
        <v>659</v>
      </c>
      <c r="C191" s="14" t="str">
        <f t="shared" si="4"/>
        <v>Income tax on items that will not be reclassified</v>
      </c>
      <c r="D191" s="14" t="str">
        <f t="shared" si="5"/>
        <v>Át nem sorolandó tételek nyereségadója</v>
      </c>
    </row>
    <row r="192" spans="1:4" x14ac:dyDescent="0.3">
      <c r="A192" s="14" t="s">
        <v>1577</v>
      </c>
      <c r="B192" s="14" t="s">
        <v>665</v>
      </c>
      <c r="C192" s="14" t="str">
        <f t="shared" si="4"/>
        <v>Debt instruments at fair value through OCI</v>
      </c>
      <c r="D192" s="14" t="str">
        <f t="shared" si="5"/>
        <v>Egyéb átfogó jövedelemmel szemben valós értéken értékelt adósságinstrumentumok</v>
      </c>
    </row>
    <row r="193" spans="1:4" x14ac:dyDescent="0.3">
      <c r="A193" s="14" t="s">
        <v>1577</v>
      </c>
      <c r="B193" s="14" t="s">
        <v>668</v>
      </c>
      <c r="C193" s="14" t="str">
        <f t="shared" si="4"/>
        <v>Cash flow hedges</v>
      </c>
      <c r="D193" s="14" t="str">
        <f t="shared" si="5"/>
        <v>Cash flow fedezeti ügyletek</v>
      </c>
    </row>
    <row r="194" spans="1:4" x14ac:dyDescent="0.3">
      <c r="A194" s="14" t="s">
        <v>1577</v>
      </c>
      <c r="B194" s="14" t="s">
        <v>671</v>
      </c>
      <c r="C194" s="14" t="str">
        <f t="shared" si="4"/>
        <v>Exchange differences on translating foreign operations</v>
      </c>
      <c r="D194" s="14" t="str">
        <f t="shared" si="5"/>
        <v>Külföldi érdekeltségek átszámításából eredő árfolyam-különbözetek</v>
      </c>
    </row>
    <row r="195" spans="1:4" x14ac:dyDescent="0.3">
      <c r="A195" s="14" t="s">
        <v>1577</v>
      </c>
      <c r="B195" s="14" t="s">
        <v>674</v>
      </c>
      <c r="C195" s="14" t="str">
        <f t="shared" si="4"/>
        <v>Income tax on items that may be reclassified</v>
      </c>
      <c r="D195" s="14" t="str">
        <f t="shared" si="5"/>
        <v>Átsorolható tételek nyereségadója</v>
      </c>
    </row>
    <row r="197" spans="1:4" x14ac:dyDescent="0.3">
      <c r="A197" s="14" t="s">
        <v>1578</v>
      </c>
      <c r="B197" s="14" t="s">
        <v>536</v>
      </c>
      <c r="C197" s="14" t="str">
        <f>IFERROR(INDEX(DICT_EN,MATCH(B197,DICT_KEY,0))&amp;"","")</f>
        <v>Cost of sales</v>
      </c>
      <c r="D197" s="14" t="str">
        <f>IFERROR(INDEX(DICT_HU,MATCH(B197,DICT_KEY,0))&amp;"","")</f>
        <v>Értékesítés közvetlen költsége</v>
      </c>
    </row>
    <row r="198" spans="1:4" x14ac:dyDescent="0.3">
      <c r="A198" s="14" t="s">
        <v>1578</v>
      </c>
      <c r="B198" s="14" t="s">
        <v>539</v>
      </c>
      <c r="C198" s="14" t="str">
        <f>IFERROR(INDEX(DICT_EN,MATCH(B198,DICT_KEY,0))&amp;"","")</f>
        <v>Distribution costs</v>
      </c>
      <c r="D198" s="14" t="str">
        <f>IFERROR(INDEX(DICT_HU,MATCH(B198,DICT_KEY,0))&amp;"","")</f>
        <v>Értékesítési költségek</v>
      </c>
    </row>
    <row r="199" spans="1:4" x14ac:dyDescent="0.3">
      <c r="A199" s="14" t="s">
        <v>1578</v>
      </c>
      <c r="B199" s="14" t="s">
        <v>542</v>
      </c>
      <c r="C199" s="14" t="str">
        <f>IFERROR(INDEX(DICT_EN,MATCH(B199,DICT_KEY,0))&amp;"","")</f>
        <v>Administrative expenses</v>
      </c>
      <c r="D199" s="14" t="str">
        <f>IFERROR(INDEX(DICT_HU,MATCH(B199,DICT_KEY,0))&amp;"","")</f>
        <v>Igazgatási költségek</v>
      </c>
    </row>
    <row r="200" spans="1:4" x14ac:dyDescent="0.3">
      <c r="A200" s="14" t="s">
        <v>1578</v>
      </c>
      <c r="B200" s="14" t="s">
        <v>545</v>
      </c>
      <c r="C200" s="14" t="str">
        <f>IFERROR(INDEX(DICT_EN,MATCH(B200,DICT_KEY,0))&amp;"","")</f>
        <v>Research and development expenses</v>
      </c>
      <c r="D200" s="14" t="str">
        <f>IFERROR(INDEX(DICT_HU,MATCH(B200,DICT_KEY,0))&amp;"","")</f>
        <v>Kutatási és fejlesztési költségek</v>
      </c>
    </row>
    <row r="201" spans="1:4" x14ac:dyDescent="0.3">
      <c r="A201" s="14" t="s">
        <v>1578</v>
      </c>
      <c r="B201" s="14" t="s">
        <v>548</v>
      </c>
      <c r="C201" s="14" t="str">
        <f>IFERROR(INDEX(DICT_EN,MATCH(B201,DICT_KEY,0))&amp;"","")</f>
        <v>Other functional expenses</v>
      </c>
      <c r="D201" s="14" t="str">
        <f>IFERROR(INDEX(DICT_HU,MATCH(B201,DICT_KEY,0))&amp;"","")</f>
        <v>Egyéb funkcionális költségek</v>
      </c>
    </row>
    <row r="203" spans="1:4" x14ac:dyDescent="0.3">
      <c r="A203" s="14" t="s">
        <v>1579</v>
      </c>
      <c r="B203" s="14" t="s">
        <v>551</v>
      </c>
      <c r="C203" s="14" t="str">
        <f t="shared" ref="C203:C209" si="6">IFERROR(INDEX(DICT_EN,MATCH(B203,DICT_KEY,0))&amp;"","")</f>
        <v>Raw materials, consumables and changes in inventories</v>
      </c>
      <c r="D203" s="14" t="str">
        <f t="shared" ref="D203:D209" si="7">IFERROR(INDEX(DICT_HU,MATCH(B203,DICT_KEY,0))&amp;"","")</f>
        <v>Anyagjellegű ráfordítások és készletváltozás</v>
      </c>
    </row>
    <row r="204" spans="1:4" x14ac:dyDescent="0.3">
      <c r="A204" s="14" t="s">
        <v>1579</v>
      </c>
      <c r="B204" s="14" t="s">
        <v>554</v>
      </c>
      <c r="C204" s="14" t="str">
        <f t="shared" si="6"/>
        <v>Employee benefit expenses</v>
      </c>
      <c r="D204" s="14" t="str">
        <f t="shared" si="7"/>
        <v>Munkavállalói juttatások ráfordításai</v>
      </c>
    </row>
    <row r="205" spans="1:4" x14ac:dyDescent="0.3">
      <c r="A205" s="14" t="s">
        <v>1579</v>
      </c>
      <c r="B205" s="14" t="s">
        <v>557</v>
      </c>
      <c r="C205" s="14" t="str">
        <f t="shared" si="6"/>
        <v>Depreciation</v>
      </c>
      <c r="D205" s="14" t="str">
        <f t="shared" si="7"/>
        <v>Értékcsökkenés</v>
      </c>
    </row>
    <row r="206" spans="1:4" x14ac:dyDescent="0.3">
      <c r="A206" s="14" t="s">
        <v>1579</v>
      </c>
      <c r="B206" s="14" t="s">
        <v>560</v>
      </c>
      <c r="C206" s="14" t="str">
        <f t="shared" si="6"/>
        <v>Amortisation</v>
      </c>
      <c r="D206" s="14" t="str">
        <f t="shared" si="7"/>
        <v>Amortizáció</v>
      </c>
    </row>
    <row r="207" spans="1:4" x14ac:dyDescent="0.3">
      <c r="A207" s="14" t="s">
        <v>1579</v>
      </c>
      <c r="B207" s="14" t="s">
        <v>563</v>
      </c>
      <c r="C207" s="14" t="str">
        <f t="shared" si="6"/>
        <v>Impairment losses and reversals</v>
      </c>
      <c r="D207" s="14" t="str">
        <f t="shared" si="7"/>
        <v>Értékvesztés és visszaírás</v>
      </c>
    </row>
    <row r="208" spans="1:4" x14ac:dyDescent="0.3">
      <c r="A208" s="14" t="s">
        <v>1579</v>
      </c>
      <c r="B208" s="14" t="s">
        <v>566</v>
      </c>
      <c r="C208" s="14" t="str">
        <f t="shared" si="6"/>
        <v>Write-downs of inventories and reversals</v>
      </c>
      <c r="D208" s="14" t="str">
        <f t="shared" si="7"/>
        <v>Készletek leírása és visszaírása</v>
      </c>
    </row>
    <row r="209" spans="1:4" x14ac:dyDescent="0.3">
      <c r="A209" s="14" t="s">
        <v>1579</v>
      </c>
      <c r="B209" s="14" t="s">
        <v>569</v>
      </c>
      <c r="C209" s="14" t="str">
        <f t="shared" si="6"/>
        <v>Other expenses by nature</v>
      </c>
      <c r="D209" s="14" t="str">
        <f t="shared" si="7"/>
        <v>Egyéb költségnem szerinti ráfordítások</v>
      </c>
    </row>
  </sheetData>
  <sheetProtection algorithmName="SHA-512" hashValue="ik4t6UHaLASj0QBm47PYyKmUsE7y04ySdQ/sKR0wdBBKQC4oEPPDdeSFjn4VZaWm/iZsvuiOGTBVTmmz2wZcbA==" saltValue="AiW02FoJ+9s3D5nZBAbPbw==" spinCount="100000" sheet="1" objects="1" scenarios="1" formatCells="0" autoFilter="0" pivotTables="0"/>
  <pageMargins left="0.75" right="0.75" top="1" bottom="1" header="0.5" footer="0.5"/>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Munka16"/>
  <dimension ref="A1:F47"/>
  <sheetViews>
    <sheetView showGridLines="0" workbookViewId="0">
      <pane ySplit="3" topLeftCell="A4" activePane="bottomLeft" state="frozen"/>
      <selection pane="bottomLeft" activeCell="A3" sqref="A3"/>
    </sheetView>
  </sheetViews>
  <sheetFormatPr defaultRowHeight="14.4" x14ac:dyDescent="0.3"/>
  <cols>
    <col min="1" max="1" width="2" customWidth="1"/>
    <col min="2" max="2" width="46" customWidth="1"/>
    <col min="3" max="3" width="42" customWidth="1"/>
    <col min="4" max="4" width="14" hidden="1" customWidth="1"/>
    <col min="5" max="5" width="34" customWidth="1"/>
    <col min="6" max="6" width="16" customWidth="1"/>
  </cols>
  <sheetData>
    <row r="1" spans="1:6" ht="17.399999999999999" x14ac:dyDescent="0.3">
      <c r="A1" s="1" t="str">
        <f>IFERROR(INDEX(DICT_ACTIVE,MATCH("OBR.TITLE",DICT_KEY,0))&amp;"","??OBR.TITLE")</f>
        <v>OBR submission – cover sheet data</v>
      </c>
    </row>
    <row r="2" spans="1:6" ht="42" customHeight="1" x14ac:dyDescent="0.3">
      <c r="B2" s="50" t="str">
        <f>IFERROR(INDEX(DICT_ACTIVE,MATCH("OBR.NOTE.PARTIAL",DICT_KEY,0))&amp;"","??OBR.NOTE.PARTIAL")</f>
        <v>The OBR accepts a partially filled file: fields left empty here can be completed on the OBR website after upload. The grey cells are fixed by the IFRS combination and must not be changed.</v>
      </c>
      <c r="C2" s="51"/>
      <c r="D2" s="51"/>
      <c r="E2" s="51"/>
      <c r="F2" s="51"/>
    </row>
    <row r="4" spans="1:6" x14ac:dyDescent="0.3">
      <c r="B4" s="3" t="str">
        <f>IFERROR(INDEX(DICT_ACTIVE,MATCH("OBR.SEC.FIRM",DICT_KEY,0))&amp;"","??OBR.SEC.FIRM")</f>
        <v>Company data</v>
      </c>
      <c r="C4" s="3"/>
      <c r="D4" s="3"/>
      <c r="E4" s="3"/>
    </row>
    <row r="5" spans="1:6" x14ac:dyDescent="0.3">
      <c r="B5" s="4" t="str">
        <f>IFERROR(INDEX(DICT_ACTIVE,MATCH("OBR.TAXNUMBER",DICT_KEY,0))&amp;"","??OBR.TAXNUMBER")</f>
        <v>Tax number</v>
      </c>
      <c r="C5" s="5" t="s">
        <v>1580</v>
      </c>
      <c r="E5" s="46" t="s">
        <v>1581</v>
      </c>
    </row>
    <row r="6" spans="1:6" x14ac:dyDescent="0.3">
      <c r="B6" s="4" t="str">
        <f>IFERROR(INDEX(DICT_ACTIVE,MATCH("OBR.REGNUMBER",DICT_KEY,0))&amp;"","??OBR.REGNUMBER")</f>
        <v>Company registration number</v>
      </c>
      <c r="C6" s="5" t="s">
        <v>1582</v>
      </c>
      <c r="E6" s="46" t="s">
        <v>1583</v>
      </c>
    </row>
    <row r="7" spans="1:6" x14ac:dyDescent="0.3">
      <c r="B7" s="4" t="str">
        <f>IFERROR(INDEX(DICT_ACTIVE,MATCH("OBR.FIRMNAME",DICT_KEY,0))&amp;"","??OBR.FIRMNAME")</f>
        <v>Name</v>
      </c>
      <c r="C7" s="5" t="str">
        <f>EntityName</f>
        <v>Minta Zrt.</v>
      </c>
      <c r="E7" s="46" t="s">
        <v>1584</v>
      </c>
    </row>
    <row r="8" spans="1:6" x14ac:dyDescent="0.3">
      <c r="B8" s="4" t="str">
        <f>IFERROR(INDEX(DICT_ACTIVE,MATCH("OBR.KSHNUMBER",DICT_KEY,0))&amp;"","??OBR.KSHNUMBER")</f>
        <v>Statistical code</v>
      </c>
      <c r="C8" s="5" t="s">
        <v>1585</v>
      </c>
      <c r="E8" s="46" t="s">
        <v>1586</v>
      </c>
    </row>
    <row r="9" spans="1:6" x14ac:dyDescent="0.3">
      <c r="B9" s="4" t="str">
        <f>IFERROR(INDEX(DICT_ACTIVE,MATCH("OBR.ADDR.COUNTRY",DICT_KEY,0))&amp;"","??OBR.ADDR.COUNTRY")</f>
        <v>Seat – country</v>
      </c>
      <c r="C9" s="5" t="s">
        <v>1587</v>
      </c>
      <c r="E9" s="46" t="s">
        <v>1588</v>
      </c>
    </row>
    <row r="10" spans="1:6" x14ac:dyDescent="0.3">
      <c r="B10" s="4" t="str">
        <f>IFERROR(INDEX(DICT_ACTIVE,MATCH("OBR.ADDR.ZIP",DICT_KEY,0))&amp;"","??OBR.ADDR.ZIP")</f>
        <v>Seat – postal code</v>
      </c>
      <c r="C10" s="5" t="s">
        <v>1589</v>
      </c>
      <c r="E10" s="46" t="s">
        <v>1590</v>
      </c>
    </row>
    <row r="11" spans="1:6" x14ac:dyDescent="0.3">
      <c r="B11" s="4" t="str">
        <f>IFERROR(INDEX(DICT_ACTIVE,MATCH("OBR.ADDR.CITY",DICT_KEY,0))&amp;"","??OBR.ADDR.CITY")</f>
        <v>Seat – city/town</v>
      </c>
      <c r="C11" s="5" t="s">
        <v>1591</v>
      </c>
      <c r="E11" s="46" t="s">
        <v>1592</v>
      </c>
    </row>
    <row r="12" spans="1:6" x14ac:dyDescent="0.3">
      <c r="B12" s="4" t="str">
        <f>IFERROR(INDEX(DICT_ACTIVE,MATCH("OBR.ADDR.PLACENAME",DICT_KEY,0))&amp;"","??OBR.ADDR.PLACENAME")</f>
        <v>Seat – public place name</v>
      </c>
      <c r="C12" s="5" t="s">
        <v>1593</v>
      </c>
      <c r="E12" s="46" t="s">
        <v>1594</v>
      </c>
    </row>
    <row r="13" spans="1:6" x14ac:dyDescent="0.3">
      <c r="B13" s="4" t="str">
        <f>IFERROR(INDEX(DICT_ACTIVE,MATCH("OBR.ADDR.PLACETYPE",DICT_KEY,0))&amp;"","??OBR.ADDR.PLACETYPE")</f>
        <v>Seat – type of public place</v>
      </c>
      <c r="C13" s="5" t="s">
        <v>1595</v>
      </c>
      <c r="E13" s="46" t="s">
        <v>1596</v>
      </c>
    </row>
    <row r="14" spans="1:6" x14ac:dyDescent="0.3">
      <c r="B14" s="4" t="str">
        <f>IFERROR(INDEX(DICT_ACTIVE,MATCH("OBR.ADDR.NUMBER",DICT_KEY,0))&amp;"","??OBR.ADDR.NUMBER")</f>
        <v>Seat – house/lot number</v>
      </c>
      <c r="C14" s="5" t="s">
        <v>1531</v>
      </c>
      <c r="E14" s="46" t="s">
        <v>1597</v>
      </c>
    </row>
    <row r="15" spans="1:6" x14ac:dyDescent="0.3">
      <c r="B15" s="4" t="str">
        <f>IFERROR(INDEX(DICT_ACTIVE,MATCH("OBR.ADDR.BUILDING",DICT_KEY,0))&amp;"","??OBR.ADDR.BUILDING")</f>
        <v>Seat – building</v>
      </c>
      <c r="C15" s="5"/>
      <c r="E15" s="46" t="s">
        <v>1598</v>
      </c>
    </row>
    <row r="16" spans="1:6" x14ac:dyDescent="0.3">
      <c r="B16" s="4" t="str">
        <f>IFERROR(INDEX(DICT_ACTIVE,MATCH("OBR.ADDR.STAIRWAY",DICT_KEY,0))&amp;"","??OBR.ADDR.STAIRWAY")</f>
        <v>Seat – stairway</v>
      </c>
      <c r="C16" s="5"/>
      <c r="E16" s="46" t="s">
        <v>1599</v>
      </c>
    </row>
    <row r="17" spans="2:6" x14ac:dyDescent="0.3">
      <c r="B17" s="4" t="str">
        <f>IFERROR(INDEX(DICT_ACTIVE,MATCH("OBR.ADDR.FLOOR",DICT_KEY,0))&amp;"","??OBR.ADDR.FLOOR")</f>
        <v>Seat – floor</v>
      </c>
      <c r="C17" s="5"/>
      <c r="E17" s="46" t="s">
        <v>1600</v>
      </c>
    </row>
    <row r="18" spans="2:6" x14ac:dyDescent="0.3">
      <c r="B18" s="4" t="str">
        <f>IFERROR(INDEX(DICT_ACTIVE,MATCH("OBR.ADDR.DOOR",DICT_KEY,0))&amp;"","??OBR.ADDR.DOOR")</f>
        <v>Seat – door</v>
      </c>
      <c r="C18" s="5"/>
      <c r="E18" s="46" t="s">
        <v>1601</v>
      </c>
    </row>
    <row r="20" spans="2:6" x14ac:dyDescent="0.3">
      <c r="B20" s="3" t="str">
        <f>IFERROR(INDEX(DICT_ACTIVE,MATCH("OBR.SEC.PERIOD",DICT_KEY,0))&amp;"","??OBR.SEC.PERIOD")</f>
        <v>Reporting period and currency</v>
      </c>
      <c r="C20" s="3"/>
      <c r="D20" s="3"/>
      <c r="E20" s="3"/>
    </row>
    <row r="21" spans="2:6" x14ac:dyDescent="0.3">
      <c r="B21" s="4" t="str">
        <f>IFERROR(INDEX(DICT_ACTIVE,MATCH("OBR.BALANCEDATE",DICT_KEY,0))&amp;"","??OBR.BALANCEDATE")</f>
        <v>Balance sheet date of the business year</v>
      </c>
      <c r="C21" s="47">
        <f>RepDate</f>
        <v>46387</v>
      </c>
      <c r="E21" s="46" t="s">
        <v>1602</v>
      </c>
    </row>
    <row r="22" spans="2:6" x14ac:dyDescent="0.3">
      <c r="B22" s="4" t="str">
        <f>IFERROR(INDEX(DICT_ACTIVE,MATCH("OBR.FROMDATE",DICT_KEY,0))&amp;"","??OBR.FROMDATE")</f>
        <v>Start of the reporting period</v>
      </c>
      <c r="C22" s="47">
        <f>DATE(YEAR(RepDate),1,1)</f>
        <v>46023</v>
      </c>
      <c r="E22" s="46" t="s">
        <v>1603</v>
      </c>
    </row>
    <row r="23" spans="2:6" x14ac:dyDescent="0.3">
      <c r="B23" s="4" t="str">
        <f>IFERROR(INDEX(DICT_ACTIVE,MATCH("OBR.TODATE",DICT_KEY,0))&amp;"","??OBR.TODATE")</f>
        <v>End of the reporting period</v>
      </c>
      <c r="C23" s="47">
        <f>RepDate</f>
        <v>46387</v>
      </c>
      <c r="E23" s="46" t="s">
        <v>1604</v>
      </c>
    </row>
    <row r="24" spans="2:6" x14ac:dyDescent="0.3">
      <c r="B24" s="4" t="str">
        <f>IFERROR(INDEX(DICT_ACTIVE,MATCH("OBR.CURRENCY",DICT_KEY,0))&amp;"","??OBR.CURRENCY")</f>
        <v>Currency (ISO 4217)</v>
      </c>
      <c r="C24" s="5" t="str">
        <f>Ccy</f>
        <v>HUF</v>
      </c>
      <c r="E24" s="46" t="s">
        <v>1605</v>
      </c>
    </row>
    <row r="25" spans="2:6" x14ac:dyDescent="0.3">
      <c r="B25" s="4" t="str">
        <f>IFERROR(INDEX(DICT_ACTIVE,MATCH("OBR.CURRENCYUNIT",DICT_KEY,0))&amp;"","??OBR.CURRENCYUNIT")</f>
        <v>Currency unit</v>
      </c>
      <c r="C25" s="5" t="s">
        <v>140</v>
      </c>
      <c r="D25" s="10" t="str">
        <f>IFERROR(INDEX(LIST_OBRUNIT_CODE,MATCH(C25,LIST_OBRUNIT_EN,0)),IFERROR(INDEX(LIST_OBRUNIT_CODE,MATCH(C25,LIST_OBRUNIT_HU,0)),""))</f>
        <v>ezer</v>
      </c>
      <c r="E25" s="46" t="s">
        <v>1606</v>
      </c>
    </row>
    <row r="27" spans="2:6" x14ac:dyDescent="0.3">
      <c r="B27" s="3" t="str">
        <f>IFERROR(INDEX(DICT_ACTIVE,MATCH("OBR.SEC.COMBO",DICT_KEY,0))&amp;"","??OBR.SEC.COMBO")</f>
        <v>Combination (IFRS)</v>
      </c>
      <c r="C27" s="3"/>
      <c r="D27" s="3"/>
      <c r="E27" s="3"/>
    </row>
    <row r="28" spans="2:6" ht="42" customHeight="1" x14ac:dyDescent="0.3">
      <c r="B28" s="50" t="str">
        <f>IFERROR(INDEX(DICT_ACTIVE,MATCH("OBR.NOTE.FIXED",DICT_KEY,0))&amp;"","??OBR.NOTE.FIXED")</f>
        <v>For an IFRS filer (Regulation (EC) No 1606/2002) the combination table fixes these values: balance sheet and income statement form name = PDF, structure = as per the notes, variation = none.</v>
      </c>
      <c r="C28" s="51"/>
      <c r="D28" s="51"/>
      <c r="E28" s="51"/>
      <c r="F28" s="51"/>
    </row>
    <row r="29" spans="2:6" x14ac:dyDescent="0.3">
      <c r="B29" s="4" t="str">
        <f>IFERROR(INDEX(DICT_ACTIVE,MATCH("OBR.FIRMTYPE",DICT_KEY,0))&amp;"","??OBR.FIRMTYPE")</f>
        <v>Type of undertaking</v>
      </c>
      <c r="C29" s="5" t="s">
        <v>1607</v>
      </c>
      <c r="D29" s="10" t="str">
        <f>IFERROR(INDEX(LIST_OBRFIRMTYPE_CODE,MATCH(C29,LIST_OBRFIRMTYPE_EN,0)),IFERROR(INDEX(LIST_OBRFIRMTYPE_CODE,MATCH(C29,LIST_OBRFIRMTYPE_HU,0)),""))</f>
        <v/>
      </c>
      <c r="E29" s="46" t="s">
        <v>1608</v>
      </c>
    </row>
    <row r="30" spans="2:6" x14ac:dyDescent="0.3">
      <c r="B30" s="4" t="str">
        <f>IFERROR(INDEX(DICT_ACTIVE,MATCH("OBR.REPORTREASON",DICT_KEY,0))&amp;"","??OBR.REPORTREASON")</f>
        <v>Reason for submission</v>
      </c>
      <c r="C30" s="5" t="s">
        <v>1609</v>
      </c>
      <c r="D30" s="10" t="str">
        <f>IFERROR(INDEX(LIST_OBRREASON_CODE,MATCH(C30,LIST_OBRREASON_EN,0)),IFERROR(INDEX(LIST_OBRREASON_CODE,MATCH(C30,LIST_OBRREASON_HU,0)),""))</f>
        <v/>
      </c>
      <c r="E30" s="46" t="s">
        <v>1610</v>
      </c>
    </row>
    <row r="31" spans="2:6" x14ac:dyDescent="0.3">
      <c r="B31" s="4" t="str">
        <f>IFERROR(INDEX(DICT_ACTIVE,MATCH("OBR.LAW",DICT_KEY,0))&amp;"","??OBR.LAW")</f>
        <v>Additional legislation</v>
      </c>
      <c r="C31" s="48" t="str">
        <f>IFERROR(INDEX(LIST_OBRLAW_CODE,1)&amp;"","")</f>
        <v>a nemzetközi számviteli standardok alkalmazásáról szóló 1606/2002/EK (VII.19.) európai parlament és tanács rendelete</v>
      </c>
      <c r="E31" s="46" t="s">
        <v>1611</v>
      </c>
    </row>
    <row r="32" spans="2:6" x14ac:dyDescent="0.3">
      <c r="B32" s="4" t="str">
        <f>IFERROR(INDEX(DICT_ACTIVE,MATCH("OBR.REPORTTYPE",DICT_KEY,0))&amp;"","??OBR.REPORTTYPE")</f>
        <v>Type of financial statements</v>
      </c>
      <c r="C32" s="48" t="str">
        <f>IFERROR(INDEX(LIST_OBRREPTYPE_CODE,1)&amp;"","")</f>
        <v>Éves beszámoló</v>
      </c>
      <c r="E32" s="46" t="s">
        <v>1612</v>
      </c>
    </row>
    <row r="33" spans="2:6" x14ac:dyDescent="0.3">
      <c r="B33" s="4" t="str">
        <f>IFERROR(INDEX(DICT_ACTIVE,MATCH("OBR.BALANCEPATTERN",DICT_KEY,0))&amp;"","??OBR.BALANCEPATTERN")</f>
        <v>Structure of the balance sheet</v>
      </c>
      <c r="C33" s="48" t="str">
        <f>IFERROR(INDEX(LIST_OBRPATTERN_CODE,1)&amp;"","")</f>
        <v>Kiegészítő melléklet szerinti</v>
      </c>
      <c r="E33" s="46" t="s">
        <v>1613</v>
      </c>
    </row>
    <row r="34" spans="2:6" x14ac:dyDescent="0.3">
      <c r="B34" s="4" t="str">
        <f>IFERROR(INDEX(DICT_ACTIVE,MATCH("OBR.BALANCEVARIATION",DICT_KEY,0))&amp;"","??OBR.BALANCEVARIATION")</f>
        <v>Variation of the balance sheet</v>
      </c>
      <c r="C34" s="48" t="str">
        <f>IFERROR(INDEX(LIST_OBRVAR_CODE,1)&amp;"","")</f>
        <v>Nincs</v>
      </c>
      <c r="E34" s="46" t="s">
        <v>1614</v>
      </c>
    </row>
    <row r="35" spans="2:6" x14ac:dyDescent="0.3">
      <c r="B35" s="4" t="str">
        <f>IFERROR(INDEX(DICT_ACTIVE,MATCH("OBR.ISPATTERN",DICT_KEY,0))&amp;"","??OBR.ISPATTERN")</f>
        <v>Structure of the income statement</v>
      </c>
      <c r="C35" s="48" t="str">
        <f>IFERROR(INDEX(LIST_OBRPATTERN_CODE,1)&amp;"","")</f>
        <v>Kiegészítő melléklet szerinti</v>
      </c>
      <c r="E35" s="46" t="s">
        <v>1615</v>
      </c>
    </row>
    <row r="36" spans="2:6" x14ac:dyDescent="0.3">
      <c r="B36" s="4" t="str">
        <f>IFERROR(INDEX(DICT_ACTIVE,MATCH("OBR.ISVARIATION",DICT_KEY,0))&amp;"","??OBR.ISVARIATION")</f>
        <v>Variation of the income statement</v>
      </c>
      <c r="C36" s="48" t="str">
        <f>IFERROR(INDEX(LIST_OBRVAR_CODE,1)&amp;"","")</f>
        <v>Nincs</v>
      </c>
      <c r="E36" s="46" t="s">
        <v>1616</v>
      </c>
    </row>
    <row r="37" spans="2:6" x14ac:dyDescent="0.3">
      <c r="B37" s="4" t="str">
        <f>IFERROR(INDEX(DICT_ACTIVE,MATCH("OBR.BALANCEATTNAME",DICT_KEY,0))&amp;"","??OBR.BALANCEATTNAME")</f>
        <v>Balance sheet form name</v>
      </c>
      <c r="C37" s="48" t="str">
        <f>"PDF"</f>
        <v>PDF</v>
      </c>
      <c r="E37" s="46" t="s">
        <v>1617</v>
      </c>
    </row>
    <row r="38" spans="2:6" x14ac:dyDescent="0.3">
      <c r="B38" s="4" t="str">
        <f>IFERROR(INDEX(DICT_ACTIVE,MATCH("OBR.ISATTNAME",DICT_KEY,0))&amp;"","??OBR.ISATTNAME")</f>
        <v>Income statement form name</v>
      </c>
      <c r="C38" s="48" t="str">
        <f>"PDF"</f>
        <v>PDF</v>
      </c>
      <c r="E38" s="46" t="s">
        <v>1618</v>
      </c>
    </row>
    <row r="40" spans="2:6" x14ac:dyDescent="0.3">
      <c r="B40" s="3" t="str">
        <f>IFERROR(INDEX(DICT_ACTIVE,MATCH("OBR.SEC.ATT",DICT_KEY,0))&amp;"","??OBR.SEC.ATT")</f>
        <v>Attachments</v>
      </c>
      <c r="C40" s="3"/>
      <c r="D40" s="3"/>
      <c r="E40" s="3"/>
    </row>
    <row r="41" spans="2:6" ht="55.95" customHeight="1" x14ac:dyDescent="0.3">
      <c r="B41" s="50" t="str">
        <f>IFERROR(INDEX(DICT_ACTIVE,MATCH("OBR.NOTE.ATT",DICT_KEY,0))&amp;"","??OBR.NOTE.ATT")</f>
        <v>Attachments must be PDF and must not contain scanned documents; their total size may not exceed 20 MB. The balance sheet and the income statement come from the PDF module; the others are selected by the .obr generator in a dialog.</v>
      </c>
      <c r="C41" s="51"/>
      <c r="D41" s="51"/>
      <c r="E41" s="51"/>
      <c r="F41" s="51"/>
    </row>
    <row r="42" spans="2:6" x14ac:dyDescent="0.3">
      <c r="B42" s="3" t="str">
        <f>IFERROR(INDEX(DICT_ACTIVE,MATCH("OBR.ATT.NAME",DICT_KEY,0))&amp;"","??OBR.ATT.NAME")</f>
        <v>Document</v>
      </c>
      <c r="C42" s="3" t="str">
        <f>IFERROR(INDEX(DICT_ACTIVE,MATCH("OBR.ATT.PATH",DICT_KEY,0))&amp;"","??OBR.ATT.PATH")</f>
        <v>Selected file</v>
      </c>
      <c r="F42" s="3" t="str">
        <f>IFERROR(INDEX(DICT_ACTIVE,MATCH("OBR.ATT.REQ",DICT_KEY,0))&amp;"","??OBR.ATT.REQ")</f>
        <v>Required?</v>
      </c>
    </row>
    <row r="43" spans="2:6" x14ac:dyDescent="0.3">
      <c r="B43" s="4" t="str">
        <f>IFERROR(INDEX(DICT_ACTIVE,MATCH("OBR.ATT.BALANCE",DICT_KEY,0))&amp;"","??OBR.ATT.BALANCE")</f>
        <v>Balance sheet (PDF)</v>
      </c>
      <c r="C43" s="4" t="str">
        <f>PDF_MERLEG_UT</f>
        <v>not selected</v>
      </c>
      <c r="F43" s="49" t="str">
        <f>IFERROR(INDEX(DICT_ACTIVE,MATCH("OBR.REQ.MANDATORY",DICT_KEY,0))&amp;"","??OBR.REQ.MANDATORY")</f>
        <v>mandatory</v>
      </c>
    </row>
    <row r="44" spans="2:6" x14ac:dyDescent="0.3">
      <c r="B44" s="4" t="str">
        <f>IFERROR(INDEX(DICT_ACTIVE,MATCH("OBR.ATT.IS",DICT_KEY,0))&amp;"","??OBR.ATT.IS")</f>
        <v>Income statement (PDF)</v>
      </c>
      <c r="C44" s="4" t="str">
        <f>PDF_EREDMENY_UT</f>
        <v>not selected</v>
      </c>
      <c r="F44" s="49" t="str">
        <f>IFERROR(INDEX(DICT_ACTIVE,MATCH("OBR.REQ.MANDATORY",DICT_KEY,0))&amp;"","??OBR.REQ.MANDATORY")</f>
        <v>mandatory</v>
      </c>
    </row>
    <row r="45" spans="2:6" x14ac:dyDescent="0.3">
      <c r="B45" s="4" t="str">
        <f>IFERROR(INDEX(DICT_ACTIVE,MATCH("OBR.ATT.NOTES",DICT_KEY,0))&amp;"","??OBR.ATT.NOTES")</f>
        <v>Notes to the financial statements</v>
      </c>
      <c r="C45" s="4" t="str">
        <f>IFERROR(INDEX(DICT_ACTIVE,MATCH("PDF.NONE",DICT_KEY,0))&amp;"","??PDF.NONE")</f>
        <v>not selected</v>
      </c>
      <c r="F45" s="49" t="str">
        <f>IFERROR(INDEX(DICT_ACTIVE,MATCH("OBR.REQ.MANDATORY",DICT_KEY,0))&amp;"","??OBR.REQ.MANDATORY")</f>
        <v>mandatory</v>
      </c>
    </row>
    <row r="46" spans="2:6" x14ac:dyDescent="0.3">
      <c r="B46" s="4" t="str">
        <f>IFERROR(INDEX(DICT_ACTIVE,MATCH("OBR.ATT.RESOLUTION",DICT_KEY,0))&amp;"","??OBR.ATT.RESOLUTION")</f>
        <v>Resolution on the use of the net income</v>
      </c>
      <c r="C46" s="4" t="str">
        <f>IFERROR(INDEX(DICT_ACTIVE,MATCH("PDF.NONE",DICT_KEY,0))&amp;"","??PDF.NONE")</f>
        <v>not selected</v>
      </c>
      <c r="F46" s="49" t="str">
        <f>IFERROR(INDEX(DICT_ACTIVE,MATCH("OBR.REQ.MANDATORY",DICT_KEY,0))&amp;"","??OBR.REQ.MANDATORY")</f>
        <v>mandatory</v>
      </c>
    </row>
    <row r="47" spans="2:6" x14ac:dyDescent="0.3">
      <c r="B47" s="4" t="str">
        <f>IFERROR(INDEX(DICT_ACTIVE,MATCH("OBR.ATT.AUDIT",DICT_KEY,0))&amp;"","??OBR.ATT.AUDIT")</f>
        <v>Independent auditor's report</v>
      </c>
      <c r="C47" s="4" t="str">
        <f>IFERROR(INDEX(DICT_ACTIVE,MATCH("PDF.NONE",DICT_KEY,0))&amp;"","??PDF.NONE")</f>
        <v>not selected</v>
      </c>
      <c r="F47" s="49" t="str">
        <f>IFERROR(INDEX(DICT_ACTIVE,MATCH("OBR.REQ.OPTIONAL",DICT_KEY,0))&amp;"","??OBR.REQ.OPTIONAL")</f>
        <v>optional</v>
      </c>
    </row>
  </sheetData>
  <sheetProtection algorithmName="SHA-512" hashValue="sVSSKQwQSY0u8FyyguNBEUdCSa7br87S/6RW7070PLC6A5oGvxQEG2WursxYZBnThQ06WdQjbDVF5TiGkdmUeQ==" saltValue="SvI8EO4Y+1jYYQ02JsSeJw==" spinCount="100000" sheet="1" objects="1" scenarios="1" formatCells="0" autoFilter="0" pivotTables="0"/>
  <mergeCells count="3">
    <mergeCell ref="B2:F2"/>
    <mergeCell ref="B41:F41"/>
    <mergeCell ref="B28:F28"/>
  </mergeCells>
  <dataValidations count="3">
    <dataValidation type="list" allowBlank="1" showErrorMessage="1" sqref="C25" xr:uid="{00000000-0002-0000-0F00-000000000000}">
      <formula1>INDEX(LIST_OBRUNIT_TXT,0,LangIdx)</formula1>
    </dataValidation>
    <dataValidation type="list" allowBlank="1" showErrorMessage="1" sqref="C29" xr:uid="{00000000-0002-0000-0F00-000001000000}">
      <formula1>INDEX(LIST_OBRFIRMTYPE_TXT,0,LangIdx)</formula1>
    </dataValidation>
    <dataValidation type="list" allowBlank="1" showErrorMessage="1" sqref="C30" xr:uid="{00000000-0002-0000-0F00-000002000000}">
      <formula1>INDEX(LIST_OBRREASON_TXT,0,LangIdx)</formula1>
    </dataValidation>
  </dataValidations>
  <pageMargins left="0.75" right="0.75" top="1" bottom="1" header="0.5" footer="0.5"/>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Munkalapok</vt:lpstr>
      </vt:variant>
      <vt:variant>
        <vt:i4>16</vt:i4>
      </vt:variant>
      <vt:variant>
        <vt:lpstr>Névvel ellátott tartományok</vt:lpstr>
      </vt:variant>
      <vt:variant>
        <vt:i4>219</vt:i4>
      </vt:variant>
    </vt:vector>
  </HeadingPairs>
  <TitlesOfParts>
    <vt:vector size="235" baseType="lpstr">
      <vt:lpstr>00_SETTINGS</vt:lpstr>
      <vt:lpstr>01_DICT</vt:lpstr>
      <vt:lpstr>02_COA</vt:lpstr>
      <vt:lpstr>03_TB</vt:lpstr>
      <vt:lpstr>04_ADJ</vt:lpstr>
      <vt:lpstr>05_ENGINE</vt:lpstr>
      <vt:lpstr>06_SFP</vt:lpstr>
      <vt:lpstr>07_PL</vt:lpstr>
      <vt:lpstr>08_OCI</vt:lpstr>
      <vt:lpstr>09_SCE</vt:lpstr>
      <vt:lpstr>10_CF</vt:lpstr>
      <vt:lpstr>11_MPM</vt:lpstr>
      <vt:lpstr>12_NOTES</vt:lpstr>
      <vt:lpstr>20_CHECKS</vt:lpstr>
      <vt:lpstr>90_LISTS</vt:lpstr>
      <vt:lpstr>30_OBR</vt:lpstr>
      <vt:lpstr>ADJ_ACCT</vt:lpstr>
      <vt:lpstr>ADJ_CF</vt:lpstr>
      <vt:lpstr>ADJ_CHK</vt:lpstr>
      <vt:lpstr>ADJ_ID</vt:lpstr>
      <vt:lpstr>ADJ_LINEKEY</vt:lpstr>
      <vt:lpstr>ADJ_NATKEY</vt:lpstr>
      <vt:lpstr>ADJ_NET</vt:lpstr>
      <vt:lpstr>ADJ_PER</vt:lpstr>
      <vt:lpstr>Ccy</vt:lpstr>
      <vt:lpstr>CF_DIFF_CY</vt:lpstr>
      <vt:lpstr>CF_DIFF_PY</vt:lpstr>
      <vt:lpstr>CF_UNEXPL_TOTAL</vt:lpstr>
      <vt:lpstr>CFT_CY</vt:lpstr>
      <vt:lpstr>CFT_MOVCY</vt:lpstr>
      <vt:lpstr>CFT_MOVPY</vt:lpstr>
      <vt:lpstr>CFT_OP</vt:lpstr>
      <vt:lpstr>CFT_PY</vt:lpstr>
      <vt:lpstr>CFT_TAG</vt:lpstr>
      <vt:lpstr>COA_ACCT</vt:lpstr>
      <vt:lpstr>COA_CAT_EFF</vt:lpstr>
      <vt:lpstr>COA_CAT_FX</vt:lpstr>
      <vt:lpstr>COA_CF</vt:lpstr>
      <vt:lpstr>COA_CHK</vt:lpstr>
      <vt:lpstr>COA_LINE_EFF</vt:lpstr>
      <vt:lpstr>COA_LINE_N</vt:lpstr>
      <vt:lpstr>COA_NAME</vt:lpstr>
      <vt:lpstr>COA_OTHER</vt:lpstr>
      <vt:lpstr>COA_SCE</vt:lpstr>
      <vt:lpstr>COA_STMT</vt:lpstr>
      <vt:lpstr>DICT_ACTIVE</vt:lpstr>
      <vt:lpstr>DICT_DUP</vt:lpstr>
      <vt:lpstr>DICT_EN</vt:lpstr>
      <vt:lpstr>DICT_HU</vt:lpstr>
      <vt:lpstr>DICT_KEY</vt:lpstr>
      <vt:lpstr>ENG_CAT</vt:lpstr>
      <vt:lpstr>ENG_CNC</vt:lpstr>
      <vt:lpstr>ENG_CY</vt:lpstr>
      <vt:lpstr>ENG_CYP</vt:lpstr>
      <vt:lpstr>ENG_KEY</vt:lpstr>
      <vt:lpstr>ENG_KIND</vt:lpstr>
      <vt:lpstr>ENG_MOVCY</vt:lpstr>
      <vt:lpstr>ENG_MOVPY</vt:lpstr>
      <vt:lpstr>ENG_NATCY</vt:lpstr>
      <vt:lpstr>ENG_NATPY</vt:lpstr>
      <vt:lpstr>ENG_OP</vt:lpstr>
      <vt:lpstr>ENG_PY</vt:lpstr>
      <vt:lpstr>ENG_PYP</vt:lpstr>
      <vt:lpstr>ENG_RECLASS</vt:lpstr>
      <vt:lpstr>ENG_SIGN</vt:lpstr>
      <vt:lpstr>ENG_STMT</vt:lpstr>
      <vt:lpstr>EntityName</vt:lpstr>
      <vt:lpstr>ExpMethod</vt:lpstr>
      <vt:lpstr>Lang</vt:lpstr>
      <vt:lpstr>LeaseIntAccrued</vt:lpstr>
      <vt:lpstr>LIST_CAT_CODE</vt:lpstr>
      <vt:lpstr>LIST_CAT_EN</vt:lpstr>
      <vt:lpstr>LIST_CAT_HU</vt:lpstr>
      <vt:lpstr>LIST_CAT_TXT</vt:lpstr>
      <vt:lpstr>LIST_CF_CODE</vt:lpstr>
      <vt:lpstr>LIST_CF_EN</vt:lpstr>
      <vt:lpstr>LIST_CF_HU</vt:lpstr>
      <vt:lpstr>LIST_CF_TXT</vt:lpstr>
      <vt:lpstr>LIST_CNC_CODE</vt:lpstr>
      <vt:lpstr>LIST_CNC_EN</vt:lpstr>
      <vt:lpstr>LIST_CNC_HU</vt:lpstr>
      <vt:lpstr>LIST_CNC_TXT</vt:lpstr>
      <vt:lpstr>LIST_EXP_CODE</vt:lpstr>
      <vt:lpstr>LIST_EXP_EN</vt:lpstr>
      <vt:lpstr>LIST_EXP_HU</vt:lpstr>
      <vt:lpstr>LIST_EXP_TXT</vt:lpstr>
      <vt:lpstr>LIST_KIND_CODE</vt:lpstr>
      <vt:lpstr>LIST_KIND_EN</vt:lpstr>
      <vt:lpstr>LIST_KIND_HU</vt:lpstr>
      <vt:lpstr>LIST_KIND_TXT</vt:lpstr>
      <vt:lpstr>LIST_LANGS</vt:lpstr>
      <vt:lpstr>LIST_LANGS_CODE</vt:lpstr>
      <vt:lpstr>LIST_LANGS_EN</vt:lpstr>
      <vt:lpstr>LIST_LANGS_HU</vt:lpstr>
      <vt:lpstr>LIST_LANGS_TXT</vt:lpstr>
      <vt:lpstr>LIST_LINEKEYS_CODE</vt:lpstr>
      <vt:lpstr>LIST_LINEKEYS_F_CODE</vt:lpstr>
      <vt:lpstr>LIST_LINEKEYS_N_CODE</vt:lpstr>
      <vt:lpstr>LIST_MBA_CODE</vt:lpstr>
      <vt:lpstr>LIST_MBA_EN</vt:lpstr>
      <vt:lpstr>LIST_MBA_HU</vt:lpstr>
      <vt:lpstr>LIST_MBA_TXT</vt:lpstr>
      <vt:lpstr>LIST_OBRFIRMTYPE_CODE</vt:lpstr>
      <vt:lpstr>LIST_OBRFIRMTYPE_EN</vt:lpstr>
      <vt:lpstr>LIST_OBRFIRMTYPE_HU</vt:lpstr>
      <vt:lpstr>LIST_OBRFIRMTYPE_TXT</vt:lpstr>
      <vt:lpstr>LIST_OBRLAW_CODE</vt:lpstr>
      <vt:lpstr>LIST_OBRLAW_EN</vt:lpstr>
      <vt:lpstr>LIST_OBRLAW_HU</vt:lpstr>
      <vt:lpstr>LIST_OBRLAW_TXT</vt:lpstr>
      <vt:lpstr>LIST_OBRPATTERN_CODE</vt:lpstr>
      <vt:lpstr>LIST_OBRPATTERN_EN</vt:lpstr>
      <vt:lpstr>LIST_OBRPATTERN_HU</vt:lpstr>
      <vt:lpstr>LIST_OBRPATTERN_TXT</vt:lpstr>
      <vt:lpstr>LIST_OBRREASON_CODE</vt:lpstr>
      <vt:lpstr>LIST_OBRREASON_EN</vt:lpstr>
      <vt:lpstr>LIST_OBRREASON_HU</vt:lpstr>
      <vt:lpstr>LIST_OBRREASON_TXT</vt:lpstr>
      <vt:lpstr>LIST_OBRREPTYPE_CODE</vt:lpstr>
      <vt:lpstr>LIST_OBRREPTYPE_EN</vt:lpstr>
      <vt:lpstr>LIST_OBRREPTYPE_HU</vt:lpstr>
      <vt:lpstr>LIST_OBRREPTYPE_TXT</vt:lpstr>
      <vt:lpstr>LIST_OBRUNIT_CODE</vt:lpstr>
      <vt:lpstr>LIST_OBRUNIT_EN</vt:lpstr>
      <vt:lpstr>LIST_OBRUNIT_HU</vt:lpstr>
      <vt:lpstr>LIST_OBRUNIT_TXT</vt:lpstr>
      <vt:lpstr>LIST_OBRVAR_CODE</vt:lpstr>
      <vt:lpstr>LIST_OBRVAR_EN</vt:lpstr>
      <vt:lpstr>LIST_OBRVAR_HU</vt:lpstr>
      <vt:lpstr>LIST_OBRVAR_TXT</vt:lpstr>
      <vt:lpstr>LIST_PER_CODE</vt:lpstr>
      <vt:lpstr>LIST_PER_EN</vt:lpstr>
      <vt:lpstr>LIST_PER_HU</vt:lpstr>
      <vt:lpstr>LIST_PER_TXT</vt:lpstr>
      <vt:lpstr>LIST_RECLASS_CODE</vt:lpstr>
      <vt:lpstr>LIST_RECLASS_EN</vt:lpstr>
      <vt:lpstr>LIST_RECLASS_HU</vt:lpstr>
      <vt:lpstr>LIST_RECLASS_TXT</vt:lpstr>
      <vt:lpstr>LIST_SCE_CODE</vt:lpstr>
      <vt:lpstr>LIST_SCE_EN</vt:lpstr>
      <vt:lpstr>LIST_SCE_HU</vt:lpstr>
      <vt:lpstr>LIST_SCE_TXT</vt:lpstr>
      <vt:lpstr>LIST_STMT_CODE</vt:lpstr>
      <vt:lpstr>LIST_STMT_EN</vt:lpstr>
      <vt:lpstr>LIST_STMT_HU</vt:lpstr>
      <vt:lpstr>LIST_STMT_TXT</vt:lpstr>
      <vt:lpstr>LIST_SUBT_CODE</vt:lpstr>
      <vt:lpstr>LIST_SUBT_EN</vt:lpstr>
      <vt:lpstr>LIST_SUBT_HU</vt:lpstr>
      <vt:lpstr>LIST_SUBT_TXT</vt:lpstr>
      <vt:lpstr>LIST_UNIT_CODE</vt:lpstr>
      <vt:lpstr>LIST_UNIT_EN</vt:lpstr>
      <vt:lpstr>LIST_UNIT_HU</vt:lpstr>
      <vt:lpstr>LIST_UNIT_TXT</vt:lpstr>
      <vt:lpstr>LIST_YN_CODE</vt:lpstr>
      <vt:lpstr>LIST_YN_EN</vt:lpstr>
      <vt:lpstr>LIST_YN_HU</vt:lpstr>
      <vt:lpstr>LIST_YN_TXT</vt:lpstr>
      <vt:lpstr>MbaFinance</vt:lpstr>
      <vt:lpstr>MbaInvest</vt:lpstr>
      <vt:lpstr>MPM_CHK</vt:lpstr>
      <vt:lpstr>NOTEA_AGREE_CY</vt:lpstr>
      <vt:lpstr>NOTEA_AGREE_PY</vt:lpstr>
      <vt:lpstr>'00_SETTINGS'!Nyomtatási_terület</vt:lpstr>
      <vt:lpstr>'01_DICT'!Nyomtatási_terület</vt:lpstr>
      <vt:lpstr>'02_COA'!Nyomtatási_terület</vt:lpstr>
      <vt:lpstr>'03_TB'!Nyomtatási_terület</vt:lpstr>
      <vt:lpstr>'04_ADJ'!Nyomtatási_terület</vt:lpstr>
      <vt:lpstr>'05_ENGINE'!Nyomtatási_terület</vt:lpstr>
      <vt:lpstr>'06_SFP'!Nyomtatási_terület</vt:lpstr>
      <vt:lpstr>'07_PL'!Nyomtatási_terület</vt:lpstr>
      <vt:lpstr>'08_OCI'!Nyomtatási_terület</vt:lpstr>
      <vt:lpstr>'09_SCE'!Nyomtatási_terület</vt:lpstr>
      <vt:lpstr>'10_CF'!Nyomtatási_terület</vt:lpstr>
      <vt:lpstr>'11_MPM'!Nyomtatási_terület</vt:lpstr>
      <vt:lpstr>'12_NOTES'!Nyomtatási_terület</vt:lpstr>
      <vt:lpstr>'20_CHECKS'!Nyomtatási_terület</vt:lpstr>
      <vt:lpstr>'30_OBR'!Nyomtatási_terület</vt:lpstr>
      <vt:lpstr>OBR_ATT_BALANCE</vt:lpstr>
      <vt:lpstr>OBR_ATT_FINANCIALSTATEMENTNOTES</vt:lpstr>
      <vt:lpstr>OBR_ATT_INCOMESTATEMENT</vt:lpstr>
      <vt:lpstr>OBR_ATT_NETINCOMERESOLUTION</vt:lpstr>
      <vt:lpstr>OBR_ATT_UNQUALIFIEDAUDITREPORT</vt:lpstr>
      <vt:lpstr>OBR_EAZON</vt:lpstr>
      <vt:lpstr>OBR_ERTEK</vt:lpstr>
      <vt:lpstr>OBR_KOD</vt:lpstr>
      <vt:lpstr>OBR_ROW_FIRST</vt:lpstr>
      <vt:lpstr>OpDate</vt:lpstr>
      <vt:lpstr>OtherThreshold</vt:lpstr>
      <vt:lpstr>PDF_EREDMENY_UT</vt:lpstr>
      <vt:lpstr>PDF_MERET_KB</vt:lpstr>
      <vt:lpstr>PDF_MERLEG_UT</vt:lpstr>
      <vt:lpstr>PL_EBITDA_CY</vt:lpstr>
      <vt:lpstr>PL_EBITDA_PY</vt:lpstr>
      <vt:lpstr>PL_OP_CY</vt:lpstr>
      <vt:lpstr>PL_OP_PY</vt:lpstr>
      <vt:lpstr>PL_PBFIT_CY</vt:lpstr>
      <vt:lpstr>PL_PBFIT_PY</vt:lpstr>
      <vt:lpstr>PL_PBT_CY</vt:lpstr>
      <vt:lpstr>PL_PBT_PY</vt:lpstr>
      <vt:lpstr>PL_PROFIT_CY</vt:lpstr>
      <vt:lpstr>PL_PROFIT_PY</vt:lpstr>
      <vt:lpstr>PyDate</vt:lpstr>
      <vt:lpstr>RepDate</vt:lpstr>
      <vt:lpstr>SCE_CLOSE_TOTAL_CY</vt:lpstr>
      <vt:lpstr>SCE_CLOSE_TOTAL_PY</vt:lpstr>
      <vt:lpstr>SCE_DIV_CY</vt:lpstr>
      <vt:lpstr>SCE_DIV_PY</vt:lpstr>
      <vt:lpstr>SCE_ISSUE_CY</vt:lpstr>
      <vt:lpstr>SCE_ISSUE_PY</vt:lpstr>
      <vt:lpstr>SCE_RESID_TOTAL</vt:lpstr>
      <vt:lpstr>SFP_DIFF_CY</vt:lpstr>
      <vt:lpstr>SFP_DIFF_PY</vt:lpstr>
      <vt:lpstr>SFP_EQ_CY</vt:lpstr>
      <vt:lpstr>SFP_EQ_PY</vt:lpstr>
      <vt:lpstr>SFP_TOTA_CY</vt:lpstr>
      <vt:lpstr>SFP_TOTA_PY</vt:lpstr>
      <vt:lpstr>SFP_TOTEL_CY</vt:lpstr>
      <vt:lpstr>SFP_TOTEL_PY</vt:lpstr>
      <vt:lpstr>ShowEbitda</vt:lpstr>
      <vt:lpstr>TaxRate</vt:lpstr>
      <vt:lpstr>TB_ACCT</vt:lpstr>
      <vt:lpstr>TB_CAT</vt:lpstr>
      <vt:lpstr>TB_CF</vt:lpstr>
      <vt:lpstr>TB_CHK</vt:lpstr>
      <vt:lpstr>TB_CY</vt:lpstr>
      <vt:lpstr>TB_LINEKEY</vt:lpstr>
      <vt:lpstr>TB_NATKEY</vt:lpstr>
      <vt:lpstr>TB_OP</vt:lpstr>
      <vt:lpstr>TB_PY</vt:lpstr>
      <vt:lpstr>TB_SUM_CY</vt:lpstr>
      <vt:lpstr>TB_SUM_OP</vt:lpstr>
      <vt:lpstr>TB_SUM_PY</vt:lpstr>
      <vt:lpstr>Unit</vt:lpstr>
      <vt:lpstr>UnitLabel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David S</cp:lastModifiedBy>
  <dcterms:created xsi:type="dcterms:W3CDTF">2026-09-10T23:00:02Z</dcterms:created>
  <dcterms:modified xsi:type="dcterms:W3CDTF">2026-09-12T17:55:19Z</dcterms:modified>
</cp:coreProperties>
</file>