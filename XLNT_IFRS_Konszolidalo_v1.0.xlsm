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P:\MUNKAHELYRŐL\#XLLENT.AC\MUNKA\#FOLYAMATBAN\Konszolidáló\IFRS\#LEVÉDETT\"/>
    </mc:Choice>
  </mc:AlternateContent>
  <xr:revisionPtr revIDLastSave="0" documentId="13_ncr:1_{F66E8796-24D8-4932-8748-71AA381391FC}" xr6:coauthVersionLast="47" xr6:coauthVersionMax="47" xr10:uidLastSave="{00000000-0000-0000-0000-000000000000}"/>
  <bookViews>
    <workbookView xWindow="-108" yWindow="-108" windowWidth="23256" windowHeight="12456" tabRatio="764" xr2:uid="{00000000-000D-0000-FFFF-FFFF00000000}"/>
  </bookViews>
  <sheets>
    <sheet name="00_KEZDOLAP" sheetId="1" r:id="rId1"/>
    <sheet name="01_BEALLITASOK" sheetId="2" r:id="rId2"/>
    <sheet name="02_CSOPORT" sheetId="3" r:id="rId3"/>
    <sheet name="03_ADATBEVITEL" sheetId="4" r:id="rId4"/>
    <sheet name="03B_NYITO" sheetId="5" r:id="rId5"/>
    <sheet name="04_AKVIZICIO" sheetId="6" r:id="rId6"/>
    <sheet name="05_EGYENLEGEK" sheetId="7" r:id="rId7"/>
    <sheet name="06_KOZBENSO" sheetId="8" r:id="rId8"/>
    <sheet name="07_BEVRAF" sheetId="9" r:id="rId9"/>
    <sheet name="08_EQUITY" sheetId="10" r:id="rId10"/>
    <sheet name="09_HALASZTOTT" sheetId="11" r:id="rId11"/>
    <sheet name="10_GOODWILL" sheetId="12" r:id="rId12"/>
    <sheet name="11_NAPLO" sheetId="13" r:id="rId13"/>
    <sheet name="12_MUNKATABLA" sheetId="14" r:id="rId14"/>
    <sheet name="13_SFP" sheetId="15" r:id="rId15"/>
    <sheet name="14_PL" sheetId="16" r:id="rId16"/>
    <sheet name="15_SOCIE" sheetId="17" r:id="rId17"/>
    <sheet name="16_CASHFLOW" sheetId="18" r:id="rId18"/>
    <sheet name="20_ELLENORZES" sheetId="19" r:id="rId19"/>
    <sheet name="90_SEMA" sheetId="20" r:id="rId20"/>
    <sheet name="91_NYELV" sheetId="21" state="hidden" r:id="rId21"/>
    <sheet name="99_SUGO" sheetId="22" r:id="rId22"/>
  </sheets>
  <functionGroups builtInGroupCount="19"/>
  <definedNames>
    <definedName name="ADO_KULCS">'01_BEALLITASOK'!$C$11</definedName>
    <definedName name="KOLT_VALT">'01_BEALLITASOK'!$C$14</definedName>
    <definedName name="NYELV_IDX">'01_BEALLITASOK'!$C$13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22" i="22" l="1"/>
  <c r="B22" i="22"/>
  <c r="C20" i="22"/>
  <c r="B20" i="22"/>
  <c r="C18" i="22"/>
  <c r="B18" i="22"/>
  <c r="C16" i="22"/>
  <c r="B16" i="22"/>
  <c r="C14" i="22"/>
  <c r="B14" i="22"/>
  <c r="C12" i="22"/>
  <c r="B12" i="22"/>
  <c r="C10" i="22"/>
  <c r="B10" i="22"/>
  <c r="C8" i="22"/>
  <c r="B8" i="22"/>
  <c r="C6" i="22"/>
  <c r="B6" i="22"/>
  <c r="B3" i="22"/>
  <c r="B4" i="20"/>
  <c r="B3" i="20"/>
  <c r="C16" i="19"/>
  <c r="C14" i="19"/>
  <c r="C13" i="19"/>
  <c r="C12" i="19"/>
  <c r="C11" i="19"/>
  <c r="C10" i="19"/>
  <c r="C9" i="19"/>
  <c r="C8" i="19"/>
  <c r="C7" i="19"/>
  <c r="E6" i="19"/>
  <c r="D6" i="19"/>
  <c r="C6" i="19"/>
  <c r="B6" i="19"/>
  <c r="B3" i="19"/>
  <c r="C45" i="18"/>
  <c r="C43" i="18"/>
  <c r="I42" i="18"/>
  <c r="G42" i="18"/>
  <c r="C42" i="18"/>
  <c r="I41" i="18"/>
  <c r="G41" i="18"/>
  <c r="E41" i="18"/>
  <c r="C41" i="18"/>
  <c r="C40" i="18"/>
  <c r="C39" i="18"/>
  <c r="I38" i="18"/>
  <c r="G38" i="18"/>
  <c r="C38" i="18"/>
  <c r="I37" i="18"/>
  <c r="G37" i="18"/>
  <c r="C37" i="18"/>
  <c r="I36" i="18"/>
  <c r="G36" i="18"/>
  <c r="C36" i="18"/>
  <c r="I35" i="18"/>
  <c r="G35" i="18"/>
  <c r="C35" i="18"/>
  <c r="I34" i="18"/>
  <c r="G34" i="18"/>
  <c r="C34" i="18"/>
  <c r="I33" i="18"/>
  <c r="G33" i="18"/>
  <c r="C33" i="18"/>
  <c r="I32" i="18"/>
  <c r="G32" i="18"/>
  <c r="C32" i="18"/>
  <c r="I31" i="18"/>
  <c r="G31" i="18"/>
  <c r="G39" i="18" s="1"/>
  <c r="C31" i="18"/>
  <c r="C30" i="18"/>
  <c r="C29" i="18"/>
  <c r="I28" i="18"/>
  <c r="G28" i="18"/>
  <c r="C28" i="18"/>
  <c r="I27" i="18"/>
  <c r="G27" i="18"/>
  <c r="C27" i="18"/>
  <c r="I26" i="18"/>
  <c r="G26" i="18"/>
  <c r="C26" i="18"/>
  <c r="I25" i="18"/>
  <c r="G25" i="18"/>
  <c r="C25" i="18"/>
  <c r="I24" i="18"/>
  <c r="G24" i="18"/>
  <c r="C24" i="18"/>
  <c r="I23" i="18"/>
  <c r="G23" i="18"/>
  <c r="C23" i="18"/>
  <c r="I22" i="18"/>
  <c r="G22" i="18"/>
  <c r="C22" i="18"/>
  <c r="I21" i="18"/>
  <c r="G21" i="18"/>
  <c r="G29" i="18" s="1"/>
  <c r="C21" i="18"/>
  <c r="C20" i="18"/>
  <c r="C19" i="18"/>
  <c r="I18" i="18"/>
  <c r="G18" i="18"/>
  <c r="C18" i="18"/>
  <c r="I17" i="18"/>
  <c r="C17" i="18"/>
  <c r="I16" i="18"/>
  <c r="C16" i="18"/>
  <c r="I15" i="18"/>
  <c r="C15" i="18"/>
  <c r="I14" i="18"/>
  <c r="C14" i="18"/>
  <c r="I13" i="18"/>
  <c r="C13" i="18"/>
  <c r="I12" i="18"/>
  <c r="G12" i="18"/>
  <c r="C12" i="18"/>
  <c r="I11" i="18"/>
  <c r="G11" i="18"/>
  <c r="C11" i="18"/>
  <c r="I10" i="18"/>
  <c r="C10" i="18"/>
  <c r="I9" i="18"/>
  <c r="G9" i="18"/>
  <c r="C9" i="18"/>
  <c r="I8" i="18"/>
  <c r="C8" i="18"/>
  <c r="C7" i="18"/>
  <c r="I6" i="18"/>
  <c r="H6" i="18"/>
  <c r="G6" i="18"/>
  <c r="F6" i="18"/>
  <c r="E6" i="18"/>
  <c r="D6" i="18"/>
  <c r="C6" i="18"/>
  <c r="B6" i="18"/>
  <c r="B4" i="18"/>
  <c r="B3" i="18"/>
  <c r="F18" i="17"/>
  <c r="C18" i="17"/>
  <c r="J17" i="17"/>
  <c r="L17" i="17" s="1"/>
  <c r="C17" i="17"/>
  <c r="J16" i="17"/>
  <c r="L16" i="17" s="1"/>
  <c r="C16" i="17"/>
  <c r="J15" i="17"/>
  <c r="L15" i="17" s="1"/>
  <c r="C15" i="17"/>
  <c r="J14" i="17"/>
  <c r="L14" i="17" s="1"/>
  <c r="C14" i="17"/>
  <c r="J13" i="17"/>
  <c r="L13" i="17" s="1"/>
  <c r="C13" i="17"/>
  <c r="J12" i="17"/>
  <c r="L12" i="17" s="1"/>
  <c r="C12" i="17"/>
  <c r="J11" i="17"/>
  <c r="L11" i="17" s="1"/>
  <c r="C11" i="17"/>
  <c r="I10" i="17"/>
  <c r="H10" i="17"/>
  <c r="F10" i="17"/>
  <c r="E10" i="17"/>
  <c r="D10" i="17"/>
  <c r="C10" i="17"/>
  <c r="J9" i="17"/>
  <c r="L9" i="17" s="1"/>
  <c r="C9" i="17"/>
  <c r="C8" i="17"/>
  <c r="K7" i="17"/>
  <c r="I7" i="17"/>
  <c r="I18" i="17" s="1"/>
  <c r="H7" i="17"/>
  <c r="H18" i="17" s="1"/>
  <c r="G7" i="17"/>
  <c r="F7" i="17"/>
  <c r="E7" i="17"/>
  <c r="E18" i="17" s="1"/>
  <c r="D7" i="17"/>
  <c r="D18" i="17" s="1"/>
  <c r="C7" i="17"/>
  <c r="L6" i="17"/>
  <c r="K6" i="17"/>
  <c r="J6" i="17"/>
  <c r="I6" i="17"/>
  <c r="H6" i="17"/>
  <c r="G6" i="17"/>
  <c r="F6" i="17"/>
  <c r="E6" i="17"/>
  <c r="D6" i="17"/>
  <c r="B4" i="17"/>
  <c r="B3" i="17"/>
  <c r="C61" i="16"/>
  <c r="E59" i="16"/>
  <c r="C59" i="16"/>
  <c r="E58" i="16"/>
  <c r="C58" i="16"/>
  <c r="E57" i="16"/>
  <c r="C57" i="16"/>
  <c r="E56" i="16"/>
  <c r="C56" i="16"/>
  <c r="E55" i="16"/>
  <c r="C55" i="16"/>
  <c r="E54" i="16"/>
  <c r="C54" i="16"/>
  <c r="E53" i="16"/>
  <c r="C53" i="16"/>
  <c r="E52" i="16"/>
  <c r="C52" i="16"/>
  <c r="E51" i="16"/>
  <c r="C51" i="16"/>
  <c r="E50" i="16"/>
  <c r="C50" i="16"/>
  <c r="E49" i="16"/>
  <c r="C49" i="16"/>
  <c r="E48" i="16"/>
  <c r="C48" i="16"/>
  <c r="E47" i="16"/>
  <c r="C47" i="16"/>
  <c r="E46" i="16"/>
  <c r="C46" i="16"/>
  <c r="E45" i="16"/>
  <c r="C45" i="16"/>
  <c r="E43" i="16"/>
  <c r="C43" i="16"/>
  <c r="E42" i="16"/>
  <c r="C42" i="16"/>
  <c r="E41" i="16"/>
  <c r="C41" i="16"/>
  <c r="E40" i="16"/>
  <c r="C40" i="16"/>
  <c r="E39" i="16"/>
  <c r="C39" i="16"/>
  <c r="C38" i="16"/>
  <c r="E36" i="16"/>
  <c r="C36" i="16"/>
  <c r="E35" i="16"/>
  <c r="C35" i="16"/>
  <c r="E34" i="16"/>
  <c r="C34" i="16"/>
  <c r="E33" i="16"/>
  <c r="C33" i="16"/>
  <c r="E32" i="16"/>
  <c r="C32" i="16"/>
  <c r="E31" i="16"/>
  <c r="C31" i="16"/>
  <c r="E30" i="16"/>
  <c r="C30" i="16"/>
  <c r="E29" i="16"/>
  <c r="C29" i="16"/>
  <c r="E28" i="16"/>
  <c r="C28" i="16"/>
  <c r="E27" i="16"/>
  <c r="C27" i="16"/>
  <c r="E26" i="16"/>
  <c r="C26" i="16"/>
  <c r="E25" i="16"/>
  <c r="C25" i="16"/>
  <c r="E24" i="16"/>
  <c r="C24" i="16"/>
  <c r="E23" i="16"/>
  <c r="C23" i="16"/>
  <c r="E22" i="16"/>
  <c r="C22" i="16"/>
  <c r="E21" i="16"/>
  <c r="C21" i="16"/>
  <c r="E20" i="16"/>
  <c r="C20" i="16"/>
  <c r="E19" i="16"/>
  <c r="C19" i="16"/>
  <c r="E18" i="16"/>
  <c r="C18" i="16"/>
  <c r="E17" i="16"/>
  <c r="C17" i="16"/>
  <c r="E16" i="16"/>
  <c r="C16" i="16"/>
  <c r="E15" i="16"/>
  <c r="C15" i="16"/>
  <c r="E14" i="16"/>
  <c r="C14" i="16"/>
  <c r="E13" i="16"/>
  <c r="C13" i="16"/>
  <c r="E12" i="16"/>
  <c r="C12" i="16"/>
  <c r="E11" i="16"/>
  <c r="C11" i="16"/>
  <c r="E10" i="16"/>
  <c r="C10" i="16"/>
  <c r="E9" i="16"/>
  <c r="C9" i="16"/>
  <c r="E8" i="16"/>
  <c r="C8" i="16"/>
  <c r="E7" i="16"/>
  <c r="C7" i="16"/>
  <c r="F6" i="16"/>
  <c r="E6" i="16"/>
  <c r="D6" i="16"/>
  <c r="C6" i="16"/>
  <c r="B6" i="16"/>
  <c r="B4" i="16"/>
  <c r="B3" i="16"/>
  <c r="E52" i="15"/>
  <c r="C52" i="15"/>
  <c r="E51" i="15"/>
  <c r="C51" i="15"/>
  <c r="E50" i="15"/>
  <c r="C50" i="15"/>
  <c r="E49" i="15"/>
  <c r="C49" i="15"/>
  <c r="E48" i="15"/>
  <c r="C48" i="15"/>
  <c r="E47" i="15"/>
  <c r="C47" i="15"/>
  <c r="E46" i="15"/>
  <c r="C46" i="15"/>
  <c r="E45" i="15"/>
  <c r="C45" i="15"/>
  <c r="E44" i="15"/>
  <c r="C44" i="15"/>
  <c r="E43" i="15"/>
  <c r="C43" i="15"/>
  <c r="E42" i="15"/>
  <c r="C42" i="15"/>
  <c r="E41" i="15"/>
  <c r="C41" i="15"/>
  <c r="E40" i="15"/>
  <c r="C40" i="15"/>
  <c r="E39" i="15"/>
  <c r="C39" i="15"/>
  <c r="E38" i="15"/>
  <c r="C38" i="15"/>
  <c r="E37" i="15"/>
  <c r="C37" i="15"/>
  <c r="E36" i="15"/>
  <c r="C36" i="15"/>
  <c r="E35" i="15"/>
  <c r="C35" i="15"/>
  <c r="E34" i="15"/>
  <c r="C34" i="15"/>
  <c r="E33" i="15"/>
  <c r="C33" i="15"/>
  <c r="E32" i="15"/>
  <c r="C32" i="15"/>
  <c r="E31" i="15"/>
  <c r="C31" i="15"/>
  <c r="E30" i="15"/>
  <c r="C30" i="15"/>
  <c r="E29" i="15"/>
  <c r="C29" i="15"/>
  <c r="E28" i="15"/>
  <c r="C28" i="15"/>
  <c r="E27" i="15"/>
  <c r="C27" i="15"/>
  <c r="E26" i="15"/>
  <c r="C26" i="15"/>
  <c r="E25" i="15"/>
  <c r="C25" i="15"/>
  <c r="E24" i="15"/>
  <c r="C24" i="15"/>
  <c r="E23" i="15"/>
  <c r="C23" i="15"/>
  <c r="E22" i="15"/>
  <c r="C22" i="15"/>
  <c r="E21" i="15"/>
  <c r="C21" i="15"/>
  <c r="E20" i="15"/>
  <c r="C20" i="15"/>
  <c r="E19" i="15"/>
  <c r="C19" i="15"/>
  <c r="E18" i="15"/>
  <c r="C18" i="15"/>
  <c r="E17" i="15"/>
  <c r="C17" i="15"/>
  <c r="E16" i="15"/>
  <c r="C16" i="15"/>
  <c r="E15" i="15"/>
  <c r="C15" i="15"/>
  <c r="E14" i="15"/>
  <c r="C14" i="15"/>
  <c r="E13" i="15"/>
  <c r="C13" i="15"/>
  <c r="E12" i="15"/>
  <c r="C12" i="15"/>
  <c r="E11" i="15"/>
  <c r="C11" i="15"/>
  <c r="E10" i="15"/>
  <c r="C10" i="15"/>
  <c r="E9" i="15"/>
  <c r="C9" i="15"/>
  <c r="E8" i="15"/>
  <c r="C8" i="15"/>
  <c r="E7" i="15"/>
  <c r="C7" i="15"/>
  <c r="F6" i="15"/>
  <c r="E6" i="15"/>
  <c r="D6" i="15"/>
  <c r="C6" i="15"/>
  <c r="B6" i="15"/>
  <c r="B4" i="15"/>
  <c r="B3" i="15"/>
  <c r="F103" i="14"/>
  <c r="E103" i="14"/>
  <c r="H103" i="14" s="1"/>
  <c r="C103" i="14"/>
  <c r="F102" i="14"/>
  <c r="E102" i="14"/>
  <c r="H102" i="14" s="1"/>
  <c r="C102" i="14"/>
  <c r="C101" i="14"/>
  <c r="C100" i="14"/>
  <c r="F99" i="14"/>
  <c r="E99" i="14"/>
  <c r="H99" i="14" s="1"/>
  <c r="C99" i="14"/>
  <c r="F98" i="14"/>
  <c r="E98" i="14"/>
  <c r="H98" i="14" s="1"/>
  <c r="C98" i="14"/>
  <c r="F97" i="14"/>
  <c r="E97" i="14"/>
  <c r="H97" i="14" s="1"/>
  <c r="C97" i="14"/>
  <c r="F96" i="14"/>
  <c r="E96" i="14"/>
  <c r="H96" i="14" s="1"/>
  <c r="C96" i="14"/>
  <c r="F95" i="14"/>
  <c r="E95" i="14"/>
  <c r="H95" i="14" s="1"/>
  <c r="C95" i="14"/>
  <c r="C94" i="14"/>
  <c r="H93" i="14"/>
  <c r="F93" i="14"/>
  <c r="E93" i="14"/>
  <c r="C93" i="14"/>
  <c r="F92" i="14"/>
  <c r="H92" i="14" s="1"/>
  <c r="E92" i="14"/>
  <c r="C92" i="14"/>
  <c r="H91" i="14"/>
  <c r="F91" i="14"/>
  <c r="E91" i="14"/>
  <c r="C91" i="14"/>
  <c r="F90" i="14"/>
  <c r="H90" i="14" s="1"/>
  <c r="H89" i="14" s="1"/>
  <c r="E90" i="14"/>
  <c r="C90" i="14"/>
  <c r="C89" i="14"/>
  <c r="F88" i="14"/>
  <c r="E88" i="14"/>
  <c r="H88" i="14" s="1"/>
  <c r="C88" i="14"/>
  <c r="F87" i="14"/>
  <c r="E87" i="14"/>
  <c r="H87" i="14" s="1"/>
  <c r="C87" i="14"/>
  <c r="F86" i="14"/>
  <c r="E86" i="14"/>
  <c r="H86" i="14" s="1"/>
  <c r="C86" i="14"/>
  <c r="F85" i="14"/>
  <c r="E85" i="14"/>
  <c r="H85" i="14" s="1"/>
  <c r="C85" i="14"/>
  <c r="F84" i="14"/>
  <c r="E84" i="14"/>
  <c r="H84" i="14" s="1"/>
  <c r="C84" i="14"/>
  <c r="F83" i="14"/>
  <c r="E83" i="14"/>
  <c r="H83" i="14" s="1"/>
  <c r="D83" i="14"/>
  <c r="G83" i="14" s="1"/>
  <c r="C83" i="14"/>
  <c r="F82" i="14"/>
  <c r="E82" i="14"/>
  <c r="H82" i="14" s="1"/>
  <c r="C82" i="14"/>
  <c r="C81" i="14"/>
  <c r="H80" i="14"/>
  <c r="H79" i="14" s="1"/>
  <c r="F80" i="14"/>
  <c r="E80" i="14"/>
  <c r="C80" i="14"/>
  <c r="C79" i="14"/>
  <c r="C78" i="14"/>
  <c r="H77" i="14"/>
  <c r="H75" i="14" s="1"/>
  <c r="F77" i="14"/>
  <c r="E77" i="14"/>
  <c r="C77" i="14"/>
  <c r="F76" i="14"/>
  <c r="H76" i="14" s="1"/>
  <c r="E76" i="14"/>
  <c r="C76" i="14"/>
  <c r="C75" i="14"/>
  <c r="C74" i="14"/>
  <c r="F73" i="14"/>
  <c r="H73" i="14" s="1"/>
  <c r="E73" i="14"/>
  <c r="C73" i="14"/>
  <c r="F72" i="14"/>
  <c r="H72" i="14" s="1"/>
  <c r="E72" i="14"/>
  <c r="C72" i="14"/>
  <c r="F71" i="14"/>
  <c r="H71" i="14" s="1"/>
  <c r="E71" i="14"/>
  <c r="C71" i="14"/>
  <c r="H70" i="14"/>
  <c r="F70" i="14"/>
  <c r="E70" i="14"/>
  <c r="C70" i="14"/>
  <c r="C69" i="14"/>
  <c r="C68" i="14"/>
  <c r="H67" i="14"/>
  <c r="F67" i="14"/>
  <c r="E67" i="14"/>
  <c r="C67" i="14"/>
  <c r="F66" i="14"/>
  <c r="H66" i="14" s="1"/>
  <c r="E66" i="14"/>
  <c r="C66" i="14"/>
  <c r="H65" i="14"/>
  <c r="F65" i="14"/>
  <c r="E65" i="14"/>
  <c r="C65" i="14"/>
  <c r="C64" i="14"/>
  <c r="C63" i="14"/>
  <c r="F62" i="14"/>
  <c r="H62" i="14" s="1"/>
  <c r="E62" i="14"/>
  <c r="C62" i="14"/>
  <c r="F61" i="14"/>
  <c r="H61" i="14" s="1"/>
  <c r="E61" i="14"/>
  <c r="C61" i="14"/>
  <c r="H60" i="14"/>
  <c r="F60" i="14"/>
  <c r="E60" i="14"/>
  <c r="C60" i="14"/>
  <c r="F59" i="14"/>
  <c r="H59" i="14" s="1"/>
  <c r="E59" i="14"/>
  <c r="C59" i="14"/>
  <c r="F58" i="14"/>
  <c r="H58" i="14" s="1"/>
  <c r="E58" i="14"/>
  <c r="C58" i="14"/>
  <c r="C57" i="14"/>
  <c r="F56" i="14"/>
  <c r="E56" i="14"/>
  <c r="H56" i="14" s="1"/>
  <c r="C56" i="14"/>
  <c r="F55" i="14"/>
  <c r="E55" i="14"/>
  <c r="H55" i="14" s="1"/>
  <c r="C55" i="14"/>
  <c r="C54" i="14"/>
  <c r="C53" i="14"/>
  <c r="F52" i="14"/>
  <c r="E52" i="14"/>
  <c r="H52" i="14" s="1"/>
  <c r="C52" i="14"/>
  <c r="F51" i="14"/>
  <c r="E51" i="14"/>
  <c r="H51" i="14" s="1"/>
  <c r="D51" i="14"/>
  <c r="G51" i="14" s="1"/>
  <c r="D50" i="15" s="1"/>
  <c r="F50" i="15" s="1"/>
  <c r="C51" i="14"/>
  <c r="F50" i="14"/>
  <c r="E50" i="14"/>
  <c r="H50" i="14" s="1"/>
  <c r="C50" i="14"/>
  <c r="F49" i="14"/>
  <c r="E49" i="14"/>
  <c r="H49" i="14" s="1"/>
  <c r="C49" i="14"/>
  <c r="F48" i="14"/>
  <c r="E48" i="14"/>
  <c r="H48" i="14" s="1"/>
  <c r="C48" i="14"/>
  <c r="F47" i="14"/>
  <c r="E47" i="14"/>
  <c r="H47" i="14" s="1"/>
  <c r="C47" i="14"/>
  <c r="F46" i="14"/>
  <c r="E46" i="14"/>
  <c r="H46" i="14" s="1"/>
  <c r="C46" i="14"/>
  <c r="F45" i="14"/>
  <c r="E45" i="14"/>
  <c r="H45" i="14" s="1"/>
  <c r="C45" i="14"/>
  <c r="C44" i="14"/>
  <c r="F43" i="14"/>
  <c r="H43" i="14" s="1"/>
  <c r="E43" i="14"/>
  <c r="C43" i="14"/>
  <c r="H42" i="14"/>
  <c r="F42" i="14"/>
  <c r="E42" i="14"/>
  <c r="C42" i="14"/>
  <c r="F41" i="14"/>
  <c r="H41" i="14" s="1"/>
  <c r="E41" i="14"/>
  <c r="C41" i="14"/>
  <c r="F40" i="14"/>
  <c r="H40" i="14" s="1"/>
  <c r="E40" i="14"/>
  <c r="C40" i="14"/>
  <c r="F39" i="14"/>
  <c r="H39" i="14" s="1"/>
  <c r="E39" i="14"/>
  <c r="C39" i="14"/>
  <c r="H38" i="14"/>
  <c r="F38" i="14"/>
  <c r="E38" i="14"/>
  <c r="C38" i="14"/>
  <c r="C37" i="14"/>
  <c r="C36" i="14"/>
  <c r="F35" i="14"/>
  <c r="H35" i="14" s="1"/>
  <c r="E35" i="14"/>
  <c r="C35" i="14"/>
  <c r="F34" i="14"/>
  <c r="E34" i="14"/>
  <c r="C34" i="14"/>
  <c r="F33" i="14"/>
  <c r="H33" i="14" s="1"/>
  <c r="E33" i="14"/>
  <c r="C33" i="14"/>
  <c r="F32" i="14"/>
  <c r="E32" i="14"/>
  <c r="C32" i="14"/>
  <c r="H31" i="14"/>
  <c r="F31" i="14"/>
  <c r="E31" i="14"/>
  <c r="C31" i="14"/>
  <c r="F30" i="14"/>
  <c r="H30" i="14" s="1"/>
  <c r="E30" i="14"/>
  <c r="C30" i="14"/>
  <c r="F29" i="14"/>
  <c r="H29" i="14" s="1"/>
  <c r="E29" i="14"/>
  <c r="C29" i="14"/>
  <c r="C28" i="14"/>
  <c r="C27" i="14"/>
  <c r="H26" i="14"/>
  <c r="F26" i="14"/>
  <c r="E26" i="14"/>
  <c r="C26" i="14"/>
  <c r="F25" i="14"/>
  <c r="H25" i="14" s="1"/>
  <c r="E25" i="14"/>
  <c r="C25" i="14"/>
  <c r="F24" i="14"/>
  <c r="H24" i="14" s="1"/>
  <c r="E24" i="14"/>
  <c r="C24" i="14"/>
  <c r="F23" i="14"/>
  <c r="H23" i="14" s="1"/>
  <c r="E23" i="14"/>
  <c r="C23" i="14"/>
  <c r="H22" i="14"/>
  <c r="F22" i="14"/>
  <c r="E22" i="14"/>
  <c r="C22" i="14"/>
  <c r="F21" i="14"/>
  <c r="H21" i="14" s="1"/>
  <c r="E21" i="14"/>
  <c r="C21" i="14"/>
  <c r="H20" i="14"/>
  <c r="H18" i="14" s="1"/>
  <c r="F20" i="14"/>
  <c r="E20" i="14"/>
  <c r="C20" i="14"/>
  <c r="F19" i="14"/>
  <c r="H19" i="14" s="1"/>
  <c r="E19" i="14"/>
  <c r="C19" i="14"/>
  <c r="C18" i="14"/>
  <c r="F17" i="14"/>
  <c r="E17" i="14"/>
  <c r="H17" i="14" s="1"/>
  <c r="C17" i="14"/>
  <c r="F16" i="14"/>
  <c r="E16" i="14"/>
  <c r="H16" i="14" s="1"/>
  <c r="D16" i="14"/>
  <c r="G16" i="14" s="1"/>
  <c r="D15" i="15" s="1"/>
  <c r="F15" i="15" s="1"/>
  <c r="C16" i="14"/>
  <c r="F15" i="14"/>
  <c r="E15" i="14"/>
  <c r="H15" i="14" s="1"/>
  <c r="C15" i="14"/>
  <c r="F14" i="14"/>
  <c r="E14" i="14"/>
  <c r="H14" i="14" s="1"/>
  <c r="C14" i="14"/>
  <c r="F13" i="14"/>
  <c r="E13" i="14"/>
  <c r="H13" i="14" s="1"/>
  <c r="C13" i="14"/>
  <c r="F12" i="14"/>
  <c r="E12" i="14"/>
  <c r="H12" i="14" s="1"/>
  <c r="C12" i="14"/>
  <c r="F11" i="14"/>
  <c r="E11" i="14"/>
  <c r="H11" i="14" s="1"/>
  <c r="C11" i="14"/>
  <c r="F10" i="14"/>
  <c r="E10" i="14"/>
  <c r="H10" i="14" s="1"/>
  <c r="C10" i="14"/>
  <c r="F9" i="14"/>
  <c r="E9" i="14"/>
  <c r="H9" i="14" s="1"/>
  <c r="H8" i="14" s="1"/>
  <c r="C9" i="14"/>
  <c r="C8" i="14"/>
  <c r="H7" i="14"/>
  <c r="G7" i="14"/>
  <c r="F7" i="14"/>
  <c r="E7" i="14"/>
  <c r="D7" i="14"/>
  <c r="C7" i="14"/>
  <c r="B7" i="14"/>
  <c r="B4" i="14"/>
  <c r="B3" i="14"/>
  <c r="I808" i="13"/>
  <c r="H808" i="13"/>
  <c r="D8" i="19" s="1"/>
  <c r="E8" i="19" s="1"/>
  <c r="F808" i="13"/>
  <c r="G806" i="13"/>
  <c r="B806" i="13"/>
  <c r="G805" i="13"/>
  <c r="B805" i="13"/>
  <c r="G804" i="13"/>
  <c r="B804" i="13"/>
  <c r="G803" i="13"/>
  <c r="B803" i="13"/>
  <c r="G802" i="13"/>
  <c r="B802" i="13"/>
  <c r="G801" i="13"/>
  <c r="B801" i="13"/>
  <c r="G800" i="13"/>
  <c r="B800" i="13"/>
  <c r="G799" i="13"/>
  <c r="B799" i="13"/>
  <c r="G798" i="13"/>
  <c r="B798" i="13"/>
  <c r="G797" i="13"/>
  <c r="B797" i="13"/>
  <c r="G796" i="13"/>
  <c r="B796" i="13"/>
  <c r="G795" i="13"/>
  <c r="B795" i="13"/>
  <c r="G794" i="13"/>
  <c r="B794" i="13"/>
  <c r="G793" i="13"/>
  <c r="B793" i="13"/>
  <c r="G792" i="13"/>
  <c r="B792" i="13"/>
  <c r="G791" i="13"/>
  <c r="B791" i="13"/>
  <c r="G790" i="13"/>
  <c r="B790" i="13"/>
  <c r="G789" i="13"/>
  <c r="B789" i="13"/>
  <c r="G788" i="13"/>
  <c r="B788" i="13"/>
  <c r="G787" i="13"/>
  <c r="B787" i="13"/>
  <c r="G786" i="13"/>
  <c r="B786" i="13"/>
  <c r="G785" i="13"/>
  <c r="B785" i="13"/>
  <c r="G784" i="13"/>
  <c r="B784" i="13"/>
  <c r="G783" i="13"/>
  <c r="B783" i="13"/>
  <c r="G782" i="13"/>
  <c r="B782" i="13"/>
  <c r="G781" i="13"/>
  <c r="B781" i="13"/>
  <c r="G780" i="13"/>
  <c r="B780" i="13"/>
  <c r="G779" i="13"/>
  <c r="B779" i="13"/>
  <c r="G778" i="13"/>
  <c r="B778" i="13"/>
  <c r="G777" i="13"/>
  <c r="B777" i="13"/>
  <c r="G776" i="13"/>
  <c r="B776" i="13"/>
  <c r="G775" i="13"/>
  <c r="B775" i="13"/>
  <c r="G774" i="13"/>
  <c r="B774" i="13"/>
  <c r="G773" i="13"/>
  <c r="B773" i="13"/>
  <c r="G772" i="13"/>
  <c r="B772" i="13"/>
  <c r="G771" i="13"/>
  <c r="B771" i="13"/>
  <c r="G770" i="13"/>
  <c r="B770" i="13"/>
  <c r="G769" i="13"/>
  <c r="B769" i="13"/>
  <c r="G768" i="13"/>
  <c r="B768" i="13"/>
  <c r="G767" i="13"/>
  <c r="B767" i="13"/>
  <c r="G766" i="13"/>
  <c r="B766" i="13"/>
  <c r="G765" i="13"/>
  <c r="B765" i="13"/>
  <c r="G764" i="13"/>
  <c r="B764" i="13"/>
  <c r="G763" i="13"/>
  <c r="B763" i="13"/>
  <c r="G762" i="13"/>
  <c r="B762" i="13"/>
  <c r="G761" i="13"/>
  <c r="B761" i="13"/>
  <c r="G760" i="13"/>
  <c r="B760" i="13"/>
  <c r="G759" i="13"/>
  <c r="B759" i="13"/>
  <c r="G758" i="13"/>
  <c r="B758" i="13"/>
  <c r="G757" i="13"/>
  <c r="B757" i="13"/>
  <c r="G756" i="13"/>
  <c r="B756" i="13"/>
  <c r="G755" i="13"/>
  <c r="B755" i="13"/>
  <c r="G754" i="13"/>
  <c r="B754" i="13"/>
  <c r="G753" i="13"/>
  <c r="B753" i="13"/>
  <c r="G752" i="13"/>
  <c r="B752" i="13"/>
  <c r="G751" i="13"/>
  <c r="B751" i="13"/>
  <c r="G750" i="13"/>
  <c r="B750" i="13"/>
  <c r="G749" i="13"/>
  <c r="B749" i="13"/>
  <c r="G748" i="13"/>
  <c r="B748" i="13"/>
  <c r="G747" i="13"/>
  <c r="B747" i="13"/>
  <c r="G746" i="13"/>
  <c r="B746" i="13"/>
  <c r="G745" i="13"/>
  <c r="B745" i="13"/>
  <c r="G744" i="13"/>
  <c r="B744" i="13"/>
  <c r="G743" i="13"/>
  <c r="B743" i="13"/>
  <c r="G742" i="13"/>
  <c r="B742" i="13"/>
  <c r="G741" i="13"/>
  <c r="B741" i="13"/>
  <c r="G740" i="13"/>
  <c r="B740" i="13"/>
  <c r="G739" i="13"/>
  <c r="B739" i="13"/>
  <c r="G738" i="13"/>
  <c r="B738" i="13"/>
  <c r="G737" i="13"/>
  <c r="B737" i="13"/>
  <c r="G736" i="13"/>
  <c r="B736" i="13"/>
  <c r="G735" i="13"/>
  <c r="B735" i="13"/>
  <c r="G734" i="13"/>
  <c r="B734" i="13"/>
  <c r="G733" i="13"/>
  <c r="B733" i="13"/>
  <c r="G732" i="13"/>
  <c r="B732" i="13"/>
  <c r="G731" i="13"/>
  <c r="B731" i="13"/>
  <c r="G730" i="13"/>
  <c r="B730" i="13"/>
  <c r="G729" i="13"/>
  <c r="B729" i="13"/>
  <c r="G728" i="13"/>
  <c r="B728" i="13"/>
  <c r="G727" i="13"/>
  <c r="B727" i="13"/>
  <c r="G726" i="13"/>
  <c r="B726" i="13"/>
  <c r="G725" i="13"/>
  <c r="B725" i="13"/>
  <c r="G724" i="13"/>
  <c r="B724" i="13"/>
  <c r="G723" i="13"/>
  <c r="B723" i="13"/>
  <c r="G722" i="13"/>
  <c r="B722" i="13"/>
  <c r="G721" i="13"/>
  <c r="B721" i="13"/>
  <c r="G720" i="13"/>
  <c r="B720" i="13"/>
  <c r="G719" i="13"/>
  <c r="B719" i="13"/>
  <c r="G718" i="13"/>
  <c r="B718" i="13"/>
  <c r="G717" i="13"/>
  <c r="B717" i="13"/>
  <c r="G716" i="13"/>
  <c r="B716" i="13"/>
  <c r="G715" i="13"/>
  <c r="B715" i="13"/>
  <c r="G714" i="13"/>
  <c r="B714" i="13"/>
  <c r="G713" i="13"/>
  <c r="B713" i="13"/>
  <c r="G712" i="13"/>
  <c r="B712" i="13"/>
  <c r="G711" i="13"/>
  <c r="B711" i="13"/>
  <c r="G710" i="13"/>
  <c r="B710" i="13"/>
  <c r="G709" i="13"/>
  <c r="B709" i="13"/>
  <c r="G708" i="13"/>
  <c r="B708" i="13"/>
  <c r="G707" i="13"/>
  <c r="B707" i="13"/>
  <c r="G706" i="13"/>
  <c r="B706" i="13"/>
  <c r="G705" i="13"/>
  <c r="B705" i="13"/>
  <c r="G704" i="13"/>
  <c r="B704" i="13"/>
  <c r="G703" i="13"/>
  <c r="B703" i="13"/>
  <c r="G702" i="13"/>
  <c r="B702" i="13"/>
  <c r="G701" i="13"/>
  <c r="B701" i="13"/>
  <c r="G700" i="13"/>
  <c r="B700" i="13"/>
  <c r="G699" i="13"/>
  <c r="B699" i="13"/>
  <c r="G698" i="13"/>
  <c r="B698" i="13"/>
  <c r="G697" i="13"/>
  <c r="B697" i="13"/>
  <c r="G696" i="13"/>
  <c r="B696" i="13"/>
  <c r="G695" i="13"/>
  <c r="B695" i="13"/>
  <c r="G694" i="13"/>
  <c r="B694" i="13"/>
  <c r="G693" i="13"/>
  <c r="B693" i="13"/>
  <c r="G692" i="13"/>
  <c r="B692" i="13"/>
  <c r="G691" i="13"/>
  <c r="B691" i="13"/>
  <c r="G690" i="13"/>
  <c r="B690" i="13"/>
  <c r="G689" i="13"/>
  <c r="B689" i="13"/>
  <c r="G688" i="13"/>
  <c r="B688" i="13"/>
  <c r="G687" i="13"/>
  <c r="B687" i="13"/>
  <c r="G686" i="13"/>
  <c r="B686" i="13"/>
  <c r="G685" i="13"/>
  <c r="B685" i="13"/>
  <c r="G684" i="13"/>
  <c r="B684" i="13"/>
  <c r="G683" i="13"/>
  <c r="B683" i="13"/>
  <c r="G682" i="13"/>
  <c r="B682" i="13"/>
  <c r="G681" i="13"/>
  <c r="B681" i="13"/>
  <c r="G680" i="13"/>
  <c r="B680" i="13"/>
  <c r="G679" i="13"/>
  <c r="B679" i="13"/>
  <c r="G678" i="13"/>
  <c r="B678" i="13"/>
  <c r="G677" i="13"/>
  <c r="B677" i="13"/>
  <c r="G676" i="13"/>
  <c r="B676" i="13"/>
  <c r="G675" i="13"/>
  <c r="B675" i="13"/>
  <c r="G674" i="13"/>
  <c r="B674" i="13"/>
  <c r="G673" i="13"/>
  <c r="B673" i="13"/>
  <c r="G672" i="13"/>
  <c r="B672" i="13"/>
  <c r="G671" i="13"/>
  <c r="B671" i="13"/>
  <c r="G670" i="13"/>
  <c r="B670" i="13"/>
  <c r="G669" i="13"/>
  <c r="B669" i="13"/>
  <c r="G668" i="13"/>
  <c r="B668" i="13"/>
  <c r="G667" i="13"/>
  <c r="B667" i="13"/>
  <c r="G666" i="13"/>
  <c r="B666" i="13"/>
  <c r="G665" i="13"/>
  <c r="B665" i="13"/>
  <c r="G664" i="13"/>
  <c r="B664" i="13"/>
  <c r="G663" i="13"/>
  <c r="B663" i="13"/>
  <c r="G662" i="13"/>
  <c r="B662" i="13"/>
  <c r="G661" i="13"/>
  <c r="B661" i="13"/>
  <c r="G660" i="13"/>
  <c r="B660" i="13"/>
  <c r="G659" i="13"/>
  <c r="B659" i="13"/>
  <c r="G658" i="13"/>
  <c r="B658" i="13"/>
  <c r="G657" i="13"/>
  <c r="B657" i="13"/>
  <c r="G656" i="13"/>
  <c r="B656" i="13"/>
  <c r="G655" i="13"/>
  <c r="B655" i="13"/>
  <c r="G654" i="13"/>
  <c r="B654" i="13"/>
  <c r="G653" i="13"/>
  <c r="B653" i="13"/>
  <c r="G652" i="13"/>
  <c r="B652" i="13"/>
  <c r="G651" i="13"/>
  <c r="B651" i="13"/>
  <c r="G650" i="13"/>
  <c r="B650" i="13"/>
  <c r="G649" i="13"/>
  <c r="B649" i="13"/>
  <c r="G648" i="13"/>
  <c r="B648" i="13"/>
  <c r="G647" i="13"/>
  <c r="B647" i="13"/>
  <c r="G646" i="13"/>
  <c r="B646" i="13"/>
  <c r="G645" i="13"/>
  <c r="B645" i="13"/>
  <c r="G644" i="13"/>
  <c r="B644" i="13"/>
  <c r="G643" i="13"/>
  <c r="B643" i="13"/>
  <c r="G642" i="13"/>
  <c r="B642" i="13"/>
  <c r="G641" i="13"/>
  <c r="B641" i="13"/>
  <c r="G640" i="13"/>
  <c r="B640" i="13"/>
  <c r="G639" i="13"/>
  <c r="B639" i="13"/>
  <c r="G638" i="13"/>
  <c r="B638" i="13"/>
  <c r="G637" i="13"/>
  <c r="B637" i="13"/>
  <c r="G636" i="13"/>
  <c r="B636" i="13"/>
  <c r="G635" i="13"/>
  <c r="B635" i="13"/>
  <c r="G634" i="13"/>
  <c r="B634" i="13"/>
  <c r="G633" i="13"/>
  <c r="B633" i="13"/>
  <c r="G632" i="13"/>
  <c r="B632" i="13"/>
  <c r="G631" i="13"/>
  <c r="B631" i="13"/>
  <c r="G630" i="13"/>
  <c r="B630" i="13"/>
  <c r="G629" i="13"/>
  <c r="B629" i="13"/>
  <c r="G628" i="13"/>
  <c r="B628" i="13"/>
  <c r="G627" i="13"/>
  <c r="B627" i="13"/>
  <c r="G626" i="13"/>
  <c r="B626" i="13"/>
  <c r="G625" i="13"/>
  <c r="B625" i="13"/>
  <c r="G624" i="13"/>
  <c r="B624" i="13"/>
  <c r="G623" i="13"/>
  <c r="B623" i="13"/>
  <c r="G622" i="13"/>
  <c r="B622" i="13"/>
  <c r="G621" i="13"/>
  <c r="B621" i="13"/>
  <c r="G620" i="13"/>
  <c r="B620" i="13"/>
  <c r="G619" i="13"/>
  <c r="B619" i="13"/>
  <c r="G618" i="13"/>
  <c r="B618" i="13"/>
  <c r="G617" i="13"/>
  <c r="B617" i="13"/>
  <c r="G616" i="13"/>
  <c r="B616" i="13"/>
  <c r="G615" i="13"/>
  <c r="B615" i="13"/>
  <c r="G614" i="13"/>
  <c r="B614" i="13"/>
  <c r="G613" i="13"/>
  <c r="B613" i="13"/>
  <c r="G612" i="13"/>
  <c r="B612" i="13"/>
  <c r="G611" i="13"/>
  <c r="B611" i="13"/>
  <c r="G610" i="13"/>
  <c r="B610" i="13"/>
  <c r="G609" i="13"/>
  <c r="B609" i="13"/>
  <c r="G608" i="13"/>
  <c r="B608" i="13"/>
  <c r="G607" i="13"/>
  <c r="B607" i="13"/>
  <c r="G606" i="13"/>
  <c r="B606" i="13"/>
  <c r="G605" i="13"/>
  <c r="B605" i="13"/>
  <c r="G604" i="13"/>
  <c r="B604" i="13"/>
  <c r="G603" i="13"/>
  <c r="B603" i="13"/>
  <c r="G602" i="13"/>
  <c r="B602" i="13"/>
  <c r="G601" i="13"/>
  <c r="B601" i="13"/>
  <c r="G600" i="13"/>
  <c r="B600" i="13"/>
  <c r="G599" i="13"/>
  <c r="B599" i="13"/>
  <c r="G598" i="13"/>
  <c r="B598" i="13"/>
  <c r="G597" i="13"/>
  <c r="B597" i="13"/>
  <c r="G596" i="13"/>
  <c r="B596" i="13"/>
  <c r="G595" i="13"/>
  <c r="B595" i="13"/>
  <c r="G594" i="13"/>
  <c r="B594" i="13"/>
  <c r="G593" i="13"/>
  <c r="B593" i="13"/>
  <c r="G592" i="13"/>
  <c r="B592" i="13"/>
  <c r="G591" i="13"/>
  <c r="B591" i="13"/>
  <c r="G590" i="13"/>
  <c r="B590" i="13"/>
  <c r="G589" i="13"/>
  <c r="B589" i="13"/>
  <c r="G588" i="13"/>
  <c r="B588" i="13"/>
  <c r="G587" i="13"/>
  <c r="B587" i="13"/>
  <c r="G586" i="13"/>
  <c r="B586" i="13"/>
  <c r="G585" i="13"/>
  <c r="B585" i="13"/>
  <c r="G584" i="13"/>
  <c r="B584" i="13"/>
  <c r="G583" i="13"/>
  <c r="B583" i="13"/>
  <c r="G582" i="13"/>
  <c r="B582" i="13"/>
  <c r="G581" i="13"/>
  <c r="B581" i="13"/>
  <c r="G580" i="13"/>
  <c r="B580" i="13"/>
  <c r="G579" i="13"/>
  <c r="B579" i="13"/>
  <c r="G578" i="13"/>
  <c r="B578" i="13"/>
  <c r="G577" i="13"/>
  <c r="B577" i="13"/>
  <c r="G576" i="13"/>
  <c r="B576" i="13"/>
  <c r="G575" i="13"/>
  <c r="B575" i="13"/>
  <c r="G574" i="13"/>
  <c r="B574" i="13"/>
  <c r="G573" i="13"/>
  <c r="B573" i="13"/>
  <c r="G572" i="13"/>
  <c r="B572" i="13"/>
  <c r="G571" i="13"/>
  <c r="B571" i="13"/>
  <c r="G570" i="13"/>
  <c r="B570" i="13"/>
  <c r="G569" i="13"/>
  <c r="B569" i="13"/>
  <c r="G568" i="13"/>
  <c r="B568" i="13"/>
  <c r="G567" i="13"/>
  <c r="B567" i="13"/>
  <c r="G566" i="13"/>
  <c r="B566" i="13"/>
  <c r="G565" i="13"/>
  <c r="B565" i="13"/>
  <c r="G564" i="13"/>
  <c r="B564" i="13"/>
  <c r="G563" i="13"/>
  <c r="B563" i="13"/>
  <c r="G562" i="13"/>
  <c r="B562" i="13"/>
  <c r="G561" i="13"/>
  <c r="B561" i="13"/>
  <c r="G560" i="13"/>
  <c r="B560" i="13"/>
  <c r="G559" i="13"/>
  <c r="B559" i="13"/>
  <c r="G558" i="13"/>
  <c r="B558" i="13"/>
  <c r="G557" i="13"/>
  <c r="B557" i="13"/>
  <c r="G556" i="13"/>
  <c r="B556" i="13"/>
  <c r="G555" i="13"/>
  <c r="B555" i="13"/>
  <c r="G554" i="13"/>
  <c r="B554" i="13"/>
  <c r="G553" i="13"/>
  <c r="B553" i="13"/>
  <c r="G552" i="13"/>
  <c r="B552" i="13"/>
  <c r="G551" i="13"/>
  <c r="B551" i="13"/>
  <c r="G550" i="13"/>
  <c r="B550" i="13"/>
  <c r="G549" i="13"/>
  <c r="B549" i="13"/>
  <c r="G548" i="13"/>
  <c r="B548" i="13"/>
  <c r="G547" i="13"/>
  <c r="B547" i="13"/>
  <c r="G546" i="13"/>
  <c r="B546" i="13"/>
  <c r="G545" i="13"/>
  <c r="B545" i="13"/>
  <c r="G544" i="13"/>
  <c r="B544" i="13"/>
  <c r="G543" i="13"/>
  <c r="B543" i="13"/>
  <c r="G542" i="13"/>
  <c r="B542" i="13"/>
  <c r="G541" i="13"/>
  <c r="B541" i="13"/>
  <c r="G540" i="13"/>
  <c r="B540" i="13"/>
  <c r="G539" i="13"/>
  <c r="B539" i="13"/>
  <c r="G538" i="13"/>
  <c r="B538" i="13"/>
  <c r="G537" i="13"/>
  <c r="B537" i="13"/>
  <c r="G536" i="13"/>
  <c r="B536" i="13"/>
  <c r="G535" i="13"/>
  <c r="B535" i="13"/>
  <c r="G534" i="13"/>
  <c r="B534" i="13"/>
  <c r="G533" i="13"/>
  <c r="B533" i="13"/>
  <c r="G532" i="13"/>
  <c r="B532" i="13"/>
  <c r="G531" i="13"/>
  <c r="B531" i="13"/>
  <c r="G530" i="13"/>
  <c r="B530" i="13"/>
  <c r="G529" i="13"/>
  <c r="B529" i="13"/>
  <c r="G528" i="13"/>
  <c r="B528" i="13"/>
  <c r="G527" i="13"/>
  <c r="B527" i="13"/>
  <c r="G526" i="13"/>
  <c r="B526" i="13"/>
  <c r="G525" i="13"/>
  <c r="B525" i="13"/>
  <c r="G524" i="13"/>
  <c r="B524" i="13"/>
  <c r="G523" i="13"/>
  <c r="B523" i="13"/>
  <c r="G522" i="13"/>
  <c r="B522" i="13"/>
  <c r="G521" i="13"/>
  <c r="B521" i="13"/>
  <c r="G520" i="13"/>
  <c r="B520" i="13"/>
  <c r="G519" i="13"/>
  <c r="B519" i="13"/>
  <c r="G518" i="13"/>
  <c r="B518" i="13"/>
  <c r="G517" i="13"/>
  <c r="B517" i="13"/>
  <c r="G516" i="13"/>
  <c r="B516" i="13"/>
  <c r="G515" i="13"/>
  <c r="B515" i="13"/>
  <c r="G514" i="13"/>
  <c r="B514" i="13"/>
  <c r="G513" i="13"/>
  <c r="B513" i="13"/>
  <c r="G512" i="13"/>
  <c r="B512" i="13"/>
  <c r="G511" i="13"/>
  <c r="B511" i="13"/>
  <c r="G510" i="13"/>
  <c r="B510" i="13"/>
  <c r="G509" i="13"/>
  <c r="B509" i="13"/>
  <c r="G508" i="13"/>
  <c r="B508" i="13"/>
  <c r="G507" i="13"/>
  <c r="B507" i="13"/>
  <c r="G506" i="13"/>
  <c r="B506" i="13"/>
  <c r="G505" i="13"/>
  <c r="B505" i="13"/>
  <c r="G504" i="13"/>
  <c r="B504" i="13"/>
  <c r="G503" i="13"/>
  <c r="B503" i="13"/>
  <c r="G502" i="13"/>
  <c r="B502" i="13"/>
  <c r="G501" i="13"/>
  <c r="B501" i="13"/>
  <c r="G500" i="13"/>
  <c r="B500" i="13"/>
  <c r="G499" i="13"/>
  <c r="B499" i="13"/>
  <c r="G498" i="13"/>
  <c r="B498" i="13"/>
  <c r="G497" i="13"/>
  <c r="B497" i="13"/>
  <c r="G496" i="13"/>
  <c r="B496" i="13"/>
  <c r="G495" i="13"/>
  <c r="B495" i="13"/>
  <c r="G494" i="13"/>
  <c r="B494" i="13"/>
  <c r="G493" i="13"/>
  <c r="B493" i="13"/>
  <c r="G492" i="13"/>
  <c r="B492" i="13"/>
  <c r="G491" i="13"/>
  <c r="B491" i="13"/>
  <c r="G490" i="13"/>
  <c r="B490" i="13"/>
  <c r="G489" i="13"/>
  <c r="B489" i="13"/>
  <c r="G488" i="13"/>
  <c r="B488" i="13"/>
  <c r="G487" i="13"/>
  <c r="B487" i="13"/>
  <c r="G486" i="13"/>
  <c r="B486" i="13"/>
  <c r="G485" i="13"/>
  <c r="B485" i="13"/>
  <c r="G484" i="13"/>
  <c r="B484" i="13"/>
  <c r="G483" i="13"/>
  <c r="B483" i="13"/>
  <c r="G482" i="13"/>
  <c r="B482" i="13"/>
  <c r="G481" i="13"/>
  <c r="B481" i="13"/>
  <c r="G480" i="13"/>
  <c r="B480" i="13"/>
  <c r="G479" i="13"/>
  <c r="B479" i="13"/>
  <c r="G478" i="13"/>
  <c r="B478" i="13"/>
  <c r="G477" i="13"/>
  <c r="B477" i="13"/>
  <c r="G476" i="13"/>
  <c r="B476" i="13"/>
  <c r="G475" i="13"/>
  <c r="B475" i="13"/>
  <c r="G474" i="13"/>
  <c r="B474" i="13"/>
  <c r="G473" i="13"/>
  <c r="B473" i="13"/>
  <c r="G472" i="13"/>
  <c r="B472" i="13"/>
  <c r="G471" i="13"/>
  <c r="B471" i="13"/>
  <c r="G470" i="13"/>
  <c r="B470" i="13"/>
  <c r="G469" i="13"/>
  <c r="B469" i="13"/>
  <c r="G468" i="13"/>
  <c r="B468" i="13"/>
  <c r="G467" i="13"/>
  <c r="B467" i="13"/>
  <c r="G466" i="13"/>
  <c r="B466" i="13"/>
  <c r="G465" i="13"/>
  <c r="B465" i="13"/>
  <c r="G464" i="13"/>
  <c r="B464" i="13"/>
  <c r="G463" i="13"/>
  <c r="B463" i="13"/>
  <c r="G462" i="13"/>
  <c r="B462" i="13"/>
  <c r="G461" i="13"/>
  <c r="B461" i="13"/>
  <c r="G460" i="13"/>
  <c r="B460" i="13"/>
  <c r="G459" i="13"/>
  <c r="B459" i="13"/>
  <c r="G458" i="13"/>
  <c r="B458" i="13"/>
  <c r="G457" i="13"/>
  <c r="B457" i="13"/>
  <c r="G456" i="13"/>
  <c r="B456" i="13"/>
  <c r="G455" i="13"/>
  <c r="B455" i="13"/>
  <c r="G454" i="13"/>
  <c r="B454" i="13"/>
  <c r="G453" i="13"/>
  <c r="B453" i="13"/>
  <c r="G452" i="13"/>
  <c r="B452" i="13"/>
  <c r="G451" i="13"/>
  <c r="B451" i="13"/>
  <c r="G450" i="13"/>
  <c r="B450" i="13"/>
  <c r="G449" i="13"/>
  <c r="B449" i="13"/>
  <c r="G448" i="13"/>
  <c r="B448" i="13"/>
  <c r="G447" i="13"/>
  <c r="B447" i="13"/>
  <c r="G446" i="13"/>
  <c r="B446" i="13"/>
  <c r="G445" i="13"/>
  <c r="B445" i="13"/>
  <c r="G444" i="13"/>
  <c r="B444" i="13"/>
  <c r="G443" i="13"/>
  <c r="B443" i="13"/>
  <c r="G442" i="13"/>
  <c r="B442" i="13"/>
  <c r="G441" i="13"/>
  <c r="B441" i="13"/>
  <c r="G440" i="13"/>
  <c r="B440" i="13"/>
  <c r="G439" i="13"/>
  <c r="B439" i="13"/>
  <c r="G438" i="13"/>
  <c r="B438" i="13"/>
  <c r="G437" i="13"/>
  <c r="B437" i="13"/>
  <c r="G436" i="13"/>
  <c r="B436" i="13"/>
  <c r="G435" i="13"/>
  <c r="B435" i="13"/>
  <c r="G434" i="13"/>
  <c r="B434" i="13"/>
  <c r="G433" i="13"/>
  <c r="B433" i="13"/>
  <c r="G432" i="13"/>
  <c r="B432" i="13"/>
  <c r="G431" i="13"/>
  <c r="B431" i="13"/>
  <c r="G430" i="13"/>
  <c r="B430" i="13"/>
  <c r="G429" i="13"/>
  <c r="B429" i="13"/>
  <c r="G428" i="13"/>
  <c r="B428" i="13"/>
  <c r="G427" i="13"/>
  <c r="B427" i="13"/>
  <c r="G426" i="13"/>
  <c r="B426" i="13"/>
  <c r="G425" i="13"/>
  <c r="B425" i="13"/>
  <c r="G424" i="13"/>
  <c r="B424" i="13"/>
  <c r="G423" i="13"/>
  <c r="B423" i="13"/>
  <c r="G422" i="13"/>
  <c r="B422" i="13"/>
  <c r="G421" i="13"/>
  <c r="B421" i="13"/>
  <c r="G420" i="13"/>
  <c r="B420" i="13"/>
  <c r="G419" i="13"/>
  <c r="B419" i="13"/>
  <c r="G418" i="13"/>
  <c r="B418" i="13"/>
  <c r="G417" i="13"/>
  <c r="B417" i="13"/>
  <c r="G416" i="13"/>
  <c r="B416" i="13"/>
  <c r="G415" i="13"/>
  <c r="B415" i="13"/>
  <c r="G414" i="13"/>
  <c r="B414" i="13"/>
  <c r="G413" i="13"/>
  <c r="B413" i="13"/>
  <c r="G412" i="13"/>
  <c r="B412" i="13"/>
  <c r="G411" i="13"/>
  <c r="B411" i="13"/>
  <c r="G410" i="13"/>
  <c r="B410" i="13"/>
  <c r="G409" i="13"/>
  <c r="B409" i="13"/>
  <c r="G408" i="13"/>
  <c r="B408" i="13"/>
  <c r="G407" i="13"/>
  <c r="B407" i="13"/>
  <c r="G406" i="13"/>
  <c r="B406" i="13"/>
  <c r="G405" i="13"/>
  <c r="B405" i="13"/>
  <c r="G404" i="13"/>
  <c r="B404" i="13"/>
  <c r="G403" i="13"/>
  <c r="B403" i="13"/>
  <c r="G402" i="13"/>
  <c r="B402" i="13"/>
  <c r="G401" i="13"/>
  <c r="B401" i="13"/>
  <c r="G400" i="13"/>
  <c r="B400" i="13"/>
  <c r="G399" i="13"/>
  <c r="B399" i="13"/>
  <c r="G398" i="13"/>
  <c r="B398" i="13"/>
  <c r="G397" i="13"/>
  <c r="B397" i="13"/>
  <c r="G396" i="13"/>
  <c r="B396" i="13"/>
  <c r="G395" i="13"/>
  <c r="B395" i="13"/>
  <c r="G394" i="13"/>
  <c r="B394" i="13"/>
  <c r="G393" i="13"/>
  <c r="B393" i="13"/>
  <c r="G392" i="13"/>
  <c r="B392" i="13"/>
  <c r="G391" i="13"/>
  <c r="B391" i="13"/>
  <c r="G390" i="13"/>
  <c r="B390" i="13"/>
  <c r="G389" i="13"/>
  <c r="B389" i="13"/>
  <c r="G388" i="13"/>
  <c r="B388" i="13"/>
  <c r="G387" i="13"/>
  <c r="B387" i="13"/>
  <c r="G386" i="13"/>
  <c r="B386" i="13"/>
  <c r="G385" i="13"/>
  <c r="B385" i="13"/>
  <c r="G384" i="13"/>
  <c r="B384" i="13"/>
  <c r="G383" i="13"/>
  <c r="B383" i="13"/>
  <c r="G382" i="13"/>
  <c r="B382" i="13"/>
  <c r="G381" i="13"/>
  <c r="B381" i="13"/>
  <c r="G380" i="13"/>
  <c r="B380" i="13"/>
  <c r="G379" i="13"/>
  <c r="B379" i="13"/>
  <c r="G378" i="13"/>
  <c r="B378" i="13"/>
  <c r="G377" i="13"/>
  <c r="B377" i="13"/>
  <c r="G376" i="13"/>
  <c r="B376" i="13"/>
  <c r="G375" i="13"/>
  <c r="B375" i="13"/>
  <c r="G374" i="13"/>
  <c r="B374" i="13"/>
  <c r="G373" i="13"/>
  <c r="B373" i="13"/>
  <c r="G372" i="13"/>
  <c r="B372" i="13"/>
  <c r="G371" i="13"/>
  <c r="B371" i="13"/>
  <c r="G370" i="13"/>
  <c r="B370" i="13"/>
  <c r="G369" i="13"/>
  <c r="B369" i="13"/>
  <c r="G368" i="13"/>
  <c r="B368" i="13"/>
  <c r="G367" i="13"/>
  <c r="B367" i="13"/>
  <c r="G366" i="13"/>
  <c r="B366" i="13"/>
  <c r="G365" i="13"/>
  <c r="B365" i="13"/>
  <c r="G364" i="13"/>
  <c r="B364" i="13"/>
  <c r="G363" i="13"/>
  <c r="B363" i="13"/>
  <c r="G362" i="13"/>
  <c r="B362" i="13"/>
  <c r="G361" i="13"/>
  <c r="B361" i="13"/>
  <c r="G360" i="13"/>
  <c r="B360" i="13"/>
  <c r="G359" i="13"/>
  <c r="B359" i="13"/>
  <c r="G358" i="13"/>
  <c r="B358" i="13"/>
  <c r="G357" i="13"/>
  <c r="B357" i="13"/>
  <c r="G356" i="13"/>
  <c r="B356" i="13"/>
  <c r="G355" i="13"/>
  <c r="B355" i="13"/>
  <c r="G354" i="13"/>
  <c r="B354" i="13"/>
  <c r="G353" i="13"/>
  <c r="B353" i="13"/>
  <c r="G352" i="13"/>
  <c r="B352" i="13"/>
  <c r="G351" i="13"/>
  <c r="B351" i="13"/>
  <c r="G350" i="13"/>
  <c r="B350" i="13"/>
  <c r="G349" i="13"/>
  <c r="B349" i="13"/>
  <c r="G348" i="13"/>
  <c r="B348" i="13"/>
  <c r="G347" i="13"/>
  <c r="B347" i="13"/>
  <c r="G346" i="13"/>
  <c r="B346" i="13"/>
  <c r="G345" i="13"/>
  <c r="B345" i="13"/>
  <c r="G344" i="13"/>
  <c r="B344" i="13"/>
  <c r="G343" i="13"/>
  <c r="B343" i="13"/>
  <c r="G342" i="13"/>
  <c r="B342" i="13"/>
  <c r="G341" i="13"/>
  <c r="B341" i="13"/>
  <c r="G340" i="13"/>
  <c r="B340" i="13"/>
  <c r="G339" i="13"/>
  <c r="B339" i="13"/>
  <c r="G338" i="13"/>
  <c r="B338" i="13"/>
  <c r="G337" i="13"/>
  <c r="B337" i="13"/>
  <c r="G336" i="13"/>
  <c r="B336" i="13"/>
  <c r="G335" i="13"/>
  <c r="B335" i="13"/>
  <c r="G334" i="13"/>
  <c r="B334" i="13"/>
  <c r="G333" i="13"/>
  <c r="B333" i="13"/>
  <c r="G332" i="13"/>
  <c r="B332" i="13"/>
  <c r="G331" i="13"/>
  <c r="B331" i="13"/>
  <c r="G330" i="13"/>
  <c r="B330" i="13"/>
  <c r="G329" i="13"/>
  <c r="B329" i="13"/>
  <c r="G328" i="13"/>
  <c r="B328" i="13"/>
  <c r="G327" i="13"/>
  <c r="B327" i="13"/>
  <c r="G326" i="13"/>
  <c r="B326" i="13"/>
  <c r="G325" i="13"/>
  <c r="B325" i="13"/>
  <c r="G324" i="13"/>
  <c r="B324" i="13"/>
  <c r="G323" i="13"/>
  <c r="B323" i="13"/>
  <c r="G322" i="13"/>
  <c r="B322" i="13"/>
  <c r="G321" i="13"/>
  <c r="B321" i="13"/>
  <c r="G320" i="13"/>
  <c r="B320" i="13"/>
  <c r="G319" i="13"/>
  <c r="B319" i="13"/>
  <c r="G318" i="13"/>
  <c r="B318" i="13"/>
  <c r="G317" i="13"/>
  <c r="B317" i="13"/>
  <c r="G316" i="13"/>
  <c r="B316" i="13"/>
  <c r="G315" i="13"/>
  <c r="B315" i="13"/>
  <c r="G314" i="13"/>
  <c r="B314" i="13"/>
  <c r="G313" i="13"/>
  <c r="B313" i="13"/>
  <c r="G312" i="13"/>
  <c r="B312" i="13"/>
  <c r="G311" i="13"/>
  <c r="B311" i="13"/>
  <c r="G310" i="13"/>
  <c r="B310" i="13"/>
  <c r="G309" i="13"/>
  <c r="B309" i="13"/>
  <c r="G308" i="13"/>
  <c r="B308" i="13"/>
  <c r="G307" i="13"/>
  <c r="B307" i="13"/>
  <c r="G306" i="13"/>
  <c r="B306" i="13"/>
  <c r="G305" i="13"/>
  <c r="B305" i="13"/>
  <c r="G304" i="13"/>
  <c r="B304" i="13"/>
  <c r="G303" i="13"/>
  <c r="B303" i="13"/>
  <c r="G302" i="13"/>
  <c r="B302" i="13"/>
  <c r="G301" i="13"/>
  <c r="B301" i="13"/>
  <c r="G300" i="13"/>
  <c r="B300" i="13"/>
  <c r="G299" i="13"/>
  <c r="B299" i="13"/>
  <c r="G298" i="13"/>
  <c r="B298" i="13"/>
  <c r="G297" i="13"/>
  <c r="B297" i="13"/>
  <c r="G296" i="13"/>
  <c r="B296" i="13"/>
  <c r="G295" i="13"/>
  <c r="B295" i="13"/>
  <c r="G294" i="13"/>
  <c r="B294" i="13"/>
  <c r="G293" i="13"/>
  <c r="B293" i="13"/>
  <c r="G292" i="13"/>
  <c r="B292" i="13"/>
  <c r="G291" i="13"/>
  <c r="B291" i="13"/>
  <c r="G290" i="13"/>
  <c r="B290" i="13"/>
  <c r="G289" i="13"/>
  <c r="B289" i="13"/>
  <c r="G288" i="13"/>
  <c r="B288" i="13"/>
  <c r="G287" i="13"/>
  <c r="B287" i="13"/>
  <c r="G286" i="13"/>
  <c r="B286" i="13"/>
  <c r="G285" i="13"/>
  <c r="B285" i="13"/>
  <c r="G284" i="13"/>
  <c r="B284" i="13"/>
  <c r="G283" i="13"/>
  <c r="B283" i="13"/>
  <c r="G282" i="13"/>
  <c r="B282" i="13"/>
  <c r="G281" i="13"/>
  <c r="B281" i="13"/>
  <c r="G280" i="13"/>
  <c r="B280" i="13"/>
  <c r="G279" i="13"/>
  <c r="B279" i="13"/>
  <c r="G278" i="13"/>
  <c r="B278" i="13"/>
  <c r="G277" i="13"/>
  <c r="B277" i="13"/>
  <c r="G276" i="13"/>
  <c r="B276" i="13"/>
  <c r="G275" i="13"/>
  <c r="B275" i="13"/>
  <c r="G274" i="13"/>
  <c r="B274" i="13"/>
  <c r="G273" i="13"/>
  <c r="B273" i="13"/>
  <c r="G272" i="13"/>
  <c r="B272" i="13"/>
  <c r="G271" i="13"/>
  <c r="B271" i="13"/>
  <c r="G270" i="13"/>
  <c r="B270" i="13"/>
  <c r="G269" i="13"/>
  <c r="B269" i="13"/>
  <c r="G268" i="13"/>
  <c r="B268" i="13"/>
  <c r="G267" i="13"/>
  <c r="B267" i="13"/>
  <c r="G266" i="13"/>
  <c r="B266" i="13"/>
  <c r="G265" i="13"/>
  <c r="B265" i="13"/>
  <c r="G264" i="13"/>
  <c r="B264" i="13"/>
  <c r="G263" i="13"/>
  <c r="B263" i="13"/>
  <c r="G262" i="13"/>
  <c r="B262" i="13"/>
  <c r="G261" i="13"/>
  <c r="B261" i="13"/>
  <c r="G260" i="13"/>
  <c r="B260" i="13"/>
  <c r="G259" i="13"/>
  <c r="B259" i="13"/>
  <c r="G258" i="13"/>
  <c r="B258" i="13"/>
  <c r="G257" i="13"/>
  <c r="B257" i="13"/>
  <c r="G256" i="13"/>
  <c r="B256" i="13"/>
  <c r="G255" i="13"/>
  <c r="B255" i="13"/>
  <c r="G254" i="13"/>
  <c r="B254" i="13"/>
  <c r="G253" i="13"/>
  <c r="B253" i="13"/>
  <c r="G252" i="13"/>
  <c r="B252" i="13"/>
  <c r="G251" i="13"/>
  <c r="B251" i="13"/>
  <c r="G250" i="13"/>
  <c r="B250" i="13"/>
  <c r="G249" i="13"/>
  <c r="B249" i="13"/>
  <c r="G248" i="13"/>
  <c r="B248" i="13"/>
  <c r="G247" i="13"/>
  <c r="B247" i="13"/>
  <c r="G246" i="13"/>
  <c r="B246" i="13"/>
  <c r="G245" i="13"/>
  <c r="B245" i="13"/>
  <c r="G244" i="13"/>
  <c r="B244" i="13"/>
  <c r="G243" i="13"/>
  <c r="B243" i="13"/>
  <c r="G242" i="13"/>
  <c r="B242" i="13"/>
  <c r="G241" i="13"/>
  <c r="B241" i="13"/>
  <c r="G240" i="13"/>
  <c r="B240" i="13"/>
  <c r="G239" i="13"/>
  <c r="B239" i="13"/>
  <c r="G238" i="13"/>
  <c r="B238" i="13"/>
  <c r="G237" i="13"/>
  <c r="B237" i="13"/>
  <c r="G236" i="13"/>
  <c r="B236" i="13"/>
  <c r="G235" i="13"/>
  <c r="B235" i="13"/>
  <c r="G234" i="13"/>
  <c r="B234" i="13"/>
  <c r="G233" i="13"/>
  <c r="B233" i="13"/>
  <c r="G232" i="13"/>
  <c r="B232" i="13"/>
  <c r="G231" i="13"/>
  <c r="B231" i="13"/>
  <c r="G230" i="13"/>
  <c r="B230" i="13"/>
  <c r="G229" i="13"/>
  <c r="B229" i="13"/>
  <c r="G228" i="13"/>
  <c r="B228" i="13"/>
  <c r="G227" i="13"/>
  <c r="B227" i="13"/>
  <c r="G226" i="13"/>
  <c r="B226" i="13"/>
  <c r="G225" i="13"/>
  <c r="B225" i="13"/>
  <c r="G224" i="13"/>
  <c r="B224" i="13"/>
  <c r="G223" i="13"/>
  <c r="B223" i="13"/>
  <c r="G222" i="13"/>
  <c r="B222" i="13"/>
  <c r="G221" i="13"/>
  <c r="B221" i="13"/>
  <c r="G220" i="13"/>
  <c r="B220" i="13"/>
  <c r="G219" i="13"/>
  <c r="B219" i="13"/>
  <c r="G218" i="13"/>
  <c r="B218" i="13"/>
  <c r="G217" i="13"/>
  <c r="B217" i="13"/>
  <c r="G216" i="13"/>
  <c r="B216" i="13"/>
  <c r="G215" i="13"/>
  <c r="B215" i="13"/>
  <c r="G214" i="13"/>
  <c r="B214" i="13"/>
  <c r="G213" i="13"/>
  <c r="B213" i="13"/>
  <c r="G212" i="13"/>
  <c r="B212" i="13"/>
  <c r="G211" i="13"/>
  <c r="B211" i="13"/>
  <c r="G210" i="13"/>
  <c r="B210" i="13"/>
  <c r="G209" i="13"/>
  <c r="B209" i="13"/>
  <c r="G208" i="13"/>
  <c r="B208" i="13"/>
  <c r="G207" i="13"/>
  <c r="B207" i="13"/>
  <c r="G206" i="13"/>
  <c r="B206" i="13"/>
  <c r="G205" i="13"/>
  <c r="B205" i="13"/>
  <c r="G204" i="13"/>
  <c r="B204" i="13"/>
  <c r="G203" i="13"/>
  <c r="B203" i="13"/>
  <c r="G202" i="13"/>
  <c r="B202" i="13"/>
  <c r="G201" i="13"/>
  <c r="B201" i="13"/>
  <c r="G200" i="13"/>
  <c r="B200" i="13"/>
  <c r="G199" i="13"/>
  <c r="B199" i="13"/>
  <c r="G198" i="13"/>
  <c r="B198" i="13"/>
  <c r="G197" i="13"/>
  <c r="B197" i="13"/>
  <c r="G196" i="13"/>
  <c r="B196" i="13"/>
  <c r="G195" i="13"/>
  <c r="B195" i="13"/>
  <c r="G194" i="13"/>
  <c r="B194" i="13"/>
  <c r="G193" i="13"/>
  <c r="B193" i="13"/>
  <c r="G192" i="13"/>
  <c r="B192" i="13"/>
  <c r="G191" i="13"/>
  <c r="B191" i="13"/>
  <c r="G190" i="13"/>
  <c r="B190" i="13"/>
  <c r="G189" i="13"/>
  <c r="B189" i="13"/>
  <c r="G188" i="13"/>
  <c r="B188" i="13"/>
  <c r="G187" i="13"/>
  <c r="B187" i="13"/>
  <c r="G186" i="13"/>
  <c r="B186" i="13"/>
  <c r="G185" i="13"/>
  <c r="B185" i="13"/>
  <c r="G184" i="13"/>
  <c r="B184" i="13"/>
  <c r="G183" i="13"/>
  <c r="B183" i="13"/>
  <c r="G182" i="13"/>
  <c r="B182" i="13"/>
  <c r="G181" i="13"/>
  <c r="B181" i="13"/>
  <c r="G180" i="13"/>
  <c r="B180" i="13"/>
  <c r="G179" i="13"/>
  <c r="B179" i="13"/>
  <c r="G178" i="13"/>
  <c r="B178" i="13"/>
  <c r="G177" i="13"/>
  <c r="B177" i="13"/>
  <c r="G176" i="13"/>
  <c r="B176" i="13"/>
  <c r="G175" i="13"/>
  <c r="B175" i="13"/>
  <c r="G174" i="13"/>
  <c r="B174" i="13"/>
  <c r="G173" i="13"/>
  <c r="B173" i="13"/>
  <c r="G172" i="13"/>
  <c r="B172" i="13"/>
  <c r="G171" i="13"/>
  <c r="B171" i="13"/>
  <c r="G170" i="13"/>
  <c r="B170" i="13"/>
  <c r="G169" i="13"/>
  <c r="B169" i="13"/>
  <c r="G168" i="13"/>
  <c r="B168" i="13"/>
  <c r="G167" i="13"/>
  <c r="B167" i="13"/>
  <c r="G166" i="13"/>
  <c r="B166" i="13"/>
  <c r="G165" i="13"/>
  <c r="B165" i="13"/>
  <c r="G164" i="13"/>
  <c r="B164" i="13"/>
  <c r="G163" i="13"/>
  <c r="B163" i="13"/>
  <c r="G162" i="13"/>
  <c r="B162" i="13"/>
  <c r="G161" i="13"/>
  <c r="B161" i="13"/>
  <c r="G160" i="13"/>
  <c r="B160" i="13"/>
  <c r="G159" i="13"/>
  <c r="B159" i="13"/>
  <c r="G158" i="13"/>
  <c r="B158" i="13"/>
  <c r="G157" i="13"/>
  <c r="B157" i="13"/>
  <c r="G156" i="13"/>
  <c r="B156" i="13"/>
  <c r="G155" i="13"/>
  <c r="B155" i="13"/>
  <c r="G154" i="13"/>
  <c r="B154" i="13"/>
  <c r="G153" i="13"/>
  <c r="B153" i="13"/>
  <c r="G152" i="13"/>
  <c r="B152" i="13"/>
  <c r="G151" i="13"/>
  <c r="B151" i="13"/>
  <c r="G150" i="13"/>
  <c r="B150" i="13"/>
  <c r="G149" i="13"/>
  <c r="B149" i="13"/>
  <c r="G148" i="13"/>
  <c r="B148" i="13"/>
  <c r="G147" i="13"/>
  <c r="B147" i="13"/>
  <c r="G146" i="13"/>
  <c r="B146" i="13"/>
  <c r="G145" i="13"/>
  <c r="B145" i="13"/>
  <c r="G144" i="13"/>
  <c r="B144" i="13"/>
  <c r="G143" i="13"/>
  <c r="B143" i="13"/>
  <c r="G142" i="13"/>
  <c r="B142" i="13"/>
  <c r="G141" i="13"/>
  <c r="B141" i="13"/>
  <c r="G140" i="13"/>
  <c r="B140" i="13"/>
  <c r="G139" i="13"/>
  <c r="B139" i="13"/>
  <c r="G138" i="13"/>
  <c r="B138" i="13"/>
  <c r="G137" i="13"/>
  <c r="B137" i="13"/>
  <c r="G136" i="13"/>
  <c r="B136" i="13"/>
  <c r="G135" i="13"/>
  <c r="B135" i="13"/>
  <c r="G134" i="13"/>
  <c r="B134" i="13"/>
  <c r="G133" i="13"/>
  <c r="B133" i="13"/>
  <c r="G132" i="13"/>
  <c r="B132" i="13"/>
  <c r="G131" i="13"/>
  <c r="B131" i="13"/>
  <c r="G130" i="13"/>
  <c r="B130" i="13"/>
  <c r="G129" i="13"/>
  <c r="B129" i="13"/>
  <c r="G128" i="13"/>
  <c r="B128" i="13"/>
  <c r="G127" i="13"/>
  <c r="B127" i="13"/>
  <c r="G126" i="13"/>
  <c r="B126" i="13"/>
  <c r="G125" i="13"/>
  <c r="B125" i="13"/>
  <c r="G124" i="13"/>
  <c r="B124" i="13"/>
  <c r="G123" i="13"/>
  <c r="B123" i="13"/>
  <c r="G122" i="13"/>
  <c r="B122" i="13"/>
  <c r="G121" i="13"/>
  <c r="B121" i="13"/>
  <c r="G120" i="13"/>
  <c r="B120" i="13"/>
  <c r="G119" i="13"/>
  <c r="B119" i="13"/>
  <c r="G118" i="13"/>
  <c r="B118" i="13"/>
  <c r="G117" i="13"/>
  <c r="B117" i="13"/>
  <c r="G116" i="13"/>
  <c r="B116" i="13"/>
  <c r="G115" i="13"/>
  <c r="B115" i="13"/>
  <c r="G114" i="13"/>
  <c r="B114" i="13"/>
  <c r="G113" i="13"/>
  <c r="B113" i="13"/>
  <c r="G112" i="13"/>
  <c r="B112" i="13"/>
  <c r="G111" i="13"/>
  <c r="B111" i="13"/>
  <c r="G110" i="13"/>
  <c r="B110" i="13"/>
  <c r="G109" i="13"/>
  <c r="B109" i="13"/>
  <c r="G108" i="13"/>
  <c r="B108" i="13"/>
  <c r="G107" i="13"/>
  <c r="B107" i="13"/>
  <c r="G106" i="13"/>
  <c r="B106" i="13"/>
  <c r="G105" i="13"/>
  <c r="B105" i="13"/>
  <c r="G104" i="13"/>
  <c r="B104" i="13"/>
  <c r="G103" i="13"/>
  <c r="B103" i="13"/>
  <c r="G102" i="13"/>
  <c r="B102" i="13"/>
  <c r="G101" i="13"/>
  <c r="B101" i="13"/>
  <c r="G100" i="13"/>
  <c r="B100" i="13"/>
  <c r="G99" i="13"/>
  <c r="B99" i="13"/>
  <c r="G98" i="13"/>
  <c r="B98" i="13"/>
  <c r="G97" i="13"/>
  <c r="B97" i="13"/>
  <c r="G96" i="13"/>
  <c r="B96" i="13"/>
  <c r="G95" i="13"/>
  <c r="B95" i="13"/>
  <c r="G94" i="13"/>
  <c r="B94" i="13"/>
  <c r="G93" i="13"/>
  <c r="B93" i="13"/>
  <c r="G92" i="13"/>
  <c r="B92" i="13"/>
  <c r="G91" i="13"/>
  <c r="B91" i="13"/>
  <c r="G90" i="13"/>
  <c r="B90" i="13"/>
  <c r="G89" i="13"/>
  <c r="B89" i="13"/>
  <c r="G88" i="13"/>
  <c r="B88" i="13"/>
  <c r="G87" i="13"/>
  <c r="B87" i="13"/>
  <c r="G86" i="13"/>
  <c r="B86" i="13"/>
  <c r="G85" i="13"/>
  <c r="B85" i="13"/>
  <c r="G84" i="13"/>
  <c r="B84" i="13"/>
  <c r="G83" i="13"/>
  <c r="B83" i="13"/>
  <c r="G82" i="13"/>
  <c r="B82" i="13"/>
  <c r="G81" i="13"/>
  <c r="B81" i="13"/>
  <c r="G80" i="13"/>
  <c r="B80" i="13"/>
  <c r="G79" i="13"/>
  <c r="B79" i="13"/>
  <c r="G78" i="13"/>
  <c r="B78" i="13"/>
  <c r="G77" i="13"/>
  <c r="B77" i="13"/>
  <c r="G76" i="13"/>
  <c r="B76" i="13"/>
  <c r="G75" i="13"/>
  <c r="B75" i="13"/>
  <c r="G74" i="13"/>
  <c r="B74" i="13"/>
  <c r="G73" i="13"/>
  <c r="B73" i="13"/>
  <c r="G72" i="13"/>
  <c r="B72" i="13"/>
  <c r="G71" i="13"/>
  <c r="B71" i="13"/>
  <c r="G70" i="13"/>
  <c r="B70" i="13"/>
  <c r="G69" i="13"/>
  <c r="B69" i="13"/>
  <c r="G68" i="13"/>
  <c r="B68" i="13"/>
  <c r="G67" i="13"/>
  <c r="B67" i="13"/>
  <c r="G66" i="13"/>
  <c r="B66" i="13"/>
  <c r="G65" i="13"/>
  <c r="B65" i="13"/>
  <c r="G64" i="13"/>
  <c r="B64" i="13"/>
  <c r="G63" i="13"/>
  <c r="B63" i="13"/>
  <c r="G62" i="13"/>
  <c r="B62" i="13"/>
  <c r="G61" i="13"/>
  <c r="B61" i="13"/>
  <c r="G60" i="13"/>
  <c r="B60" i="13"/>
  <c r="G59" i="13"/>
  <c r="B59" i="13"/>
  <c r="G58" i="13"/>
  <c r="B58" i="13"/>
  <c r="G57" i="13"/>
  <c r="B57" i="13"/>
  <c r="G56" i="13"/>
  <c r="B56" i="13"/>
  <c r="G55" i="13"/>
  <c r="B55" i="13"/>
  <c r="G54" i="13"/>
  <c r="B54" i="13"/>
  <c r="G53" i="13"/>
  <c r="B53" i="13"/>
  <c r="G52" i="13"/>
  <c r="B52" i="13"/>
  <c r="G51" i="13"/>
  <c r="B51" i="13"/>
  <c r="G50" i="13"/>
  <c r="B50" i="13"/>
  <c r="G49" i="13"/>
  <c r="B49" i="13"/>
  <c r="G48" i="13"/>
  <c r="B48" i="13"/>
  <c r="G47" i="13"/>
  <c r="B47" i="13"/>
  <c r="G46" i="13"/>
  <c r="B46" i="13"/>
  <c r="G45" i="13"/>
  <c r="B45" i="13"/>
  <c r="G44" i="13"/>
  <c r="B44" i="13"/>
  <c r="G43" i="13"/>
  <c r="B43" i="13"/>
  <c r="G42" i="13"/>
  <c r="B42" i="13"/>
  <c r="G41" i="13"/>
  <c r="B41" i="13"/>
  <c r="G40" i="13"/>
  <c r="B40" i="13"/>
  <c r="G39" i="13"/>
  <c r="B39" i="13"/>
  <c r="G38" i="13"/>
  <c r="B38" i="13"/>
  <c r="G37" i="13"/>
  <c r="B37" i="13"/>
  <c r="G36" i="13"/>
  <c r="B36" i="13"/>
  <c r="G35" i="13"/>
  <c r="B35" i="13"/>
  <c r="G34" i="13"/>
  <c r="B34" i="13"/>
  <c r="G33" i="13"/>
  <c r="B33" i="13"/>
  <c r="G32" i="13"/>
  <c r="B32" i="13"/>
  <c r="G31" i="13"/>
  <c r="B31" i="13"/>
  <c r="G30" i="13"/>
  <c r="B30" i="13"/>
  <c r="G29" i="13"/>
  <c r="B29" i="13"/>
  <c r="G28" i="13"/>
  <c r="B28" i="13"/>
  <c r="G27" i="13"/>
  <c r="B27" i="13"/>
  <c r="G26" i="13"/>
  <c r="B26" i="13"/>
  <c r="G25" i="13"/>
  <c r="B25" i="13"/>
  <c r="G24" i="13"/>
  <c r="B24" i="13"/>
  <c r="G23" i="13"/>
  <c r="B23" i="13"/>
  <c r="G22" i="13"/>
  <c r="B22" i="13"/>
  <c r="G21" i="13"/>
  <c r="B21" i="13"/>
  <c r="G20" i="13"/>
  <c r="B20" i="13"/>
  <c r="G19" i="13"/>
  <c r="B19" i="13"/>
  <c r="G18" i="13"/>
  <c r="B18" i="13"/>
  <c r="G17" i="13"/>
  <c r="B17" i="13"/>
  <c r="G16" i="13"/>
  <c r="B16" i="13"/>
  <c r="G15" i="13"/>
  <c r="B15" i="13"/>
  <c r="G14" i="13"/>
  <c r="B14" i="13"/>
  <c r="G13" i="13"/>
  <c r="B13" i="13"/>
  <c r="G12" i="13"/>
  <c r="B12" i="13"/>
  <c r="G11" i="13"/>
  <c r="B11" i="13"/>
  <c r="G10" i="13"/>
  <c r="B10" i="13"/>
  <c r="G9" i="13"/>
  <c r="B9" i="13"/>
  <c r="G8" i="13"/>
  <c r="B8" i="13"/>
  <c r="G7" i="13"/>
  <c r="B7" i="13"/>
  <c r="J6" i="13"/>
  <c r="I6" i="13"/>
  <c r="H6" i="13"/>
  <c r="G6" i="13"/>
  <c r="F6" i="13"/>
  <c r="E6" i="13"/>
  <c r="D6" i="13"/>
  <c r="C6" i="13"/>
  <c r="B6" i="13"/>
  <c r="B4" i="13"/>
  <c r="B3" i="13"/>
  <c r="E16" i="12"/>
  <c r="E15" i="12"/>
  <c r="E14" i="12"/>
  <c r="E13" i="12"/>
  <c r="E12" i="12"/>
  <c r="E11" i="12"/>
  <c r="E10" i="12"/>
  <c r="E9" i="12"/>
  <c r="E8" i="12"/>
  <c r="E7" i="12"/>
  <c r="E6" i="12"/>
  <c r="D6" i="12"/>
  <c r="C6" i="12"/>
  <c r="B6" i="12"/>
  <c r="B4" i="12"/>
  <c r="B3" i="12"/>
  <c r="F31" i="11"/>
  <c r="F30" i="11"/>
  <c r="F29" i="11"/>
  <c r="F28" i="11"/>
  <c r="F27" i="11"/>
  <c r="F26" i="11"/>
  <c r="F25" i="11"/>
  <c r="F24" i="11"/>
  <c r="F23" i="11"/>
  <c r="F22" i="11"/>
  <c r="F21" i="11"/>
  <c r="F20" i="11"/>
  <c r="F19" i="11"/>
  <c r="F18" i="11"/>
  <c r="F17" i="11"/>
  <c r="F16" i="11"/>
  <c r="F15" i="11"/>
  <c r="F14" i="11"/>
  <c r="F13" i="11"/>
  <c r="F12" i="11"/>
  <c r="F11" i="11"/>
  <c r="F10" i="11"/>
  <c r="F9" i="11"/>
  <c r="F8" i="11"/>
  <c r="F7" i="11"/>
  <c r="F6" i="11"/>
  <c r="E6" i="11"/>
  <c r="D6" i="11"/>
  <c r="C6" i="11"/>
  <c r="B6" i="11"/>
  <c r="B4" i="11"/>
  <c r="B3" i="11"/>
  <c r="I16" i="10"/>
  <c r="F16" i="10"/>
  <c r="F15" i="10"/>
  <c r="I15" i="10" s="1"/>
  <c r="F14" i="10"/>
  <c r="I14" i="10" s="1"/>
  <c r="I13" i="10"/>
  <c r="F13" i="10"/>
  <c r="F12" i="10"/>
  <c r="I12" i="10" s="1"/>
  <c r="F11" i="10"/>
  <c r="I11" i="10" s="1"/>
  <c r="I10" i="10"/>
  <c r="F10" i="10"/>
  <c r="F9" i="10"/>
  <c r="I9" i="10" s="1"/>
  <c r="F8" i="10"/>
  <c r="I8" i="10" s="1"/>
  <c r="I7" i="10"/>
  <c r="F7" i="10"/>
  <c r="I6" i="10"/>
  <c r="H6" i="10"/>
  <c r="G6" i="10"/>
  <c r="F6" i="10"/>
  <c r="E6" i="10"/>
  <c r="D6" i="10"/>
  <c r="C6" i="10"/>
  <c r="B6" i="10"/>
  <c r="B4" i="10"/>
  <c r="B3" i="10"/>
  <c r="E6" i="9"/>
  <c r="D6" i="9"/>
  <c r="C6" i="9"/>
  <c r="B6" i="9"/>
  <c r="B4" i="9"/>
  <c r="B3" i="9"/>
  <c r="D6" i="8"/>
  <c r="C6" i="8"/>
  <c r="B6" i="8"/>
  <c r="B4" i="8"/>
  <c r="B3" i="8"/>
  <c r="F6" i="7"/>
  <c r="E6" i="7"/>
  <c r="D6" i="7"/>
  <c r="C6" i="7"/>
  <c r="B6" i="7"/>
  <c r="B4" i="7"/>
  <c r="B3" i="7"/>
  <c r="B15" i="6"/>
  <c r="G13" i="6"/>
  <c r="F13" i="6"/>
  <c r="E13" i="6"/>
  <c r="D13" i="6"/>
  <c r="C13" i="6"/>
  <c r="B13" i="6"/>
  <c r="F12" i="6"/>
  <c r="E12" i="6"/>
  <c r="D12" i="6"/>
  <c r="C12" i="6"/>
  <c r="B12" i="6"/>
  <c r="B11" i="6"/>
  <c r="G10" i="6"/>
  <c r="G12" i="6" s="1"/>
  <c r="F10" i="6"/>
  <c r="E10" i="6"/>
  <c r="D10" i="6"/>
  <c r="C10" i="6"/>
  <c r="B10" i="6"/>
  <c r="B9" i="6"/>
  <c r="B8" i="6"/>
  <c r="B7" i="6"/>
  <c r="G6" i="6"/>
  <c r="F6" i="6"/>
  <c r="E6" i="6"/>
  <c r="D6" i="6"/>
  <c r="C6" i="6"/>
  <c r="B6" i="6"/>
  <c r="B4" i="6"/>
  <c r="B3" i="6"/>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D7" i="5"/>
  <c r="C7" i="5"/>
  <c r="B7" i="5"/>
  <c r="B4" i="5"/>
  <c r="B3" i="5"/>
  <c r="C105" i="4"/>
  <c r="C103" i="4"/>
  <c r="C102" i="4"/>
  <c r="C101" i="4"/>
  <c r="C100" i="4"/>
  <c r="C99" i="4"/>
  <c r="C98" i="4"/>
  <c r="C97" i="4"/>
  <c r="C96" i="4"/>
  <c r="C95" i="4"/>
  <c r="J94" i="4"/>
  <c r="I94" i="4"/>
  <c r="I100" i="4" s="1"/>
  <c r="H94" i="4"/>
  <c r="G94" i="4"/>
  <c r="F94" i="4"/>
  <c r="F100" i="4" s="1"/>
  <c r="E94" i="4"/>
  <c r="E100" i="4" s="1"/>
  <c r="C94" i="4"/>
  <c r="C93" i="4"/>
  <c r="C92" i="4"/>
  <c r="C91" i="4"/>
  <c r="C90" i="4"/>
  <c r="J89" i="4"/>
  <c r="J100" i="4" s="1"/>
  <c r="I89" i="4"/>
  <c r="H89" i="4"/>
  <c r="H100" i="4" s="1"/>
  <c r="G89" i="4"/>
  <c r="G100" i="4" s="1"/>
  <c r="F89" i="4"/>
  <c r="E89" i="4"/>
  <c r="C89" i="4"/>
  <c r="C88" i="4"/>
  <c r="C87" i="4"/>
  <c r="C86" i="4"/>
  <c r="C85" i="4"/>
  <c r="C84" i="4"/>
  <c r="C83" i="4"/>
  <c r="C82" i="4"/>
  <c r="E81" i="4"/>
  <c r="C81" i="4"/>
  <c r="C80" i="4"/>
  <c r="J79" i="4"/>
  <c r="I79" i="4"/>
  <c r="H79" i="4"/>
  <c r="G79" i="4"/>
  <c r="F79" i="4"/>
  <c r="E79" i="4"/>
  <c r="C79" i="4"/>
  <c r="G78" i="4"/>
  <c r="G81" i="4" s="1"/>
  <c r="G101" i="4" s="1"/>
  <c r="C78" i="4"/>
  <c r="C77" i="4"/>
  <c r="C76" i="4"/>
  <c r="J75" i="4"/>
  <c r="I75" i="4"/>
  <c r="H75" i="4"/>
  <c r="G75" i="4"/>
  <c r="F75" i="4"/>
  <c r="E75" i="4"/>
  <c r="C75" i="4"/>
  <c r="C74" i="4"/>
  <c r="C73" i="4"/>
  <c r="C72" i="4"/>
  <c r="C71" i="4"/>
  <c r="C70" i="4"/>
  <c r="J69" i="4"/>
  <c r="I69" i="4"/>
  <c r="H69" i="4"/>
  <c r="G69" i="4"/>
  <c r="F69" i="4"/>
  <c r="E69" i="4"/>
  <c r="C69" i="4"/>
  <c r="G68" i="4"/>
  <c r="G74" i="4" s="1"/>
  <c r="F68" i="4"/>
  <c r="F74" i="4" s="1"/>
  <c r="E68" i="4"/>
  <c r="E74" i="4" s="1"/>
  <c r="E78" i="4" s="1"/>
  <c r="C68" i="4"/>
  <c r="C67" i="4"/>
  <c r="C66" i="4"/>
  <c r="C65" i="4"/>
  <c r="J64" i="4"/>
  <c r="I64" i="4"/>
  <c r="H64" i="4"/>
  <c r="G64" i="4"/>
  <c r="F64" i="4"/>
  <c r="E64" i="4"/>
  <c r="C64" i="4"/>
  <c r="J63" i="4"/>
  <c r="J68" i="4" s="1"/>
  <c r="J74" i="4" s="1"/>
  <c r="J78" i="4" s="1"/>
  <c r="J81" i="4" s="1"/>
  <c r="J101" i="4" s="1"/>
  <c r="F63" i="4"/>
  <c r="C63" i="4"/>
  <c r="C62" i="4"/>
  <c r="C61" i="4"/>
  <c r="C60" i="4"/>
  <c r="C59" i="4"/>
  <c r="C58" i="4"/>
  <c r="J57" i="4"/>
  <c r="I57" i="4"/>
  <c r="H57" i="4"/>
  <c r="G57" i="4"/>
  <c r="F57" i="4"/>
  <c r="E57" i="4"/>
  <c r="C57" i="4"/>
  <c r="C56" i="4"/>
  <c r="C55" i="4"/>
  <c r="J54" i="4"/>
  <c r="I54" i="4"/>
  <c r="I63" i="4" s="1"/>
  <c r="I68" i="4" s="1"/>
  <c r="I74" i="4" s="1"/>
  <c r="I78" i="4" s="1"/>
  <c r="I81" i="4" s="1"/>
  <c r="I101" i="4" s="1"/>
  <c r="H54" i="4"/>
  <c r="H63" i="4" s="1"/>
  <c r="H68" i="4" s="1"/>
  <c r="H74" i="4" s="1"/>
  <c r="H78" i="4" s="1"/>
  <c r="H81" i="4" s="1"/>
  <c r="H101" i="4" s="1"/>
  <c r="G54" i="4"/>
  <c r="G63" i="4" s="1"/>
  <c r="F54" i="4"/>
  <c r="E54" i="4"/>
  <c r="E63" i="4" s="1"/>
  <c r="C54" i="4"/>
  <c r="C53" i="4"/>
  <c r="C52" i="4"/>
  <c r="C51" i="4"/>
  <c r="C50" i="4"/>
  <c r="C49" i="4"/>
  <c r="C48" i="4"/>
  <c r="C47" i="4"/>
  <c r="C46" i="4"/>
  <c r="C45" i="4"/>
  <c r="J44" i="4"/>
  <c r="J53" i="4" s="1"/>
  <c r="I44" i="4"/>
  <c r="H44" i="4"/>
  <c r="G44" i="4"/>
  <c r="F44" i="4"/>
  <c r="E44" i="4"/>
  <c r="C44" i="4"/>
  <c r="C43" i="4"/>
  <c r="C42" i="4"/>
  <c r="C41" i="4"/>
  <c r="C40" i="4"/>
  <c r="C39" i="4"/>
  <c r="C38" i="4"/>
  <c r="J37" i="4"/>
  <c r="I37" i="4"/>
  <c r="H37" i="4"/>
  <c r="G37" i="4"/>
  <c r="F37" i="4"/>
  <c r="E37" i="4"/>
  <c r="C37" i="4"/>
  <c r="J36" i="4"/>
  <c r="G36" i="4"/>
  <c r="G53" i="4" s="1"/>
  <c r="C36" i="4"/>
  <c r="C35" i="4"/>
  <c r="C34" i="4"/>
  <c r="C33" i="4"/>
  <c r="C32" i="4"/>
  <c r="C31" i="4"/>
  <c r="C30" i="4"/>
  <c r="C29" i="4"/>
  <c r="J28" i="4"/>
  <c r="I28" i="4"/>
  <c r="I36" i="4" s="1"/>
  <c r="I53" i="4" s="1"/>
  <c r="H28" i="4"/>
  <c r="H36" i="4" s="1"/>
  <c r="G28" i="4"/>
  <c r="F28" i="4"/>
  <c r="F36" i="4" s="1"/>
  <c r="F53" i="4" s="1"/>
  <c r="E28" i="4"/>
  <c r="E36" i="4" s="1"/>
  <c r="E53" i="4" s="1"/>
  <c r="C28" i="4"/>
  <c r="J27" i="4"/>
  <c r="J105" i="4" s="1"/>
  <c r="C27" i="4"/>
  <c r="C26" i="4"/>
  <c r="C25" i="4"/>
  <c r="C24" i="4"/>
  <c r="C23" i="4"/>
  <c r="C22" i="4"/>
  <c r="C21" i="4"/>
  <c r="C20" i="4"/>
  <c r="C19" i="4"/>
  <c r="J18" i="4"/>
  <c r="I18" i="4"/>
  <c r="I27" i="4" s="1"/>
  <c r="H18" i="4"/>
  <c r="G18" i="4"/>
  <c r="F18" i="4"/>
  <c r="E18" i="4"/>
  <c r="C18" i="4"/>
  <c r="C17" i="4"/>
  <c r="C16" i="4"/>
  <c r="C15" i="4"/>
  <c r="C14" i="4"/>
  <c r="C13" i="4"/>
  <c r="C12" i="4"/>
  <c r="C11" i="4"/>
  <c r="C10" i="4"/>
  <c r="C9" i="4"/>
  <c r="J8" i="4"/>
  <c r="I8" i="4"/>
  <c r="H8" i="4"/>
  <c r="H27" i="4" s="1"/>
  <c r="G8" i="4"/>
  <c r="G27" i="4" s="1"/>
  <c r="F8" i="4"/>
  <c r="F27" i="4" s="1"/>
  <c r="E8" i="4"/>
  <c r="E27" i="4" s="1"/>
  <c r="E105" i="4" s="1"/>
  <c r="C8" i="4"/>
  <c r="J7" i="4"/>
  <c r="I7" i="4"/>
  <c r="H7" i="4"/>
  <c r="G7" i="4"/>
  <c r="F7" i="4"/>
  <c r="E7" i="4"/>
  <c r="C7" i="4"/>
  <c r="B7" i="4"/>
  <c r="J6" i="4"/>
  <c r="I6" i="4"/>
  <c r="H6" i="4"/>
  <c r="G6" i="4"/>
  <c r="F6" i="4"/>
  <c r="E6" i="4"/>
  <c r="B4" i="4"/>
  <c r="B3" i="4"/>
  <c r="M12" i="3"/>
  <c r="H12" i="3"/>
  <c r="E12" i="3"/>
  <c r="H11" i="3"/>
  <c r="E11" i="3"/>
  <c r="M11" i="3" s="1"/>
  <c r="M10" i="3"/>
  <c r="D12" i="14" s="1"/>
  <c r="G12" i="14" s="1"/>
  <c r="H10" i="3"/>
  <c r="E10" i="3"/>
  <c r="M9" i="3"/>
  <c r="H9" i="3"/>
  <c r="E9" i="3"/>
  <c r="M8" i="3"/>
  <c r="H8" i="3"/>
  <c r="E8" i="3"/>
  <c r="H7" i="3"/>
  <c r="E7" i="3"/>
  <c r="M7" i="3" s="1"/>
  <c r="D87" i="14" s="1"/>
  <c r="G87" i="14" s="1"/>
  <c r="D42" i="16" s="1"/>
  <c r="F42" i="16" s="1"/>
  <c r="M6" i="3"/>
  <c r="L6" i="3"/>
  <c r="K6" i="3"/>
  <c r="J6" i="3"/>
  <c r="I6" i="3"/>
  <c r="H6" i="3"/>
  <c r="G6" i="3"/>
  <c r="F6" i="3"/>
  <c r="E6" i="3"/>
  <c r="D6" i="3"/>
  <c r="C6" i="3"/>
  <c r="B6" i="3"/>
  <c r="B4" i="3"/>
  <c r="B3" i="3"/>
  <c r="C16" i="2"/>
  <c r="C15" i="2"/>
  <c r="B14" i="2"/>
  <c r="D13" i="2"/>
  <c r="B13" i="2"/>
  <c r="B11" i="2"/>
  <c r="B10" i="2"/>
  <c r="B9" i="2"/>
  <c r="B8" i="2"/>
  <c r="B7" i="2"/>
  <c r="B6" i="2"/>
  <c r="B3" i="2"/>
  <c r="B38" i="1"/>
  <c r="B37" i="1"/>
  <c r="B36" i="1"/>
  <c r="B35" i="1"/>
  <c r="B34" i="1"/>
  <c r="B33" i="1"/>
  <c r="B32" i="1"/>
  <c r="D31" i="1"/>
  <c r="C31" i="1"/>
  <c r="B31" i="1"/>
  <c r="B30" i="1"/>
  <c r="B29" i="1"/>
  <c r="D27" i="1"/>
  <c r="C27" i="1"/>
  <c r="B27" i="1"/>
  <c r="D26" i="1"/>
  <c r="C26" i="1"/>
  <c r="B26" i="1"/>
  <c r="D25" i="1"/>
  <c r="C25" i="1"/>
  <c r="B25" i="1"/>
  <c r="D24" i="1"/>
  <c r="C24" i="1"/>
  <c r="B24" i="1"/>
  <c r="D23" i="1"/>
  <c r="C23" i="1"/>
  <c r="B23" i="1"/>
  <c r="D22" i="1"/>
  <c r="C22" i="1"/>
  <c r="B22" i="1"/>
  <c r="D21" i="1"/>
  <c r="C21" i="1"/>
  <c r="B21" i="1"/>
  <c r="D20" i="1"/>
  <c r="C20" i="1"/>
  <c r="B20" i="1"/>
  <c r="D19" i="1"/>
  <c r="C19" i="1"/>
  <c r="B19" i="1"/>
  <c r="D18" i="1"/>
  <c r="C18" i="1"/>
  <c r="B18" i="1"/>
  <c r="D17" i="1"/>
  <c r="C17" i="1"/>
  <c r="B17" i="1"/>
  <c r="D16" i="1"/>
  <c r="C16" i="1"/>
  <c r="B16" i="1"/>
  <c r="D15" i="1"/>
  <c r="C15" i="1"/>
  <c r="B15" i="1"/>
  <c r="D14" i="1"/>
  <c r="C14" i="1"/>
  <c r="B14" i="1"/>
  <c r="D13" i="1"/>
  <c r="C13" i="1"/>
  <c r="B13" i="1"/>
  <c r="D12" i="1"/>
  <c r="C12" i="1"/>
  <c r="B12" i="1"/>
  <c r="D11" i="1"/>
  <c r="C11" i="1"/>
  <c r="B11" i="1"/>
  <c r="D10" i="1"/>
  <c r="C10" i="1"/>
  <c r="B10" i="1"/>
  <c r="D9" i="1"/>
  <c r="C9" i="1"/>
  <c r="B9" i="1"/>
  <c r="D8" i="1"/>
  <c r="C8" i="1"/>
  <c r="B8" i="1"/>
  <c r="B6" i="1"/>
  <c r="B4" i="1"/>
  <c r="B3" i="1"/>
  <c r="D13" i="19" l="1"/>
  <c r="D11" i="15"/>
  <c r="F11" i="15" s="1"/>
  <c r="H27" i="14"/>
  <c r="H57" i="14"/>
  <c r="H54" i="14"/>
  <c r="H63" i="14" s="1"/>
  <c r="K8" i="17"/>
  <c r="K10" i="17" s="1"/>
  <c r="D36" i="16"/>
  <c r="F36" i="16" s="1"/>
  <c r="K18" i="17"/>
  <c r="H53" i="4"/>
  <c r="H105" i="4" s="1"/>
  <c r="D9" i="19" s="1"/>
  <c r="F105" i="4"/>
  <c r="D10" i="14"/>
  <c r="G10" i="14" s="1"/>
  <c r="D9" i="15" s="1"/>
  <c r="F9" i="15" s="1"/>
  <c r="D56" i="14"/>
  <c r="G56" i="14" s="1"/>
  <c r="D9" i="16" s="1"/>
  <c r="F9" i="16" s="1"/>
  <c r="H69" i="14"/>
  <c r="G105" i="4"/>
  <c r="D45" i="14"/>
  <c r="G45" i="14" s="1"/>
  <c r="D98" i="14"/>
  <c r="G98" i="14" s="1"/>
  <c r="D54" i="16" s="1"/>
  <c r="F54" i="16" s="1"/>
  <c r="D14" i="19"/>
  <c r="D93" i="14"/>
  <c r="G93" i="14" s="1"/>
  <c r="D49" i="16" s="1"/>
  <c r="F49" i="16" s="1"/>
  <c r="D91" i="14"/>
  <c r="G91" i="14" s="1"/>
  <c r="D47" i="16" s="1"/>
  <c r="F47" i="16" s="1"/>
  <c r="D80" i="14"/>
  <c r="G80" i="14" s="1"/>
  <c r="D77" i="14"/>
  <c r="G77" i="14" s="1"/>
  <c r="D30" i="16" s="1"/>
  <c r="F30" i="16" s="1"/>
  <c r="D72" i="14"/>
  <c r="G72" i="14" s="1"/>
  <c r="D25" i="16" s="1"/>
  <c r="F25" i="16" s="1"/>
  <c r="D70" i="14"/>
  <c r="G70" i="14" s="1"/>
  <c r="D67" i="14"/>
  <c r="G67" i="14" s="1"/>
  <c r="D20" i="16" s="1"/>
  <c r="F20" i="16" s="1"/>
  <c r="D65" i="14"/>
  <c r="G65" i="14" s="1"/>
  <c r="D62" i="14"/>
  <c r="G62" i="14" s="1"/>
  <c r="D15" i="16" s="1"/>
  <c r="F15" i="16" s="1"/>
  <c r="D60" i="14"/>
  <c r="G60" i="14" s="1"/>
  <c r="D13" i="16" s="1"/>
  <c r="F13" i="16" s="1"/>
  <c r="D58" i="14"/>
  <c r="G58" i="14" s="1"/>
  <c r="D11" i="16" s="1"/>
  <c r="F11" i="16" s="1"/>
  <c r="D42" i="14"/>
  <c r="G42" i="14" s="1"/>
  <c r="D41" i="15" s="1"/>
  <c r="F41" i="15" s="1"/>
  <c r="D40" i="14"/>
  <c r="G40" i="14" s="1"/>
  <c r="D39" i="15" s="1"/>
  <c r="F39" i="15" s="1"/>
  <c r="D38" i="14"/>
  <c r="G38" i="14" s="1"/>
  <c r="D35" i="14"/>
  <c r="G35" i="14" s="1"/>
  <c r="D34" i="15" s="1"/>
  <c r="F34" i="15" s="1"/>
  <c r="D33" i="14"/>
  <c r="G33" i="14" s="1"/>
  <c r="D32" i="15" s="1"/>
  <c r="F32" i="15" s="1"/>
  <c r="D31" i="14"/>
  <c r="G31" i="14" s="1"/>
  <c r="D30" i="15" s="1"/>
  <c r="F30" i="15" s="1"/>
  <c r="D29" i="14"/>
  <c r="G29" i="14" s="1"/>
  <c r="D26" i="14"/>
  <c r="G26" i="14" s="1"/>
  <c r="D25" i="15" s="1"/>
  <c r="F25" i="15" s="1"/>
  <c r="D24" i="14"/>
  <c r="G24" i="14" s="1"/>
  <c r="D23" i="15" s="1"/>
  <c r="F23" i="15" s="1"/>
  <c r="D22" i="14"/>
  <c r="G22" i="14" s="1"/>
  <c r="D21" i="15" s="1"/>
  <c r="F21" i="15" s="1"/>
  <c r="D20" i="14"/>
  <c r="G20" i="14" s="1"/>
  <c r="D99" i="14"/>
  <c r="G99" i="14" s="1"/>
  <c r="D55" i="16" s="1"/>
  <c r="F55" i="16" s="1"/>
  <c r="D97" i="14"/>
  <c r="G97" i="14" s="1"/>
  <c r="D53" i="16" s="1"/>
  <c r="F53" i="16" s="1"/>
  <c r="D95" i="14"/>
  <c r="G95" i="14" s="1"/>
  <c r="D88" i="14"/>
  <c r="G88" i="14" s="1"/>
  <c r="D43" i="16" s="1"/>
  <c r="F43" i="16" s="1"/>
  <c r="D86" i="14"/>
  <c r="G86" i="14" s="1"/>
  <c r="D41" i="16" s="1"/>
  <c r="F41" i="16" s="1"/>
  <c r="D84" i="14"/>
  <c r="G84" i="14" s="1"/>
  <c r="D39" i="16" s="1"/>
  <c r="F39" i="16" s="1"/>
  <c r="D55" i="14"/>
  <c r="G55" i="14" s="1"/>
  <c r="D52" i="14"/>
  <c r="G52" i="14" s="1"/>
  <c r="D51" i="15" s="1"/>
  <c r="F51" i="15" s="1"/>
  <c r="D50" i="14"/>
  <c r="G50" i="14" s="1"/>
  <c r="D49" i="15" s="1"/>
  <c r="F49" i="15" s="1"/>
  <c r="D48" i="14"/>
  <c r="G48" i="14" s="1"/>
  <c r="D47" i="15" s="1"/>
  <c r="F47" i="15" s="1"/>
  <c r="D46" i="14"/>
  <c r="G46" i="14" s="1"/>
  <c r="D45" i="15" s="1"/>
  <c r="F45" i="15" s="1"/>
  <c r="D17" i="14"/>
  <c r="G17" i="14" s="1"/>
  <c r="D16" i="15" s="1"/>
  <c r="F16" i="15" s="1"/>
  <c r="D15" i="14"/>
  <c r="G15" i="14" s="1"/>
  <c r="D14" i="15" s="1"/>
  <c r="F14" i="15" s="1"/>
  <c r="D13" i="14"/>
  <c r="G13" i="14" s="1"/>
  <c r="D12" i="15" s="1"/>
  <c r="F12" i="15" s="1"/>
  <c r="D11" i="14"/>
  <c r="G11" i="14" s="1"/>
  <c r="D10" i="15" s="1"/>
  <c r="F10" i="15" s="1"/>
  <c r="D9" i="14"/>
  <c r="G9" i="14" s="1"/>
  <c r="D92" i="14"/>
  <c r="G92" i="14" s="1"/>
  <c r="D48" i="16" s="1"/>
  <c r="F48" i="16" s="1"/>
  <c r="D90" i="14"/>
  <c r="G90" i="14" s="1"/>
  <c r="D76" i="14"/>
  <c r="G76" i="14" s="1"/>
  <c r="D73" i="14"/>
  <c r="G73" i="14" s="1"/>
  <c r="D26" i="16" s="1"/>
  <c r="F26" i="16" s="1"/>
  <c r="D71" i="14"/>
  <c r="G71" i="14" s="1"/>
  <c r="D24" i="16" s="1"/>
  <c r="F24" i="16" s="1"/>
  <c r="D66" i="14"/>
  <c r="G66" i="14" s="1"/>
  <c r="D19" i="16" s="1"/>
  <c r="F19" i="16" s="1"/>
  <c r="D61" i="14"/>
  <c r="G61" i="14" s="1"/>
  <c r="D59" i="14"/>
  <c r="G59" i="14" s="1"/>
  <c r="D12" i="16" s="1"/>
  <c r="F12" i="16" s="1"/>
  <c r="D43" i="14"/>
  <c r="G43" i="14" s="1"/>
  <c r="D42" i="15" s="1"/>
  <c r="F42" i="15" s="1"/>
  <c r="D41" i="14"/>
  <c r="G41" i="14" s="1"/>
  <c r="D39" i="14"/>
  <c r="G39" i="14" s="1"/>
  <c r="D38" i="15" s="1"/>
  <c r="F38" i="15" s="1"/>
  <c r="D34" i="14"/>
  <c r="D32" i="14"/>
  <c r="D30" i="14"/>
  <c r="G30" i="14" s="1"/>
  <c r="D29" i="15" s="1"/>
  <c r="F29" i="15" s="1"/>
  <c r="D25" i="14"/>
  <c r="G25" i="14" s="1"/>
  <c r="D23" i="14"/>
  <c r="G23" i="14" s="1"/>
  <c r="D22" i="15" s="1"/>
  <c r="F22" i="15" s="1"/>
  <c r="D21" i="14"/>
  <c r="G21" i="14" s="1"/>
  <c r="D20" i="15" s="1"/>
  <c r="F20" i="15" s="1"/>
  <c r="D19" i="14"/>
  <c r="G19" i="14" s="1"/>
  <c r="D14" i="14"/>
  <c r="G14" i="14" s="1"/>
  <c r="D13" i="15" s="1"/>
  <c r="F13" i="15" s="1"/>
  <c r="H44" i="14"/>
  <c r="H37" i="14"/>
  <c r="D49" i="14"/>
  <c r="G49" i="14" s="1"/>
  <c r="D48" i="15" s="1"/>
  <c r="F48" i="15" s="1"/>
  <c r="H94" i="14"/>
  <c r="H100" i="14" s="1"/>
  <c r="H34" i="14" s="1"/>
  <c r="D103" i="14"/>
  <c r="G103" i="14" s="1"/>
  <c r="D59" i="16" s="1"/>
  <c r="F59" i="16" s="1"/>
  <c r="D85" i="14"/>
  <c r="G85" i="14" s="1"/>
  <c r="D40" i="16" s="1"/>
  <c r="F40" i="16" s="1"/>
  <c r="E101" i="4"/>
  <c r="D96" i="14"/>
  <c r="G96" i="14" s="1"/>
  <c r="D52" i="16" s="1"/>
  <c r="F52" i="16" s="1"/>
  <c r="H64" i="14"/>
  <c r="J7" i="17"/>
  <c r="L7" i="17" s="1"/>
  <c r="F78" i="4"/>
  <c r="F81" i="4" s="1"/>
  <c r="F101" i="4" s="1"/>
  <c r="I105" i="4"/>
  <c r="D47" i="14"/>
  <c r="G47" i="14" s="1"/>
  <c r="D46" i="15" s="1"/>
  <c r="F46" i="15" s="1"/>
  <c r="E9" i="19" l="1"/>
  <c r="D32" i="1" s="1"/>
  <c r="C32" i="1"/>
  <c r="D46" i="16"/>
  <c r="F46" i="16" s="1"/>
  <c r="G89" i="14"/>
  <c r="D51" i="16"/>
  <c r="F51" i="16" s="1"/>
  <c r="G94" i="14"/>
  <c r="D50" i="16" s="1"/>
  <c r="F50" i="16" s="1"/>
  <c r="C37" i="1"/>
  <c r="E14" i="19"/>
  <c r="D37" i="1" s="1"/>
  <c r="D40" i="15"/>
  <c r="F40" i="15" s="1"/>
  <c r="E16" i="18"/>
  <c r="G16" i="18" s="1"/>
  <c r="H68" i="14"/>
  <c r="H74" i="14" s="1"/>
  <c r="H78" i="14" s="1"/>
  <c r="H81" i="14" s="1"/>
  <c r="D33" i="16"/>
  <c r="F33" i="16" s="1"/>
  <c r="G79" i="14"/>
  <c r="D32" i="16" s="1"/>
  <c r="F32" i="16" s="1"/>
  <c r="G34" i="14"/>
  <c r="D33" i="15" s="1"/>
  <c r="F33" i="15" s="1"/>
  <c r="G37" i="14"/>
  <c r="D36" i="15" s="1"/>
  <c r="F36" i="15" s="1"/>
  <c r="D37" i="15"/>
  <c r="F37" i="15" s="1"/>
  <c r="E14" i="18"/>
  <c r="G14" i="18" s="1"/>
  <c r="D19" i="15"/>
  <c r="F19" i="15" s="1"/>
  <c r="G44" i="14"/>
  <c r="D43" i="15" s="1"/>
  <c r="F43" i="15" s="1"/>
  <c r="E15" i="18"/>
  <c r="G15" i="18" s="1"/>
  <c r="D44" i="15"/>
  <c r="F44" i="15" s="1"/>
  <c r="D14" i="16"/>
  <c r="F14" i="16" s="1"/>
  <c r="E10" i="18"/>
  <c r="G10" i="18" s="1"/>
  <c r="D18" i="16"/>
  <c r="F18" i="16" s="1"/>
  <c r="G64" i="14"/>
  <c r="D17" i="16" s="1"/>
  <c r="F17" i="16" s="1"/>
  <c r="D18" i="15"/>
  <c r="F18" i="15" s="1"/>
  <c r="G18" i="14"/>
  <c r="D17" i="15" s="1"/>
  <c r="F17" i="15" s="1"/>
  <c r="E13" i="18"/>
  <c r="G13" i="18" s="1"/>
  <c r="G69" i="14"/>
  <c r="D22" i="16" s="1"/>
  <c r="F22" i="16" s="1"/>
  <c r="D23" i="16"/>
  <c r="F23" i="16" s="1"/>
  <c r="D8" i="15"/>
  <c r="F8" i="15" s="1"/>
  <c r="G8" i="14"/>
  <c r="D28" i="15"/>
  <c r="F28" i="15" s="1"/>
  <c r="D24" i="15"/>
  <c r="F24" i="15" s="1"/>
  <c r="G45" i="18"/>
  <c r="D29" i="16"/>
  <c r="F29" i="16" s="1"/>
  <c r="G75" i="14"/>
  <c r="D28" i="16" s="1"/>
  <c r="F28" i="16" s="1"/>
  <c r="G57" i="14"/>
  <c r="D10" i="16" s="1"/>
  <c r="F10" i="16" s="1"/>
  <c r="D8" i="16"/>
  <c r="F8" i="16" s="1"/>
  <c r="G54" i="14"/>
  <c r="E13" i="19"/>
  <c r="D36" i="1" s="1"/>
  <c r="C36" i="1"/>
  <c r="H101" i="14" l="1"/>
  <c r="H32" i="14"/>
  <c r="H28" i="14" s="1"/>
  <c r="H36" i="14" s="1"/>
  <c r="H53" i="14" s="1"/>
  <c r="G32" i="14"/>
  <c r="D45" i="16"/>
  <c r="F45" i="16" s="1"/>
  <c r="G100" i="14"/>
  <c r="G27" i="14"/>
  <c r="D7" i="15"/>
  <c r="F7" i="15" s="1"/>
  <c r="G63" i="14"/>
  <c r="D7" i="16"/>
  <c r="F7" i="16" s="1"/>
  <c r="E8" i="18" l="1"/>
  <c r="G8" i="18" s="1"/>
  <c r="G17" i="18" s="1"/>
  <c r="G19" i="18" s="1"/>
  <c r="G40" i="18" s="1"/>
  <c r="G43" i="18" s="1"/>
  <c r="D11" i="19" s="1"/>
  <c r="G68" i="14"/>
  <c r="D16" i="16"/>
  <c r="F16" i="16" s="1"/>
  <c r="D26" i="15"/>
  <c r="F26" i="15" s="1"/>
  <c r="D102" i="14"/>
  <c r="G102" i="14" s="1"/>
  <c r="D58" i="16" s="1"/>
  <c r="F58" i="16" s="1"/>
  <c r="D56" i="16"/>
  <c r="F56" i="16" s="1"/>
  <c r="D31" i="15"/>
  <c r="F31" i="15" s="1"/>
  <c r="G28" i="14"/>
  <c r="D27" i="15" l="1"/>
  <c r="F27" i="15" s="1"/>
  <c r="G36" i="14"/>
  <c r="G74" i="14"/>
  <c r="D21" i="16"/>
  <c r="F21" i="16" s="1"/>
  <c r="C34" i="1"/>
  <c r="E11" i="19"/>
  <c r="D34" i="1" s="1"/>
  <c r="D35" i="15" l="1"/>
  <c r="F35" i="15" s="1"/>
  <c r="G53" i="14"/>
  <c r="D27" i="16"/>
  <c r="F27" i="16" s="1"/>
  <c r="G78" i="14"/>
  <c r="G81" i="14" l="1"/>
  <c r="D31" i="16"/>
  <c r="F31" i="16" s="1"/>
  <c r="D52" i="15"/>
  <c r="F52" i="15" s="1"/>
  <c r="D7" i="19"/>
  <c r="C30" i="1" l="1"/>
  <c r="E7" i="19"/>
  <c r="D30" i="1" s="1"/>
  <c r="D82" i="14"/>
  <c r="G82" i="14" s="1"/>
  <c r="G101" i="14"/>
  <c r="D57" i="16" s="1"/>
  <c r="F57" i="16" s="1"/>
  <c r="D34" i="16"/>
  <c r="F34" i="16" s="1"/>
  <c r="G8" i="17" l="1"/>
  <c r="D35" i="16"/>
  <c r="F35" i="16" s="1"/>
  <c r="D12" i="19"/>
  <c r="E12" i="19" l="1"/>
  <c r="D35" i="1" s="1"/>
  <c r="C35" i="1"/>
  <c r="J8" i="17"/>
  <c r="L8" i="17" s="1"/>
  <c r="G10" i="17"/>
  <c r="J10" i="17" l="1"/>
  <c r="L10" i="17" s="1"/>
  <c r="G18" i="17"/>
  <c r="J18" i="17" s="1"/>
  <c r="L18" i="17" s="1"/>
  <c r="D10" i="19" s="1"/>
  <c r="C33" i="1" l="1"/>
  <c r="E10" i="19"/>
  <c r="D33" i="1" s="1"/>
  <c r="E16" i="19"/>
  <c r="D38" i="1" s="1"/>
</calcChain>
</file>

<file path=xl/sharedStrings.xml><?xml version="1.0" encoding="utf-8"?>
<sst xmlns="http://schemas.openxmlformats.org/spreadsheetml/2006/main" count="2296" uniqueCount="1349">
  <si>
    <t>Minta Csoport Nyrt.</t>
  </si>
  <si>
    <t>12345678-2-41</t>
  </si>
  <si>
    <t>HUF</t>
  </si>
  <si>
    <t>ezer</t>
  </si>
  <si>
    <t>A00</t>
  </si>
  <si>
    <t>Minta Holding Nyrt.</t>
  </si>
  <si>
    <t>L01</t>
  </si>
  <si>
    <t>Minta Leány Kft.</t>
  </si>
  <si>
    <t>23456789-2-13</t>
  </si>
  <si>
    <t>2024-01-01</t>
  </si>
  <si>
    <t>L02</t>
  </si>
  <si>
    <t>Minta Külföldi GmbH</t>
  </si>
  <si>
    <t>DE123456789</t>
  </si>
  <si>
    <t>EUR</t>
  </si>
  <si>
    <t>2025-07-01</t>
  </si>
  <si>
    <t>T01</t>
  </si>
  <si>
    <t>Minta Társult Zrt.</t>
  </si>
  <si>
    <t>45678901-2-13</t>
  </si>
  <si>
    <t>S.A</t>
  </si>
  <si>
    <t>S.A.01</t>
  </si>
  <si>
    <t>S.A.02</t>
  </si>
  <si>
    <t>S.A.03</t>
  </si>
  <si>
    <t>S.A.04</t>
  </si>
  <si>
    <t>S.A.05</t>
  </si>
  <si>
    <t>S.A.06</t>
  </si>
  <si>
    <t>S.A.07</t>
  </si>
  <si>
    <t>S.A.08</t>
  </si>
  <si>
    <t>S.A.09</t>
  </si>
  <si>
    <t>S.B</t>
  </si>
  <si>
    <t>S.B.01</t>
  </si>
  <si>
    <t>S.B.02</t>
  </si>
  <si>
    <t>S.B.03</t>
  </si>
  <si>
    <t>S.B.04</t>
  </si>
  <si>
    <t>S.B.05</t>
  </si>
  <si>
    <t>S.B.06</t>
  </si>
  <si>
    <t>S.B.07</t>
  </si>
  <si>
    <t>S.B.08</t>
  </si>
  <si>
    <t>S.TOT</t>
  </si>
  <si>
    <t>Q.EA</t>
  </si>
  <si>
    <t>Q.EA.01</t>
  </si>
  <si>
    <t>Q.EA.02</t>
  </si>
  <si>
    <t>Q.EA.03</t>
  </si>
  <si>
    <t>Q.EA.04</t>
  </si>
  <si>
    <t>Q.EA.05</t>
  </si>
  <si>
    <t>Q.EA.06</t>
  </si>
  <si>
    <t>Q.NCI</t>
  </si>
  <si>
    <t>Q.E</t>
  </si>
  <si>
    <t>Q.LN</t>
  </si>
  <si>
    <t>Q.LN.01</t>
  </si>
  <si>
    <t>Q.LN.02</t>
  </si>
  <si>
    <t>Q.LN.03</t>
  </si>
  <si>
    <t>Q.LN.04</t>
  </si>
  <si>
    <t>Q.LN.05</t>
  </si>
  <si>
    <t>Q.LN.06</t>
  </si>
  <si>
    <t>Q.LC</t>
  </si>
  <si>
    <t>Q.LC.01</t>
  </si>
  <si>
    <t>Q.LC.02</t>
  </si>
  <si>
    <t>Q.LC.03</t>
  </si>
  <si>
    <t>Q.LC.04</t>
  </si>
  <si>
    <t>Q.LC.05</t>
  </si>
  <si>
    <t>Q.LC.06</t>
  </si>
  <si>
    <t>Q.LC.07</t>
  </si>
  <si>
    <t>Q.LC.08</t>
  </si>
  <si>
    <t>Q.TOT</t>
  </si>
  <si>
    <t>P.OP</t>
  </si>
  <si>
    <t>P.OP.01</t>
  </si>
  <si>
    <t>P.OP.02</t>
  </si>
  <si>
    <t>P.GP</t>
  </si>
  <si>
    <t>P.OP.03</t>
  </si>
  <si>
    <t>P.OP.04</t>
  </si>
  <si>
    <t>P.OP.05</t>
  </si>
  <si>
    <t>P.OP.06</t>
  </si>
  <si>
    <t>P.OP.07</t>
  </si>
  <si>
    <t>P.OPR</t>
  </si>
  <si>
    <t>P.IN</t>
  </si>
  <si>
    <t>P.IN.01</t>
  </si>
  <si>
    <t>P.IN.02</t>
  </si>
  <si>
    <t>P.IN.03</t>
  </si>
  <si>
    <t>P.PBFT</t>
  </si>
  <si>
    <t>P.FI</t>
  </si>
  <si>
    <t>P.FI.01</t>
  </si>
  <si>
    <t>P.FI.02</t>
  </si>
  <si>
    <t>P.FI.03</t>
  </si>
  <si>
    <t>P.FI.04</t>
  </si>
  <si>
    <t>P.PBT</t>
  </si>
  <si>
    <t>P.TX</t>
  </si>
  <si>
    <t>P.TX.01</t>
  </si>
  <si>
    <t>P.TX.02</t>
  </si>
  <si>
    <t>P.PCO</t>
  </si>
  <si>
    <t>P.DC</t>
  </si>
  <si>
    <t>P.DC.01</t>
  </si>
  <si>
    <t>P.PRF</t>
  </si>
  <si>
    <t>P.AT.01</t>
  </si>
  <si>
    <t>P.AT.02</t>
  </si>
  <si>
    <t>N.01</t>
  </si>
  <si>
    <t>N.02</t>
  </si>
  <si>
    <t>N.03</t>
  </si>
  <si>
    <t>N.04</t>
  </si>
  <si>
    <t>N.05</t>
  </si>
  <si>
    <t>O.A</t>
  </si>
  <si>
    <t>O.A.01</t>
  </si>
  <si>
    <t>O.A.02</t>
  </si>
  <si>
    <t>O.A.03</t>
  </si>
  <si>
    <t>O.A.04</t>
  </si>
  <si>
    <t>O.B</t>
  </si>
  <si>
    <t>O.B.01</t>
  </si>
  <si>
    <t>O.B.02</t>
  </si>
  <si>
    <t>O.B.03</t>
  </si>
  <si>
    <t>O.B.04</t>
  </si>
  <si>
    <t>O.B.05</t>
  </si>
  <si>
    <t>O.TOT</t>
  </si>
  <si>
    <t>O.TCI</t>
  </si>
  <si>
    <t>O.AT.01</t>
  </si>
  <si>
    <t>O.AT.02</t>
  </si>
  <si>
    <t>EQ.NY</t>
  </si>
  <si>
    <t>EQ.01</t>
  </si>
  <si>
    <t>EQ.02</t>
  </si>
  <si>
    <t>EQ.TCI</t>
  </si>
  <si>
    <t>EQ.03</t>
  </si>
  <si>
    <t>EQ.04</t>
  </si>
  <si>
    <t>EQ.05</t>
  </si>
  <si>
    <t>EQ.06</t>
  </si>
  <si>
    <t>EQ.07</t>
  </si>
  <si>
    <t>EQ.08</t>
  </si>
  <si>
    <t>EQ.09</t>
  </si>
  <si>
    <t>EQ.ZA</t>
  </si>
  <si>
    <t>CF.OP</t>
  </si>
  <si>
    <t>CF.OP.01</t>
  </si>
  <si>
    <t>+</t>
  </si>
  <si>
    <t>CF.OP.02</t>
  </si>
  <si>
    <t>CF.OP.03</t>
  </si>
  <si>
    <t>CF.OP.04</t>
  </si>
  <si>
    <t>-</t>
  </si>
  <si>
    <t>CF.OP.05</t>
  </si>
  <si>
    <t>CF.OP.06</t>
  </si>
  <si>
    <t>CF.OP.07</t>
  </si>
  <si>
    <t>CF.OP.08</t>
  </si>
  <si>
    <t>CF.OP.09</t>
  </si>
  <si>
    <t>CF.OPB</t>
  </si>
  <si>
    <t>CF.OP.10</t>
  </si>
  <si>
    <t>CF.I</t>
  </si>
  <si>
    <t>CF.IN</t>
  </si>
  <si>
    <t>CF.IN.01</t>
  </si>
  <si>
    <t>CF.IN.02</t>
  </si>
  <si>
    <t>CF.IN.03</t>
  </si>
  <si>
    <t>CF.IN.04</t>
  </si>
  <si>
    <t>CF.IN.05</t>
  </si>
  <si>
    <t>CF.IN.06</t>
  </si>
  <si>
    <t>CF.IN.07</t>
  </si>
  <si>
    <t>CF.IN.08</t>
  </si>
  <si>
    <t>CF.II</t>
  </si>
  <si>
    <t>CF.FI</t>
  </si>
  <si>
    <t>CF.FI.01</t>
  </si>
  <si>
    <t>CF.FI.02</t>
  </si>
  <si>
    <t>CF.FI.03</t>
  </si>
  <si>
    <t>CF.FI.04</t>
  </si>
  <si>
    <t>CF.FI.05</t>
  </si>
  <si>
    <t>CF.FI.06</t>
  </si>
  <si>
    <t>CF.FI.07</t>
  </si>
  <si>
    <t>CF.FI.08</t>
  </si>
  <si>
    <t>CF.III</t>
  </si>
  <si>
    <t>CF.IV</t>
  </si>
  <si>
    <t>CF.V</t>
  </si>
  <si>
    <t>CF.VI</t>
  </si>
  <si>
    <t>CF.VII</t>
  </si>
  <si>
    <t>Kód / Code</t>
  </si>
  <si>
    <t>Szint</t>
  </si>
  <si>
    <t>Típus</t>
  </si>
  <si>
    <t>Oldal</t>
  </si>
  <si>
    <t>Agg</t>
  </si>
  <si>
    <t>Megnevezés (magyar)</t>
  </si>
  <si>
    <t>Description (English)</t>
  </si>
  <si>
    <t>Jelzés</t>
  </si>
  <si>
    <t>SFP</t>
  </si>
  <si>
    <t>T</t>
  </si>
  <si>
    <t>S</t>
  </si>
  <si>
    <t>A. BEFEKTETETT ESZKÖZÖK</t>
  </si>
  <si>
    <t>A. NON-CURRENT ASSETS</t>
  </si>
  <si>
    <t>D</t>
  </si>
  <si>
    <t>1. Ingatlanok, gépek és berendezések</t>
  </si>
  <si>
    <t>1. Property, plant and equipment</t>
  </si>
  <si>
    <t>2. Használatijog-eszközök</t>
  </si>
  <si>
    <t>2. Right-of-use assets</t>
  </si>
  <si>
    <t>3. Befektetési célú ingatlanok</t>
  </si>
  <si>
    <t>3. Investment property</t>
  </si>
  <si>
    <t>4. Goodwill (üzleti vagy cégérték)</t>
  </si>
  <si>
    <t>4. Goodwill</t>
  </si>
  <si>
    <t>K</t>
  </si>
  <si>
    <t>5. Egyéb immateriális javak</t>
  </si>
  <si>
    <t>5. Other intangible assets</t>
  </si>
  <si>
    <t>6. Társult és közös vezetésű vállalkozásokban lévő befektetések (equity)</t>
  </si>
  <si>
    <t>6. Investments in associates and joint ventures (equity method)</t>
  </si>
  <si>
    <t>7. Egyéb pénzügyi eszközök (befektetett)</t>
  </si>
  <si>
    <t>7. Other financial assets (non-current)</t>
  </si>
  <si>
    <t>8. Halasztott adókövetelések</t>
  </si>
  <si>
    <t>8. Deferred tax assets</t>
  </si>
  <si>
    <t>9. Egyéb befektetett eszközök</t>
  </si>
  <si>
    <t>9. Other non-current assets</t>
  </si>
  <si>
    <t>B. FORGÓESZKÖZÖK</t>
  </si>
  <si>
    <t>B. CURRENT ASSETS</t>
  </si>
  <si>
    <t>1. Készletek</t>
  </si>
  <si>
    <t>1. Inventories</t>
  </si>
  <si>
    <t>2. Vevő- és egyéb követelések</t>
  </si>
  <si>
    <t>2. Trade and other receivables</t>
  </si>
  <si>
    <t>3. Szerződéses eszközök</t>
  </si>
  <si>
    <t>3. Contract assets</t>
  </si>
  <si>
    <t>4. Egyéb pénzügyi eszközök (forgó)</t>
  </si>
  <si>
    <t>4. Other financial assets (current)</t>
  </si>
  <si>
    <t>5. Tényleges adókövetelések</t>
  </si>
  <si>
    <t>5. Current tax assets</t>
  </si>
  <si>
    <t>6. Egyéb forgóeszközök, aktív időbeli elhatárolások</t>
  </si>
  <si>
    <t>6. Other current assets and prepayments</t>
  </si>
  <si>
    <t>7. Pénzeszközök és pénzeszköz-egyenértékesek</t>
  </si>
  <si>
    <t>7. Cash and cash equivalents</t>
  </si>
  <si>
    <t>8. Értékesítésre tartott eszközök (IFRS 5)</t>
  </si>
  <si>
    <t>8. Assets held for sale (IFRS 5)</t>
  </si>
  <si>
    <t>ESZKÖZÖK ÖSSZESEN</t>
  </si>
  <si>
    <t>TOTAL ASSETS</t>
  </si>
  <si>
    <t>C. AZ ANYAVÁLLALAT TULAJDONOSAIRA JUTÓ SAJÁT TŐKE</t>
  </si>
  <si>
    <t>C. EQUITY ATTRIBUTABLE TO OWNERS OF THE PARENT</t>
  </si>
  <si>
    <t>1. Jegyzett tőke</t>
  </si>
  <si>
    <t>1. Share capital</t>
  </si>
  <si>
    <t>2. Tőketartalék (ázsió)</t>
  </si>
  <si>
    <t>2. Share premium</t>
  </si>
  <si>
    <t>3. Visszavásárolt saját részvények (–)</t>
  </si>
  <si>
    <t>3. Treasury shares (–)</t>
  </si>
  <si>
    <t>4. Eredménytartalék</t>
  </si>
  <si>
    <t>4. Retained earnings</t>
  </si>
  <si>
    <t>5. Átszámítási különbözet (külföldi érdekeltségek)</t>
  </si>
  <si>
    <t>5. Foreign currency translation reserve</t>
  </si>
  <si>
    <t>6. Egyéb tartalékok (értékelési, fedezeti, FVOCI)</t>
  </si>
  <si>
    <t>6. Other reserves (revaluation, hedging, FVOCI)</t>
  </si>
  <si>
    <t>D. NEM ELLENŐRZŐ RÉSZESEDÉSEK</t>
  </si>
  <si>
    <t>D. NON-CONTROLLING INTERESTS</t>
  </si>
  <si>
    <t>SAJÁT TŐKE ÖSSZESEN</t>
  </si>
  <si>
    <t>TOTAL EQUITY</t>
  </si>
  <si>
    <t>E. HOSSZÚ LEJÁRATÚ KÖTELEZETTSÉGEK</t>
  </si>
  <si>
    <t>E. NON-CURRENT LIABILITIES</t>
  </si>
  <si>
    <t>1. Hitelek és kölcsönök (hosszú lejáratú)</t>
  </si>
  <si>
    <t>1. Borrowings (non-current)</t>
  </si>
  <si>
    <t>2. Lízingkötelezettségek (hosszú lejáratú)</t>
  </si>
  <si>
    <t>2. Lease liabilities (non-current)</t>
  </si>
  <si>
    <t>3. Halasztott adókötelezettségek</t>
  </si>
  <si>
    <t>3. Deferred tax liabilities</t>
  </si>
  <si>
    <t>4. Céltartalékok (hosszú lejáratú)</t>
  </si>
  <si>
    <t>4. Provisions (non-current)</t>
  </si>
  <si>
    <t>5. Munkavállalói juttatási kötelezettségek</t>
  </si>
  <si>
    <t>5. Employee benefit obligations</t>
  </si>
  <si>
    <t>6. Egyéb hosszú lejáratú kötelezettségek</t>
  </si>
  <si>
    <t>6. Other non-current liabilities</t>
  </si>
  <si>
    <t>F. RÖVID LEJÁRATÚ KÖTELEZETTSÉGEK</t>
  </si>
  <si>
    <t>F. CURRENT LIABILITIES</t>
  </si>
  <si>
    <t>1. Szállítói és egyéb kötelezettségek</t>
  </si>
  <si>
    <t>1. Trade and other payables</t>
  </si>
  <si>
    <t>2. Szerződéses kötelezettségek</t>
  </si>
  <si>
    <t>2. Contract liabilities</t>
  </si>
  <si>
    <t>3. Hitelek és kölcsönök (rövid lejáratú)</t>
  </si>
  <si>
    <t>3. Borrowings (current)</t>
  </si>
  <si>
    <t>4. Lízingkötelezettségek (rövid lejáratú)</t>
  </si>
  <si>
    <t>4. Lease liabilities (current)</t>
  </si>
  <si>
    <t>5. Tényleges adókötelezettségek</t>
  </si>
  <si>
    <t>5. Current tax liabilities</t>
  </si>
  <si>
    <t>6. Céltartalékok (rövid lejáratú)</t>
  </si>
  <si>
    <t>6. Provisions (current)</t>
  </si>
  <si>
    <t>7. Egyéb rövid lejáratú kötelezettségek, passzív elhatárolások</t>
  </si>
  <si>
    <t>7. Other current liabilities and accruals</t>
  </si>
  <si>
    <t>8. Értékesítésre tartott kötelezettségek (IFRS 5)</t>
  </si>
  <si>
    <t>8. Liabilities held for sale (IFRS 5)</t>
  </si>
  <si>
    <t>SAJÁT TŐKE ÉS KÖTELEZETTSÉGEK ÖSSZESEN</t>
  </si>
  <si>
    <t>TOTAL EQUITY AND LIABILITIES</t>
  </si>
  <si>
    <t>PL</t>
  </si>
  <si>
    <t>I. ÜZEMI (MŰKÖDÉSI) KATEGÓRIA</t>
  </si>
  <si>
    <t>I. OPERATING CATEGORY</t>
  </si>
  <si>
    <t>1. Árbevétel</t>
  </si>
  <si>
    <t>1. Revenue</t>
  </si>
  <si>
    <t>2. Az értékesítés önköltsége</t>
  </si>
  <si>
    <t>2. Cost of sales</t>
  </si>
  <si>
    <t>Bruttó fedezet</t>
  </si>
  <si>
    <t>Gross profit</t>
  </si>
  <si>
    <t>V</t>
  </si>
  <si>
    <t>3. Egyéb működési bevételek</t>
  </si>
  <si>
    <t>3. Other operating income</t>
  </si>
  <si>
    <t>4. Értékesítési és forgalmazási költségek</t>
  </si>
  <si>
    <t>4. Selling and distribution expenses</t>
  </si>
  <si>
    <t>5. Igazgatási költségek</t>
  </si>
  <si>
    <t>5. Administrative expenses</t>
  </si>
  <si>
    <t>6. Értékvesztés (goodwill és egyéb eszközök, IAS 36)</t>
  </si>
  <si>
    <t>6. Impairment losses (goodwill and other assets, IAS 36)</t>
  </si>
  <si>
    <t>7. Egyéb működési ráfordítások</t>
  </si>
  <si>
    <t>7. Other operating expenses</t>
  </si>
  <si>
    <t>ÜZEMI EREDMÉNY [IFRS 18 kötelező részösszeg]</t>
  </si>
  <si>
    <t>OPERATING PROFIT [IFRS 18 required subtotal]</t>
  </si>
  <si>
    <t>II. BEFEKTETÉSI KATEGÓRIA</t>
  </si>
  <si>
    <t>II. INVESTING CATEGORY</t>
  </si>
  <si>
    <t>1. Társult és közös vezetésű vállalkozások eredményéből való részesedés</t>
  </si>
  <si>
    <t>1. Share of profit of associates and joint ventures</t>
  </si>
  <si>
    <t>2. Befektetések bevételei (osztalék, árfolyamnyereség)</t>
  </si>
  <si>
    <t>2. Income from investments (dividends, gains)</t>
  </si>
  <si>
    <t>3. Befektetések kamatbevétele</t>
  </si>
  <si>
    <t>3. Interest income from investments</t>
  </si>
  <si>
    <t>FINANSZÍROZÁS ÉS NYERESÉGADÓK ELŐTTI EREDMÉNY [IFRS 18 kötelező részösszeg]</t>
  </si>
  <si>
    <t>PROFIT BEFORE FINANCING AND INCOME TAXES [IFRS 18 required subtotal]</t>
  </si>
  <si>
    <t>III. FINANSZÍROZÁSI KATEGÓRIA</t>
  </si>
  <si>
    <t>III. FINANCING CATEGORY</t>
  </si>
  <si>
    <t>1. Hitelek és kölcsönök kamatráfordítása</t>
  </si>
  <si>
    <t>1. Interest expense on borrowings</t>
  </si>
  <si>
    <t>2. Lízingkötelezettségek kamatráfordítása</t>
  </si>
  <si>
    <t>2. Interest expense on lease liabilities</t>
  </si>
  <si>
    <t>3. Egyéb finanszírozási ráfordítások</t>
  </si>
  <si>
    <t>3. Other finance costs</t>
  </si>
  <si>
    <t>4. Finanszírozási bevételek</t>
  </si>
  <si>
    <t>4. Finance income</t>
  </si>
  <si>
    <t>ADÓZÁS ELŐTTI EREDMÉNY</t>
  </si>
  <si>
    <t>PROFIT BEFORE INCOME TAXES</t>
  </si>
  <si>
    <t>IV. NYERESÉGADÓK KATEGÓRIA</t>
  </si>
  <si>
    <t>IV. INCOME TAXES CATEGORY</t>
  </si>
  <si>
    <t>1. Nyereségadó-ráfordítás (IAS 12)</t>
  </si>
  <si>
    <t>1. Income tax expense (IAS 12)</t>
  </si>
  <si>
    <t>2. Konszolidáció miatti halasztott adó (IAS 12)</t>
  </si>
  <si>
    <t>2. Deferred tax on consolidation adjustments (IAS 12)</t>
  </si>
  <si>
    <t>FOLYTATÓDÓ TEVÉKENYSÉG EREDMÉNYE</t>
  </si>
  <si>
    <t>PROFIT FROM CONTINUING OPERATIONS</t>
  </si>
  <si>
    <t>V. MEGSZŰNT TEVÉKENYSÉGEK KATEGÓRIA</t>
  </si>
  <si>
    <t>V. DISCONTINUED OPERATIONS CATEGORY</t>
  </si>
  <si>
    <t>1. Megszűnt tevékenységek eredménye (IFRS 5)</t>
  </si>
  <si>
    <t>1. Profit/(loss) from discontinued operations (IFRS 5)</t>
  </si>
  <si>
    <t>IDŐSZAKI EREDMÉNY</t>
  </si>
  <si>
    <t>PROFIT FOR THE PERIOD</t>
  </si>
  <si>
    <t>ebből: az anyavállalat tulajdonosaira jutó</t>
  </si>
  <si>
    <t>of which: attributable to owners of the parent</t>
  </si>
  <si>
    <t>ebből: a nem ellenőrző részesedésekre jutó</t>
  </si>
  <si>
    <t>of which: attributable to non-controlling interests</t>
  </si>
  <si>
    <t>PLN</t>
  </si>
  <si>
    <t>Késztermékek és befejezetlen termelés állományváltozása</t>
  </si>
  <si>
    <t>Changes in inventories of finished goods and work in progress</t>
  </si>
  <si>
    <t>Felhasznált anyagok és igénybe vett szolgáltatások</t>
  </si>
  <si>
    <t>Raw materials and consumables used</t>
  </si>
  <si>
    <t>Személyi jellegű ráfordítások</t>
  </si>
  <si>
    <t>Employee benefits expense</t>
  </si>
  <si>
    <t>Értékcsökkenési leírás és amortizáció</t>
  </si>
  <si>
    <t>Depreciation and amortisation expense</t>
  </si>
  <si>
    <t>Egyéb ráfordítások</t>
  </si>
  <si>
    <t>Other expenses</t>
  </si>
  <si>
    <t>OCI</t>
  </si>
  <si>
    <t>A. Eredménybe át NEM sorolható tételek</t>
  </si>
  <si>
    <t>A. Items that will NOT be reclassified to profit or loss</t>
  </si>
  <si>
    <t>1. Ingatlanok, gépek, berendezések értékelési többlete</t>
  </si>
  <si>
    <t>1. Revaluation of property, plant and equipment</t>
  </si>
  <si>
    <t>2. Meghatározott juttatási programok újraértékelése</t>
  </si>
  <si>
    <t>2. Remeasurements of defined benefit plans</t>
  </si>
  <si>
    <t>3. FVOCI tőkeinstrumentumok valósérték-változása</t>
  </si>
  <si>
    <t>3. Equity instruments at fair value through OCI</t>
  </si>
  <si>
    <t>4. A fenti tételekre jutó nyereségadó</t>
  </si>
  <si>
    <t>4. Income tax relating to these items</t>
  </si>
  <si>
    <t>B. Eredménybe átsorolható tételek</t>
  </si>
  <si>
    <t>B. Items that MAY be reclassified to profit or loss</t>
  </si>
  <si>
    <t>1. Külföldi érdekeltségek átszámítási különbözete (IAS 21)</t>
  </si>
  <si>
    <t>1. Exchange differences on translating foreign operations (IAS 21)</t>
  </si>
  <si>
    <t>2. Cash flow fedezeti ügyletek</t>
  </si>
  <si>
    <t>2. Cash flow hedges</t>
  </si>
  <si>
    <t>3. FVOCI hitelinstrumentumok valósérték-változása</t>
  </si>
  <si>
    <t>3. Debt instruments at fair value through OCI</t>
  </si>
  <si>
    <t>4. Társult vállalkozások egyéb átfogó jövedelméből való részesedés</t>
  </si>
  <si>
    <t>4. Share of OCI of associates and joint ventures</t>
  </si>
  <si>
    <t>5. A fenti tételekre jutó nyereségadó</t>
  </si>
  <si>
    <t>5. Income tax relating to these items</t>
  </si>
  <si>
    <t>IDŐSZAKI EGYÉB ÁTFOGÓ JÖVEDELEM ÖSSZESEN</t>
  </si>
  <si>
    <t>TOTAL OTHER COMPREHENSIVE INCOME FOR THE PERIOD</t>
  </si>
  <si>
    <t>IDŐSZAKI ÁTFOGÓ JÖVEDELEM ÖSSZESEN</t>
  </si>
  <si>
    <t>TOTAL COMPREHENSIVE INCOME FOR THE PERIOD</t>
  </si>
  <si>
    <t>Nyelvi szótár / Language dictionary</t>
  </si>
  <si>
    <t>A C és D oszlop szabadon átírható. / Columns C and D may be edited freely.</t>
  </si>
  <si>
    <t>Kulcs / Key</t>
  </si>
  <si>
    <t>Magyar</t>
  </si>
  <si>
    <t>English</t>
  </si>
  <si>
    <t>app</t>
  </si>
  <si>
    <t>XLNT IFRS Konszolidáló</t>
  </si>
  <si>
    <t>XLNT IFRS Consolidation Tool</t>
  </si>
  <si>
    <t>sub</t>
  </si>
  <si>
    <t>IFRS 18 / IAS 1 szerinti konszolidált pénzügyi kimutatások</t>
  </si>
  <si>
    <t>Consolidated financial statements under IFRS 18 / IAS 1</t>
  </si>
  <si>
    <t>steps</t>
  </si>
  <si>
    <t>A konszolidálás lépései</t>
  </si>
  <si>
    <t>Steps of the consolidation</t>
  </si>
  <si>
    <t>goto</t>
  </si>
  <si>
    <t>Ugrás »</t>
  </si>
  <si>
    <t>Open »</t>
  </si>
  <si>
    <t>status</t>
  </si>
  <si>
    <t>Állapot</t>
  </si>
  <si>
    <t>Status</t>
  </si>
  <si>
    <t>ok</t>
  </si>
  <si>
    <t>RENDBEN</t>
  </si>
  <si>
    <t>OK</t>
  </si>
  <si>
    <t>nok</t>
  </si>
  <si>
    <t>ELTÉRÉS</t>
  </si>
  <si>
    <t>MISMATCH</t>
  </si>
  <si>
    <t>blue</t>
  </si>
  <si>
    <t>A sárga hátterű, kék betűs cellák a kitöltendő adatok. A szürke cellák képletet tartalmaznak.</t>
  </si>
  <si>
    <t>Yellow cells with blue text are for your input. Grey cells contain formulas.</t>
  </si>
  <si>
    <t>kod</t>
  </si>
  <si>
    <t>Kód</t>
  </si>
  <si>
    <t>Code</t>
  </si>
  <si>
    <t>megnev</t>
  </si>
  <si>
    <t>Megnevezés</t>
  </si>
  <si>
    <t>Description</t>
  </si>
  <si>
    <t>targyev</t>
  </si>
  <si>
    <t>Tárgyév</t>
  </si>
  <si>
    <t>Current year</t>
  </si>
  <si>
    <t>elozoev</t>
  </si>
  <si>
    <t>Előző év</t>
  </si>
  <si>
    <t>Prior year</t>
  </si>
  <si>
    <t>valtozas</t>
  </si>
  <si>
    <t>Változás</t>
  </si>
  <si>
    <t>Change</t>
  </si>
  <si>
    <t>osszesen</t>
  </si>
  <si>
    <t>Összesen</t>
  </si>
  <si>
    <t>Total</t>
  </si>
  <si>
    <t>s1n</t>
  </si>
  <si>
    <t>1. Alapbeállítások</t>
  </si>
  <si>
    <t>1. Basic settings</t>
  </si>
  <si>
    <t>s1d</t>
  </si>
  <si>
    <t>Anyavállalat adatai, beszámolási időszak, pénznem, adókulcs, nyelv, bemutatási mód.</t>
  </si>
  <si>
    <t>Parent company data, reporting period, currency, tax rate, language, presentation choices.</t>
  </si>
  <si>
    <t>s2n</t>
  </si>
  <si>
    <t>2. Konszolidációs kör (IFRS 10)</t>
  </si>
  <si>
    <t>2. Scope of consolidation (IFRS 10)</t>
  </si>
  <si>
    <t>s2d</t>
  </si>
  <si>
    <t>Társaságok, ellenőrzés, tulajdoni hányad, NCI értékelése (IFRS 3.19), pénznem és árfolyamok.</t>
  </si>
  <si>
    <t>Entities, control, ownership, NCI measurement (IFRS 3.19), currency and exchange rates.</t>
  </si>
  <si>
    <t>s3n</t>
  </si>
  <si>
    <t>3. Egyedi pénzügyi kimutatások</t>
  </si>
  <si>
    <t>3. Individual financial statements</t>
  </si>
  <si>
    <t>s3d</t>
  </si>
  <si>
    <t>Társaságonkénti, IFRS-re már átdolgozott mérleg-, eredmény- és OCI-adatok.</t>
  </si>
  <si>
    <t>IFRS-adjusted statement of financial position, P&amp;L and OCI data per entity.</t>
  </si>
  <si>
    <t>s4n</t>
  </si>
  <si>
    <t>4. Akvizíciós elszámolás (IFRS 3)</t>
  </si>
  <si>
    <t>4. Acquisition accounting (IFRS 3)</t>
  </si>
  <si>
    <t>s4d</t>
  </si>
  <si>
    <t>Átadott ellenérték, azonosítható nettó eszközök valós értéke, NCI, goodwill számítása.</t>
  </si>
  <si>
    <t>Consideration transferred, fair value of net identifiable assets, NCI, goodwill calculation.</t>
  </si>
  <si>
    <t>s5n</t>
  </si>
  <si>
    <t>5. Csoporton belüli egyenlegek (IFRS 10)</t>
  </si>
  <si>
    <t>5. Intragroup balances (IFRS 10)</t>
  </si>
  <si>
    <t>s5d</t>
  </si>
  <si>
    <t>Csoporton belüli követelések és kötelezettségek teljes kiszűrése.</t>
  </si>
  <si>
    <t>Full elimination of intragroup receivables and payables.</t>
  </si>
  <si>
    <t>s6n</t>
  </si>
  <si>
    <t>6. Nem realizált eredmény</t>
  </si>
  <si>
    <t>6. Unrealised profit</t>
  </si>
  <si>
    <t>s6d</t>
  </si>
  <si>
    <t>Készletben és eszközökben maradt csoporton belüli nem realizált eredmény kiszűrése.</t>
  </si>
  <si>
    <t>Elimination of unrealised profit remaining in inventories and assets.</t>
  </si>
  <si>
    <t>s7n</t>
  </si>
  <si>
    <t>7. Csoporton belüli bevételek és ráfordítások</t>
  </si>
  <si>
    <t>7. Intragroup income and expenses</t>
  </si>
  <si>
    <t>s7d</t>
  </si>
  <si>
    <t>Belső árbevétel-ráfordítás párok és a csoporton belüli osztalék kiszűrése.</t>
  </si>
  <si>
    <t>Elimination of intragroup revenue/expense pairs and intragroup dividends.</t>
  </si>
  <si>
    <t>s8n</t>
  </si>
  <si>
    <t>8. Társult és közös vezetésű vállalkozások (IAS 28)</t>
  </si>
  <si>
    <t>8. Associates and joint ventures (IAS 28)</t>
  </si>
  <si>
    <t>s8d</t>
  </si>
  <si>
    <t>Tőkerészesedési (equity) módszer szerinti értékelés.</t>
  </si>
  <si>
    <t>Measurement under the equity method.</t>
  </si>
  <si>
    <t>s9n</t>
  </si>
  <si>
    <t>9. Halasztott adó (IAS 12)</t>
  </si>
  <si>
    <t>9. Deferred tax (IAS 12)</t>
  </si>
  <si>
    <t>s9d</t>
  </si>
  <si>
    <t>A konszolidációs korrekciók átmeneti különbözeteire jutó halasztott adó.</t>
  </si>
  <si>
    <t>Deferred tax on temporary differences arising from consolidation adjustments.</t>
  </si>
  <si>
    <t>s10n</t>
  </si>
  <si>
    <t>10. Goodwill értékvesztés-teszt (IAS 36)</t>
  </si>
  <si>
    <t>10. Goodwill impairment test (IAS 36)</t>
  </si>
  <si>
    <t>s10d</t>
  </si>
  <si>
    <t>A goodwill NEM amortizálható; évente értékvesztés-tesztet kell végezni.</t>
  </si>
  <si>
    <t>Goodwill is NOT amortised; it must be tested for impairment annually.</t>
  </si>
  <si>
    <t>s11n</t>
  </si>
  <si>
    <t>11. Konszolidációs napló</t>
  </si>
  <si>
    <t>11. Consolidation journal</t>
  </si>
  <si>
    <t>s11d</t>
  </si>
  <si>
    <t>Minden korrekció egy helyen, tartozik/követel bontásban. Ez hajtja a munkatáblát.</t>
  </si>
  <si>
    <t>All adjustments in one place, debit/credit. This drives the worksheet.</t>
  </si>
  <si>
    <t>s12n</t>
  </si>
  <si>
    <t>12. Konszolidációs munkatábla</t>
  </si>
  <si>
    <t>12. Consolidation worksheet</t>
  </si>
  <si>
    <t>s12d</t>
  </si>
  <si>
    <t>Egyedi adatok összege + korrekciók = konszolidált érték, soronként.</t>
  </si>
  <si>
    <t>Sum of individual data + adjustments = consolidated amount, line by line.</t>
  </si>
  <si>
    <t>s13n</t>
  </si>
  <si>
    <t>13. Konszolidált pénzügyi helyzet kimutatása</t>
  </si>
  <si>
    <t>13. Consolidated statement of financial position</t>
  </si>
  <si>
    <t>s13d</t>
  </si>
  <si>
    <t>Az IAS 1.54 szerinti minimum sortételekkel, tárgyév / előző év bontásban.</t>
  </si>
  <si>
    <t>With the IAS 1.54 minimum line items, current year / prior year.</t>
  </si>
  <si>
    <t>s14n</t>
  </si>
  <si>
    <t>14. Konszolidált eredmény és OCI</t>
  </si>
  <si>
    <t>14. Consolidated profit or loss and OCI</t>
  </si>
  <si>
    <t>s14d</t>
  </si>
  <si>
    <t>Az IFRS 18 öt kategóriája és a két kötelező részösszeg, majd az egyéb átfogó jövedelem.</t>
  </si>
  <si>
    <t>The five IFRS 18 categories and the two required subtotals, then other comprehensive income.</t>
  </si>
  <si>
    <t>s15n</t>
  </si>
  <si>
    <t>15. Saját tőke változásának kimutatása</t>
  </si>
  <si>
    <t>15. Statement of changes in equity</t>
  </si>
  <si>
    <t>s15d</t>
  </si>
  <si>
    <t>Tőkeelemenkénti levezetés nyitótól záróig, NCI-vel együtt.</t>
  </si>
  <si>
    <t>Movement by equity component from opening to closing, including NCI.</t>
  </si>
  <si>
    <t>s16n</t>
  </si>
  <si>
    <t>16. Konszolidált cash flow (IAS 7)</t>
  </si>
  <si>
    <t>16. Consolidated statement of cash flows (IAS 7)</t>
  </si>
  <si>
    <t>s16d</t>
  </si>
  <si>
    <t>Indirekt módszer – az IFRS 18 módosítása szerint az ÜZEMI EREDMÉNYBŐL kiindulva.</t>
  </si>
  <si>
    <t>Indirect method – starting from OPERATING PROFIT, as amended by IFRS 18.</t>
  </si>
  <si>
    <t>s17n</t>
  </si>
  <si>
    <t>17. Előző évi (nyitó) adatok</t>
  </si>
  <si>
    <t>17. Prior-year (opening) data</t>
  </si>
  <si>
    <t>s17d</t>
  </si>
  <si>
    <t>Az előző évi konszolidált adatok – ebből számol a cash flow és az összehasonlító oszlop.</t>
  </si>
  <si>
    <t>Prior-year consolidated data – drives the cash flow and the comparative column.</t>
  </si>
  <si>
    <t>s18n</t>
  </si>
  <si>
    <t>18. Ellenőrzések</t>
  </si>
  <si>
    <t>18. Checks</t>
  </si>
  <si>
    <t>s18d</t>
  </si>
  <si>
    <t>Egyezőségi próbák: mérlegfőösszeg, napló T=K, tőkekimutatás, cash flow.</t>
  </si>
  <si>
    <t>Reconciliations: total assets, journal D=C, changes in equity, cash flow.</t>
  </si>
  <si>
    <t>s19n</t>
  </si>
  <si>
    <t>19. Sorséma (szerkeszthető)</t>
  </si>
  <si>
    <t>19. Line schema (editable)</t>
  </si>
  <si>
    <t>s19d</t>
  </si>
  <si>
    <t>Az IFRS nem ír elő kötött formátumot – itt szabadon átnevezhet vagy bővíthet.</t>
  </si>
  <si>
    <t>IFRS prescribes no fixed format – rename or extend the lines freely here.</t>
  </si>
  <si>
    <t>s20n</t>
  </si>
  <si>
    <t>20. Súgó és standardhivatkozások</t>
  </si>
  <si>
    <t>20. Help and standard references</t>
  </si>
  <si>
    <t>s20d</t>
  </si>
  <si>
    <t>Lépésenkénti útmutató és a vonatkozó IFRS standardok.</t>
  </si>
  <si>
    <t>Step-by-step guidance and the relevant IFRS standards.</t>
  </si>
  <si>
    <t>b_cim</t>
  </si>
  <si>
    <t>Alapbeállítások</t>
  </si>
  <si>
    <t>Basic settings</t>
  </si>
  <si>
    <t>b_anya</t>
  </si>
  <si>
    <t>Anyavállalat neve</t>
  </si>
  <si>
    <t>Name of the parent company</t>
  </si>
  <si>
    <t>b_azon</t>
  </si>
  <si>
    <t>Azonosító (adószám / cégjegyzékszám)</t>
  </si>
  <si>
    <t>Identifier (tax number / registration number)</t>
  </si>
  <si>
    <t>b_ev</t>
  </si>
  <si>
    <t>Beszámolási időszak (év)</t>
  </si>
  <si>
    <t>Reporting period (year)</t>
  </si>
  <si>
    <t>b_penznem</t>
  </si>
  <si>
    <t>Prezentációs pénznem</t>
  </si>
  <si>
    <t>Presentation currency</t>
  </si>
  <si>
    <t>b_ezer</t>
  </si>
  <si>
    <t>Adatok mértékegysége</t>
  </si>
  <si>
    <t>Units</t>
  </si>
  <si>
    <t>b_ado</t>
  </si>
  <si>
    <t>Társasági adókulcs</t>
  </si>
  <si>
    <t>Corporate income tax rate</t>
  </si>
  <si>
    <t>b_nyelv</t>
  </si>
  <si>
    <t>Nyelv / Language</t>
  </si>
  <si>
    <t>b_koltseg</t>
  </si>
  <si>
    <t>Működési költségek bemutatása</t>
  </si>
  <si>
    <t>Presentation of operating expenses</t>
  </si>
  <si>
    <t>b_kolt1</t>
  </si>
  <si>
    <t>1 = funkció szerint (by function)</t>
  </si>
  <si>
    <t>1 = by function</t>
  </si>
  <si>
    <t>b_kolt2</t>
  </si>
  <si>
    <t>2 = költségnem szerint (by nature)</t>
  </si>
  <si>
    <t>2 = by nature</t>
  </si>
  <si>
    <t>b_valt</t>
  </si>
  <si>
    <t>1 = magyar, 2 = english</t>
  </si>
  <si>
    <t>1 = Hungarian, 2 = English</t>
  </si>
  <si>
    <t>c_cim</t>
  </si>
  <si>
    <t>Konszolidációs kör (IFRS 10)</t>
  </si>
  <si>
    <t>Scope of consolidation (IFRS 10)</t>
  </si>
  <si>
    <t>c_kod</t>
  </si>
  <si>
    <t>c_nev</t>
  </si>
  <si>
    <t>Társaság neve</t>
  </si>
  <si>
    <t>Name of entity</t>
  </si>
  <si>
    <t>c_azon</t>
  </si>
  <si>
    <t>Azonosító</t>
  </si>
  <si>
    <t>Identifier</t>
  </si>
  <si>
    <t>c_mod</t>
  </si>
  <si>
    <t>Bevonás módja</t>
  </si>
  <si>
    <t>Consolidation method</t>
  </si>
  <si>
    <t>c_hanyad</t>
  </si>
  <si>
    <t>Tulajdoni hányad</t>
  </si>
  <si>
    <t>Ownership interest</t>
  </si>
  <si>
    <t>c_szavazat</t>
  </si>
  <si>
    <t>Szavazati arány</t>
  </si>
  <si>
    <t>Voting rights</t>
  </si>
  <si>
    <t>c_nci</t>
  </si>
  <si>
    <t>NCI értékelése (IFRS 3.19)</t>
  </si>
  <si>
    <t>NCI measurement (IFRS 3.19)</t>
  </si>
  <si>
    <t>c_penznem</t>
  </si>
  <si>
    <t>Pénznem</t>
  </si>
  <si>
    <t>Currency</t>
  </si>
  <si>
    <t>c_zaro</t>
  </si>
  <si>
    <t>Záró árfolyam</t>
  </si>
  <si>
    <t>Closing rate</t>
  </si>
  <si>
    <t>c_atlag</t>
  </si>
  <si>
    <t>Átlagárfolyam</t>
  </si>
  <si>
    <t>Average rate</t>
  </si>
  <si>
    <t>c_szorzo</t>
  </si>
  <si>
    <t>Bevonási szorzó</t>
  </si>
  <si>
    <t>Inclusion factor</t>
  </si>
  <si>
    <t>c_datum</t>
  </si>
  <si>
    <t>Megszerzés időpontja</t>
  </si>
  <si>
    <t>Date of acquisition</t>
  </si>
  <si>
    <t>c_m1</t>
  </si>
  <si>
    <t>Teljes körű (IFRS 10)</t>
  </si>
  <si>
    <t>Full consolidation (IFRS 10)</t>
  </si>
  <si>
    <t>c_m2</t>
  </si>
  <si>
    <t>Kvótás (IFRS 11 közös tevékenység)</t>
  </si>
  <si>
    <t>Proportionate (IFRS 11 joint operation)</t>
  </si>
  <si>
    <t>c_m3</t>
  </si>
  <si>
    <t>Equity módszer (IAS 28)</t>
  </si>
  <si>
    <t>Equity method (IAS 28)</t>
  </si>
  <si>
    <t>c_m4</t>
  </si>
  <si>
    <t>Nem bevont</t>
  </si>
  <si>
    <t>Not consolidated</t>
  </si>
  <si>
    <t>c_nci1</t>
  </si>
  <si>
    <t>Valós érték (full goodwill)</t>
  </si>
  <si>
    <t>Fair value (full goodwill)</t>
  </si>
  <si>
    <t>c_nci2</t>
  </si>
  <si>
    <t>Nettó eszközök arányos része</t>
  </si>
  <si>
    <t>Proportionate share of net assets</t>
  </si>
  <si>
    <t>c_fx</t>
  </si>
  <si>
    <t>Az IAS 21 szerint: mérlegtételek záró, eredménytételek átlagárfolyamon; a különbözet az OCI-ba kerül.</t>
  </si>
  <si>
    <t>Under IAS 21: SFP items at closing rate, P&amp;L items at average rate; the difference goes to OCI.</t>
  </si>
  <si>
    <t>a_cim</t>
  </si>
  <si>
    <t>Akvizíciós elszámolás – goodwill (IFRS 3)</t>
  </si>
  <si>
    <t>Acquisition accounting – goodwill (IFRS 3)</t>
  </si>
  <si>
    <t>a_ceg</t>
  </si>
  <si>
    <t>Megszerzett társaság</t>
  </si>
  <si>
    <t>Acquiree</t>
  </si>
  <si>
    <t>a_ellenertek</t>
  </si>
  <si>
    <t>Átadott ellenérték valós értéke</t>
  </si>
  <si>
    <t>Fair value of consideration transferred</t>
  </si>
  <si>
    <t>a_nci_ertek</t>
  </si>
  <si>
    <t>Nem ellenőrző részesedés értéke</t>
  </si>
  <si>
    <t>Amount of non-controlling interest</t>
  </si>
  <si>
    <t>a_korabbi</t>
  </si>
  <si>
    <t>Korábban birtokolt részesedés valós értéke</t>
  </si>
  <si>
    <t>Fair value of previously held interest</t>
  </si>
  <si>
    <t>a_osszeg</t>
  </si>
  <si>
    <t>a_netto</t>
  </si>
  <si>
    <t>Azonosítható nettó eszközök valós értéke</t>
  </si>
  <si>
    <t>Fair value of net identifiable assets</t>
  </si>
  <si>
    <t>a_goodwill</t>
  </si>
  <si>
    <t>GOODWILL (IFRS 3.32)</t>
  </si>
  <si>
    <t>a_bargain</t>
  </si>
  <si>
    <t>Ha negatív: nyereséges vétel – azonnal eredménybe (IFRS 3.34)</t>
  </si>
  <si>
    <t>If negative: bargain purchase – recognised immediately in profit or loss (IFRS 3.34)</t>
  </si>
  <si>
    <t>a_hanyad</t>
  </si>
  <si>
    <t>a_sajattoke</t>
  </si>
  <si>
    <t>A megszerzett társaság saját tőkéje (valós értéken)</t>
  </si>
  <si>
    <t>Equity of the acquiree (at fair value)</t>
  </si>
  <si>
    <t>a_megjegyzes</t>
  </si>
  <si>
    <t>A goodwill IFRS szerint NEM amortizálható – évente értékvesztés-tesztet kell végezni (IAS 36).</t>
  </si>
  <si>
    <t>Under IFRS, goodwill is NOT amortised – it must be tested for impairment annually (IAS 36).</t>
  </si>
  <si>
    <t>e_cim</t>
  </si>
  <si>
    <t>Csoporton belüli egyenlegek kiszűrése (IFRS 10)</t>
  </si>
  <si>
    <t>Elimination of intragroup balances (IFRS 10)</t>
  </si>
  <si>
    <t>e_ados</t>
  </si>
  <si>
    <t>Kötelezett</t>
  </si>
  <si>
    <t>Debtor entity</t>
  </si>
  <si>
    <t>e_hitelezo</t>
  </si>
  <si>
    <t>Jogosult</t>
  </si>
  <si>
    <t>Creditor entity</t>
  </si>
  <si>
    <t>e_osszeg</t>
  </si>
  <si>
    <t>Összeg</t>
  </si>
  <si>
    <t>Amount</t>
  </si>
  <si>
    <t>e_kot_kod</t>
  </si>
  <si>
    <t>Kötelezettség sor kódja</t>
  </si>
  <si>
    <t>Liability line code</t>
  </si>
  <si>
    <t>e_kov_kod</t>
  </si>
  <si>
    <t>Követelés sor kódja</t>
  </si>
  <si>
    <t>Receivable line code</t>
  </si>
  <si>
    <t>e_elteres</t>
  </si>
  <si>
    <t>Eltérés (egyeztetési különbözet)</t>
  </si>
  <si>
    <t>Difference (reconciliation gap)</t>
  </si>
  <si>
    <t>k_cim</t>
  </si>
  <si>
    <t>Nem realizált eredmény kiszűrése</t>
  </si>
  <si>
    <t>Elimination of unrealised profit</t>
  </si>
  <si>
    <t>k_eszkoz</t>
  </si>
  <si>
    <t>Érintett eszköz sor kódja</t>
  </si>
  <si>
    <t>Code of the asset line</t>
  </si>
  <si>
    <t>k_nyereseg</t>
  </si>
  <si>
    <t>Nem realizált eredmény</t>
  </si>
  <si>
    <t>Unrealised profit</t>
  </si>
  <si>
    <t>k_megj</t>
  </si>
  <si>
    <t>A csoporton belüli szállításból származó, még nem realizált eredmény.</t>
  </si>
  <si>
    <t>Unrealised profit from intragroup transfers still held within the group.</t>
  </si>
  <si>
    <t>r_cim</t>
  </si>
  <si>
    <t>Csoporton belüli bevételek és ráfordítások</t>
  </si>
  <si>
    <t>Intragroup income and expenses</t>
  </si>
  <si>
    <t>r_bev_kod</t>
  </si>
  <si>
    <t>Bevétel sor kódja</t>
  </si>
  <si>
    <t>Income line code</t>
  </si>
  <si>
    <t>r_raf_kod</t>
  </si>
  <si>
    <t>Ráfordítás sor kódja</t>
  </si>
  <si>
    <t>Expense line code</t>
  </si>
  <si>
    <t>r_oszt</t>
  </si>
  <si>
    <t>Csoporton belüli osztalék</t>
  </si>
  <si>
    <t>Intragroup dividend</t>
  </si>
  <si>
    <t>q_cim</t>
  </si>
  <si>
    <t>Társult vállalkozások – equity módszer (IAS 28)</t>
  </si>
  <si>
    <t>Associates – equity method (IAS 28)</t>
  </si>
  <si>
    <t>q_ceg</t>
  </si>
  <si>
    <t>Társaság</t>
  </si>
  <si>
    <t>Entity</t>
  </si>
  <si>
    <t>q_konyv</t>
  </si>
  <si>
    <t>Befektetés könyv szerinti értéke</t>
  </si>
  <si>
    <t>Carrying amount of the investment</t>
  </si>
  <si>
    <t>q_sajattoke</t>
  </si>
  <si>
    <t>A társaság saját tőkéje</t>
  </si>
  <si>
    <t>Equity of the entity</t>
  </si>
  <si>
    <t>q_hanyad</t>
  </si>
  <si>
    <t>q_ertek</t>
  </si>
  <si>
    <t>Tőkerészesedési érték</t>
  </si>
  <si>
    <t>Share of net assets</t>
  </si>
  <si>
    <t>q_eredmeny</t>
  </si>
  <si>
    <t>Tárgyévi eredményből való részesedés</t>
  </si>
  <si>
    <t>Share of profit for the period</t>
  </si>
  <si>
    <t>q_oci</t>
  </si>
  <si>
    <t>Egyéb átfogó jövedelemből való részesedés</t>
  </si>
  <si>
    <t>Share of other comprehensive income</t>
  </si>
  <si>
    <t>q_kulonbozet</t>
  </si>
  <si>
    <t>Különbözet (korábbi évek)</t>
  </si>
  <si>
    <t>Difference (prior periods)</t>
  </si>
  <si>
    <t>h_cim</t>
  </si>
  <si>
    <t>Halasztott adó a konszolidációs korrekciókra (IAS 12)</t>
  </si>
  <si>
    <t>Deferred tax on consolidation adjustments (IAS 12)</t>
  </si>
  <si>
    <t>h_alap</t>
  </si>
  <si>
    <t>Átmeneti különbözet alapja</t>
  </si>
  <si>
    <t>Base of the temporary difference</t>
  </si>
  <si>
    <t>h_kulcs</t>
  </si>
  <si>
    <t>Adókulcs</t>
  </si>
  <si>
    <t>Tax rate</t>
  </si>
  <si>
    <t>h_ado</t>
  </si>
  <si>
    <t>Halasztott adó</t>
  </si>
  <si>
    <t>Deferred tax</t>
  </si>
  <si>
    <t>h_megj</t>
  </si>
  <si>
    <t>Az IAS 12 szerint a konszolidációs korrekciók átmeneti különbözetet keletkeztetnek.</t>
  </si>
  <si>
    <t>Under IAS 12, consolidation adjustments give rise to temporary differences.</t>
  </si>
  <si>
    <t>g_cim</t>
  </si>
  <si>
    <t>Goodwill értékvesztés-teszt (IAS 36)</t>
  </si>
  <si>
    <t>Goodwill impairment test (IAS 36)</t>
  </si>
  <si>
    <t>g_ceg</t>
  </si>
  <si>
    <t>Pénztermelő egység / megszerzett társaság</t>
  </si>
  <si>
    <t>Cash-generating unit / acquiree</t>
  </si>
  <si>
    <t>g_konyv</t>
  </si>
  <si>
    <t>Goodwill könyv szerinti értéke</t>
  </si>
  <si>
    <t>Carrying amount of goodwill</t>
  </si>
  <si>
    <t>g_megterulo</t>
  </si>
  <si>
    <t>Megtérülő érték</t>
  </si>
  <si>
    <t>Recoverable amount</t>
  </si>
  <si>
    <t>g_ertekvesztes</t>
  </si>
  <si>
    <t>Elszámolandó értékvesztés</t>
  </si>
  <si>
    <t>Impairment loss to be recognised</t>
  </si>
  <si>
    <t>g_megj</t>
  </si>
  <si>
    <t>Az IAS 36 szerint a goodwillt évente teszteni kell. Az elszámolt értékvesztés NEM fordítható vissza (IAS 36.124).</t>
  </si>
  <si>
    <t>Under IAS 36 goodwill must be tested annually. An impairment loss on goodwill must NOT be reversed (IAS 36.124).</t>
  </si>
  <si>
    <t>n_cim</t>
  </si>
  <si>
    <t>Konszolidációs napló</t>
  </si>
  <si>
    <t>Consolidation journal</t>
  </si>
  <si>
    <t>n_sorsz</t>
  </si>
  <si>
    <t>Sorszám</t>
  </si>
  <si>
    <t>No.</t>
  </si>
  <si>
    <t>n_ev</t>
  </si>
  <si>
    <t>Év</t>
  </si>
  <si>
    <t>Year</t>
  </si>
  <si>
    <t>n_lepes</t>
  </si>
  <si>
    <t>Lépés</t>
  </si>
  <si>
    <t>Step</t>
  </si>
  <si>
    <t>n_leiras</t>
  </si>
  <si>
    <t>Leírás</t>
  </si>
  <si>
    <t>n_tartozik</t>
  </si>
  <si>
    <t>Tartozik</t>
  </si>
  <si>
    <t>Debit</t>
  </si>
  <si>
    <t>n_kovetel</t>
  </si>
  <si>
    <t>Követel</t>
  </si>
  <si>
    <t>Credit</t>
  </si>
  <si>
    <t>n_forras</t>
  </si>
  <si>
    <t>Forrás</t>
  </si>
  <si>
    <t>Source</t>
  </si>
  <si>
    <t>n_megj</t>
  </si>
  <si>
    <t>Az AUTO jelzésű sorokat a generátor makrók írják – kézzel ne módosítsa őket.</t>
  </si>
  <si>
    <t>Rows tagged AUTO are written by the generator macros – do not edit them manually.</t>
  </si>
  <si>
    <t>m_cim</t>
  </si>
  <si>
    <t>Konszolidációs munkatábla</t>
  </si>
  <si>
    <t>Consolidation worksheet</t>
  </si>
  <si>
    <t>m_egyedi</t>
  </si>
  <si>
    <t>Egyedi adatok (átszámítva)</t>
  </si>
  <si>
    <t>Individual data (translated)</t>
  </si>
  <si>
    <t>m_konsz</t>
  </si>
  <si>
    <t>Konszolidált érték</t>
  </si>
  <si>
    <t>Consolidated amount</t>
  </si>
  <si>
    <t>m_hatas</t>
  </si>
  <si>
    <t>Napló hatása</t>
  </si>
  <si>
    <t>Effect of the journal</t>
  </si>
  <si>
    <t>m_zarul</t>
  </si>
  <si>
    <t>Az eredménykimutatásra könyvelt korrekciók az Eredménytartalék, az OCI-ra könyveltek az Egyéb tartalékok sorba záródnak – így a mérleg egyensúlya minden páros tétel után megmarad.</t>
  </si>
  <si>
    <t>Adjustments posted to profit or loss close into Retained earnings, those posted to OCI into Other reserves – so the statement of financial position stays balanced after every double entry.</t>
  </si>
  <si>
    <t>sfp_cim</t>
  </si>
  <si>
    <t>Konszolidált pénzügyi helyzet kimutatása</t>
  </si>
  <si>
    <t>Consolidated statement of financial position</t>
  </si>
  <si>
    <t>pl_cim</t>
  </si>
  <si>
    <t>Konszolidált eredménykimutatás és egyéb átfogó jövedelem</t>
  </si>
  <si>
    <t>Consolidated statement of profit or loss and other comprehensive income</t>
  </si>
  <si>
    <t>pl_nat</t>
  </si>
  <si>
    <t>Költségnem szerinti bemutatás (by nature)</t>
  </si>
  <si>
    <t>Presentation by nature</t>
  </si>
  <si>
    <t>pl_fun</t>
  </si>
  <si>
    <t>Funkció szerinti bemutatás (by function)</t>
  </si>
  <si>
    <t>Presentation by function</t>
  </si>
  <si>
    <t>socie_cim</t>
  </si>
  <si>
    <t>A saját tőke változásának kimutatása</t>
  </si>
  <si>
    <t>Statement of changes in equity</t>
  </si>
  <si>
    <t>socie_nci</t>
  </si>
  <si>
    <t>Nem ellenőrző részesedések</t>
  </si>
  <si>
    <t>Non-controlling interests</t>
  </si>
  <si>
    <t>socie_anya</t>
  </si>
  <si>
    <t>Anyavállalat tulajdonosaira jutó</t>
  </si>
  <si>
    <t>Attributable to owners of the parent</t>
  </si>
  <si>
    <t>cf_cim</t>
  </si>
  <si>
    <t>Konszolidált cash flow-kimutatás (IAS 7)</t>
  </si>
  <si>
    <t>Consolidated statement of cash flows (IAS 7)</t>
  </si>
  <si>
    <t>cf_auto</t>
  </si>
  <si>
    <t>Automatikus levezetés</t>
  </si>
  <si>
    <t>Automatic derivation</t>
  </si>
  <si>
    <t>cf_kezi</t>
  </si>
  <si>
    <t>Kézi adat / korrekció</t>
  </si>
  <si>
    <t>Manual input / adjustment</t>
  </si>
  <si>
    <t>cf_alap</t>
  </si>
  <si>
    <t>A levezetés alapja</t>
  </si>
  <si>
    <t>Basis of derivation</t>
  </si>
  <si>
    <t>cf_jel</t>
  </si>
  <si>
    <t>±</t>
  </si>
  <si>
    <t>cf_ell</t>
  </si>
  <si>
    <t>Ellenőrzés: a VII. sor egyezzen a mérleg pénzeszköz sorával.</t>
  </si>
  <si>
    <t>Check: line VII must agree with the cash line of the statement of financial position.</t>
  </si>
  <si>
    <t>cf_ifrs18</t>
  </si>
  <si>
    <t>Az IFRS 18 módosította az IAS 7-et: az indirekt módszer kiindulópontja az ÜZEMI EREDMÉNY, az osztalékfizetés mindig finanszírozási cash flow.</t>
  </si>
  <si>
    <t>IFRS 18 amended IAS 7: the starting point of the indirect method is OPERATING PROFIT, and dividends paid are always a financing cash flow.</t>
  </si>
  <si>
    <t>ell_cim</t>
  </si>
  <si>
    <t>Ellenőrzések</t>
  </si>
  <si>
    <t>Checks</t>
  </si>
  <si>
    <t>ell1</t>
  </si>
  <si>
    <t>Eszközök összesen = Saját tőke és kötelezettségek összesen</t>
  </si>
  <si>
    <t>Total assets = Total equity and liabilities</t>
  </si>
  <si>
    <t>ell2</t>
  </si>
  <si>
    <t>Konszolidációs napló: Tartozik = Követel</t>
  </si>
  <si>
    <t>Consolidation journal: Debit = Credit</t>
  </si>
  <si>
    <t>ell3</t>
  </si>
  <si>
    <t>Egyedi kimutatások egyensúlya (minden társaság)</t>
  </si>
  <si>
    <t>Individual statements balance (all entities)</t>
  </si>
  <si>
    <t>ell4</t>
  </si>
  <si>
    <t>Saját tőke kimutatás záró egyenlege = mérleg saját tőke</t>
  </si>
  <si>
    <t>Closing balance of the changes in equity = equity in the SFP</t>
  </si>
  <si>
    <t>ell5</t>
  </si>
  <si>
    <t>Cash flow VII. sora = mérleg pénzeszközök</t>
  </si>
  <si>
    <t>Cash flow line VII = cash in the SFP</t>
  </si>
  <si>
    <t>ell6</t>
  </si>
  <si>
    <t>Eredmény megbontása: anyavállalat + NCI = időszaki eredmény</t>
  </si>
  <si>
    <t>Allocation of profit: owners of the parent + NCI = profit for the period</t>
  </si>
  <si>
    <t>ell7</t>
  </si>
  <si>
    <t>Mérleg szerinti goodwill = számított goodwill – elszámolt értékvesztés</t>
  </si>
  <si>
    <t>Goodwill in the SFP = calculated goodwill – impairment recognised</t>
  </si>
  <si>
    <t>ell8</t>
  </si>
  <si>
    <t>Minden bevont társaságnál meg van adva a záró és az átlagárfolyam</t>
  </si>
  <si>
    <t>Closing and average rates are given for every consolidated entity</t>
  </si>
  <si>
    <t>ell_ossz</t>
  </si>
  <si>
    <t>Összesített állapot</t>
  </si>
  <si>
    <t>Overall status</t>
  </si>
  <si>
    <t>sema_cim</t>
  </si>
  <si>
    <t>Sorséma (szerkeszthető)</t>
  </si>
  <si>
    <t>Line schema (editable)</t>
  </si>
  <si>
    <t>sema_tipus</t>
  </si>
  <si>
    <t>Type</t>
  </si>
  <si>
    <t>sema_oldal</t>
  </si>
  <si>
    <t>Side</t>
  </si>
  <si>
    <t>sema_agg</t>
  </si>
  <si>
    <t>sema_jel</t>
  </si>
  <si>
    <t>Flag</t>
  </si>
  <si>
    <t>sema_megj</t>
  </si>
  <si>
    <t>Az IFRS NEM ír elő kötött formátumot. Ez a séma az IAS 1.54 minimum sortételeire és az IFRS 18 kategóriáira épül – szabadon átnevezhető és bővíthető.</t>
  </si>
  <si>
    <t>IFRS prescribes NO fixed format. This schema is based on the IAS 1.54 minimum line items and the IFRS 18 categories – rename and extend it freely.</t>
  </si>
  <si>
    <t>sugo_cim</t>
  </si>
  <si>
    <t>Súgó és standardhivatkozások</t>
  </si>
  <si>
    <t>Help and standard references</t>
  </si>
  <si>
    <t>nyelv_cim</t>
  </si>
  <si>
    <t>nyelv_megj</t>
  </si>
  <si>
    <t>nyito_cim</t>
  </si>
  <si>
    <t>Előző évi (nyitó) konszolidált adatok</t>
  </si>
  <si>
    <t>Prior-year (opening) consolidated data</t>
  </si>
  <si>
    <t>adat_cim</t>
  </si>
  <si>
    <t>Egyedi pénzügyi kimutatások (IFRS szerint átdolgozva)</t>
  </si>
  <si>
    <t>Individual financial statements (adjusted to IFRS)</t>
  </si>
  <si>
    <t>adat_ell</t>
  </si>
  <si>
    <t>Egyensúly-ellenőrzés</t>
  </si>
  <si>
    <t>Balance check</t>
  </si>
  <si>
    <t>vb_cim</t>
  </si>
  <si>
    <t>vb_kesz</t>
  </si>
  <si>
    <t>A naplózás elkészült.</t>
  </si>
  <si>
    <t>Posting completed.</t>
  </si>
  <si>
    <t>vb_ell_ok</t>
  </si>
  <si>
    <t>Minden ellenőrzés rendben.</t>
  </si>
  <si>
    <t>All checks passed.</t>
  </si>
  <si>
    <t>vb_ell_hiba</t>
  </si>
  <si>
    <t>Egy vagy több ellenőrzés eltérést jelez. Nézze meg a 18. lapot.</t>
  </si>
  <si>
    <t>One or more checks show a mismatch. See sheet 18.</t>
  </si>
  <si>
    <t>vb_nincslogo</t>
  </si>
  <si>
    <t>Nem található logófájl a munkafüzet mappájában (sajat_logo.png / .jpg).</t>
  </si>
  <si>
    <t>No logo file found next to the workbook (sajat_logo.png / .jpg).</t>
  </si>
  <si>
    <t>vb_logokesz</t>
  </si>
  <si>
    <t>A logó elhelyezve minden lapon.</t>
  </si>
  <si>
    <t>The logo has been placed on every sheet.</t>
  </si>
  <si>
    <t>vb_nyito</t>
  </si>
  <si>
    <t>Az előző évi adatok átvéve.</t>
  </si>
  <si>
    <t>Prior-year data carried over.</t>
  </si>
  <si>
    <t>vb_nyito_kerdes</t>
  </si>
  <si>
    <t>Felülírja az előző évi (nyitó) adatokat a mostani konszolidált értékekkel?</t>
  </si>
  <si>
    <t>Overwrite the prior-year (opening) data with the current consolidated amounts?</t>
  </si>
  <si>
    <t>title_vedelem</t>
  </si>
  <si>
    <t>Lapvédelem</t>
  </si>
  <si>
    <t>Sheet protection</t>
  </si>
  <si>
    <t>msg_jelszo_be</t>
  </si>
  <si>
    <t>Adja meg a jelszót, amellyel a program az ÖSSZES lapot levédi. A sárga (kitöltendő) cellák továbbra is szerkeszthetők maradnak.</t>
  </si>
  <si>
    <t>Enter the password to protect ALL sheets. The yellow (input) cells stay editable.</t>
  </si>
  <si>
    <t>msg_jelszo_fel</t>
  </si>
  <si>
    <t>Adja meg a jelszót az összes lap védelmének feloldásához.</t>
  </si>
  <si>
    <t>Enter the password to unprotect all sheets.</t>
  </si>
  <si>
    <t>msg_jelszo_ures</t>
  </si>
  <si>
    <t>Nem adott meg jelszót. A muvelet megszakadt.</t>
  </si>
  <si>
    <t>No password entered. The operation was cancelled.</t>
  </si>
  <si>
    <t>msg_jelszo_rossz</t>
  </si>
  <si>
    <t>Hibás jelszó, vagy nem minden lap védelmét sikerült feloldani.</t>
  </si>
  <si>
    <t>Wrong password, or not all sheets could be unprotected.</t>
  </si>
  <si>
    <t>msg_vedelem_kesz</t>
  </si>
  <si>
    <t>A munkafüzet összes lapja levédve. A sárga cellák szerkeszthetők maradtak.</t>
  </si>
  <si>
    <t>All sheets are protected. The yellow input cells remain editable.</t>
  </si>
  <si>
    <t>msg_vedelem_fel</t>
  </si>
  <si>
    <t>A védelem minden lapon feloldva.</t>
  </si>
  <si>
    <t>Protection removed from all sheets.</t>
  </si>
  <si>
    <t>msg_esemeny</t>
  </si>
  <si>
    <t>A gombfeliratok nyelvváltáskori automatikus frissítéséhez engedélyezze a VBA-projekt objektummodelljéhez való hozzáférést, majd futtassa újra az XLNT_Telepit makrót.</t>
  </si>
  <si>
    <t>To auto-refresh button captions on language switch, enable access to the VBA project object model, then run XLNT_Telepit again.</t>
  </si>
  <si>
    <t>gomb_home</t>
  </si>
  <si>
    <t>Kezdőlap</t>
  </si>
  <si>
    <t>Home</t>
  </si>
  <si>
    <t>gomb_naplo</t>
  </si>
  <si>
    <t>Naplózás</t>
  </si>
  <si>
    <t>Post entries</t>
  </si>
  <si>
    <t>gomb_minden</t>
  </si>
  <si>
    <t>Összes naplózás + ellenőrzés</t>
  </si>
  <si>
    <t>Post all + check</t>
  </si>
  <si>
    <t>gomb_ell</t>
  </si>
  <si>
    <t>Ellenőrzés</t>
  </si>
  <si>
    <t>Check</t>
  </si>
  <si>
    <t>gomb_nyit</t>
  </si>
  <si>
    <t>Évváltás: adatok átvétele</t>
  </si>
  <si>
    <t>Year rollover: carry data</t>
  </si>
  <si>
    <t>x_S.A</t>
  </si>
  <si>
    <t>x_S.A.01</t>
  </si>
  <si>
    <t>x_S.A.02</t>
  </si>
  <si>
    <t>x_S.A.03</t>
  </si>
  <si>
    <t>x_S.A.04</t>
  </si>
  <si>
    <t>x_S.A.05</t>
  </si>
  <si>
    <t>x_S.A.06</t>
  </si>
  <si>
    <t>x_S.A.07</t>
  </si>
  <si>
    <t>x_S.A.08</t>
  </si>
  <si>
    <t>x_S.A.09</t>
  </si>
  <si>
    <t>x_S.B</t>
  </si>
  <si>
    <t>x_S.B.01</t>
  </si>
  <si>
    <t>x_S.B.02</t>
  </si>
  <si>
    <t>x_S.B.03</t>
  </si>
  <si>
    <t>x_S.B.04</t>
  </si>
  <si>
    <t>x_S.B.05</t>
  </si>
  <si>
    <t>x_S.B.06</t>
  </si>
  <si>
    <t>x_S.B.07</t>
  </si>
  <si>
    <t>x_S.B.08</t>
  </si>
  <si>
    <t>x_S.TOT</t>
  </si>
  <si>
    <t>x_Q.EA</t>
  </si>
  <si>
    <t>x_Q.EA.01</t>
  </si>
  <si>
    <t>x_Q.EA.02</t>
  </si>
  <si>
    <t>x_Q.EA.03</t>
  </si>
  <si>
    <t>x_Q.EA.04</t>
  </si>
  <si>
    <t>x_Q.EA.05</t>
  </si>
  <si>
    <t>x_Q.EA.06</t>
  </si>
  <si>
    <t>x_Q.NCI</t>
  </si>
  <si>
    <t>x_Q.E</t>
  </si>
  <si>
    <t>x_Q.LN</t>
  </si>
  <si>
    <t>x_Q.LN.01</t>
  </si>
  <si>
    <t>x_Q.LN.02</t>
  </si>
  <si>
    <t>x_Q.LN.03</t>
  </si>
  <si>
    <t>x_Q.LN.04</t>
  </si>
  <si>
    <t>x_Q.LN.05</t>
  </si>
  <si>
    <t>x_Q.LN.06</t>
  </si>
  <si>
    <t>x_Q.LC</t>
  </si>
  <si>
    <t>x_Q.LC.01</t>
  </si>
  <si>
    <t>x_Q.LC.02</t>
  </si>
  <si>
    <t>x_Q.LC.03</t>
  </si>
  <si>
    <t>x_Q.LC.04</t>
  </si>
  <si>
    <t>x_Q.LC.05</t>
  </si>
  <si>
    <t>x_Q.LC.06</t>
  </si>
  <si>
    <t>x_Q.LC.07</t>
  </si>
  <si>
    <t>x_Q.LC.08</t>
  </si>
  <si>
    <t>x_Q.TOT</t>
  </si>
  <si>
    <t>x_P.OP</t>
  </si>
  <si>
    <t>x_P.OP.01</t>
  </si>
  <si>
    <t>x_P.OP.02</t>
  </si>
  <si>
    <t>x_P.GP</t>
  </si>
  <si>
    <t>x_P.OP.03</t>
  </si>
  <si>
    <t>x_P.OP.04</t>
  </si>
  <si>
    <t>x_P.OP.05</t>
  </si>
  <si>
    <t>x_P.OP.06</t>
  </si>
  <si>
    <t>x_P.OP.07</t>
  </si>
  <si>
    <t>x_P.OPR</t>
  </si>
  <si>
    <t>x_P.IN</t>
  </si>
  <si>
    <t>x_P.IN.01</t>
  </si>
  <si>
    <t>x_P.IN.02</t>
  </si>
  <si>
    <t>x_P.IN.03</t>
  </si>
  <si>
    <t>x_P.PBFT</t>
  </si>
  <si>
    <t>x_P.FI</t>
  </si>
  <si>
    <t>x_P.FI.01</t>
  </si>
  <si>
    <t>x_P.FI.02</t>
  </si>
  <si>
    <t>x_P.FI.03</t>
  </si>
  <si>
    <t>x_P.FI.04</t>
  </si>
  <si>
    <t>x_P.PBT</t>
  </si>
  <si>
    <t>x_P.TX</t>
  </si>
  <si>
    <t>x_P.TX.01</t>
  </si>
  <si>
    <t>x_P.TX.02</t>
  </si>
  <si>
    <t>x_P.PCO</t>
  </si>
  <si>
    <t>x_P.DC</t>
  </si>
  <si>
    <t>x_P.DC.01</t>
  </si>
  <si>
    <t>x_P.PRF</t>
  </si>
  <si>
    <t>x_P.AT.01</t>
  </si>
  <si>
    <t>x_P.AT.02</t>
  </si>
  <si>
    <t>x_N.01</t>
  </si>
  <si>
    <t>x_N.02</t>
  </si>
  <si>
    <t>x_N.03</t>
  </si>
  <si>
    <t>x_N.04</t>
  </si>
  <si>
    <t>x_N.05</t>
  </si>
  <si>
    <t>x_O.A</t>
  </si>
  <si>
    <t>x_O.A.01</t>
  </si>
  <si>
    <t>x_O.A.02</t>
  </si>
  <si>
    <t>x_O.A.03</t>
  </si>
  <si>
    <t>x_O.A.04</t>
  </si>
  <si>
    <t>x_O.B</t>
  </si>
  <si>
    <t>x_O.B.01</t>
  </si>
  <si>
    <t>x_O.B.02</t>
  </si>
  <si>
    <t>x_O.B.03</t>
  </si>
  <si>
    <t>x_O.B.04</t>
  </si>
  <si>
    <t>x_O.B.05</t>
  </si>
  <si>
    <t>x_O.TOT</t>
  </si>
  <si>
    <t>x_O.TCI</t>
  </si>
  <si>
    <t>x_O.AT.01</t>
  </si>
  <si>
    <t>x_O.AT.02</t>
  </si>
  <si>
    <t>cf_CF.OP</t>
  </si>
  <si>
    <t>I. MŰKÖDÉSI TEVÉKENYSÉG</t>
  </si>
  <si>
    <t>I. OPERATING ACTIVITIES</t>
  </si>
  <si>
    <t>cf_CF.OP.01</t>
  </si>
  <si>
    <t>1. Üzemi eredmény (IFRS 18 részösszeg)</t>
  </si>
  <si>
    <t>1. Operating profit (IFRS 18 subtotal)</t>
  </si>
  <si>
    <t>cfs_CF.OP.01</t>
  </si>
  <si>
    <t>Eredménykimutatás üzemi eredmény sora</t>
  </si>
  <si>
    <t>Operating profit line of the P&amp;L</t>
  </si>
  <si>
    <t>cf_CF.OP.02</t>
  </si>
  <si>
    <t>2. Értékcsökkenési leírás és amortizáció</t>
  </si>
  <si>
    <t>2. Depreciation and amortisation</t>
  </si>
  <si>
    <t>cfs_CF.OP.02</t>
  </si>
  <si>
    <t>Kézi: nem pénzmozgásos tétel</t>
  </si>
  <si>
    <t>Manual: non-cash item</t>
  </si>
  <si>
    <t>cf_CF.OP.03</t>
  </si>
  <si>
    <t>3. Értékvesztés (IAS 36)</t>
  </si>
  <si>
    <t>3. Impairment losses (IAS 36)</t>
  </si>
  <si>
    <t>cfs_CF.OP.03</t>
  </si>
  <si>
    <t>Eredménykimutatás értékvesztés sora</t>
  </si>
  <si>
    <t>Impairment line of the P&amp;L</t>
  </si>
  <si>
    <t>cf_CF.OP.04</t>
  </si>
  <si>
    <t>4. Befektetett eszközök értékesítésének eredménye</t>
  </si>
  <si>
    <t>4. (Gain)/loss on disposal of non-current assets</t>
  </si>
  <si>
    <t>cfs_CF.OP.04</t>
  </si>
  <si>
    <t>Kézi: nyereség negatív, veszteség pozitív előjellel</t>
  </si>
  <si>
    <t>Manual: gain negative, loss positive</t>
  </si>
  <si>
    <t>cf_CF.OP.05</t>
  </si>
  <si>
    <t>5. Egyéb nem pénzmozgásos tételek</t>
  </si>
  <si>
    <t>5. Other non-cash adjustments</t>
  </si>
  <si>
    <t>cfs_CF.OP.05</t>
  </si>
  <si>
    <t>Kézi</t>
  </si>
  <si>
    <t>Manual</t>
  </si>
  <si>
    <t>cf_CF.OP.06</t>
  </si>
  <si>
    <t>6. Készletek állományváltozása</t>
  </si>
  <si>
    <t>6. Change in inventories</t>
  </si>
  <si>
    <t>cfs_CF.OP.06</t>
  </si>
  <si>
    <t>Mérleg készletek állományváltozása, ellenkező előjellel</t>
  </si>
  <si>
    <t>Change in inventories, opposite sign</t>
  </si>
  <si>
    <t>cf_CF.OP.07</t>
  </si>
  <si>
    <t>7. Vevő- és egyéb követelések változása</t>
  </si>
  <si>
    <t>7. Change in trade and other receivables</t>
  </si>
  <si>
    <t>cfs_CF.OP.07</t>
  </si>
  <si>
    <t>Mérleg vevő- és szerződéses követelések változása, ellenkező előjellel</t>
  </si>
  <si>
    <t>Change in receivables and contract assets, opposite sign</t>
  </si>
  <si>
    <t>cf_CF.OP.08</t>
  </si>
  <si>
    <t>8. Szállítói és egyéb kötelezettségek változása</t>
  </si>
  <si>
    <t>8. Change in trade and other payables</t>
  </si>
  <si>
    <t>cfs_CF.OP.08</t>
  </si>
  <si>
    <t>Mérleg szállítói és szerződéses kötelezettségek változása</t>
  </si>
  <si>
    <t>Change in payables and contract liabilities</t>
  </si>
  <si>
    <t>cf_CF.OP.09</t>
  </si>
  <si>
    <t>9. Céltartalékok változása</t>
  </si>
  <si>
    <t>9. Change in provisions</t>
  </si>
  <si>
    <t>cfs_CF.OP.09</t>
  </si>
  <si>
    <t>Mérleg céltartalékok állományváltozása</t>
  </si>
  <si>
    <t>Change in provisions</t>
  </si>
  <si>
    <t>cf_CF.OPB</t>
  </si>
  <si>
    <t>Működési cash flow a nyereségadók előtt</t>
  </si>
  <si>
    <t>Cash from operating activities before income taxes</t>
  </si>
  <si>
    <t>cfs_CF.OPB</t>
  </si>
  <si>
    <t>IAS 7 részösszeg (IFRS 18 módosítás)</t>
  </si>
  <si>
    <t>IAS 7 subtotal (as amended by IFRS 18)</t>
  </si>
  <si>
    <t>cf_CF.OP.10</t>
  </si>
  <si>
    <t>10. Fizetett nyereségadó</t>
  </si>
  <si>
    <t>10. Income taxes paid</t>
  </si>
  <si>
    <t>cfs_CF.OP.10</t>
  </si>
  <si>
    <t>Kézi: a ténylegesen megfizetett adó</t>
  </si>
  <si>
    <t>Manual: taxes actually paid</t>
  </si>
  <si>
    <t>cf_CF.I</t>
  </si>
  <si>
    <t>MŰKÖDÉSI CASH FLOW ÖSSZESEN</t>
  </si>
  <si>
    <t>NET CASH FROM OPERATING ACTIVITIES</t>
  </si>
  <si>
    <t>cf_CF.IN</t>
  </si>
  <si>
    <t>II. BEFEKTETÉSI TEVÉKENYSÉG</t>
  </si>
  <si>
    <t>II. INVESTING ACTIVITIES</t>
  </si>
  <si>
    <t>cf_CF.IN.01</t>
  </si>
  <si>
    <t>1. Ingatlanok, gépek, berendezések beszerzése</t>
  </si>
  <si>
    <t>1. Purchase of property, plant and equipment</t>
  </si>
  <si>
    <t>cfs_CF.IN.01</t>
  </si>
  <si>
    <t>cf_CF.IN.02</t>
  </si>
  <si>
    <t>2. Immateriális javak beszerzése</t>
  </si>
  <si>
    <t>2. Purchase of intangible assets</t>
  </si>
  <si>
    <t>cfs_CF.IN.02</t>
  </si>
  <si>
    <t>cf_CF.IN.03</t>
  </si>
  <si>
    <t>3. Befektetett eszközök értékesítéséből származó bevétel</t>
  </si>
  <si>
    <t>3. Proceeds from sale of non-current assets</t>
  </si>
  <si>
    <t>cfs_CF.IN.03</t>
  </si>
  <si>
    <t>cf_CF.IN.04</t>
  </si>
  <si>
    <t>4. Leányvállalat megszerzése, a megszerzett pénzeszközzel csökkentve</t>
  </si>
  <si>
    <t>4. Acquisition of subsidiaries, net of cash acquired</t>
  </si>
  <si>
    <t>cfs_CF.IN.04</t>
  </si>
  <si>
    <t>Kézi: IFRS 3 akvizíció (konszolidáció-specifikus)</t>
  </si>
  <si>
    <t>Manual: IFRS 3 acquisition (consolidation-specific)</t>
  </si>
  <si>
    <t>cf_CF.IN.05</t>
  </si>
  <si>
    <t>5. Leányvállalat elidegenítése, az átadott pénzeszközzel csökkentve</t>
  </si>
  <si>
    <t>5. Disposal of subsidiaries, net of cash disposed of</t>
  </si>
  <si>
    <t>cfs_CF.IN.05</t>
  </si>
  <si>
    <t>Kézi (konszolidáció-specifikus)</t>
  </si>
  <si>
    <t>Manual (consolidation-specific)</t>
  </si>
  <si>
    <t>cf_CF.IN.06</t>
  </si>
  <si>
    <t>6. Társult vállalkozásokba történő befektetés</t>
  </si>
  <si>
    <t>6. Investments in associates and joint ventures</t>
  </si>
  <si>
    <t>cfs_CF.IN.06</t>
  </si>
  <si>
    <t>cf_CF.IN.07</t>
  </si>
  <si>
    <t>7. Kapott kamat</t>
  </si>
  <si>
    <t>7. Interest received</t>
  </si>
  <si>
    <t>cfs_CF.IN.07</t>
  </si>
  <si>
    <t>Kézi – IAS 7 (IFRS 18): befektetési, ha nincs ilyen fő üzleti tevékenység</t>
  </si>
  <si>
    <t>Manual – IAS 7 (IFRS 18): investing, absent a specified main business activity</t>
  </si>
  <si>
    <t>cf_CF.IN.08</t>
  </si>
  <si>
    <t>8. Kapott osztalék</t>
  </si>
  <si>
    <t>8. Dividends received</t>
  </si>
  <si>
    <t>cfs_CF.IN.08</t>
  </si>
  <si>
    <t>cf_CF.II</t>
  </si>
  <si>
    <t>BEFEKTETÉSI CASH FLOW ÖSSZESEN</t>
  </si>
  <si>
    <t>NET CASH USED IN INVESTING ACTIVITIES</t>
  </si>
  <si>
    <t>cf_CF.FI</t>
  </si>
  <si>
    <t>III. FINANSZÍROZÁSI TEVÉKENYSÉG</t>
  </si>
  <si>
    <t>III. FINANCING ACTIVITIES</t>
  </si>
  <si>
    <t>cf_CF.FI.01</t>
  </si>
  <si>
    <t>1. Részvénykibocsátásból származó bevétel</t>
  </si>
  <si>
    <t>1. Proceeds from issue of share capital</t>
  </si>
  <si>
    <t>cfs_CF.FI.01</t>
  </si>
  <si>
    <t>cf_CF.FI.02</t>
  </si>
  <si>
    <t>2. Hitelek és kölcsönök felvétele</t>
  </si>
  <si>
    <t>2. Proceeds from borrowings</t>
  </si>
  <si>
    <t>cfs_CF.FI.02</t>
  </si>
  <si>
    <t>cf_CF.FI.03</t>
  </si>
  <si>
    <t>3. Hitelek és kölcsönök törlesztése</t>
  </si>
  <si>
    <t>3. Repayment of borrowings</t>
  </si>
  <si>
    <t>cfs_CF.FI.03</t>
  </si>
  <si>
    <t>cf_CF.FI.04</t>
  </si>
  <si>
    <t>4. Lízingkötelezettségek törlesztése</t>
  </si>
  <si>
    <t>4. Payment of lease liabilities</t>
  </si>
  <si>
    <t>cfs_CF.FI.04</t>
  </si>
  <si>
    <t>Kézi (IFRS 16)</t>
  </si>
  <si>
    <t>Manual (IFRS 16)</t>
  </si>
  <si>
    <t>cf_CF.FI.05</t>
  </si>
  <si>
    <t>5. Fizetett kamat</t>
  </si>
  <si>
    <t>5. Interest paid</t>
  </si>
  <si>
    <t>cfs_CF.FI.05</t>
  </si>
  <si>
    <t>Kézi – IAS 7 (IFRS 18): finanszírozási, ha nincs ilyen fő üzleti tevékenység</t>
  </si>
  <si>
    <t>Manual – IAS 7 (IFRS 18): financing, absent a specified main business activity</t>
  </si>
  <si>
    <t>cf_CF.FI.06</t>
  </si>
  <si>
    <t>6. Az anyavállalat tulajdonosainak fizetett osztalék</t>
  </si>
  <si>
    <t>6. Dividends paid to owners of the parent</t>
  </si>
  <si>
    <t>cfs_CF.FI.06</t>
  </si>
  <si>
    <t>Kézi – IAS 7 (IFRS 18): mindig finanszírozási</t>
  </si>
  <si>
    <t>Manual – IAS 7 (IFRS 18): always financing</t>
  </si>
  <si>
    <t>cf_CF.FI.07</t>
  </si>
  <si>
    <t>7. A nem ellenőrző részesedéseknek fizetett osztalék</t>
  </si>
  <si>
    <t>7. Dividends paid to non-controlling interests</t>
  </si>
  <si>
    <t>cfs_CF.FI.07</t>
  </si>
  <si>
    <t>Kézi – konszolidáció-specifikus</t>
  </si>
  <si>
    <t>Manual – consolidation-specific</t>
  </si>
  <si>
    <t>cf_CF.FI.08</t>
  </si>
  <si>
    <t>8. Nem ellenőrző részesedésekkel folytatott tranzakciók</t>
  </si>
  <si>
    <t>8. Transactions with non-controlling interests</t>
  </si>
  <si>
    <t>cfs_CF.FI.08</t>
  </si>
  <si>
    <t>Kézi – IFRS 10: tőketranzakció, goodwill nem keletkezik</t>
  </si>
  <si>
    <t>Manual – IFRS 10: equity transaction, no goodwill arises</t>
  </si>
  <si>
    <t>cf_CF.III</t>
  </si>
  <si>
    <t>FINANSZÍROZÁSI CASH FLOW ÖSSZESEN</t>
  </si>
  <si>
    <t>NET CASH FROM FINANCING ACTIVITIES</t>
  </si>
  <si>
    <t>cf_CF.IV</t>
  </si>
  <si>
    <t>IV. PÉNZESZKÖZÖK NETTÓ VÁLTOZÁSA (I+II+III)</t>
  </si>
  <si>
    <t>IV. NET CHANGE IN CASH AND CASH EQUIVALENTS (I+II+III)</t>
  </si>
  <si>
    <t>cf_CF.V</t>
  </si>
  <si>
    <t>V. Pénzeszközök az időszak elején</t>
  </si>
  <si>
    <t>V. Cash and cash equivalents at the beginning of the period</t>
  </si>
  <si>
    <t>cfs_CF.V</t>
  </si>
  <si>
    <t>Előző évi pénzeszközök (nyitó lap)</t>
  </si>
  <si>
    <t>Prior-year cash (opening sheet)</t>
  </si>
  <si>
    <t>cf_CF.VI</t>
  </si>
  <si>
    <t>VI. Árfolyamváltozás hatása a pénzeszközökre</t>
  </si>
  <si>
    <t>VI. Effect of exchange rate changes on cash</t>
  </si>
  <si>
    <t>cfs_CF.VI</t>
  </si>
  <si>
    <t>Kézi – IAS 7.28</t>
  </si>
  <si>
    <t>Manual – IAS 7.28</t>
  </si>
  <si>
    <t>cf_CF.VII</t>
  </si>
  <si>
    <t>VII. PÉNZESZKÖZÖK AZ IDŐSZAK VÉGÉN (IV+V+VI)</t>
  </si>
  <si>
    <t>VII. CASH AND CASH EQUIVALENTS AT THE END (IV+V+VI)</t>
  </si>
  <si>
    <t>eq_EQ.NY</t>
  </si>
  <si>
    <t>Nyitó egyenleg</t>
  </si>
  <si>
    <t>Balance at the beginning of the period</t>
  </si>
  <si>
    <t>eq_EQ.01</t>
  </si>
  <si>
    <t>Időszaki eredmény</t>
  </si>
  <si>
    <t>Profit for the period</t>
  </si>
  <si>
    <t>eq_EQ.02</t>
  </si>
  <si>
    <t>Egyéb átfogó jövedelem</t>
  </si>
  <si>
    <t>Other comprehensive income</t>
  </si>
  <si>
    <t>eq_EQ.TCI</t>
  </si>
  <si>
    <t>Átfogó jövedelem összesen</t>
  </si>
  <si>
    <t>Total comprehensive income</t>
  </si>
  <si>
    <t>eq_EQ.03</t>
  </si>
  <si>
    <t>Tőkeemelés, részvénykibocsátás</t>
  </si>
  <si>
    <t>Issue of share capital</t>
  </si>
  <si>
    <t>eq_EQ.04</t>
  </si>
  <si>
    <t>Fizetett osztalék</t>
  </si>
  <si>
    <t>Dividends paid</t>
  </si>
  <si>
    <t>eq_EQ.05</t>
  </si>
  <si>
    <t>Saját részvény ügyletek</t>
  </si>
  <si>
    <t>Treasury share transactions</t>
  </si>
  <si>
    <t>eq_EQ.06</t>
  </si>
  <si>
    <t>Részvényalapú kifizetések</t>
  </si>
  <si>
    <t>Share-based payments</t>
  </si>
  <si>
    <t>eq_EQ.07</t>
  </si>
  <si>
    <t>Leányvállalat megszerzése (NCI keletkezése)</t>
  </si>
  <si>
    <t>Acquisition of subsidiary (NCI arising)</t>
  </si>
  <si>
    <t>eq_EQ.08</t>
  </si>
  <si>
    <t>Nem ellenőrző részesedésekkel folytatott tranzakciók</t>
  </si>
  <si>
    <t>Transactions with non-controlling interests</t>
  </si>
  <si>
    <t>eq_EQ.09</t>
  </si>
  <si>
    <t>Egyéb tőkemozgás</t>
  </si>
  <si>
    <t>Other movements in equity</t>
  </si>
  <si>
    <t>eq_EQ.ZA</t>
  </si>
  <si>
    <t>Záró egyenleg</t>
  </si>
  <si>
    <t>Balance at the end of the period</t>
  </si>
  <si>
    <t>eqc_Q.EA.01</t>
  </si>
  <si>
    <t>Jegyzett tőke</t>
  </si>
  <si>
    <t>Share capital</t>
  </si>
  <si>
    <t>eqc_Q.EA.02</t>
  </si>
  <si>
    <t>Tőketartalék</t>
  </si>
  <si>
    <t>Share premium</t>
  </si>
  <si>
    <t>eqc_Q.EA.03</t>
  </si>
  <si>
    <t>Saját részvény</t>
  </si>
  <si>
    <t>Treasury shares</t>
  </si>
  <si>
    <t>eqc_Q.EA.04</t>
  </si>
  <si>
    <t>Eredménytartalék</t>
  </si>
  <si>
    <t>Retained earnings</t>
  </si>
  <si>
    <t>eqc_Q.EA.05</t>
  </si>
  <si>
    <t>Átszámítási különbözet</t>
  </si>
  <si>
    <t>Translation reserve</t>
  </si>
  <si>
    <t>eqc_Q.EA.06</t>
  </si>
  <si>
    <t>Egyéb tartalékok</t>
  </si>
  <si>
    <t>Other reserves</t>
  </si>
  <si>
    <t>sg0_c</t>
  </si>
  <si>
    <t>Alkalmazott standardok</t>
  </si>
  <si>
    <t>Standards applied</t>
  </si>
  <si>
    <t>sg0_d</t>
  </si>
  <si>
    <t>IFRS 10 (konszolidált pénzügyi kimutatások), IFRS 3 (üzleti kombinációk), IAS 28 (társult vállalkozások), IAS 21 (átváltás), IAS 12 (nyereségadók), IAS 36 (értékvesztés), IAS 7 (cash flow), IFRS 18 (bemutatás, 2027-től; korábbi alkalmazás megengedett).</t>
  </si>
  <si>
    <t>IFRS 10 (consolidated financial statements), IFRS 3 (business combinations), IAS 28 (associates), IAS 21 (translation), IAS 12 (income taxes), IAS 36 (impairment), IAS 7 (cash flows), IFRS 18 (presentation, from 2027; earlier application permitted).</t>
  </si>
  <si>
    <t>sg1_c</t>
  </si>
  <si>
    <t>Nincs kötött formátum</t>
  </si>
  <si>
    <t>No prescribed format</t>
  </si>
  <si>
    <t>sg1_d</t>
  </si>
  <si>
    <t>Az IFRS – a magyar Szt. mellékleteivel ellentétben – nem ír elő kötött beszámolóformátumot. Az IAS 1.54 minimum sortételeket, az IFRS 18 pedig kötelező kategóriákat és részösszegeket határoz meg. A 19. lap sorsémája ezért szabadon szerkeszthető.</t>
  </si>
  <si>
    <t>Unlike the Hungarian Accounting Act annexes, IFRS prescribes no fixed format. IAS 1.54 sets minimum line items and IFRS 18 sets required categories and subtotals. The schema on sheet 19 is therefore freely editable.</t>
  </si>
  <si>
    <t>sg2_c</t>
  </si>
  <si>
    <t>IFRS 18 kötelező részösszegek</t>
  </si>
  <si>
    <t>IFRS 18 required subtotals</t>
  </si>
  <si>
    <t>sg2_d</t>
  </si>
  <si>
    <t>Üzemi eredmény (operating profit) és Finanszírozás és nyereségadók előtti eredmény (profit before financing and income taxes). Az eredménykimutatás öt kategóriája: működési, befektetési, finanszírozási, nyereségadók, megszűnt tevékenységek.</t>
  </si>
  <si>
    <t>Operating profit, and profit before financing and income taxes. The five P&amp;L categories are: operating, investing, financing, income taxes, discontinued operations.</t>
  </si>
  <si>
    <t>sg3_c</t>
  </si>
  <si>
    <t>Goodwill</t>
  </si>
  <si>
    <t>sg3_d</t>
  </si>
  <si>
    <t>Az IFRS 3 szerinti goodwill NEM amortizálható. Évente (és értékvesztésre utaló jel esetén) az IAS 36 szerinti értékvesztés-tesztet kell elvégezni. A goodwillre elszámolt értékvesztés nem fordítható vissza. Ez lényeges eltérés a magyar szabályoktól.</t>
  </si>
  <si>
    <t>Goodwill under IFRS 3 is NOT amortised. It must be tested for impairment annually (and when indicators exist) under IAS 36. An impairment loss on goodwill must not be reversed. This is a key difference from Hungarian rules.</t>
  </si>
  <si>
    <t>sg4_c</t>
  </si>
  <si>
    <t>Nem ellenőrző részesedés (NCI)</t>
  </si>
  <si>
    <t>Non-controlling interests (NCI)</t>
  </si>
  <si>
    <t>sg4_d</t>
  </si>
  <si>
    <t>Az IFRS 3.19 választást enged: az NCI valós értéken (full goodwill) vagy az azonosítható nettó eszközök arányos részén értékelhető. A választás ügyletenként külön gyakorolható.</t>
  </si>
  <si>
    <t>IFRS 3.19 offers a choice: NCI may be measured at fair value (full goodwill) or at the proportionate share of net identifiable assets. The choice is available transaction by transaction.</t>
  </si>
  <si>
    <t>sg5_c</t>
  </si>
  <si>
    <t>Devizaátszámítás</t>
  </si>
  <si>
    <t>Foreign currency translation</t>
  </si>
  <si>
    <t>sg5_d</t>
  </si>
  <si>
    <t>Az IAS 21 szerint a külföldi érdekeltség eszközeit és kötelezettségeit záró árfolyamon, a bevételeket és ráfordításokat átlagárfolyamon kell átszámítani; a keletkező átszámítási különbözet az egyéb átfogó jövedelemben (OCI) jelenik meg.</t>
  </si>
  <si>
    <t>Under IAS 21, assets and liabilities of a foreign operation are translated at the closing rate and income and expenses at the average rate; the resulting exchange difference is recognised in other comprehensive income (OCI).</t>
  </si>
  <si>
    <t>sg6_c</t>
  </si>
  <si>
    <t>NCI-vel folytatott tranzakciók</t>
  </si>
  <si>
    <t>Transactions with NCI</t>
  </si>
  <si>
    <t>sg6_d</t>
  </si>
  <si>
    <t>Az IFRS 10 szerint az ellenőrzés megtartása melletti részesedésváltozás tőketranzakció: goodwill nem keletkezik és eredmény nem számolható el.</t>
  </si>
  <si>
    <t>Under IFRS 10, a change in ownership while retaining control is an equity transaction: no goodwill arises and no gain or loss is recognised.</t>
  </si>
  <si>
    <t>sg7_c</t>
  </si>
  <si>
    <t>Cash flow (IAS 7 az IFRS 18 után)</t>
  </si>
  <si>
    <t>Cash flows (IAS 7 as amended by IFRS 18)</t>
  </si>
  <si>
    <t>sg7_d</t>
  </si>
  <si>
    <t>Az indirekt módszer kiindulópontja az üzemi eredmény. Az osztalékfizetés mindig finanszírozási. Ha a társaságnak nincs ilyen fő üzleti tevékenysége: a kapott kamat és osztalék befektetési, a fizetett kamat finanszírozási cash flow.</t>
  </si>
  <si>
    <t>The indirect method starts from operating profit. Dividends paid are always financing. Absent a specified main business activity: interest and dividends received are investing, and interest paid is a financing cash flow.</t>
  </si>
  <si>
    <t>sg8_c</t>
  </si>
  <si>
    <t>Korlátok</t>
  </si>
  <si>
    <t>Limitations</t>
  </si>
  <si>
    <t>sg8_d</t>
  </si>
  <si>
    <t>A program a bevitt adatokból számol; az IFRS-re való átdolgozás (IFRS 1, IFRS 9, IFRS 15, IFRS 16 stb.) az Ön feladata. A szakmai megítélést igénylő döntéseket a program nem helyettesíti – ezeket könyvvizsgálóval egyeztesse.</t>
  </si>
  <si>
    <t>The tool calculates from the data you enter; adjusting the individual statements to IFRS (IFRS 1, IFRS 9, IFRS 15, IFRS 16 etc.) is your responsibility. It does not replace professional judgement – discuss such matters with your auditor.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</si>
</sst>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Red]\-#,##0;&quot;-&quot;"/>
  </numFmts>
  <fonts count="21" x14ac:knownFonts="1">
    <font>
      <sz val="11"/>
      <color theme="1"/>
      <name val="Calibri"/>
      <family val="2"/>
      <scheme val="minor"/>
    </font>
    <font>
      <b/>
      <sz val="14"/>
      <color rgb="FF1F3864"/>
      <name val="Calibri"/>
      <family val="2"/>
      <charset val="238"/>
    </font>
    <font>
      <i/>
      <sz val="9"/>
      <color rgb="FF808080"/>
      <name val="Calibri"/>
      <family val="2"/>
      <charset val="238"/>
    </font>
    <font>
      <b/>
      <sz val="9"/>
      <color rgb="FFFFFFFF"/>
      <name val="Calibri"/>
      <family val="2"/>
      <charset val="238"/>
    </font>
    <font>
      <sz val="8"/>
      <color rgb="FF808080"/>
      <name val="Calibri"/>
      <family val="2"/>
      <charset val="238"/>
    </font>
    <font>
      <sz val="10"/>
      <name val="Calibri"/>
      <family val="2"/>
      <charset val="238"/>
    </font>
    <font>
      <b/>
      <sz val="10"/>
      <color rgb="FF000000"/>
      <name val="Calibri"/>
      <family val="2"/>
      <charset val="238"/>
    </font>
    <font>
      <sz val="10"/>
      <color rgb="FF0000FF"/>
      <name val="Calibri"/>
      <family val="2"/>
      <charset val="238"/>
    </font>
    <font>
      <i/>
      <sz val="8"/>
      <color rgb="FF808080"/>
      <name val="Calibri"/>
      <family val="2"/>
      <charset val="238"/>
    </font>
    <font>
      <b/>
      <sz val="10"/>
      <name val="Calibri"/>
      <family val="2"/>
      <charset val="238"/>
    </font>
    <font>
      <b/>
      <sz val="9"/>
      <name val="Calibri"/>
      <family val="2"/>
      <charset val="238"/>
    </font>
    <font>
      <sz val="9"/>
      <name val="Calibri"/>
      <family val="2"/>
      <charset val="238"/>
    </font>
    <font>
      <b/>
      <sz val="9"/>
      <color rgb="FF1F3864"/>
      <name val="Calibri"/>
      <family val="2"/>
      <charset val="238"/>
    </font>
    <font>
      <sz val="10"/>
      <color rgb="FF000000"/>
      <name val="Calibri"/>
      <family val="2"/>
      <charset val="238"/>
    </font>
    <font>
      <i/>
      <sz val="8"/>
      <color rgb="FFC00000"/>
      <name val="Calibri"/>
      <family val="2"/>
      <charset val="238"/>
    </font>
    <font>
      <b/>
      <sz val="10"/>
      <color rgb="FFFFFFFF"/>
      <name val="Calibri"/>
      <family val="2"/>
      <charset val="238"/>
    </font>
    <font>
      <b/>
      <sz val="9"/>
      <color rgb="FF2E75B6"/>
      <name val="Calibri"/>
      <family val="2"/>
      <charset val="238"/>
    </font>
    <font>
      <b/>
      <sz val="18"/>
      <color rgb="FF1F3864"/>
      <name val="Calibri"/>
      <family val="2"/>
      <charset val="238"/>
    </font>
    <font>
      <i/>
      <sz val="10"/>
      <color rgb="FF2E75B6"/>
      <name val="Calibri"/>
      <family val="2"/>
      <charset val="238"/>
    </font>
    <font>
      <b/>
      <sz val="12"/>
      <color rgb="FF000000"/>
      <name val="Calibri"/>
      <family val="2"/>
      <charset val="238"/>
    </font>
    <font>
      <b/>
      <sz val="10"/>
      <color rgb="FF1F3864"/>
      <name val="Calibri"/>
      <family val="2"/>
      <charset val="238"/>
    </font>
  </fonts>
  <fills count="9">
    <fill>
      <patternFill patternType="none"/>
    </fill>
    <fill>
      <patternFill patternType="gray125"/>
    </fill>
    <fill>
      <patternFill patternType="solid">
        <fgColor rgb="FF1F3864"/>
      </patternFill>
    </fill>
    <fill>
      <patternFill patternType="solid">
        <fgColor rgb="FFFFF2CC"/>
      </patternFill>
    </fill>
    <fill>
      <patternFill patternType="solid">
        <fgColor rgb="FFE2EFDA"/>
      </patternFill>
    </fill>
    <fill>
      <patternFill patternType="solid">
        <fgColor rgb="FF2E75B6"/>
      </patternFill>
    </fill>
    <fill>
      <patternFill patternType="solid">
        <fgColor rgb="FFF2F2F2"/>
      </patternFill>
    </fill>
    <fill>
      <patternFill patternType="solid">
        <fgColor rgb="FFD9E1F2"/>
      </patternFill>
    </fill>
    <fill>
      <patternFill patternType="solid">
        <fgColor rgb="FFFFFFFF"/>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45">
    <xf numFmtId="0" fontId="0" fillId="0" borderId="0" xfId="0"/>
    <xf numFmtId="0" fontId="17" fillId="0" borderId="0" xfId="0" applyFont="1"/>
    <xf numFmtId="0" fontId="18" fillId="0" borderId="0" xfId="0" applyFont="1"/>
    <xf numFmtId="0" fontId="19" fillId="0" borderId="0" xfId="0" applyFont="1"/>
    <xf numFmtId="0" fontId="20" fillId="7" borderId="1" xfId="0" applyFont="1" applyFill="1" applyBorder="1"/>
    <xf numFmtId="0" fontId="11" fillId="0" borderId="1" xfId="0" applyFont="1" applyBorder="1"/>
    <xf numFmtId="0" fontId="16" fillId="6" borderId="1" xfId="0" applyFont="1" applyFill="1" applyBorder="1" applyAlignment="1">
      <alignment horizontal="center"/>
    </xf>
    <xf numFmtId="0" fontId="13" fillId="0" borderId="0" xfId="0" applyFont="1"/>
    <xf numFmtId="165" fontId="5" fillId="6" borderId="1" xfId="0" applyNumberFormat="1" applyFont="1" applyFill="1" applyBorder="1"/>
    <xf numFmtId="0" fontId="9" fillId="4" borderId="1" xfId="0" applyFont="1" applyFill="1" applyBorder="1"/>
    <xf numFmtId="0" fontId="6" fillId="0" borderId="0" xfId="0" applyFont="1"/>
    <xf numFmtId="0" fontId="1" fillId="0" borderId="0" xfId="0" applyFont="1"/>
    <xf numFmtId="0" fontId="7" fillId="3" borderId="1" xfId="0" applyFont="1" applyFill="1" applyBorder="1" applyProtection="1">
      <protection locked="0"/>
    </xf>
    <xf numFmtId="10" fontId="7" fillId="3" borderId="1" xfId="0" applyNumberFormat="1" applyFont="1" applyFill="1" applyBorder="1" applyProtection="1">
      <protection locked="0"/>
    </xf>
    <xf numFmtId="0" fontId="8" fillId="0" borderId="0" xfId="0" applyFont="1"/>
    <xf numFmtId="0" fontId="2" fillId="0" borderId="0" xfId="0" applyFont="1"/>
    <xf numFmtId="0" fontId="3" fillId="2" borderId="1" xfId="0" applyFont="1" applyFill="1" applyBorder="1" applyAlignment="1">
      <alignment horizontal="center" vertical="center" wrapText="1"/>
    </xf>
    <xf numFmtId="164" fontId="7" fillId="3" borderId="1" xfId="0" applyNumberFormat="1" applyFont="1" applyFill="1" applyBorder="1" applyProtection="1">
      <protection locked="0"/>
    </xf>
    <xf numFmtId="10" fontId="9" fillId="4" borderId="1" xfId="0" applyNumberFormat="1" applyFont="1" applyFill="1" applyBorder="1"/>
    <xf numFmtId="0" fontId="12" fillId="0" borderId="0" xfId="0" applyFont="1" applyAlignment="1">
      <alignment horizontal="center"/>
    </xf>
    <xf numFmtId="0" fontId="3" fillId="5" borderId="1" xfId="0" applyFont="1" applyFill="1" applyBorder="1" applyAlignment="1">
      <alignment horizontal="center" wrapText="1"/>
    </xf>
    <xf numFmtId="0" fontId="4" fillId="0" borderId="1" xfId="0" applyFont="1" applyBorder="1"/>
    <xf numFmtId="0" fontId="10" fillId="4" borderId="1" xfId="0" applyFont="1" applyFill="1" applyBorder="1"/>
    <xf numFmtId="165" fontId="9" fillId="4" borderId="1" xfId="0" applyNumberFormat="1" applyFont="1" applyFill="1" applyBorder="1"/>
    <xf numFmtId="165" fontId="7" fillId="3" borderId="1" xfId="0" applyNumberFormat="1" applyFont="1" applyFill="1" applyBorder="1" applyProtection="1">
      <protection locked="0"/>
    </xf>
    <xf numFmtId="0" fontId="11" fillId="6" borderId="1" xfId="0" applyFont="1" applyFill="1" applyBorder="1"/>
    <xf numFmtId="165" fontId="9" fillId="6" borderId="1" xfId="0" applyNumberFormat="1" applyFont="1" applyFill="1" applyBorder="1"/>
    <xf numFmtId="10" fontId="5" fillId="6" borderId="1" xfId="0" applyNumberFormat="1" applyFont="1" applyFill="1" applyBorder="1"/>
    <xf numFmtId="0" fontId="14" fillId="0" borderId="0" xfId="0" applyFont="1"/>
    <xf numFmtId="0" fontId="5" fillId="6" borderId="1" xfId="0" applyFont="1" applyFill="1" applyBorder="1"/>
    <xf numFmtId="165" fontId="9" fillId="7" borderId="1" xfId="0" applyNumberFormat="1" applyFont="1" applyFill="1" applyBorder="1"/>
    <xf numFmtId="165" fontId="5" fillId="7" borderId="1" xfId="0" applyNumberFormat="1" applyFont="1" applyFill="1" applyBorder="1"/>
    <xf numFmtId="0" fontId="5" fillId="8" borderId="1" xfId="0" applyFont="1" applyFill="1" applyBorder="1"/>
    <xf numFmtId="165" fontId="5" fillId="8" borderId="1" xfId="0" applyNumberFormat="1" applyFont="1" applyFill="1" applyBorder="1"/>
    <xf numFmtId="0" fontId="5" fillId="0" borderId="1" xfId="0" applyFont="1" applyBorder="1"/>
    <xf numFmtId="0" fontId="15" fillId="5" borderId="1" xfId="0" applyFont="1" applyFill="1" applyBorder="1"/>
    <xf numFmtId="0" fontId="16" fillId="0" borderId="1" xfId="0" applyFont="1" applyBorder="1" applyAlignment="1">
      <alignment horizontal="center"/>
    </xf>
    <xf numFmtId="165" fontId="5" fillId="5" borderId="1" xfId="0" applyNumberFormat="1" applyFont="1" applyFill="1" applyBorder="1"/>
    <xf numFmtId="165" fontId="5" fillId="4" borderId="1" xfId="0" applyNumberFormat="1" applyFont="1" applyFill="1" applyBorder="1"/>
    <xf numFmtId="0" fontId="3" fillId="2" borderId="1" xfId="0" applyFont="1" applyFill="1" applyBorder="1" applyAlignment="1">
      <alignment horizontal="center" wrapText="1"/>
    </xf>
    <xf numFmtId="0" fontId="11" fillId="3" borderId="1" xfId="0" applyFont="1" applyFill="1" applyBorder="1" applyProtection="1">
      <protection locked="0"/>
    </xf>
    <xf numFmtId="0" fontId="10" fillId="3" borderId="1" xfId="0" applyFont="1" applyFill="1" applyBorder="1" applyProtection="1">
      <protection locked="0"/>
    </xf>
    <xf numFmtId="0" fontId="4" fillId="0" borderId="0" xfId="0" applyFont="1"/>
    <xf numFmtId="0" fontId="5" fillId="0" borderId="0" xfId="0" applyFont="1" applyAlignment="1">
      <alignment vertical="top"/>
    </xf>
    <xf numFmtId="0" fontId="5" fillId="0" borderId="0" xfId="0" applyFont="1" applyAlignment="1">
      <alignment vertical="top" wrapText="1"/>
    </xf>
  </cellXfs>
  <cellStyles count="1">
    <cellStyle name="Normá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5" name="XLNT_LINK">
          <a:extLst>
            <a:ext uri="{FF2B5EF4-FFF2-40B4-BE49-F238E27FC236}">
              <a16:creationId xmlns:a16="http://schemas.microsoft.com/office/drawing/2014/main" id="{7C0FF8FA-9ADD-3BA5-F112-1146813BE57F}"/>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1</xdr:col>
      <xdr:colOff>1268010</xdr:colOff>
      <xdr:row>0</xdr:row>
      <xdr:rowOff>850900</xdr:rowOff>
    </xdr:to>
    <xdr:pic macro="XLNT_NyitHiHello">
      <xdr:nvPicPr>
        <xdr:cNvPr id="7" name="XLNT_LOGO">
          <a:extLst>
            <a:ext uri="{FF2B5EF4-FFF2-40B4-BE49-F238E27FC236}">
              <a16:creationId xmlns:a16="http://schemas.microsoft.com/office/drawing/2014/main" id="{C091DAEC-CECC-5B63-546D-466DA99E45E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45720</xdr:colOff>
      <xdr:row>0</xdr:row>
      <xdr:rowOff>101600</xdr:rowOff>
    </xdr:from>
    <xdr:to>
      <xdr:col>2</xdr:col>
      <xdr:colOff>2712720</xdr:colOff>
      <xdr:row>0</xdr:row>
      <xdr:rowOff>381000</xdr:rowOff>
    </xdr:to>
    <xdr:sp macro="XLNT_MindenNaplo" textlink="">
      <xdr:nvSpPr>
        <xdr:cNvPr id="8" name="XLNT_G_ALL">
          <a:extLst>
            <a:ext uri="{FF2B5EF4-FFF2-40B4-BE49-F238E27FC236}">
              <a16:creationId xmlns:a16="http://schemas.microsoft.com/office/drawing/2014/main" id="{010A53FC-673B-9E6F-FA77-E13E6062EAAA}"/>
            </a:ext>
          </a:extLst>
        </xdr:cNvPr>
        <xdr:cNvSpPr/>
      </xdr:nvSpPr>
      <xdr:spPr>
        <a:xfrm>
          <a:off x="3810000" y="101600"/>
          <a:ext cx="2667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Összes naplózás + ellenőrzés</a:t>
          </a:r>
        </a:p>
      </xdr:txBody>
    </xdr:sp>
    <xdr:clientData/>
  </xdr:twoCellAnchor>
  <xdr:twoCellAnchor>
    <xdr:from>
      <xdr:col>2</xdr:col>
      <xdr:colOff>2839720</xdr:colOff>
      <xdr:row>0</xdr:row>
      <xdr:rowOff>101600</xdr:rowOff>
    </xdr:from>
    <xdr:to>
      <xdr:col>2</xdr:col>
      <xdr:colOff>4236720</xdr:colOff>
      <xdr:row>0</xdr:row>
      <xdr:rowOff>381000</xdr:rowOff>
    </xdr:to>
    <xdr:sp macro="XLNT_Ellenorzes" textlink="">
      <xdr:nvSpPr>
        <xdr:cNvPr id="9" name="XLNT_G_ELL">
          <a:extLst>
            <a:ext uri="{FF2B5EF4-FFF2-40B4-BE49-F238E27FC236}">
              <a16:creationId xmlns:a16="http://schemas.microsoft.com/office/drawing/2014/main" id="{25D61869-06DB-F763-EDF5-1F03FA337A89}"/>
            </a:ext>
          </a:extLst>
        </xdr:cNvPr>
        <xdr:cNvSpPr/>
      </xdr:nvSpPr>
      <xdr:spPr>
        <a:xfrm>
          <a:off x="6604000" y="101600"/>
          <a:ext cx="1397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Ellenőrzés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4" name="XLNT_LINK">
          <a:extLst>
            <a:ext uri="{FF2B5EF4-FFF2-40B4-BE49-F238E27FC236}">
              <a16:creationId xmlns:a16="http://schemas.microsoft.com/office/drawing/2014/main" id="{80DB33E8-0B83-A61B-34F6-22CCE1E71637}"/>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1</xdr:col>
      <xdr:colOff>1268010</xdr:colOff>
      <xdr:row>0</xdr:row>
      <xdr:rowOff>850900</xdr:rowOff>
    </xdr:to>
    <xdr:pic macro="XLNT_NyitHiHello">
      <xdr:nvPicPr>
        <xdr:cNvPr id="6" name="XLNT_LOGO">
          <a:extLst>
            <a:ext uri="{FF2B5EF4-FFF2-40B4-BE49-F238E27FC236}">
              <a16:creationId xmlns:a16="http://schemas.microsoft.com/office/drawing/2014/main" id="{E7991941-D05B-01CA-7BEC-2D52BFCE35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45720</xdr:colOff>
      <xdr:row>0</xdr:row>
      <xdr:rowOff>101600</xdr:rowOff>
    </xdr:from>
    <xdr:to>
      <xdr:col>2</xdr:col>
      <xdr:colOff>1188720</xdr:colOff>
      <xdr:row>0</xdr:row>
      <xdr:rowOff>381000</xdr:rowOff>
    </xdr:to>
    <xdr:sp macro="XLNT_Kezdolap" textlink="">
      <xdr:nvSpPr>
        <xdr:cNvPr id="7" name="XLNT_G_HOME">
          <a:extLst>
            <a:ext uri="{FF2B5EF4-FFF2-40B4-BE49-F238E27FC236}">
              <a16:creationId xmlns:a16="http://schemas.microsoft.com/office/drawing/2014/main" id="{FF9F940A-BE14-5E6C-B428-BF59FADF2277}"/>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4" name="XLNT_LINK">
          <a:extLst>
            <a:ext uri="{FF2B5EF4-FFF2-40B4-BE49-F238E27FC236}">
              <a16:creationId xmlns:a16="http://schemas.microsoft.com/office/drawing/2014/main" id="{48DF1701-A97E-C641-56AB-FF334003F52F}"/>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719370</xdr:colOff>
      <xdr:row>0</xdr:row>
      <xdr:rowOff>850900</xdr:rowOff>
    </xdr:to>
    <xdr:pic macro="XLNT_NyitHiHello">
      <xdr:nvPicPr>
        <xdr:cNvPr id="6" name="XLNT_LOGO">
          <a:extLst>
            <a:ext uri="{FF2B5EF4-FFF2-40B4-BE49-F238E27FC236}">
              <a16:creationId xmlns:a16="http://schemas.microsoft.com/office/drawing/2014/main" id="{3400B13F-C816-8321-2BCB-4192660921F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3</xdr:col>
      <xdr:colOff>594360</xdr:colOff>
      <xdr:row>0</xdr:row>
      <xdr:rowOff>101600</xdr:rowOff>
    </xdr:from>
    <xdr:to>
      <xdr:col>4</xdr:col>
      <xdr:colOff>640080</xdr:colOff>
      <xdr:row>0</xdr:row>
      <xdr:rowOff>381000</xdr:rowOff>
    </xdr:to>
    <xdr:sp macro="XLNT_Kezdolap" textlink="">
      <xdr:nvSpPr>
        <xdr:cNvPr id="7" name="XLNT_G_HOME">
          <a:extLst>
            <a:ext uri="{FF2B5EF4-FFF2-40B4-BE49-F238E27FC236}">
              <a16:creationId xmlns:a16="http://schemas.microsoft.com/office/drawing/2014/main" id="{AB449975-C6DB-8A35-84F8-8871895FEF41}"/>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4" name="XLNT_LINK">
          <a:extLst>
            <a:ext uri="{FF2B5EF4-FFF2-40B4-BE49-F238E27FC236}">
              <a16:creationId xmlns:a16="http://schemas.microsoft.com/office/drawing/2014/main" id="{DBAC77CA-58B6-9451-7B47-356D09F2C42D}"/>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307890</xdr:colOff>
      <xdr:row>0</xdr:row>
      <xdr:rowOff>850900</xdr:rowOff>
    </xdr:to>
    <xdr:pic macro="XLNT_NyitHiHello">
      <xdr:nvPicPr>
        <xdr:cNvPr id="6" name="XLNT_LOGO">
          <a:extLst>
            <a:ext uri="{FF2B5EF4-FFF2-40B4-BE49-F238E27FC236}">
              <a16:creationId xmlns:a16="http://schemas.microsoft.com/office/drawing/2014/main" id="{61481C69-479E-6053-0628-B269AF837E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2240280</xdr:colOff>
      <xdr:row>0</xdr:row>
      <xdr:rowOff>101600</xdr:rowOff>
    </xdr:from>
    <xdr:to>
      <xdr:col>2</xdr:col>
      <xdr:colOff>3383280</xdr:colOff>
      <xdr:row>0</xdr:row>
      <xdr:rowOff>381000</xdr:rowOff>
    </xdr:to>
    <xdr:sp macro="XLNT_Kezdolap" textlink="">
      <xdr:nvSpPr>
        <xdr:cNvPr id="7" name="XLNT_G_HOME">
          <a:extLst>
            <a:ext uri="{FF2B5EF4-FFF2-40B4-BE49-F238E27FC236}">
              <a16:creationId xmlns:a16="http://schemas.microsoft.com/office/drawing/2014/main" id="{BEE02FFF-1B3C-AFFA-4977-2F571FAF8969}"/>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5" name="XLNT_LINK">
          <a:extLst>
            <a:ext uri="{FF2B5EF4-FFF2-40B4-BE49-F238E27FC236}">
              <a16:creationId xmlns:a16="http://schemas.microsoft.com/office/drawing/2014/main" id="{81DB7210-FBDC-2486-AD31-7930CDD9AD42}"/>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307890</xdr:colOff>
      <xdr:row>0</xdr:row>
      <xdr:rowOff>850900</xdr:rowOff>
    </xdr:to>
    <xdr:pic macro="XLNT_NyitHiHello">
      <xdr:nvPicPr>
        <xdr:cNvPr id="7" name="XLNT_LOGO">
          <a:extLst>
            <a:ext uri="{FF2B5EF4-FFF2-40B4-BE49-F238E27FC236}">
              <a16:creationId xmlns:a16="http://schemas.microsoft.com/office/drawing/2014/main" id="{818B38A9-042E-51AA-FF69-6D3F1CFAB2F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2240280</xdr:colOff>
      <xdr:row>0</xdr:row>
      <xdr:rowOff>101600</xdr:rowOff>
    </xdr:from>
    <xdr:to>
      <xdr:col>2</xdr:col>
      <xdr:colOff>3383280</xdr:colOff>
      <xdr:row>0</xdr:row>
      <xdr:rowOff>381000</xdr:rowOff>
    </xdr:to>
    <xdr:sp macro="XLNT_Kezdolap" textlink="">
      <xdr:nvSpPr>
        <xdr:cNvPr id="8" name="XLNT_G_HOME">
          <a:extLst>
            <a:ext uri="{FF2B5EF4-FFF2-40B4-BE49-F238E27FC236}">
              <a16:creationId xmlns:a16="http://schemas.microsoft.com/office/drawing/2014/main" id="{3097ABD5-43DF-5A33-8DA4-6E2DC375F0B7}"/>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twoCellAnchor>
    <xdr:from>
      <xdr:col>2</xdr:col>
      <xdr:colOff>3510280</xdr:colOff>
      <xdr:row>0</xdr:row>
      <xdr:rowOff>101600</xdr:rowOff>
    </xdr:from>
    <xdr:to>
      <xdr:col>4</xdr:col>
      <xdr:colOff>584200</xdr:colOff>
      <xdr:row>0</xdr:row>
      <xdr:rowOff>381000</xdr:rowOff>
    </xdr:to>
    <xdr:sp macro="XLNT_NyitoAtvesz" textlink="">
      <xdr:nvSpPr>
        <xdr:cNvPr id="9" name="XLNT_G_NYIT">
          <a:extLst>
            <a:ext uri="{FF2B5EF4-FFF2-40B4-BE49-F238E27FC236}">
              <a16:creationId xmlns:a16="http://schemas.microsoft.com/office/drawing/2014/main" id="{FA169925-8D11-06C2-C4A7-E906D5B961BF}"/>
            </a:ext>
          </a:extLst>
        </xdr:cNvPr>
        <xdr:cNvSpPr/>
      </xdr:nvSpPr>
      <xdr:spPr>
        <a:xfrm>
          <a:off x="5080000" y="101600"/>
          <a:ext cx="2286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Évváltás: adatok átvétele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4" name="XLNT_LINK">
          <a:extLst>
            <a:ext uri="{FF2B5EF4-FFF2-40B4-BE49-F238E27FC236}">
              <a16:creationId xmlns:a16="http://schemas.microsoft.com/office/drawing/2014/main" id="{35851FA0-9822-A1EE-0E54-D297B129271D}"/>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1</xdr:col>
      <xdr:colOff>1268010</xdr:colOff>
      <xdr:row>0</xdr:row>
      <xdr:rowOff>850900</xdr:rowOff>
    </xdr:to>
    <xdr:pic macro="XLNT_NyitHiHello">
      <xdr:nvPicPr>
        <xdr:cNvPr id="6" name="XLNT_LOGO">
          <a:extLst>
            <a:ext uri="{FF2B5EF4-FFF2-40B4-BE49-F238E27FC236}">
              <a16:creationId xmlns:a16="http://schemas.microsoft.com/office/drawing/2014/main" id="{E9742511-B7C0-9461-2BD9-D93E4DAB9DA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457200</xdr:colOff>
      <xdr:row>0</xdr:row>
      <xdr:rowOff>101600</xdr:rowOff>
    </xdr:from>
    <xdr:to>
      <xdr:col>3</xdr:col>
      <xdr:colOff>365760</xdr:colOff>
      <xdr:row>0</xdr:row>
      <xdr:rowOff>381000</xdr:rowOff>
    </xdr:to>
    <xdr:sp macro="XLNT_Kezdolap" textlink="">
      <xdr:nvSpPr>
        <xdr:cNvPr id="7" name="XLNT_G_HOME">
          <a:extLst>
            <a:ext uri="{FF2B5EF4-FFF2-40B4-BE49-F238E27FC236}">
              <a16:creationId xmlns:a16="http://schemas.microsoft.com/office/drawing/2014/main" id="{AE6A7C61-E123-E8B3-439F-DA8B1FF9F632}"/>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5" name="XLNT_LINK">
          <a:extLst>
            <a:ext uri="{FF2B5EF4-FFF2-40B4-BE49-F238E27FC236}">
              <a16:creationId xmlns:a16="http://schemas.microsoft.com/office/drawing/2014/main" id="{118B0589-964F-96D8-F540-BB138B99CEEA}"/>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582210</xdr:colOff>
      <xdr:row>0</xdr:row>
      <xdr:rowOff>850900</xdr:rowOff>
    </xdr:to>
    <xdr:pic macro="XLNT_NyitHiHello">
      <xdr:nvPicPr>
        <xdr:cNvPr id="7" name="XLNT_LOGO">
          <a:extLst>
            <a:ext uri="{FF2B5EF4-FFF2-40B4-BE49-F238E27FC236}">
              <a16:creationId xmlns:a16="http://schemas.microsoft.com/office/drawing/2014/main" id="{82DBD466-2558-164F-A525-4A1A0F4AC42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3</xdr:col>
      <xdr:colOff>731520</xdr:colOff>
      <xdr:row>0</xdr:row>
      <xdr:rowOff>101600</xdr:rowOff>
    </xdr:from>
    <xdr:to>
      <xdr:col>4</xdr:col>
      <xdr:colOff>640080</xdr:colOff>
      <xdr:row>0</xdr:row>
      <xdr:rowOff>381000</xdr:rowOff>
    </xdr:to>
    <xdr:sp macro="XLNT_Kezdolap" textlink="">
      <xdr:nvSpPr>
        <xdr:cNvPr id="8" name="XLNT_G_HOME">
          <a:extLst>
            <a:ext uri="{FF2B5EF4-FFF2-40B4-BE49-F238E27FC236}">
              <a16:creationId xmlns:a16="http://schemas.microsoft.com/office/drawing/2014/main" id="{F0936C37-345D-017C-E90F-26570F7962B7}"/>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twoCellAnchor>
    <xdr:from>
      <xdr:col>4</xdr:col>
      <xdr:colOff>767080</xdr:colOff>
      <xdr:row>0</xdr:row>
      <xdr:rowOff>101600</xdr:rowOff>
    </xdr:from>
    <xdr:to>
      <xdr:col>5</xdr:col>
      <xdr:colOff>929640</xdr:colOff>
      <xdr:row>0</xdr:row>
      <xdr:rowOff>381000</xdr:rowOff>
    </xdr:to>
    <xdr:sp macro="XLNT_EgyenlegNaplo" textlink="">
      <xdr:nvSpPr>
        <xdr:cNvPr id="9" name="XLNT_G_GEN">
          <a:extLst>
            <a:ext uri="{FF2B5EF4-FFF2-40B4-BE49-F238E27FC236}">
              <a16:creationId xmlns:a16="http://schemas.microsoft.com/office/drawing/2014/main" id="{3BF7BC4A-3339-AC73-EDF5-8FC141D24F8D}"/>
            </a:ext>
          </a:extLst>
        </xdr:cNvPr>
        <xdr:cNvSpPr/>
      </xdr:nvSpPr>
      <xdr:spPr>
        <a:xfrm>
          <a:off x="5080000" y="101600"/>
          <a:ext cx="1397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Naplózás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5" name="XLNT_LINK">
          <a:extLst>
            <a:ext uri="{FF2B5EF4-FFF2-40B4-BE49-F238E27FC236}">
              <a16:creationId xmlns:a16="http://schemas.microsoft.com/office/drawing/2014/main" id="{1CE80C27-873F-F2DF-98D6-DA54AB8E4559}"/>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582210</xdr:colOff>
      <xdr:row>0</xdr:row>
      <xdr:rowOff>850900</xdr:rowOff>
    </xdr:to>
    <xdr:pic macro="XLNT_NyitHiHello">
      <xdr:nvPicPr>
        <xdr:cNvPr id="7" name="XLNT_LOGO">
          <a:extLst>
            <a:ext uri="{FF2B5EF4-FFF2-40B4-BE49-F238E27FC236}">
              <a16:creationId xmlns:a16="http://schemas.microsoft.com/office/drawing/2014/main" id="{62625DC8-A1B3-BDBC-106D-FD2CEE1EF7A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3</xdr:col>
      <xdr:colOff>457200</xdr:colOff>
      <xdr:row>0</xdr:row>
      <xdr:rowOff>101600</xdr:rowOff>
    </xdr:from>
    <xdr:to>
      <xdr:col>4</xdr:col>
      <xdr:colOff>91440</xdr:colOff>
      <xdr:row>0</xdr:row>
      <xdr:rowOff>381000</xdr:rowOff>
    </xdr:to>
    <xdr:sp macro="XLNT_Kezdolap" textlink="">
      <xdr:nvSpPr>
        <xdr:cNvPr id="8" name="XLNT_G_HOME">
          <a:extLst>
            <a:ext uri="{FF2B5EF4-FFF2-40B4-BE49-F238E27FC236}">
              <a16:creationId xmlns:a16="http://schemas.microsoft.com/office/drawing/2014/main" id="{3D16D6F0-A23B-5C7F-F225-F447E3F362F6}"/>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twoCellAnchor>
    <xdr:from>
      <xdr:col>4</xdr:col>
      <xdr:colOff>218440</xdr:colOff>
      <xdr:row>0</xdr:row>
      <xdr:rowOff>101600</xdr:rowOff>
    </xdr:from>
    <xdr:to>
      <xdr:col>5</xdr:col>
      <xdr:colOff>381000</xdr:colOff>
      <xdr:row>0</xdr:row>
      <xdr:rowOff>381000</xdr:rowOff>
    </xdr:to>
    <xdr:sp macro="XLNT_KozbensoNaplo" textlink="">
      <xdr:nvSpPr>
        <xdr:cNvPr id="9" name="XLNT_G_GEN">
          <a:extLst>
            <a:ext uri="{FF2B5EF4-FFF2-40B4-BE49-F238E27FC236}">
              <a16:creationId xmlns:a16="http://schemas.microsoft.com/office/drawing/2014/main" id="{32D5311A-07DE-8A66-2C9F-92F12AF881C5}"/>
            </a:ext>
          </a:extLst>
        </xdr:cNvPr>
        <xdr:cNvSpPr/>
      </xdr:nvSpPr>
      <xdr:spPr>
        <a:xfrm>
          <a:off x="5080000" y="101600"/>
          <a:ext cx="1397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Naplózás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5" name="XLNT_LINK">
          <a:extLst>
            <a:ext uri="{FF2B5EF4-FFF2-40B4-BE49-F238E27FC236}">
              <a16:creationId xmlns:a16="http://schemas.microsoft.com/office/drawing/2014/main" id="{A27AECFD-74E4-6237-65EB-28BD8EA57CF9}"/>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582210</xdr:colOff>
      <xdr:row>0</xdr:row>
      <xdr:rowOff>850900</xdr:rowOff>
    </xdr:to>
    <xdr:pic macro="XLNT_NyitHiHello">
      <xdr:nvPicPr>
        <xdr:cNvPr id="7" name="XLNT_LOGO">
          <a:extLst>
            <a:ext uri="{FF2B5EF4-FFF2-40B4-BE49-F238E27FC236}">
              <a16:creationId xmlns:a16="http://schemas.microsoft.com/office/drawing/2014/main" id="{A1DFB954-4D0D-7335-7AA3-FFD1C0A965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3</xdr:col>
      <xdr:colOff>457200</xdr:colOff>
      <xdr:row>0</xdr:row>
      <xdr:rowOff>101600</xdr:rowOff>
    </xdr:from>
    <xdr:to>
      <xdr:col>4</xdr:col>
      <xdr:colOff>228600</xdr:colOff>
      <xdr:row>0</xdr:row>
      <xdr:rowOff>381000</xdr:rowOff>
    </xdr:to>
    <xdr:sp macro="XLNT_Kezdolap" textlink="">
      <xdr:nvSpPr>
        <xdr:cNvPr id="8" name="XLNT_G_HOME">
          <a:extLst>
            <a:ext uri="{FF2B5EF4-FFF2-40B4-BE49-F238E27FC236}">
              <a16:creationId xmlns:a16="http://schemas.microsoft.com/office/drawing/2014/main" id="{E58D6700-981D-56F6-BFF6-028000ED140E}"/>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twoCellAnchor>
    <xdr:from>
      <xdr:col>4</xdr:col>
      <xdr:colOff>355600</xdr:colOff>
      <xdr:row>0</xdr:row>
      <xdr:rowOff>101600</xdr:rowOff>
    </xdr:from>
    <xdr:to>
      <xdr:col>5</xdr:col>
      <xdr:colOff>381000</xdr:colOff>
      <xdr:row>0</xdr:row>
      <xdr:rowOff>381000</xdr:rowOff>
    </xdr:to>
    <xdr:sp macro="XLNT_BevRafNaplo" textlink="">
      <xdr:nvSpPr>
        <xdr:cNvPr id="9" name="XLNT_G_GEN">
          <a:extLst>
            <a:ext uri="{FF2B5EF4-FFF2-40B4-BE49-F238E27FC236}">
              <a16:creationId xmlns:a16="http://schemas.microsoft.com/office/drawing/2014/main" id="{063FA880-9FB0-8761-3F71-F656A95C351C}"/>
            </a:ext>
          </a:extLst>
        </xdr:cNvPr>
        <xdr:cNvSpPr/>
      </xdr:nvSpPr>
      <xdr:spPr>
        <a:xfrm>
          <a:off x="5080000" y="101600"/>
          <a:ext cx="1397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Naplózás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5" name="XLNT_LINK">
          <a:extLst>
            <a:ext uri="{FF2B5EF4-FFF2-40B4-BE49-F238E27FC236}">
              <a16:creationId xmlns:a16="http://schemas.microsoft.com/office/drawing/2014/main" id="{7EFDF7B2-D145-7F8A-A4A0-B1B0580848AC}"/>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1</xdr:col>
      <xdr:colOff>1268010</xdr:colOff>
      <xdr:row>0</xdr:row>
      <xdr:rowOff>850900</xdr:rowOff>
    </xdr:to>
    <xdr:pic macro="XLNT_NyitHiHello">
      <xdr:nvPicPr>
        <xdr:cNvPr id="7" name="XLNT_LOGO">
          <a:extLst>
            <a:ext uri="{FF2B5EF4-FFF2-40B4-BE49-F238E27FC236}">
              <a16:creationId xmlns:a16="http://schemas.microsoft.com/office/drawing/2014/main" id="{5FA20B28-D000-7075-3E75-5CFED12CDCC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3</xdr:col>
      <xdr:colOff>182880</xdr:colOff>
      <xdr:row>0</xdr:row>
      <xdr:rowOff>101600</xdr:rowOff>
    </xdr:from>
    <xdr:to>
      <xdr:col>4</xdr:col>
      <xdr:colOff>91440</xdr:colOff>
      <xdr:row>0</xdr:row>
      <xdr:rowOff>381000</xdr:rowOff>
    </xdr:to>
    <xdr:sp macro="XLNT_Kezdolap" textlink="">
      <xdr:nvSpPr>
        <xdr:cNvPr id="8" name="XLNT_G_HOME">
          <a:extLst>
            <a:ext uri="{FF2B5EF4-FFF2-40B4-BE49-F238E27FC236}">
              <a16:creationId xmlns:a16="http://schemas.microsoft.com/office/drawing/2014/main" id="{2A6BB58A-F534-7E8D-395D-2897A03008E7}"/>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twoCellAnchor>
    <xdr:from>
      <xdr:col>4</xdr:col>
      <xdr:colOff>218440</xdr:colOff>
      <xdr:row>0</xdr:row>
      <xdr:rowOff>101600</xdr:rowOff>
    </xdr:from>
    <xdr:to>
      <xdr:col>5</xdr:col>
      <xdr:colOff>655320</xdr:colOff>
      <xdr:row>0</xdr:row>
      <xdr:rowOff>381000</xdr:rowOff>
    </xdr:to>
    <xdr:sp macro="XLNT_EquityNaplo" textlink="">
      <xdr:nvSpPr>
        <xdr:cNvPr id="9" name="XLNT_G_GEN">
          <a:extLst>
            <a:ext uri="{FF2B5EF4-FFF2-40B4-BE49-F238E27FC236}">
              <a16:creationId xmlns:a16="http://schemas.microsoft.com/office/drawing/2014/main" id="{E0054A13-257F-4ECB-16A7-E41AE19A9B78}"/>
            </a:ext>
          </a:extLst>
        </xdr:cNvPr>
        <xdr:cNvSpPr/>
      </xdr:nvSpPr>
      <xdr:spPr>
        <a:xfrm>
          <a:off x="5080000" y="101600"/>
          <a:ext cx="1397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Naplózás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5" name="XLNT_LINK">
          <a:extLst>
            <a:ext uri="{FF2B5EF4-FFF2-40B4-BE49-F238E27FC236}">
              <a16:creationId xmlns:a16="http://schemas.microsoft.com/office/drawing/2014/main" id="{809FF80C-824E-9B20-B386-37A5D20AFED4}"/>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582210</xdr:colOff>
      <xdr:row>0</xdr:row>
      <xdr:rowOff>850900</xdr:rowOff>
    </xdr:to>
    <xdr:pic macro="XLNT_NyitHiHello">
      <xdr:nvPicPr>
        <xdr:cNvPr id="7" name="XLNT_LOGO">
          <a:extLst>
            <a:ext uri="{FF2B5EF4-FFF2-40B4-BE49-F238E27FC236}">
              <a16:creationId xmlns:a16="http://schemas.microsoft.com/office/drawing/2014/main" id="{274BB20F-7699-BA36-9AB8-EB2D1C25D2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2514600</xdr:colOff>
      <xdr:row>0</xdr:row>
      <xdr:rowOff>101600</xdr:rowOff>
    </xdr:from>
    <xdr:to>
      <xdr:col>3</xdr:col>
      <xdr:colOff>914400</xdr:colOff>
      <xdr:row>0</xdr:row>
      <xdr:rowOff>381000</xdr:rowOff>
    </xdr:to>
    <xdr:sp macro="XLNT_Kezdolap" textlink="">
      <xdr:nvSpPr>
        <xdr:cNvPr id="8" name="XLNT_G_HOME">
          <a:extLst>
            <a:ext uri="{FF2B5EF4-FFF2-40B4-BE49-F238E27FC236}">
              <a16:creationId xmlns:a16="http://schemas.microsoft.com/office/drawing/2014/main" id="{0E59A783-06A5-FE25-B5D8-79D578060395}"/>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twoCellAnchor>
    <xdr:from>
      <xdr:col>3</xdr:col>
      <xdr:colOff>1041400</xdr:colOff>
      <xdr:row>0</xdr:row>
      <xdr:rowOff>101600</xdr:rowOff>
    </xdr:from>
    <xdr:to>
      <xdr:col>5</xdr:col>
      <xdr:colOff>106680</xdr:colOff>
      <xdr:row>0</xdr:row>
      <xdr:rowOff>381000</xdr:rowOff>
    </xdr:to>
    <xdr:sp macro="XLNT_HalasztottNaplo" textlink="">
      <xdr:nvSpPr>
        <xdr:cNvPr id="9" name="XLNT_G_GEN">
          <a:extLst>
            <a:ext uri="{FF2B5EF4-FFF2-40B4-BE49-F238E27FC236}">
              <a16:creationId xmlns:a16="http://schemas.microsoft.com/office/drawing/2014/main" id="{D5C542B2-04D1-F5FF-BDAE-C2DCD97010A7}"/>
            </a:ext>
          </a:extLst>
        </xdr:cNvPr>
        <xdr:cNvSpPr/>
      </xdr:nvSpPr>
      <xdr:spPr>
        <a:xfrm>
          <a:off x="5080000" y="101600"/>
          <a:ext cx="1397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Naplózás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5" name="XLNT_LINK">
          <a:extLst>
            <a:ext uri="{FF2B5EF4-FFF2-40B4-BE49-F238E27FC236}">
              <a16:creationId xmlns:a16="http://schemas.microsoft.com/office/drawing/2014/main" id="{3475D4EE-2924-AFEB-A006-24DBDF3B6018}"/>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1</xdr:col>
      <xdr:colOff>1268010</xdr:colOff>
      <xdr:row>0</xdr:row>
      <xdr:rowOff>850900</xdr:rowOff>
    </xdr:to>
    <xdr:pic macro="XLNT_NyitHiHello">
      <xdr:nvPicPr>
        <xdr:cNvPr id="7" name="XLNT_LOGO">
          <a:extLst>
            <a:ext uri="{FF2B5EF4-FFF2-40B4-BE49-F238E27FC236}">
              <a16:creationId xmlns:a16="http://schemas.microsoft.com/office/drawing/2014/main" id="{51708D30-A6DD-C68F-C576-79B426C01F5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1005840</xdr:colOff>
      <xdr:row>0</xdr:row>
      <xdr:rowOff>101600</xdr:rowOff>
    </xdr:from>
    <xdr:to>
      <xdr:col>3</xdr:col>
      <xdr:colOff>777240</xdr:colOff>
      <xdr:row>0</xdr:row>
      <xdr:rowOff>381000</xdr:rowOff>
    </xdr:to>
    <xdr:sp macro="XLNT_Kezdolap" textlink="">
      <xdr:nvSpPr>
        <xdr:cNvPr id="8" name="XLNT_G_HOME">
          <a:extLst>
            <a:ext uri="{FF2B5EF4-FFF2-40B4-BE49-F238E27FC236}">
              <a16:creationId xmlns:a16="http://schemas.microsoft.com/office/drawing/2014/main" id="{4286AC27-F135-FBB9-EDA4-AF84F827FF6F}"/>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twoCellAnchor>
    <xdr:from>
      <xdr:col>3</xdr:col>
      <xdr:colOff>904240</xdr:colOff>
      <xdr:row>0</xdr:row>
      <xdr:rowOff>101600</xdr:rowOff>
    </xdr:from>
    <xdr:to>
      <xdr:col>4</xdr:col>
      <xdr:colOff>929640</xdr:colOff>
      <xdr:row>0</xdr:row>
      <xdr:rowOff>381000</xdr:rowOff>
    </xdr:to>
    <xdr:sp macro="XLNT_GoodwillNaplo" textlink="">
      <xdr:nvSpPr>
        <xdr:cNvPr id="9" name="XLNT_G_GEN">
          <a:extLst>
            <a:ext uri="{FF2B5EF4-FFF2-40B4-BE49-F238E27FC236}">
              <a16:creationId xmlns:a16="http://schemas.microsoft.com/office/drawing/2014/main" id="{8411FE7D-D13A-69CB-BAEA-607DE486F17E}"/>
            </a:ext>
          </a:extLst>
        </xdr:cNvPr>
        <xdr:cNvSpPr/>
      </xdr:nvSpPr>
      <xdr:spPr>
        <a:xfrm>
          <a:off x="5080000" y="101600"/>
          <a:ext cx="1397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Naplózás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4" name="XLNT_LINK">
          <a:extLst>
            <a:ext uri="{FF2B5EF4-FFF2-40B4-BE49-F238E27FC236}">
              <a16:creationId xmlns:a16="http://schemas.microsoft.com/office/drawing/2014/main" id="{9F4FD1DE-FCFE-D815-76ED-A7ED010B6482}"/>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3</xdr:col>
      <xdr:colOff>170730</xdr:colOff>
      <xdr:row>0</xdr:row>
      <xdr:rowOff>850900</xdr:rowOff>
    </xdr:to>
    <xdr:pic macro="XLNT_NyitHiHello">
      <xdr:nvPicPr>
        <xdr:cNvPr id="6" name="XLNT_LOGO">
          <a:extLst>
            <a:ext uri="{FF2B5EF4-FFF2-40B4-BE49-F238E27FC236}">
              <a16:creationId xmlns:a16="http://schemas.microsoft.com/office/drawing/2014/main" id="{D241636E-F25B-31FD-3087-2AABFDA8F36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4</xdr:col>
      <xdr:colOff>1485900</xdr:colOff>
      <xdr:row>0</xdr:row>
      <xdr:rowOff>101600</xdr:rowOff>
    </xdr:from>
    <xdr:to>
      <xdr:col>4</xdr:col>
      <xdr:colOff>2628900</xdr:colOff>
      <xdr:row>0</xdr:row>
      <xdr:rowOff>381000</xdr:rowOff>
    </xdr:to>
    <xdr:sp macro="XLNT_Kezdolap" textlink="">
      <xdr:nvSpPr>
        <xdr:cNvPr id="7" name="XLNT_G_HOME">
          <a:extLst>
            <a:ext uri="{FF2B5EF4-FFF2-40B4-BE49-F238E27FC236}">
              <a16:creationId xmlns:a16="http://schemas.microsoft.com/office/drawing/2014/main" id="{8D3A8A38-586E-717A-9D5C-C300B0800350}"/>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4" name="XLNT_LINK">
          <a:extLst>
            <a:ext uri="{FF2B5EF4-FFF2-40B4-BE49-F238E27FC236}">
              <a16:creationId xmlns:a16="http://schemas.microsoft.com/office/drawing/2014/main" id="{4CF3B5C7-A39F-68E6-26EA-7349BD73B836}"/>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307890</xdr:colOff>
      <xdr:row>0</xdr:row>
      <xdr:rowOff>850900</xdr:rowOff>
    </xdr:to>
    <xdr:pic macro="XLNT_NyitHiHello">
      <xdr:nvPicPr>
        <xdr:cNvPr id="6" name="XLNT_LOGO">
          <a:extLst>
            <a:ext uri="{FF2B5EF4-FFF2-40B4-BE49-F238E27FC236}">
              <a16:creationId xmlns:a16="http://schemas.microsoft.com/office/drawing/2014/main" id="{EECD95F2-5C21-D5FF-C3F4-5A71CBB1143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2240280</xdr:colOff>
      <xdr:row>0</xdr:row>
      <xdr:rowOff>101600</xdr:rowOff>
    </xdr:from>
    <xdr:to>
      <xdr:col>2</xdr:col>
      <xdr:colOff>3383280</xdr:colOff>
      <xdr:row>0</xdr:row>
      <xdr:rowOff>381000</xdr:rowOff>
    </xdr:to>
    <xdr:sp macro="XLNT_Kezdolap" textlink="">
      <xdr:nvSpPr>
        <xdr:cNvPr id="7" name="XLNT_G_HOME">
          <a:extLst>
            <a:ext uri="{FF2B5EF4-FFF2-40B4-BE49-F238E27FC236}">
              <a16:creationId xmlns:a16="http://schemas.microsoft.com/office/drawing/2014/main" id="{ADBE992F-751F-1F40-0475-0681BD59BFF6}"/>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4" name="XLNT_LINK">
          <a:extLst>
            <a:ext uri="{FF2B5EF4-FFF2-40B4-BE49-F238E27FC236}">
              <a16:creationId xmlns:a16="http://schemas.microsoft.com/office/drawing/2014/main" id="{C64C5B3D-75FA-9C73-7A42-8B165C9D34A8}"/>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307890</xdr:colOff>
      <xdr:row>0</xdr:row>
      <xdr:rowOff>850900</xdr:rowOff>
    </xdr:to>
    <xdr:pic macro="XLNT_NyitHiHello">
      <xdr:nvPicPr>
        <xdr:cNvPr id="6" name="XLNT_LOGO">
          <a:extLst>
            <a:ext uri="{FF2B5EF4-FFF2-40B4-BE49-F238E27FC236}">
              <a16:creationId xmlns:a16="http://schemas.microsoft.com/office/drawing/2014/main" id="{79DD44FF-74B9-9C56-E6D9-7A4A55D2BB5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2240280</xdr:colOff>
      <xdr:row>0</xdr:row>
      <xdr:rowOff>101600</xdr:rowOff>
    </xdr:from>
    <xdr:to>
      <xdr:col>2</xdr:col>
      <xdr:colOff>3383280</xdr:colOff>
      <xdr:row>0</xdr:row>
      <xdr:rowOff>381000</xdr:rowOff>
    </xdr:to>
    <xdr:sp macro="XLNT_Kezdolap" textlink="">
      <xdr:nvSpPr>
        <xdr:cNvPr id="7" name="XLNT_G_HOME">
          <a:extLst>
            <a:ext uri="{FF2B5EF4-FFF2-40B4-BE49-F238E27FC236}">
              <a16:creationId xmlns:a16="http://schemas.microsoft.com/office/drawing/2014/main" id="{7C09EDB5-C060-D612-B92D-9E27208E8308}"/>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4" name="XLNT_LINK">
          <a:extLst>
            <a:ext uri="{FF2B5EF4-FFF2-40B4-BE49-F238E27FC236}">
              <a16:creationId xmlns:a16="http://schemas.microsoft.com/office/drawing/2014/main" id="{89172084-6945-A774-9725-2A71DE2DB8D3}"/>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307890</xdr:colOff>
      <xdr:row>0</xdr:row>
      <xdr:rowOff>850900</xdr:rowOff>
    </xdr:to>
    <xdr:pic macro="XLNT_NyitHiHello">
      <xdr:nvPicPr>
        <xdr:cNvPr id="6" name="XLNT_LOGO">
          <a:extLst>
            <a:ext uri="{FF2B5EF4-FFF2-40B4-BE49-F238E27FC236}">
              <a16:creationId xmlns:a16="http://schemas.microsoft.com/office/drawing/2014/main" id="{69FD0ECC-D061-A477-484C-79568F19B64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2240280</xdr:colOff>
      <xdr:row>0</xdr:row>
      <xdr:rowOff>101600</xdr:rowOff>
    </xdr:from>
    <xdr:to>
      <xdr:col>2</xdr:col>
      <xdr:colOff>3383280</xdr:colOff>
      <xdr:row>0</xdr:row>
      <xdr:rowOff>381000</xdr:rowOff>
    </xdr:to>
    <xdr:sp macro="XLNT_Kezdolap" textlink="">
      <xdr:nvSpPr>
        <xdr:cNvPr id="7" name="XLNT_G_HOME">
          <a:extLst>
            <a:ext uri="{FF2B5EF4-FFF2-40B4-BE49-F238E27FC236}">
              <a16:creationId xmlns:a16="http://schemas.microsoft.com/office/drawing/2014/main" id="{FBC1125A-B34C-4398-D62A-9464AEE6B8EA}"/>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4" name="XLNT_LINK">
          <a:extLst>
            <a:ext uri="{FF2B5EF4-FFF2-40B4-BE49-F238E27FC236}">
              <a16:creationId xmlns:a16="http://schemas.microsoft.com/office/drawing/2014/main" id="{22A322C8-4568-56C1-DB94-E09827DB24C8}"/>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445050</xdr:colOff>
      <xdr:row>0</xdr:row>
      <xdr:rowOff>850900</xdr:rowOff>
    </xdr:to>
    <xdr:pic macro="XLNT_NyitHiHello">
      <xdr:nvPicPr>
        <xdr:cNvPr id="6" name="XLNT_LOGO">
          <a:extLst>
            <a:ext uri="{FF2B5EF4-FFF2-40B4-BE49-F238E27FC236}">
              <a16:creationId xmlns:a16="http://schemas.microsoft.com/office/drawing/2014/main" id="{2B77EA2C-D1E0-5D8C-3744-64FAA40BF5B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2377440</xdr:colOff>
      <xdr:row>0</xdr:row>
      <xdr:rowOff>101600</xdr:rowOff>
    </xdr:from>
    <xdr:to>
      <xdr:col>3</xdr:col>
      <xdr:colOff>777240</xdr:colOff>
      <xdr:row>0</xdr:row>
      <xdr:rowOff>381000</xdr:rowOff>
    </xdr:to>
    <xdr:sp macro="XLNT_Kezdolap" textlink="">
      <xdr:nvSpPr>
        <xdr:cNvPr id="7" name="XLNT_G_HOME">
          <a:extLst>
            <a:ext uri="{FF2B5EF4-FFF2-40B4-BE49-F238E27FC236}">
              <a16:creationId xmlns:a16="http://schemas.microsoft.com/office/drawing/2014/main" id="{6BFFCA7D-CBE1-5F9C-88C9-375BF3B97EE4}"/>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4" name="XLNT_LINK">
          <a:extLst>
            <a:ext uri="{FF2B5EF4-FFF2-40B4-BE49-F238E27FC236}">
              <a16:creationId xmlns:a16="http://schemas.microsoft.com/office/drawing/2014/main" id="{8B6B532A-EDF0-0170-953F-93B951F9B332}"/>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445050</xdr:colOff>
      <xdr:row>0</xdr:row>
      <xdr:rowOff>850900</xdr:rowOff>
    </xdr:to>
    <xdr:pic macro="XLNT_NyitHiHello">
      <xdr:nvPicPr>
        <xdr:cNvPr id="6" name="XLNT_LOGO">
          <a:extLst>
            <a:ext uri="{FF2B5EF4-FFF2-40B4-BE49-F238E27FC236}">
              <a16:creationId xmlns:a16="http://schemas.microsoft.com/office/drawing/2014/main" id="{B277B5E5-5A38-AABE-7ADB-A751EF2513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2377440</xdr:colOff>
      <xdr:row>0</xdr:row>
      <xdr:rowOff>101600</xdr:rowOff>
    </xdr:from>
    <xdr:to>
      <xdr:col>2</xdr:col>
      <xdr:colOff>3520440</xdr:colOff>
      <xdr:row>0</xdr:row>
      <xdr:rowOff>381000</xdr:rowOff>
    </xdr:to>
    <xdr:sp macro="XLNT_Kezdolap" textlink="">
      <xdr:nvSpPr>
        <xdr:cNvPr id="7" name="XLNT_G_HOME">
          <a:extLst>
            <a:ext uri="{FF2B5EF4-FFF2-40B4-BE49-F238E27FC236}">
              <a16:creationId xmlns:a16="http://schemas.microsoft.com/office/drawing/2014/main" id="{E78FB95A-229D-93F9-1B32-43D50A8C0D32}"/>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4" name="XLNT_LINK">
          <a:extLst>
            <a:ext uri="{FF2B5EF4-FFF2-40B4-BE49-F238E27FC236}">
              <a16:creationId xmlns:a16="http://schemas.microsoft.com/office/drawing/2014/main" id="{9C71B8FC-8F07-9B3E-186C-E13CC8D872BE}"/>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719370</xdr:colOff>
      <xdr:row>0</xdr:row>
      <xdr:rowOff>850900</xdr:rowOff>
    </xdr:to>
    <xdr:pic macro="XLNT_NyitHiHello">
      <xdr:nvPicPr>
        <xdr:cNvPr id="6" name="XLNT_LOGO">
          <a:extLst>
            <a:ext uri="{FF2B5EF4-FFF2-40B4-BE49-F238E27FC236}">
              <a16:creationId xmlns:a16="http://schemas.microsoft.com/office/drawing/2014/main" id="{77920767-F4EB-8E6C-6321-1393F6E7018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2651760</xdr:colOff>
      <xdr:row>0</xdr:row>
      <xdr:rowOff>101600</xdr:rowOff>
    </xdr:from>
    <xdr:to>
      <xdr:col>2</xdr:col>
      <xdr:colOff>3794760</xdr:colOff>
      <xdr:row>0</xdr:row>
      <xdr:rowOff>381000</xdr:rowOff>
    </xdr:to>
    <xdr:sp macro="XLNT_Kezdolap" textlink="">
      <xdr:nvSpPr>
        <xdr:cNvPr id="7" name="XLNT_G_HOME">
          <a:extLst>
            <a:ext uri="{FF2B5EF4-FFF2-40B4-BE49-F238E27FC236}">
              <a16:creationId xmlns:a16="http://schemas.microsoft.com/office/drawing/2014/main" id="{7DCC9DE6-B576-A9C9-0972-DA2F88B50C89}"/>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4" name="XLNT_LINK">
          <a:extLst>
            <a:ext uri="{FF2B5EF4-FFF2-40B4-BE49-F238E27FC236}">
              <a16:creationId xmlns:a16="http://schemas.microsoft.com/office/drawing/2014/main" id="{FA5166BC-6D63-36CC-07C6-ED541841A5F5}"/>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2</xdr:col>
      <xdr:colOff>307890</xdr:colOff>
      <xdr:row>0</xdr:row>
      <xdr:rowOff>850900</xdr:rowOff>
    </xdr:to>
    <xdr:pic macro="XLNT_NyitHiHello">
      <xdr:nvPicPr>
        <xdr:cNvPr id="6" name="XLNT_LOGO">
          <a:extLst>
            <a:ext uri="{FF2B5EF4-FFF2-40B4-BE49-F238E27FC236}">
              <a16:creationId xmlns:a16="http://schemas.microsoft.com/office/drawing/2014/main" id="{10EE8B8C-DD9B-9805-EEA9-B2236421AF6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6</xdr:col>
      <xdr:colOff>45720</xdr:colOff>
      <xdr:row>0</xdr:row>
      <xdr:rowOff>101600</xdr:rowOff>
    </xdr:from>
    <xdr:to>
      <xdr:col>6</xdr:col>
      <xdr:colOff>1188720</xdr:colOff>
      <xdr:row>0</xdr:row>
      <xdr:rowOff>381000</xdr:rowOff>
    </xdr:to>
    <xdr:sp macro="XLNT_Kezdolap" textlink="">
      <xdr:nvSpPr>
        <xdr:cNvPr id="7" name="XLNT_G_HOME">
          <a:extLst>
            <a:ext uri="{FF2B5EF4-FFF2-40B4-BE49-F238E27FC236}">
              <a16:creationId xmlns:a16="http://schemas.microsoft.com/office/drawing/2014/main" id="{FF52C3ED-76F6-5C9F-3770-4FA52B88893D}"/>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76200</xdr:colOff>
      <xdr:row>0</xdr:row>
      <xdr:rowOff>317500</xdr:rowOff>
    </xdr:from>
    <xdr:to>
      <xdr:col>1</xdr:col>
      <xdr:colOff>304800</xdr:colOff>
      <xdr:row>0</xdr:row>
      <xdr:rowOff>571500</xdr:rowOff>
    </xdr:to>
    <xdr:sp macro="XLNT_NyitHonlap" textlink="">
      <xdr:nvSpPr>
        <xdr:cNvPr id="4" name="XLNT_LINK">
          <a:extLst>
            <a:ext uri="{FF2B5EF4-FFF2-40B4-BE49-F238E27FC236}">
              <a16:creationId xmlns:a16="http://schemas.microsoft.com/office/drawing/2014/main" id="{C2EB09D6-185F-4093-442C-9A07BC183FFB}"/>
            </a:ext>
          </a:extLst>
        </xdr:cNvPr>
        <xdr:cNvSpPr txBox="1"/>
      </xdr:nvSpPr>
      <xdr:spPr>
        <a:xfrm>
          <a:off x="76200" y="317500"/>
          <a:ext cx="8382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hu-HU" sz="1100" b="1" u="none">
              <a:solidFill>
                <a:srgbClr val="1F3864"/>
              </a:solidFill>
              <a:latin typeface="Arial" panose="020B0604020202020204" pitchFamily="34" charset="0"/>
            </a:rPr>
            <a:t>xlntbi.hu</a:t>
          </a:r>
        </a:p>
      </xdr:txBody>
    </xdr:sp>
    <xdr:clientData/>
  </xdr:twoCellAnchor>
  <xdr:twoCellAnchor editAs="absolute">
    <xdr:from>
      <xdr:col>1</xdr:col>
      <xdr:colOff>406401</xdr:colOff>
      <xdr:row>0</xdr:row>
      <xdr:rowOff>63500</xdr:rowOff>
    </xdr:from>
    <xdr:to>
      <xdr:col>1</xdr:col>
      <xdr:colOff>1268010</xdr:colOff>
      <xdr:row>0</xdr:row>
      <xdr:rowOff>850900</xdr:rowOff>
    </xdr:to>
    <xdr:pic macro="XLNT_NyitHiHello">
      <xdr:nvPicPr>
        <xdr:cNvPr id="6" name="XLNT_LOGO">
          <a:extLst>
            <a:ext uri="{FF2B5EF4-FFF2-40B4-BE49-F238E27FC236}">
              <a16:creationId xmlns:a16="http://schemas.microsoft.com/office/drawing/2014/main" id="{7D710C3C-5B62-2BFC-D6DA-9DB051B4818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6001" y="63500"/>
          <a:ext cx="861609" cy="787400"/>
        </a:xfrm>
        <a:prstGeom prst="rect">
          <a:avLst/>
        </a:prstGeom>
      </xdr:spPr>
    </xdr:pic>
    <xdr:clientData/>
  </xdr:twoCellAnchor>
  <xdr:twoCellAnchor>
    <xdr:from>
      <xdr:col>2</xdr:col>
      <xdr:colOff>457200</xdr:colOff>
      <xdr:row>0</xdr:row>
      <xdr:rowOff>101600</xdr:rowOff>
    </xdr:from>
    <xdr:to>
      <xdr:col>2</xdr:col>
      <xdr:colOff>1600200</xdr:colOff>
      <xdr:row>0</xdr:row>
      <xdr:rowOff>381000</xdr:rowOff>
    </xdr:to>
    <xdr:sp macro="XLNT_Kezdolap" textlink="">
      <xdr:nvSpPr>
        <xdr:cNvPr id="7" name="XLNT_G_HOME">
          <a:extLst>
            <a:ext uri="{FF2B5EF4-FFF2-40B4-BE49-F238E27FC236}">
              <a16:creationId xmlns:a16="http://schemas.microsoft.com/office/drawing/2014/main" id="{DBBDE8A8-1413-FA7C-1D1B-0D3CAB03A59B}"/>
            </a:ext>
          </a:extLst>
        </xdr:cNvPr>
        <xdr:cNvSpPr/>
      </xdr:nvSpPr>
      <xdr:spPr>
        <a:xfrm>
          <a:off x="3810000" y="101600"/>
          <a:ext cx="1143000" cy="279400"/>
        </a:xfrm>
        <a:prstGeom prst="roundRect">
          <a:avLst/>
        </a:prstGeom>
        <a:solidFill>
          <a:srgbClr val="2E75B6"/>
        </a:solidFill>
        <a:ln>
          <a:solidFill>
            <a:srgbClr val="1F38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hu-HU" sz="900" b="1">
              <a:solidFill>
                <a:srgbClr xmlns:mc="http://schemas.openxmlformats.org/markup-compatibility/2006" xmlns:a14="http://schemas.microsoft.com/office/drawing/2010/main" val="FFFFFF" mc:Ignorable="a14" a14:legacySpreadsheetColorIndex="9"/>
              </a:solidFill>
            </a:rPr>
            <a:t>Kezdőlap</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unka1"/>
  <dimension ref="B1:D38"/>
  <sheetViews>
    <sheetView showGridLines="0" tabSelected="1" workbookViewId="0">
      <selection activeCell="A3" sqref="A3"/>
    </sheetView>
  </sheetViews>
  <sheetFormatPr defaultRowHeight="14.4" x14ac:dyDescent="0.3"/>
  <cols>
    <col min="2" max="2" width="46" customWidth="1"/>
    <col min="3" max="3" width="84" customWidth="1"/>
    <col min="4" max="4" width="16" customWidth="1"/>
  </cols>
  <sheetData>
    <row r="1" spans="2:4" ht="73.95" customHeight="1" x14ac:dyDescent="0.3"/>
    <row r="3" spans="2:4" ht="23.4" x14ac:dyDescent="0.45">
      <c r="B3" s="1" t="str">
        <f>INDEX('91_NYELV'!$C$7:$D$408,1,NYELV_IDX)</f>
        <v>XLNT IFRS Konszolidáló</v>
      </c>
    </row>
    <row r="4" spans="2:4" x14ac:dyDescent="0.3">
      <c r="B4" s="2" t="str">
        <f>INDEX('91_NYELV'!$C$7:$D$408,2,NYELV_IDX)</f>
        <v>IFRS 18 / IAS 1 szerinti konszolidált pénzügyi kimutatások</v>
      </c>
    </row>
    <row r="6" spans="2:4" ht="15.6" x14ac:dyDescent="0.3">
      <c r="B6" s="3" t="str">
        <f>INDEX('91_NYELV'!$C$7:$D$408,3,NYELV_IDX)</f>
        <v>A konszolidálás lépései</v>
      </c>
    </row>
    <row r="8" spans="2:4" x14ac:dyDescent="0.3">
      <c r="B8" s="4" t="str">
        <f>INDEX('91_NYELV'!$C$7:$D$408,15,NYELV_IDX)</f>
        <v>1. Alapbeállítások</v>
      </c>
      <c r="C8" s="5" t="str">
        <f>INDEX('91_NYELV'!$C$7:$D$408,16,NYELV_IDX)</f>
        <v>Anyavállalat adatai, beszámolási időszak, pénznem, adókulcs, nyelv, bemutatási mód.</v>
      </c>
      <c r="D8" s="6" t="str">
        <f>INDEX('91_NYELV'!$C$7:$D$408,4,NYELV_IDX)</f>
        <v>Ugrás »</v>
      </c>
    </row>
    <row r="9" spans="2:4" x14ac:dyDescent="0.3">
      <c r="B9" s="4" t="str">
        <f>INDEX('91_NYELV'!$C$7:$D$408,17,NYELV_IDX)</f>
        <v>2. Konszolidációs kör (IFRS 10)</v>
      </c>
      <c r="C9" s="5" t="str">
        <f>INDEX('91_NYELV'!$C$7:$D$408,18,NYELV_IDX)</f>
        <v>Társaságok, ellenőrzés, tulajdoni hányad, NCI értékelése (IFRS 3.19), pénznem és árfolyamok.</v>
      </c>
      <c r="D9" s="6" t="str">
        <f>INDEX('91_NYELV'!$C$7:$D$408,4,NYELV_IDX)</f>
        <v>Ugrás »</v>
      </c>
    </row>
    <row r="10" spans="2:4" x14ac:dyDescent="0.3">
      <c r="B10" s="4" t="str">
        <f>INDEX('91_NYELV'!$C$7:$D$408,19,NYELV_IDX)</f>
        <v>3. Egyedi pénzügyi kimutatások</v>
      </c>
      <c r="C10" s="5" t="str">
        <f>INDEX('91_NYELV'!$C$7:$D$408,20,NYELV_IDX)</f>
        <v>Társaságonkénti, IFRS-re már átdolgozott mérleg-, eredmény- és OCI-adatok.</v>
      </c>
      <c r="D10" s="6" t="str">
        <f>INDEX('91_NYELV'!$C$7:$D$408,4,NYELV_IDX)</f>
        <v>Ugrás »</v>
      </c>
    </row>
    <row r="11" spans="2:4" x14ac:dyDescent="0.3">
      <c r="B11" s="4" t="str">
        <f>INDEX('91_NYELV'!$C$7:$D$408,21,NYELV_IDX)</f>
        <v>4. Akvizíciós elszámolás (IFRS 3)</v>
      </c>
      <c r="C11" s="5" t="str">
        <f>INDEX('91_NYELV'!$C$7:$D$408,22,NYELV_IDX)</f>
        <v>Átadott ellenérték, azonosítható nettó eszközök valós értéke, NCI, goodwill számítása.</v>
      </c>
      <c r="D11" s="6" t="str">
        <f>INDEX('91_NYELV'!$C$7:$D$408,4,NYELV_IDX)</f>
        <v>Ugrás »</v>
      </c>
    </row>
    <row r="12" spans="2:4" x14ac:dyDescent="0.3">
      <c r="B12" s="4" t="str">
        <f>INDEX('91_NYELV'!$C$7:$D$408,23,NYELV_IDX)</f>
        <v>5. Csoporton belüli egyenlegek (IFRS 10)</v>
      </c>
      <c r="C12" s="5" t="str">
        <f>INDEX('91_NYELV'!$C$7:$D$408,24,NYELV_IDX)</f>
        <v>Csoporton belüli követelések és kötelezettségek teljes kiszűrése.</v>
      </c>
      <c r="D12" s="6" t="str">
        <f>INDEX('91_NYELV'!$C$7:$D$408,4,NYELV_IDX)</f>
        <v>Ugrás »</v>
      </c>
    </row>
    <row r="13" spans="2:4" x14ac:dyDescent="0.3">
      <c r="B13" s="4" t="str">
        <f>INDEX('91_NYELV'!$C$7:$D$408,25,NYELV_IDX)</f>
        <v>6. Nem realizált eredmény</v>
      </c>
      <c r="C13" s="5" t="str">
        <f>INDEX('91_NYELV'!$C$7:$D$408,26,NYELV_IDX)</f>
        <v>Készletben és eszközökben maradt csoporton belüli nem realizált eredmény kiszűrése.</v>
      </c>
      <c r="D13" s="6" t="str">
        <f>INDEX('91_NYELV'!$C$7:$D$408,4,NYELV_IDX)</f>
        <v>Ugrás »</v>
      </c>
    </row>
    <row r="14" spans="2:4" x14ac:dyDescent="0.3">
      <c r="B14" s="4" t="str">
        <f>INDEX('91_NYELV'!$C$7:$D$408,27,NYELV_IDX)</f>
        <v>7. Csoporton belüli bevételek és ráfordítások</v>
      </c>
      <c r="C14" s="5" t="str">
        <f>INDEX('91_NYELV'!$C$7:$D$408,28,NYELV_IDX)</f>
        <v>Belső árbevétel-ráfordítás párok és a csoporton belüli osztalék kiszűrése.</v>
      </c>
      <c r="D14" s="6" t="str">
        <f>INDEX('91_NYELV'!$C$7:$D$408,4,NYELV_IDX)</f>
        <v>Ugrás »</v>
      </c>
    </row>
    <row r="15" spans="2:4" x14ac:dyDescent="0.3">
      <c r="B15" s="4" t="str">
        <f>INDEX('91_NYELV'!$C$7:$D$408,29,NYELV_IDX)</f>
        <v>8. Társult és közös vezetésű vállalkozások (IAS 28)</v>
      </c>
      <c r="C15" s="5" t="str">
        <f>INDEX('91_NYELV'!$C$7:$D$408,30,NYELV_IDX)</f>
        <v>Tőkerészesedési (equity) módszer szerinti értékelés.</v>
      </c>
      <c r="D15" s="6" t="str">
        <f>INDEX('91_NYELV'!$C$7:$D$408,4,NYELV_IDX)</f>
        <v>Ugrás »</v>
      </c>
    </row>
    <row r="16" spans="2:4" x14ac:dyDescent="0.3">
      <c r="B16" s="4" t="str">
        <f>INDEX('91_NYELV'!$C$7:$D$408,31,NYELV_IDX)</f>
        <v>9. Halasztott adó (IAS 12)</v>
      </c>
      <c r="C16" s="5" t="str">
        <f>INDEX('91_NYELV'!$C$7:$D$408,32,NYELV_IDX)</f>
        <v>A konszolidációs korrekciók átmeneti különbözeteire jutó halasztott adó.</v>
      </c>
      <c r="D16" s="6" t="str">
        <f>INDEX('91_NYELV'!$C$7:$D$408,4,NYELV_IDX)</f>
        <v>Ugrás »</v>
      </c>
    </row>
    <row r="17" spans="2:4" x14ac:dyDescent="0.3">
      <c r="B17" s="4" t="str">
        <f>INDEX('91_NYELV'!$C$7:$D$408,33,NYELV_IDX)</f>
        <v>10. Goodwill értékvesztés-teszt (IAS 36)</v>
      </c>
      <c r="C17" s="5" t="str">
        <f>INDEX('91_NYELV'!$C$7:$D$408,34,NYELV_IDX)</f>
        <v>A goodwill NEM amortizálható; évente értékvesztés-tesztet kell végezni.</v>
      </c>
      <c r="D17" s="6" t="str">
        <f>INDEX('91_NYELV'!$C$7:$D$408,4,NYELV_IDX)</f>
        <v>Ugrás »</v>
      </c>
    </row>
    <row r="18" spans="2:4" x14ac:dyDescent="0.3">
      <c r="B18" s="4" t="str">
        <f>INDEX('91_NYELV'!$C$7:$D$408,35,NYELV_IDX)</f>
        <v>11. Konszolidációs napló</v>
      </c>
      <c r="C18" s="5" t="str">
        <f>INDEX('91_NYELV'!$C$7:$D$408,36,NYELV_IDX)</f>
        <v>Minden korrekció egy helyen, tartozik/követel bontásban. Ez hajtja a munkatáblát.</v>
      </c>
      <c r="D18" s="6" t="str">
        <f>INDEX('91_NYELV'!$C$7:$D$408,4,NYELV_IDX)</f>
        <v>Ugrás »</v>
      </c>
    </row>
    <row r="19" spans="2:4" x14ac:dyDescent="0.3">
      <c r="B19" s="4" t="str">
        <f>INDEX('91_NYELV'!$C$7:$D$408,37,NYELV_IDX)</f>
        <v>12. Konszolidációs munkatábla</v>
      </c>
      <c r="C19" s="5" t="str">
        <f>INDEX('91_NYELV'!$C$7:$D$408,38,NYELV_IDX)</f>
        <v>Egyedi adatok összege + korrekciók = konszolidált érték, soronként.</v>
      </c>
      <c r="D19" s="6" t="str">
        <f>INDEX('91_NYELV'!$C$7:$D$408,4,NYELV_IDX)</f>
        <v>Ugrás »</v>
      </c>
    </row>
    <row r="20" spans="2:4" x14ac:dyDescent="0.3">
      <c r="B20" s="4" t="str">
        <f>INDEX('91_NYELV'!$C$7:$D$408,39,NYELV_IDX)</f>
        <v>13. Konszolidált pénzügyi helyzet kimutatása</v>
      </c>
      <c r="C20" s="5" t="str">
        <f>INDEX('91_NYELV'!$C$7:$D$408,40,NYELV_IDX)</f>
        <v>Az IAS 1.54 szerinti minimum sortételekkel, tárgyév / előző év bontásban.</v>
      </c>
      <c r="D20" s="6" t="str">
        <f>INDEX('91_NYELV'!$C$7:$D$408,4,NYELV_IDX)</f>
        <v>Ugrás »</v>
      </c>
    </row>
    <row r="21" spans="2:4" x14ac:dyDescent="0.3">
      <c r="B21" s="4" t="str">
        <f>INDEX('91_NYELV'!$C$7:$D$408,41,NYELV_IDX)</f>
        <v>14. Konszolidált eredmény és OCI</v>
      </c>
      <c r="C21" s="5" t="str">
        <f>INDEX('91_NYELV'!$C$7:$D$408,42,NYELV_IDX)</f>
        <v>Az IFRS 18 öt kategóriája és a két kötelező részösszeg, majd az egyéb átfogó jövedelem.</v>
      </c>
      <c r="D21" s="6" t="str">
        <f>INDEX('91_NYELV'!$C$7:$D$408,4,NYELV_IDX)</f>
        <v>Ugrás »</v>
      </c>
    </row>
    <row r="22" spans="2:4" x14ac:dyDescent="0.3">
      <c r="B22" s="4" t="str">
        <f>INDEX('91_NYELV'!$C$7:$D$408,43,NYELV_IDX)</f>
        <v>15. Saját tőke változásának kimutatása</v>
      </c>
      <c r="C22" s="5" t="str">
        <f>INDEX('91_NYELV'!$C$7:$D$408,44,NYELV_IDX)</f>
        <v>Tőkeelemenkénti levezetés nyitótól záróig, NCI-vel együtt.</v>
      </c>
      <c r="D22" s="6" t="str">
        <f>INDEX('91_NYELV'!$C$7:$D$408,4,NYELV_IDX)</f>
        <v>Ugrás »</v>
      </c>
    </row>
    <row r="23" spans="2:4" x14ac:dyDescent="0.3">
      <c r="B23" s="4" t="str">
        <f>INDEX('91_NYELV'!$C$7:$D$408,45,NYELV_IDX)</f>
        <v>16. Konszolidált cash flow (IAS 7)</v>
      </c>
      <c r="C23" s="5" t="str">
        <f>INDEX('91_NYELV'!$C$7:$D$408,46,NYELV_IDX)</f>
        <v>Indirekt módszer – az IFRS 18 módosítása szerint az ÜZEMI EREDMÉNYBŐL kiindulva.</v>
      </c>
      <c r="D23" s="6" t="str">
        <f>INDEX('91_NYELV'!$C$7:$D$408,4,NYELV_IDX)</f>
        <v>Ugrás »</v>
      </c>
    </row>
    <row r="24" spans="2:4" x14ac:dyDescent="0.3">
      <c r="B24" s="4" t="str">
        <f>INDEX('91_NYELV'!$C$7:$D$408,47,NYELV_IDX)</f>
        <v>17. Előző évi (nyitó) adatok</v>
      </c>
      <c r="C24" s="5" t="str">
        <f>INDEX('91_NYELV'!$C$7:$D$408,48,NYELV_IDX)</f>
        <v>Az előző évi konszolidált adatok – ebből számol a cash flow és az összehasonlító oszlop.</v>
      </c>
      <c r="D24" s="6" t="str">
        <f>INDEX('91_NYELV'!$C$7:$D$408,4,NYELV_IDX)</f>
        <v>Ugrás »</v>
      </c>
    </row>
    <row r="25" spans="2:4" x14ac:dyDescent="0.3">
      <c r="B25" s="4" t="str">
        <f>INDEX('91_NYELV'!$C$7:$D$408,49,NYELV_IDX)</f>
        <v>18. Ellenőrzések</v>
      </c>
      <c r="C25" s="5" t="str">
        <f>INDEX('91_NYELV'!$C$7:$D$408,50,NYELV_IDX)</f>
        <v>Egyezőségi próbák: mérlegfőösszeg, napló T=K, tőkekimutatás, cash flow.</v>
      </c>
      <c r="D25" s="6" t="str">
        <f>INDEX('91_NYELV'!$C$7:$D$408,4,NYELV_IDX)</f>
        <v>Ugrás »</v>
      </c>
    </row>
    <row r="26" spans="2:4" x14ac:dyDescent="0.3">
      <c r="B26" s="4" t="str">
        <f>INDEX('91_NYELV'!$C$7:$D$408,51,NYELV_IDX)</f>
        <v>19. Sorséma (szerkeszthető)</v>
      </c>
      <c r="C26" s="5" t="str">
        <f>INDEX('91_NYELV'!$C$7:$D$408,52,NYELV_IDX)</f>
        <v>Az IFRS nem ír elő kötött formátumot – itt szabadon átnevezhet vagy bővíthet.</v>
      </c>
      <c r="D26" s="6" t="str">
        <f>INDEX('91_NYELV'!$C$7:$D$408,4,NYELV_IDX)</f>
        <v>Ugrás »</v>
      </c>
    </row>
    <row r="27" spans="2:4" x14ac:dyDescent="0.3">
      <c r="B27" s="4" t="str">
        <f>INDEX('91_NYELV'!$C$7:$D$408,53,NYELV_IDX)</f>
        <v>20. Súgó és standardhivatkozások</v>
      </c>
      <c r="C27" s="5" t="str">
        <f>INDEX('91_NYELV'!$C$7:$D$408,54,NYELV_IDX)</f>
        <v>Lépésenkénti útmutató és a vonatkozó IFRS standardok.</v>
      </c>
      <c r="D27" s="6" t="str">
        <f>INDEX('91_NYELV'!$C$7:$D$408,4,NYELV_IDX)</f>
        <v>Ugrás »</v>
      </c>
    </row>
    <row r="29" spans="2:4" ht="15.6" x14ac:dyDescent="0.3">
      <c r="B29" s="3" t="str">
        <f>INDEX('91_NYELV'!$C$7:$D$408,5,NYELV_IDX)</f>
        <v>Állapot</v>
      </c>
    </row>
    <row r="30" spans="2:4" x14ac:dyDescent="0.3">
      <c r="B30" s="7" t="str">
        <f>INDEX('91_NYELV'!$C$7:$D$408,163,NYELV_IDX)</f>
        <v>Eszközök összesen = Saját tőke és kötelezettségek összesen</v>
      </c>
      <c r="C30" s="8">
        <f>'20_ELLENORZES'!$D$7</f>
        <v>0</v>
      </c>
      <c r="D30" s="9" t="str">
        <f>'20_ELLENORZES'!$E$7</f>
        <v>RENDBEN</v>
      </c>
    </row>
    <row r="31" spans="2:4" x14ac:dyDescent="0.3">
      <c r="B31" s="7" t="str">
        <f>INDEX('91_NYELV'!$C$7:$D$408,164,NYELV_IDX)</f>
        <v>Konszolidációs napló: Tartozik = Követel</v>
      </c>
      <c r="C31" s="8">
        <f>'20_ELLENORZES'!$D$8</f>
        <v>0</v>
      </c>
      <c r="D31" s="9" t="str">
        <f>'20_ELLENORZES'!$E$8</f>
        <v>RENDBEN</v>
      </c>
    </row>
    <row r="32" spans="2:4" x14ac:dyDescent="0.3">
      <c r="B32" s="7" t="str">
        <f>INDEX('91_NYELV'!$C$7:$D$408,165,NYELV_IDX)</f>
        <v>Egyedi kimutatások egyensúlya (minden társaság)</v>
      </c>
      <c r="C32" s="8">
        <f>'20_ELLENORZES'!$D$9</f>
        <v>0</v>
      </c>
      <c r="D32" s="9" t="str">
        <f>'20_ELLENORZES'!$E$9</f>
        <v>RENDBEN</v>
      </c>
    </row>
    <row r="33" spans="2:4" x14ac:dyDescent="0.3">
      <c r="B33" s="7" t="str">
        <f>INDEX('91_NYELV'!$C$7:$D$408,166,NYELV_IDX)</f>
        <v>Saját tőke kimutatás záró egyenlege = mérleg saját tőke</v>
      </c>
      <c r="C33" s="8">
        <f>'20_ELLENORZES'!$D$10</f>
        <v>0</v>
      </c>
      <c r="D33" s="9" t="str">
        <f>'20_ELLENORZES'!$E$10</f>
        <v>RENDBEN</v>
      </c>
    </row>
    <row r="34" spans="2:4" x14ac:dyDescent="0.3">
      <c r="B34" s="7" t="str">
        <f>INDEX('91_NYELV'!$C$7:$D$408,167,NYELV_IDX)</f>
        <v>Cash flow VII. sora = mérleg pénzeszközök</v>
      </c>
      <c r="C34" s="8">
        <f>'20_ELLENORZES'!$D$11</f>
        <v>0</v>
      </c>
      <c r="D34" s="9" t="str">
        <f>'20_ELLENORZES'!$E$11</f>
        <v>RENDBEN</v>
      </c>
    </row>
    <row r="35" spans="2:4" x14ac:dyDescent="0.3">
      <c r="B35" s="7" t="str">
        <f>INDEX('91_NYELV'!$C$7:$D$408,168,NYELV_IDX)</f>
        <v>Eredmény megbontása: anyavállalat + NCI = időszaki eredmény</v>
      </c>
      <c r="C35" s="8">
        <f>'20_ELLENORZES'!$D$12</f>
        <v>0</v>
      </c>
      <c r="D35" s="9" t="str">
        <f>'20_ELLENORZES'!$E$12</f>
        <v>RENDBEN</v>
      </c>
    </row>
    <row r="36" spans="2:4" x14ac:dyDescent="0.3">
      <c r="B36" s="7" t="str">
        <f>INDEX('91_NYELV'!$C$7:$D$408,169,NYELV_IDX)</f>
        <v>Mérleg szerinti goodwill = számított goodwill – elszámolt értékvesztés</v>
      </c>
      <c r="C36" s="8">
        <f>'20_ELLENORZES'!$D$13</f>
        <v>0</v>
      </c>
      <c r="D36" s="9" t="str">
        <f>'20_ELLENORZES'!$E$13</f>
        <v>RENDBEN</v>
      </c>
    </row>
    <row r="37" spans="2:4" x14ac:dyDescent="0.3">
      <c r="B37" s="7" t="str">
        <f>INDEX('91_NYELV'!$C$7:$D$408,170,NYELV_IDX)</f>
        <v>Minden bevont társaságnál meg van adva a záró és az átlagárfolyam</v>
      </c>
      <c r="C37" s="8">
        <f>'20_ELLENORZES'!$D$14</f>
        <v>0</v>
      </c>
      <c r="D37" s="9" t="str">
        <f>'20_ELLENORZES'!$E$14</f>
        <v>RENDBEN</v>
      </c>
    </row>
    <row r="38" spans="2:4" x14ac:dyDescent="0.3">
      <c r="B38" s="10" t="str">
        <f>INDEX('91_NYELV'!$C$7:$D$408,171,NYELV_IDX)</f>
        <v>Összesített állapot</v>
      </c>
      <c r="D38" s="9" t="str">
        <f>'20_ELLENORZES'!$E$16</f>
        <v>RENDBEN</v>
      </c>
    </row>
  </sheetData>
  <sheetProtection algorithmName="SHA-512" hashValue="KYOdLtsZXUX9leiGE7EERGhU485DY7Jwhbyyk+PBRzC4khvpf9Vhx19Fyqpp/sWmJap+juH821sU/5cTMGuenA==" saltValue="DBL4g6b51GRf7Rsel6T1qA==" spinCount="100000" sheet="1" objects="1" scenarios="1"/>
  <hyperlinks>
    <hyperlink ref="D8" location="'01_BEALLITASOK'!A1" display="'01_BEALLITASOK'!A1" xr:uid="{00000000-0004-0000-0000-000000000000}"/>
    <hyperlink ref="D9" location="'02_CSOPORT'!A1" display="'02_CSOPORT'!A1" xr:uid="{00000000-0004-0000-0000-000001000000}"/>
    <hyperlink ref="D10" location="'03_ADATBEVITEL'!A1" display="'03_ADATBEVITEL'!A1" xr:uid="{00000000-0004-0000-0000-000002000000}"/>
    <hyperlink ref="D11" location="'04_AKVIZICIO'!A1" display="'04_AKVIZICIO'!A1" xr:uid="{00000000-0004-0000-0000-000003000000}"/>
    <hyperlink ref="D12" location="'05_EGYENLEGEK'!A1" display="'05_EGYENLEGEK'!A1" xr:uid="{00000000-0004-0000-0000-000004000000}"/>
    <hyperlink ref="D13" location="'06_KOZBENSO'!A1" display="'06_KOZBENSO'!A1" xr:uid="{00000000-0004-0000-0000-000005000000}"/>
    <hyperlink ref="D14" location="'07_BEVRAF'!A1" display="'07_BEVRAF'!A1" xr:uid="{00000000-0004-0000-0000-000006000000}"/>
    <hyperlink ref="D15" location="'08_EQUITY'!A1" display="'08_EQUITY'!A1" xr:uid="{00000000-0004-0000-0000-000007000000}"/>
    <hyperlink ref="D16" location="'09_HALASZTOTT'!A1" display="'09_HALASZTOTT'!A1" xr:uid="{00000000-0004-0000-0000-000008000000}"/>
    <hyperlink ref="D17" location="'10_GOODWILL'!A1" display="'10_GOODWILL'!A1" xr:uid="{00000000-0004-0000-0000-000009000000}"/>
    <hyperlink ref="D18" location="'11_NAPLO'!A1" display="'11_NAPLO'!A1" xr:uid="{00000000-0004-0000-0000-00000A000000}"/>
    <hyperlink ref="D19" location="'12_MUNKATABLA'!A1" display="'12_MUNKATABLA'!A1" xr:uid="{00000000-0004-0000-0000-00000B000000}"/>
    <hyperlink ref="D20" location="'13_SFP'!A1" display="'13_SFP'!A1" xr:uid="{00000000-0004-0000-0000-00000C000000}"/>
    <hyperlink ref="D21" location="'14_PL'!A1" display="'14_PL'!A1" xr:uid="{00000000-0004-0000-0000-00000D000000}"/>
    <hyperlink ref="D22" location="'15_SOCIE'!A1" display="'15_SOCIE'!A1" xr:uid="{00000000-0004-0000-0000-00000E000000}"/>
    <hyperlink ref="D23" location="'16_CASHFLOW'!A1" display="'16_CASHFLOW'!A1" xr:uid="{00000000-0004-0000-0000-00000F000000}"/>
    <hyperlink ref="D24" location="'03B_NYITO'!A1" display="'03B_NYITO'!A1" xr:uid="{00000000-0004-0000-0000-000010000000}"/>
    <hyperlink ref="D25" location="'20_ELLENORZES'!A1" display="'20_ELLENORZES'!A1" xr:uid="{00000000-0004-0000-0000-000011000000}"/>
    <hyperlink ref="D26" location="'90_SEMA'!A1" display="'90_SEMA'!A1" xr:uid="{00000000-0004-0000-0000-000012000000}"/>
    <hyperlink ref="D27" location="'99_SUGO'!A1" display="'99_SUGO'!A1" xr:uid="{00000000-0004-0000-0000-000013000000}"/>
  </hyperlinks>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unka2"/>
  <dimension ref="B1:D16"/>
  <sheetViews>
    <sheetView showGridLines="0" workbookViewId="0">
      <selection activeCell="A2" sqref="A2"/>
    </sheetView>
  </sheetViews>
  <sheetFormatPr defaultRowHeight="14.4" x14ac:dyDescent="0.3"/>
  <cols>
    <col min="2" max="2" width="46" customWidth="1"/>
    <col min="3" max="3" width="30" customWidth="1"/>
    <col min="4" max="4" width="12" customWidth="1"/>
  </cols>
  <sheetData>
    <row r="1" spans="2:4" ht="73.95" customHeight="1" x14ac:dyDescent="0.3"/>
    <row r="3" spans="2:4" ht="18" x14ac:dyDescent="0.35">
      <c r="B3" s="11" t="str">
        <f>INDEX('91_NYELV'!$C$7:$D$408,55,NYELV_IDX)</f>
        <v>Alapbeállítások</v>
      </c>
    </row>
    <row r="6" spans="2:4" x14ac:dyDescent="0.3">
      <c r="B6" s="10" t="str">
        <f>INDEX('91_NYELV'!$C$7:$D$408,56,NYELV_IDX)</f>
        <v>Anyavállalat neve</v>
      </c>
      <c r="C6" s="12" t="s">
        <v>0</v>
      </c>
    </row>
    <row r="7" spans="2:4" x14ac:dyDescent="0.3">
      <c r="B7" s="10" t="str">
        <f>INDEX('91_NYELV'!$C$7:$D$408,57,NYELV_IDX)</f>
        <v>Azonosító (adószám / cégjegyzékszám)</v>
      </c>
      <c r="C7" s="12" t="s">
        <v>1</v>
      </c>
    </row>
    <row r="8" spans="2:4" x14ac:dyDescent="0.3">
      <c r="B8" s="10" t="str">
        <f>INDEX('91_NYELV'!$C$7:$D$408,58,NYELV_IDX)</f>
        <v>Beszámolási időszak (év)</v>
      </c>
      <c r="C8" s="12">
        <v>2026</v>
      </c>
    </row>
    <row r="9" spans="2:4" x14ac:dyDescent="0.3">
      <c r="B9" s="10" t="str">
        <f>INDEX('91_NYELV'!$C$7:$D$408,59,NYELV_IDX)</f>
        <v>Prezentációs pénznem</v>
      </c>
      <c r="C9" s="12" t="s">
        <v>2</v>
      </c>
    </row>
    <row r="10" spans="2:4" x14ac:dyDescent="0.3">
      <c r="B10" s="10" t="str">
        <f>INDEX('91_NYELV'!$C$7:$D$408,60,NYELV_IDX)</f>
        <v>Adatok mértékegysége</v>
      </c>
      <c r="C10" s="12" t="s">
        <v>3</v>
      </c>
    </row>
    <row r="11" spans="2:4" x14ac:dyDescent="0.3">
      <c r="B11" s="10" t="str">
        <f>INDEX('91_NYELV'!$C$7:$D$408,61,NYELV_IDX)</f>
        <v>Társasági adókulcs</v>
      </c>
      <c r="C11" s="13">
        <v>0.09</v>
      </c>
    </row>
    <row r="13" spans="2:4" x14ac:dyDescent="0.3">
      <c r="B13" s="10" t="str">
        <f>INDEX('91_NYELV'!$C$7:$D$408,62,NYELV_IDX)</f>
        <v>Nyelv / Language</v>
      </c>
      <c r="C13" s="12">
        <v>1</v>
      </c>
      <c r="D13" s="14" t="str">
        <f>INDEX('91_NYELV'!$C$7:$D$408,66,NYELV_IDX)</f>
        <v>1 = magyar, 2 = english</v>
      </c>
    </row>
    <row r="14" spans="2:4" x14ac:dyDescent="0.3">
      <c r="B14" s="10" t="str">
        <f>INDEX('91_NYELV'!$C$7:$D$408,63,NYELV_IDX)</f>
        <v>Működési költségek bemutatása</v>
      </c>
      <c r="C14" s="12">
        <v>1</v>
      </c>
    </row>
    <row r="15" spans="2:4" x14ac:dyDescent="0.3">
      <c r="C15" s="14" t="str">
        <f>INDEX('91_NYELV'!$C$7:$D$408,64,NYELV_IDX)</f>
        <v>1 = funkció szerint (by function)</v>
      </c>
    </row>
    <row r="16" spans="2:4" x14ac:dyDescent="0.3">
      <c r="C16" s="14" t="str">
        <f>INDEX('91_NYELV'!$C$7:$D$408,65,NYELV_IDX)</f>
        <v>2 = költségnem szerint (by nature)</v>
      </c>
    </row>
  </sheetData>
  <sheetProtection algorithmName="SHA-512" hashValue="w7ycyESjYPba1R6Zdb2Ns6RjQCnjBjMT8JEW4R12M3wIL4fdmHQGlcsVPLbRXYks7MFAtFbXSdB+Yn3m5TQv/A==" saltValue="2oQ7jSrb7NOwJXppEo0Krg==" spinCount="100000" sheet="1" objects="1" scenarios="1"/>
  <pageMargins left="0.75" right="0.75" top="1" bottom="1" header="0.5" footer="0.5"/>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unka3"/>
  <dimension ref="B1:M12"/>
  <sheetViews>
    <sheetView showGridLines="0" workbookViewId="0"/>
  </sheetViews>
  <sheetFormatPr defaultRowHeight="14.4" x14ac:dyDescent="0.3"/>
  <cols>
    <col min="2" max="2" width="8" customWidth="1"/>
    <col min="3" max="3" width="30" customWidth="1"/>
    <col min="4" max="4" width="16" customWidth="1"/>
    <col min="5" max="5" width="26" customWidth="1"/>
    <col min="6" max="7" width="12" customWidth="1"/>
    <col min="8" max="8" width="24" customWidth="1"/>
    <col min="9" max="9" width="10" customWidth="1"/>
    <col min="10" max="11" width="13" customWidth="1"/>
    <col min="12" max="12" width="14" customWidth="1"/>
    <col min="13" max="13" width="13" customWidth="1"/>
  </cols>
  <sheetData>
    <row r="1" spans="2:13" ht="73.95" customHeight="1" x14ac:dyDescent="0.3"/>
    <row r="3" spans="2:13" ht="18" x14ac:dyDescent="0.35">
      <c r="B3" s="11" t="str">
        <f>INDEX('91_NYELV'!$C$7:$D$408,67,NYELV_IDX)</f>
        <v>Konszolidációs kör (IFRS 10)</v>
      </c>
    </row>
    <row r="4" spans="2:13" x14ac:dyDescent="0.3">
      <c r="B4" s="15" t="str">
        <f>INDEX('91_NYELV'!$C$7:$D$408,86,NYELV_IDX)</f>
        <v>Az IAS 21 szerint: mérlegtételek záró, eredménytételek átlagárfolyamon; a különbözet az OCI-ba kerül.</v>
      </c>
    </row>
    <row r="6" spans="2:13" ht="24" x14ac:dyDescent="0.3">
      <c r="B6" s="16" t="str">
        <f>INDEX('91_NYELV'!$C$7:$D$408,68,NYELV_IDX)</f>
        <v>Kód</v>
      </c>
      <c r="C6" s="16" t="str">
        <f>INDEX('91_NYELV'!$C$7:$D$408,69,NYELV_IDX)</f>
        <v>Társaság neve</v>
      </c>
      <c r="D6" s="16" t="str">
        <f>INDEX('91_NYELV'!$C$7:$D$408,70,NYELV_IDX)</f>
        <v>Azonosító</v>
      </c>
      <c r="E6" s="16" t="str">
        <f>INDEX('91_NYELV'!$C$7:$D$408,71,NYELV_IDX)</f>
        <v>Bevonás módja</v>
      </c>
      <c r="F6" s="16" t="str">
        <f>INDEX('91_NYELV'!$C$7:$D$408,72,NYELV_IDX)</f>
        <v>Tulajdoni hányad</v>
      </c>
      <c r="G6" s="16" t="str">
        <f>INDEX('91_NYELV'!$C$7:$D$408,73,NYELV_IDX)</f>
        <v>Szavazati arány</v>
      </c>
      <c r="H6" s="16" t="str">
        <f>INDEX('91_NYELV'!$C$7:$D$408,74,NYELV_IDX)</f>
        <v>NCI értékelése (IFRS 3.19)</v>
      </c>
      <c r="I6" s="16" t="str">
        <f>INDEX('91_NYELV'!$C$7:$D$408,75,NYELV_IDX)</f>
        <v>Pénznem</v>
      </c>
      <c r="J6" s="16" t="str">
        <f>INDEX('91_NYELV'!$C$7:$D$408,76,NYELV_IDX)</f>
        <v>Záró árfolyam</v>
      </c>
      <c r="K6" s="16" t="str">
        <f>INDEX('91_NYELV'!$C$7:$D$408,77,NYELV_IDX)</f>
        <v>Átlagárfolyam</v>
      </c>
      <c r="L6" s="16" t="str">
        <f>INDEX('91_NYELV'!$C$7:$D$408,79,NYELV_IDX)</f>
        <v>Megszerzés időpontja</v>
      </c>
      <c r="M6" s="16" t="str">
        <f>INDEX('91_NYELV'!$C$7:$D$408,78,NYELV_IDX)</f>
        <v>Bevonási szorzó</v>
      </c>
    </row>
    <row r="7" spans="2:13" x14ac:dyDescent="0.3">
      <c r="B7" s="12" t="s">
        <v>4</v>
      </c>
      <c r="C7" s="12" t="s">
        <v>5</v>
      </c>
      <c r="D7" s="12" t="s">
        <v>1</v>
      </c>
      <c r="E7" s="12" t="str">
        <f>INDEX('91_NYELV'!$C$7:$D$408,80,NYELV_IDX)</f>
        <v>Teljes körű (IFRS 10)</v>
      </c>
      <c r="F7" s="13">
        <v>1</v>
      </c>
      <c r="G7" s="13">
        <v>1</v>
      </c>
      <c r="H7" s="12" t="str">
        <f>INDEX('91_NYELV'!$C$7:$D$408,84,NYELV_IDX)</f>
        <v>Valós érték (full goodwill)</v>
      </c>
      <c r="I7" s="12" t="s">
        <v>2</v>
      </c>
      <c r="J7" s="17">
        <v>1</v>
      </c>
      <c r="K7" s="17">
        <v>1</v>
      </c>
      <c r="L7" s="12"/>
      <c r="M7" s="18">
        <f>IF($E7=INDEX('91_NYELV'!$C$7:$D$408,80,NYELV_IDX),1,IF($E7=INDEX('91_NYELV'!$C$7:$D$408,81,NYELV_IDX),$F7,0))</f>
        <v>1</v>
      </c>
    </row>
    <row r="8" spans="2:13" x14ac:dyDescent="0.3">
      <c r="B8" s="12" t="s">
        <v>6</v>
      </c>
      <c r="C8" s="12" t="s">
        <v>7</v>
      </c>
      <c r="D8" s="12" t="s">
        <v>8</v>
      </c>
      <c r="E8" s="12" t="str">
        <f>INDEX('91_NYELV'!$C$7:$D$408,80,NYELV_IDX)</f>
        <v>Teljes körű (IFRS 10)</v>
      </c>
      <c r="F8" s="13">
        <v>0.8</v>
      </c>
      <c r="G8" s="13">
        <v>0.8</v>
      </c>
      <c r="H8" s="12" t="str">
        <f>INDEX('91_NYELV'!$C$7:$D$408,85,NYELV_IDX)</f>
        <v>Nettó eszközök arányos része</v>
      </c>
      <c r="I8" s="12" t="s">
        <v>2</v>
      </c>
      <c r="J8" s="17">
        <v>1</v>
      </c>
      <c r="K8" s="17">
        <v>1</v>
      </c>
      <c r="L8" s="12" t="s">
        <v>9</v>
      </c>
      <c r="M8" s="18">
        <f>IF($E8=INDEX('91_NYELV'!$C$7:$D$408,80,NYELV_IDX),1,IF($E8=INDEX('91_NYELV'!$C$7:$D$408,81,NYELV_IDX),$F8,0))</f>
        <v>1</v>
      </c>
    </row>
    <row r="9" spans="2:13" x14ac:dyDescent="0.3">
      <c r="B9" s="12" t="s">
        <v>10</v>
      </c>
      <c r="C9" s="12" t="s">
        <v>11</v>
      </c>
      <c r="D9" s="12" t="s">
        <v>12</v>
      </c>
      <c r="E9" s="12" t="str">
        <f>INDEX('91_NYELV'!$C$7:$D$408,80,NYELV_IDX)</f>
        <v>Teljes körű (IFRS 10)</v>
      </c>
      <c r="F9" s="13">
        <v>0.75</v>
      </c>
      <c r="G9" s="13">
        <v>0.75</v>
      </c>
      <c r="H9" s="12" t="str">
        <f>INDEX('91_NYELV'!$C$7:$D$408,85,NYELV_IDX)</f>
        <v>Nettó eszközök arányos része</v>
      </c>
      <c r="I9" s="12" t="s">
        <v>13</v>
      </c>
      <c r="J9" s="17">
        <v>400</v>
      </c>
      <c r="K9" s="17">
        <v>390</v>
      </c>
      <c r="L9" s="12" t="s">
        <v>14</v>
      </c>
      <c r="M9" s="18">
        <f>IF($E9=INDEX('91_NYELV'!$C$7:$D$408,80,NYELV_IDX),1,IF($E9=INDEX('91_NYELV'!$C$7:$D$408,81,NYELV_IDX),$F9,0))</f>
        <v>1</v>
      </c>
    </row>
    <row r="10" spans="2:13" x14ac:dyDescent="0.3">
      <c r="B10" s="12" t="s">
        <v>15</v>
      </c>
      <c r="C10" s="12" t="s">
        <v>16</v>
      </c>
      <c r="D10" s="12" t="s">
        <v>17</v>
      </c>
      <c r="E10" s="12" t="str">
        <f>INDEX('91_NYELV'!$C$7:$D$408,82,NYELV_IDX)</f>
        <v>Equity módszer (IAS 28)</v>
      </c>
      <c r="F10" s="13">
        <v>0.3</v>
      </c>
      <c r="G10" s="13">
        <v>0.3</v>
      </c>
      <c r="H10" s="12" t="str">
        <f>INDEX('91_NYELV'!$C$7:$D$408,85,NYELV_IDX)</f>
        <v>Nettó eszközök arányos része</v>
      </c>
      <c r="I10" s="12" t="s">
        <v>2</v>
      </c>
      <c r="J10" s="17">
        <v>1</v>
      </c>
      <c r="K10" s="17">
        <v>1</v>
      </c>
      <c r="L10" s="12"/>
      <c r="M10" s="18">
        <f>IF($E10=INDEX('91_NYELV'!$C$7:$D$408,80,NYELV_IDX),1,IF($E10=INDEX('91_NYELV'!$C$7:$D$408,81,NYELV_IDX),$F10,0))</f>
        <v>0</v>
      </c>
    </row>
    <row r="11" spans="2:13" x14ac:dyDescent="0.3">
      <c r="B11" s="12"/>
      <c r="C11" s="12"/>
      <c r="D11" s="12"/>
      <c r="E11" s="12" t="str">
        <f>INDEX('91_NYELV'!$C$7:$D$408,80,NYELV_IDX)</f>
        <v>Teljes körű (IFRS 10)</v>
      </c>
      <c r="F11" s="13">
        <v>0</v>
      </c>
      <c r="G11" s="13">
        <v>0</v>
      </c>
      <c r="H11" s="12" t="str">
        <f>INDEX('91_NYELV'!$C$7:$D$408,85,NYELV_IDX)</f>
        <v>Nettó eszközök arányos része</v>
      </c>
      <c r="I11" s="12" t="s">
        <v>2</v>
      </c>
      <c r="J11" s="17">
        <v>1</v>
      </c>
      <c r="K11" s="17">
        <v>1</v>
      </c>
      <c r="L11" s="12"/>
      <c r="M11" s="18">
        <f>IF($E11=INDEX('91_NYELV'!$C$7:$D$408,80,NYELV_IDX),1,IF($E11=INDEX('91_NYELV'!$C$7:$D$408,81,NYELV_IDX),$F11,0))</f>
        <v>1</v>
      </c>
    </row>
    <row r="12" spans="2:13" x14ac:dyDescent="0.3">
      <c r="B12" s="12"/>
      <c r="C12" s="12"/>
      <c r="D12" s="12"/>
      <c r="E12" s="12" t="str">
        <f>INDEX('91_NYELV'!$C$7:$D$408,80,NYELV_IDX)</f>
        <v>Teljes körű (IFRS 10)</v>
      </c>
      <c r="F12" s="13">
        <v>0</v>
      </c>
      <c r="G12" s="13">
        <v>0</v>
      </c>
      <c r="H12" s="12" t="str">
        <f>INDEX('91_NYELV'!$C$7:$D$408,85,NYELV_IDX)</f>
        <v>Nettó eszközök arányos része</v>
      </c>
      <c r="I12" s="12" t="s">
        <v>2</v>
      </c>
      <c r="J12" s="17">
        <v>1</v>
      </c>
      <c r="K12" s="17">
        <v>1</v>
      </c>
      <c r="L12" s="12"/>
      <c r="M12" s="18">
        <f>IF($E12=INDEX('91_NYELV'!$C$7:$D$408,80,NYELV_IDX),1,IF($E12=INDEX('91_NYELV'!$C$7:$D$408,81,NYELV_IDX),$F12,0))</f>
        <v>1</v>
      </c>
    </row>
  </sheetData>
  <sheetProtection algorithmName="SHA-512" hashValue="EPkNwsCd/8PpWKpqov9JBEsyZrZzF2vQ4EeWGn5hPefelxSfWAi98YzsCf6AAacPsDP3XJuFeHbRfg5CqCtC5w==" saltValue="OL6BH+3/tY1WSYrsXppV4A==" spinCount="100000" sheet="1" objects="1" scenarios="1"/>
  <pageMargins left="0.75" right="0.75" top="1" bottom="1" header="0.5" footer="0.5"/>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unka4"/>
  <dimension ref="B1:J105"/>
  <sheetViews>
    <sheetView showGridLines="0" workbookViewId="0"/>
  </sheetViews>
  <sheetFormatPr defaultRowHeight="14.4" x14ac:dyDescent="0.3"/>
  <cols>
    <col min="2" max="2" width="14" customWidth="1"/>
    <col min="3" max="3" width="58" customWidth="1"/>
    <col min="5" max="10" width="15" customWidth="1"/>
  </cols>
  <sheetData>
    <row r="1" spans="2:10" ht="73.95" customHeight="1" x14ac:dyDescent="0.3"/>
    <row r="3" spans="2:10" ht="18" x14ac:dyDescent="0.35">
      <c r="B3" s="11" t="str">
        <f>INDEX('91_NYELV'!$C$7:$D$408,182,NYELV_IDX)</f>
        <v>Egyedi pénzügyi kimutatások (IFRS szerint átdolgozva)</v>
      </c>
    </row>
    <row r="4" spans="2:10" x14ac:dyDescent="0.3">
      <c r="B4" s="15" t="str">
        <f>INDEX('91_NYELV'!$C$7:$D$408,8,NYELV_IDX)</f>
        <v>A sárga hátterű, kék betűs cellák a kitöltendő adatok. A szürke cellák képletet tartalmaznak.</v>
      </c>
    </row>
    <row r="6" spans="2:10" x14ac:dyDescent="0.3">
      <c r="E6" s="19" t="str">
        <f>'02_CSOPORT'!$B$7</f>
        <v>A00</v>
      </c>
      <c r="F6" s="19" t="str">
        <f>'02_CSOPORT'!$B$8</f>
        <v>L01</v>
      </c>
      <c r="G6" s="19" t="str">
        <f>'02_CSOPORT'!$B$9</f>
        <v>L02</v>
      </c>
      <c r="H6" s="19" t="str">
        <f>'02_CSOPORT'!$B$10</f>
        <v>T01</v>
      </c>
      <c r="I6" s="19">
        <f>'02_CSOPORT'!$B$11</f>
        <v>0</v>
      </c>
      <c r="J6" s="19">
        <f>'02_CSOPORT'!$B$12</f>
        <v>0</v>
      </c>
    </row>
    <row r="7" spans="2:10" ht="24.6" x14ac:dyDescent="0.3">
      <c r="B7" s="16" t="str">
        <f>INDEX('91_NYELV'!$C$7:$D$408,9,NYELV_IDX)</f>
        <v>Kód</v>
      </c>
      <c r="C7" s="16" t="str">
        <f>INDEX('91_NYELV'!$C$7:$D$408,10,NYELV_IDX)</f>
        <v>Megnevezés</v>
      </c>
      <c r="E7" s="20" t="str">
        <f>'02_CSOPORT'!$C$7</f>
        <v>Minta Holding Nyrt.</v>
      </c>
      <c r="F7" s="20" t="str">
        <f>'02_CSOPORT'!$C$8</f>
        <v>Minta Leány Kft.</v>
      </c>
      <c r="G7" s="20" t="str">
        <f>'02_CSOPORT'!$C$9</f>
        <v>Minta Külföldi GmbH</v>
      </c>
      <c r="H7" s="20" t="str">
        <f>'02_CSOPORT'!$C$10</f>
        <v>Minta Társult Zrt.</v>
      </c>
      <c r="I7" s="20">
        <f>'02_CSOPORT'!$C$11</f>
        <v>0</v>
      </c>
      <c r="J7" s="20">
        <f>'02_CSOPORT'!$C$12</f>
        <v>0</v>
      </c>
    </row>
    <row r="8" spans="2:10" x14ac:dyDescent="0.3">
      <c r="B8" s="21" t="s">
        <v>18</v>
      </c>
      <c r="C8" s="22" t="str">
        <f>INDEX('91_NYELV'!$C$7:$D$408,205,NYELV_IDX)</f>
        <v>A. BEFEKTETETT ESZKÖZÖK</v>
      </c>
      <c r="E8" s="23">
        <f>$E$9+$E$10+$E$11+$E$12+$E$13+$E$14+$E$15+$E$16+$E$17</f>
        <v>0</v>
      </c>
      <c r="F8" s="23">
        <f>$F$9+$F$10+$F$11+$F$12+$F$13+$F$14+$F$15+$F$16+$F$17</f>
        <v>0</v>
      </c>
      <c r="G8" s="23">
        <f>$G$9+$G$10+$G$11+$G$12+$G$13+$G$14+$G$15+$G$16+$G$17</f>
        <v>0</v>
      </c>
      <c r="H8" s="23">
        <f>$H$9+$H$10+$H$11+$H$12+$H$13+$H$14+$H$15+$H$16+$H$17</f>
        <v>0</v>
      </c>
      <c r="I8" s="23">
        <f>$I$9+$I$10+$I$11+$I$12+$I$13+$I$14+$I$15+$I$16+$I$17</f>
        <v>0</v>
      </c>
      <c r="J8" s="23">
        <f>$J$9+$J$10+$J$11+$J$12+$J$13+$J$14+$J$15+$J$16+$J$17</f>
        <v>0</v>
      </c>
    </row>
    <row r="9" spans="2:10" x14ac:dyDescent="0.3">
      <c r="B9" s="21" t="s">
        <v>19</v>
      </c>
      <c r="C9" s="5" t="str">
        <f>INDEX('91_NYELV'!$C$7:$D$408,206,NYELV_IDX)</f>
        <v>1. Ingatlanok, gépek és berendezések</v>
      </c>
      <c r="E9" s="24"/>
      <c r="F9" s="24"/>
      <c r="G9" s="24"/>
      <c r="H9" s="24"/>
      <c r="I9" s="24"/>
      <c r="J9" s="24"/>
    </row>
    <row r="10" spans="2:10" x14ac:dyDescent="0.3">
      <c r="B10" s="21" t="s">
        <v>20</v>
      </c>
      <c r="C10" s="5" t="str">
        <f>INDEX('91_NYELV'!$C$7:$D$408,207,NYELV_IDX)</f>
        <v>2. Használatijog-eszközök</v>
      </c>
      <c r="E10" s="24"/>
      <c r="F10" s="24"/>
      <c r="G10" s="24"/>
      <c r="H10" s="24"/>
      <c r="I10" s="24"/>
      <c r="J10" s="24"/>
    </row>
    <row r="11" spans="2:10" x14ac:dyDescent="0.3">
      <c r="B11" s="21" t="s">
        <v>21</v>
      </c>
      <c r="C11" s="5" t="str">
        <f>INDEX('91_NYELV'!$C$7:$D$408,208,NYELV_IDX)</f>
        <v>3. Befektetési célú ingatlanok</v>
      </c>
      <c r="E11" s="24"/>
      <c r="F11" s="24"/>
      <c r="G11" s="24"/>
      <c r="H11" s="24"/>
      <c r="I11" s="24"/>
      <c r="J11" s="24"/>
    </row>
    <row r="12" spans="2:10" x14ac:dyDescent="0.3">
      <c r="B12" s="21" t="s">
        <v>22</v>
      </c>
      <c r="C12" s="5" t="str">
        <f>INDEX('91_NYELV'!$C$7:$D$408,209,NYELV_IDX)</f>
        <v>4. Goodwill (üzleti vagy cégérték)</v>
      </c>
      <c r="E12" s="24"/>
      <c r="F12" s="24"/>
      <c r="G12" s="24"/>
      <c r="H12" s="24"/>
      <c r="I12" s="24"/>
      <c r="J12" s="24"/>
    </row>
    <row r="13" spans="2:10" x14ac:dyDescent="0.3">
      <c r="B13" s="21" t="s">
        <v>23</v>
      </c>
      <c r="C13" s="5" t="str">
        <f>INDEX('91_NYELV'!$C$7:$D$408,210,NYELV_IDX)</f>
        <v>5. Egyéb immateriális javak</v>
      </c>
      <c r="E13" s="24"/>
      <c r="F13" s="24"/>
      <c r="G13" s="24"/>
      <c r="H13" s="24"/>
      <c r="I13" s="24"/>
      <c r="J13" s="24"/>
    </row>
    <row r="14" spans="2:10" x14ac:dyDescent="0.3">
      <c r="B14" s="21" t="s">
        <v>24</v>
      </c>
      <c r="C14" s="5" t="str">
        <f>INDEX('91_NYELV'!$C$7:$D$408,211,NYELV_IDX)</f>
        <v>6. Társult és közös vezetésű vállalkozásokban lévő befektetések (equity)</v>
      </c>
      <c r="E14" s="24"/>
      <c r="F14" s="24"/>
      <c r="G14" s="24"/>
      <c r="H14" s="24"/>
      <c r="I14" s="24"/>
      <c r="J14" s="24"/>
    </row>
    <row r="15" spans="2:10" x14ac:dyDescent="0.3">
      <c r="B15" s="21" t="s">
        <v>25</v>
      </c>
      <c r="C15" s="5" t="str">
        <f>INDEX('91_NYELV'!$C$7:$D$408,212,NYELV_IDX)</f>
        <v>7. Egyéb pénzügyi eszközök (befektetett)</v>
      </c>
      <c r="E15" s="24"/>
      <c r="F15" s="24"/>
      <c r="G15" s="24"/>
      <c r="H15" s="24"/>
      <c r="I15" s="24"/>
      <c r="J15" s="24"/>
    </row>
    <row r="16" spans="2:10" x14ac:dyDescent="0.3">
      <c r="B16" s="21" t="s">
        <v>26</v>
      </c>
      <c r="C16" s="5" t="str">
        <f>INDEX('91_NYELV'!$C$7:$D$408,213,NYELV_IDX)</f>
        <v>8. Halasztott adókövetelések</v>
      </c>
      <c r="E16" s="24"/>
      <c r="F16" s="24"/>
      <c r="G16" s="24"/>
      <c r="H16" s="24"/>
      <c r="I16" s="24"/>
      <c r="J16" s="24"/>
    </row>
    <row r="17" spans="2:10" x14ac:dyDescent="0.3">
      <c r="B17" s="21" t="s">
        <v>27</v>
      </c>
      <c r="C17" s="5" t="str">
        <f>INDEX('91_NYELV'!$C$7:$D$408,214,NYELV_IDX)</f>
        <v>9. Egyéb befektetett eszközök</v>
      </c>
      <c r="E17" s="24"/>
      <c r="F17" s="24"/>
      <c r="G17" s="24"/>
      <c r="H17" s="24"/>
      <c r="I17" s="24"/>
      <c r="J17" s="24"/>
    </row>
    <row r="18" spans="2:10" x14ac:dyDescent="0.3">
      <c r="B18" s="21" t="s">
        <v>28</v>
      </c>
      <c r="C18" s="22" t="str">
        <f>INDEX('91_NYELV'!$C$7:$D$408,215,NYELV_IDX)</f>
        <v>B. FORGÓESZKÖZÖK</v>
      </c>
      <c r="E18" s="23">
        <f>$E$19+$E$20+$E$21+$E$22+$E$23+$E$24+$E$25+$E$26</f>
        <v>0</v>
      </c>
      <c r="F18" s="23">
        <f>$F$19+$F$20+$F$21+$F$22+$F$23+$F$24+$F$25+$F$26</f>
        <v>0</v>
      </c>
      <c r="G18" s="23">
        <f>$G$19+$G$20+$G$21+$G$22+$G$23+$G$24+$G$25+$G$26</f>
        <v>0</v>
      </c>
      <c r="H18" s="23">
        <f>$H$19+$H$20+$H$21+$H$22+$H$23+$H$24+$H$25+$H$26</f>
        <v>0</v>
      </c>
      <c r="I18" s="23">
        <f>$I$19+$I$20+$I$21+$I$22+$I$23+$I$24+$I$25+$I$26</f>
        <v>0</v>
      </c>
      <c r="J18" s="23">
        <f>$J$19+$J$20+$J$21+$J$22+$J$23+$J$24+$J$25+$J$26</f>
        <v>0</v>
      </c>
    </row>
    <row r="19" spans="2:10" x14ac:dyDescent="0.3">
      <c r="B19" s="21" t="s">
        <v>29</v>
      </c>
      <c r="C19" s="5" t="str">
        <f>INDEX('91_NYELV'!$C$7:$D$408,216,NYELV_IDX)</f>
        <v>1. Készletek</v>
      </c>
      <c r="E19" s="24"/>
      <c r="F19" s="24"/>
      <c r="G19" s="24"/>
      <c r="H19" s="24"/>
      <c r="I19" s="24"/>
      <c r="J19" s="24"/>
    </row>
    <row r="20" spans="2:10" x14ac:dyDescent="0.3">
      <c r="B20" s="21" t="s">
        <v>30</v>
      </c>
      <c r="C20" s="5" t="str">
        <f>INDEX('91_NYELV'!$C$7:$D$408,217,NYELV_IDX)</f>
        <v>2. Vevő- és egyéb követelések</v>
      </c>
      <c r="E20" s="24"/>
      <c r="F20" s="24"/>
      <c r="G20" s="24"/>
      <c r="H20" s="24"/>
      <c r="I20" s="24"/>
      <c r="J20" s="24"/>
    </row>
    <row r="21" spans="2:10" x14ac:dyDescent="0.3">
      <c r="B21" s="21" t="s">
        <v>31</v>
      </c>
      <c r="C21" s="5" t="str">
        <f>INDEX('91_NYELV'!$C$7:$D$408,218,NYELV_IDX)</f>
        <v>3. Szerződéses eszközök</v>
      </c>
      <c r="E21" s="24"/>
      <c r="F21" s="24"/>
      <c r="G21" s="24"/>
      <c r="H21" s="24"/>
      <c r="I21" s="24"/>
      <c r="J21" s="24"/>
    </row>
    <row r="22" spans="2:10" x14ac:dyDescent="0.3">
      <c r="B22" s="21" t="s">
        <v>32</v>
      </c>
      <c r="C22" s="5" t="str">
        <f>INDEX('91_NYELV'!$C$7:$D$408,219,NYELV_IDX)</f>
        <v>4. Egyéb pénzügyi eszközök (forgó)</v>
      </c>
      <c r="E22" s="24"/>
      <c r="F22" s="24"/>
      <c r="G22" s="24"/>
      <c r="H22" s="24"/>
      <c r="I22" s="24"/>
      <c r="J22" s="24"/>
    </row>
    <row r="23" spans="2:10" x14ac:dyDescent="0.3">
      <c r="B23" s="21" t="s">
        <v>33</v>
      </c>
      <c r="C23" s="5" t="str">
        <f>INDEX('91_NYELV'!$C$7:$D$408,220,NYELV_IDX)</f>
        <v>5. Tényleges adókövetelések</v>
      </c>
      <c r="E23" s="24"/>
      <c r="F23" s="24"/>
      <c r="G23" s="24"/>
      <c r="H23" s="24"/>
      <c r="I23" s="24"/>
      <c r="J23" s="24"/>
    </row>
    <row r="24" spans="2:10" x14ac:dyDescent="0.3">
      <c r="B24" s="21" t="s">
        <v>34</v>
      </c>
      <c r="C24" s="5" t="str">
        <f>INDEX('91_NYELV'!$C$7:$D$408,221,NYELV_IDX)</f>
        <v>6. Egyéb forgóeszközök, aktív időbeli elhatárolások</v>
      </c>
      <c r="E24" s="24"/>
      <c r="F24" s="24"/>
      <c r="G24" s="24"/>
      <c r="H24" s="24"/>
      <c r="I24" s="24"/>
      <c r="J24" s="24"/>
    </row>
    <row r="25" spans="2:10" x14ac:dyDescent="0.3">
      <c r="B25" s="21" t="s">
        <v>35</v>
      </c>
      <c r="C25" s="5" t="str">
        <f>INDEX('91_NYELV'!$C$7:$D$408,222,NYELV_IDX)</f>
        <v>7. Pénzeszközök és pénzeszköz-egyenértékesek</v>
      </c>
      <c r="E25" s="24"/>
      <c r="F25" s="24"/>
      <c r="G25" s="24"/>
      <c r="H25" s="24"/>
      <c r="I25" s="24"/>
      <c r="J25" s="24"/>
    </row>
    <row r="26" spans="2:10" x14ac:dyDescent="0.3">
      <c r="B26" s="21" t="s">
        <v>36</v>
      </c>
      <c r="C26" s="5" t="str">
        <f>INDEX('91_NYELV'!$C$7:$D$408,223,NYELV_IDX)</f>
        <v>8. Értékesítésre tartott eszközök (IFRS 5)</v>
      </c>
      <c r="E26" s="24"/>
      <c r="F26" s="24"/>
      <c r="G26" s="24"/>
      <c r="H26" s="24"/>
      <c r="I26" s="24"/>
      <c r="J26" s="24"/>
    </row>
    <row r="27" spans="2:10" x14ac:dyDescent="0.3">
      <c r="B27" s="21" t="s">
        <v>37</v>
      </c>
      <c r="C27" s="22" t="str">
        <f>INDEX('91_NYELV'!$C$7:$D$408,224,NYELV_IDX)</f>
        <v>ESZKÖZÖK ÖSSZESEN</v>
      </c>
      <c r="E27" s="23">
        <f>$E$8+$E$18</f>
        <v>0</v>
      </c>
      <c r="F27" s="23">
        <f>$F$8+$F$18</f>
        <v>0</v>
      </c>
      <c r="G27" s="23">
        <f>$G$8+$G$18</f>
        <v>0</v>
      </c>
      <c r="H27" s="23">
        <f>$H$8+$H$18</f>
        <v>0</v>
      </c>
      <c r="I27" s="23">
        <f>$I$8+$I$18</f>
        <v>0</v>
      </c>
      <c r="J27" s="23">
        <f>$J$8+$J$18</f>
        <v>0</v>
      </c>
    </row>
    <row r="28" spans="2:10" x14ac:dyDescent="0.3">
      <c r="B28" s="21" t="s">
        <v>38</v>
      </c>
      <c r="C28" s="22" t="str">
        <f>INDEX('91_NYELV'!$C$7:$D$408,225,NYELV_IDX)</f>
        <v>C. AZ ANYAVÁLLALAT TULAJDONOSAIRA JUTÓ SAJÁT TŐKE</v>
      </c>
      <c r="E28" s="23">
        <f>$E$29+$E$30+$E$31+$E$32+$E$33+$E$34</f>
        <v>0</v>
      </c>
      <c r="F28" s="23">
        <f>$F$29+$F$30+$F$31+$F$32+$F$33+$F$34</f>
        <v>0</v>
      </c>
      <c r="G28" s="23">
        <f>$G$29+$G$30+$G$31+$G$32+$G$33+$G$34</f>
        <v>0</v>
      </c>
      <c r="H28" s="23">
        <f>$H$29+$H$30+$H$31+$H$32+$H$33+$H$34</f>
        <v>0</v>
      </c>
      <c r="I28" s="23">
        <f>$I$29+$I$30+$I$31+$I$32+$I$33+$I$34</f>
        <v>0</v>
      </c>
      <c r="J28" s="23">
        <f>$J$29+$J$30+$J$31+$J$32+$J$33+$J$34</f>
        <v>0</v>
      </c>
    </row>
    <row r="29" spans="2:10" x14ac:dyDescent="0.3">
      <c r="B29" s="21" t="s">
        <v>39</v>
      </c>
      <c r="C29" s="5" t="str">
        <f>INDEX('91_NYELV'!$C$7:$D$408,226,NYELV_IDX)</f>
        <v>1. Jegyzett tőke</v>
      </c>
      <c r="E29" s="24"/>
      <c r="F29" s="24"/>
      <c r="G29" s="24"/>
      <c r="H29" s="24"/>
      <c r="I29" s="24"/>
      <c r="J29" s="24"/>
    </row>
    <row r="30" spans="2:10" x14ac:dyDescent="0.3">
      <c r="B30" s="21" t="s">
        <v>40</v>
      </c>
      <c r="C30" s="5" t="str">
        <f>INDEX('91_NYELV'!$C$7:$D$408,227,NYELV_IDX)</f>
        <v>2. Tőketartalék (ázsió)</v>
      </c>
      <c r="E30" s="24"/>
      <c r="F30" s="24"/>
      <c r="G30" s="24"/>
      <c r="H30" s="24"/>
      <c r="I30" s="24"/>
      <c r="J30" s="24"/>
    </row>
    <row r="31" spans="2:10" x14ac:dyDescent="0.3">
      <c r="B31" s="21" t="s">
        <v>41</v>
      </c>
      <c r="C31" s="5" t="str">
        <f>INDEX('91_NYELV'!$C$7:$D$408,228,NYELV_IDX)</f>
        <v>3. Visszavásárolt saját részvények (–)</v>
      </c>
      <c r="E31" s="24"/>
      <c r="F31" s="24"/>
      <c r="G31" s="24"/>
      <c r="H31" s="24"/>
      <c r="I31" s="24"/>
      <c r="J31" s="24"/>
    </row>
    <row r="32" spans="2:10" x14ac:dyDescent="0.3">
      <c r="B32" s="21" t="s">
        <v>42</v>
      </c>
      <c r="C32" s="5" t="str">
        <f>INDEX('91_NYELV'!$C$7:$D$408,229,NYELV_IDX)</f>
        <v>4. Eredménytartalék</v>
      </c>
      <c r="E32" s="24"/>
      <c r="F32" s="24"/>
      <c r="G32" s="24"/>
      <c r="H32" s="24"/>
      <c r="I32" s="24"/>
      <c r="J32" s="24"/>
    </row>
    <row r="33" spans="2:10" x14ac:dyDescent="0.3">
      <c r="B33" s="21" t="s">
        <v>43</v>
      </c>
      <c r="C33" s="5" t="str">
        <f>INDEX('91_NYELV'!$C$7:$D$408,230,NYELV_IDX)</f>
        <v>5. Átszámítási különbözet (külföldi érdekeltségek)</v>
      </c>
      <c r="E33" s="24"/>
      <c r="F33" s="24"/>
      <c r="G33" s="24"/>
      <c r="H33" s="24"/>
      <c r="I33" s="24"/>
      <c r="J33" s="24"/>
    </row>
    <row r="34" spans="2:10" x14ac:dyDescent="0.3">
      <c r="B34" s="21" t="s">
        <v>44</v>
      </c>
      <c r="C34" s="5" t="str">
        <f>INDEX('91_NYELV'!$C$7:$D$408,231,NYELV_IDX)</f>
        <v>6. Egyéb tartalékok (értékelési, fedezeti, FVOCI)</v>
      </c>
      <c r="E34" s="24"/>
      <c r="F34" s="24"/>
      <c r="G34" s="24"/>
      <c r="H34" s="24"/>
      <c r="I34" s="24"/>
      <c r="J34" s="24"/>
    </row>
    <row r="35" spans="2:10" x14ac:dyDescent="0.3">
      <c r="B35" s="21" t="s">
        <v>45</v>
      </c>
      <c r="C35" s="22" t="str">
        <f>INDEX('91_NYELV'!$C$7:$D$408,232,NYELV_IDX)</f>
        <v>D. NEM ELLENŐRZŐ RÉSZESEDÉSEK</v>
      </c>
      <c r="E35" s="24"/>
      <c r="F35" s="24"/>
      <c r="G35" s="24"/>
      <c r="H35" s="24"/>
      <c r="I35" s="24"/>
      <c r="J35" s="24"/>
    </row>
    <row r="36" spans="2:10" x14ac:dyDescent="0.3">
      <c r="B36" s="21" t="s">
        <v>46</v>
      </c>
      <c r="C36" s="22" t="str">
        <f>INDEX('91_NYELV'!$C$7:$D$408,233,NYELV_IDX)</f>
        <v>SAJÁT TŐKE ÖSSZESEN</v>
      </c>
      <c r="E36" s="23">
        <f>$E$28+$E$35</f>
        <v>0</v>
      </c>
      <c r="F36" s="23">
        <f>$F$28+$F$35</f>
        <v>0</v>
      </c>
      <c r="G36" s="23">
        <f>$G$28+$G$35</f>
        <v>0</v>
      </c>
      <c r="H36" s="23">
        <f>$H$28+$H$35</f>
        <v>0</v>
      </c>
      <c r="I36" s="23">
        <f>$I$28+$I$35</f>
        <v>0</v>
      </c>
      <c r="J36" s="23">
        <f>$J$28+$J$35</f>
        <v>0</v>
      </c>
    </row>
    <row r="37" spans="2:10" x14ac:dyDescent="0.3">
      <c r="B37" s="21" t="s">
        <v>47</v>
      </c>
      <c r="C37" s="22" t="str">
        <f>INDEX('91_NYELV'!$C$7:$D$408,234,NYELV_IDX)</f>
        <v>E. HOSSZÚ LEJÁRATÚ KÖTELEZETTSÉGEK</v>
      </c>
      <c r="E37" s="23">
        <f>$E$38+$E$39+$E$40+$E$41+$E$42+$E$43</f>
        <v>0</v>
      </c>
      <c r="F37" s="23">
        <f>$F$38+$F$39+$F$40+$F$41+$F$42+$F$43</f>
        <v>0</v>
      </c>
      <c r="G37" s="23">
        <f>$G$38+$G$39+$G$40+$G$41+$G$42+$G$43</f>
        <v>0</v>
      </c>
      <c r="H37" s="23">
        <f>$H$38+$H$39+$H$40+$H$41+$H$42+$H$43</f>
        <v>0</v>
      </c>
      <c r="I37" s="23">
        <f>$I$38+$I$39+$I$40+$I$41+$I$42+$I$43</f>
        <v>0</v>
      </c>
      <c r="J37" s="23">
        <f>$J$38+$J$39+$J$40+$J$41+$J$42+$J$43</f>
        <v>0</v>
      </c>
    </row>
    <row r="38" spans="2:10" x14ac:dyDescent="0.3">
      <c r="B38" s="21" t="s">
        <v>48</v>
      </c>
      <c r="C38" s="5" t="str">
        <f>INDEX('91_NYELV'!$C$7:$D$408,235,NYELV_IDX)</f>
        <v>1. Hitelek és kölcsönök (hosszú lejáratú)</v>
      </c>
      <c r="E38" s="24"/>
      <c r="F38" s="24"/>
      <c r="G38" s="24"/>
      <c r="H38" s="24"/>
      <c r="I38" s="24"/>
      <c r="J38" s="24"/>
    </row>
    <row r="39" spans="2:10" x14ac:dyDescent="0.3">
      <c r="B39" s="21" t="s">
        <v>49</v>
      </c>
      <c r="C39" s="5" t="str">
        <f>INDEX('91_NYELV'!$C$7:$D$408,236,NYELV_IDX)</f>
        <v>2. Lízingkötelezettségek (hosszú lejáratú)</v>
      </c>
      <c r="E39" s="24"/>
      <c r="F39" s="24"/>
      <c r="G39" s="24"/>
      <c r="H39" s="24"/>
      <c r="I39" s="24"/>
      <c r="J39" s="24"/>
    </row>
    <row r="40" spans="2:10" x14ac:dyDescent="0.3">
      <c r="B40" s="21" t="s">
        <v>50</v>
      </c>
      <c r="C40" s="5" t="str">
        <f>INDEX('91_NYELV'!$C$7:$D$408,237,NYELV_IDX)</f>
        <v>3. Halasztott adókötelezettségek</v>
      </c>
      <c r="E40" s="24"/>
      <c r="F40" s="24"/>
      <c r="G40" s="24"/>
      <c r="H40" s="24"/>
      <c r="I40" s="24"/>
      <c r="J40" s="24"/>
    </row>
    <row r="41" spans="2:10" x14ac:dyDescent="0.3">
      <c r="B41" s="21" t="s">
        <v>51</v>
      </c>
      <c r="C41" s="5" t="str">
        <f>INDEX('91_NYELV'!$C$7:$D$408,238,NYELV_IDX)</f>
        <v>4. Céltartalékok (hosszú lejáratú)</v>
      </c>
      <c r="E41" s="24"/>
      <c r="F41" s="24"/>
      <c r="G41" s="24"/>
      <c r="H41" s="24"/>
      <c r="I41" s="24"/>
      <c r="J41" s="24"/>
    </row>
    <row r="42" spans="2:10" x14ac:dyDescent="0.3">
      <c r="B42" s="21" t="s">
        <v>52</v>
      </c>
      <c r="C42" s="5" t="str">
        <f>INDEX('91_NYELV'!$C$7:$D$408,239,NYELV_IDX)</f>
        <v>5. Munkavállalói juttatási kötelezettségek</v>
      </c>
      <c r="E42" s="24"/>
      <c r="F42" s="24"/>
      <c r="G42" s="24"/>
      <c r="H42" s="24"/>
      <c r="I42" s="24"/>
      <c r="J42" s="24"/>
    </row>
    <row r="43" spans="2:10" x14ac:dyDescent="0.3">
      <c r="B43" s="21" t="s">
        <v>53</v>
      </c>
      <c r="C43" s="5" t="str">
        <f>INDEX('91_NYELV'!$C$7:$D$408,240,NYELV_IDX)</f>
        <v>6. Egyéb hosszú lejáratú kötelezettségek</v>
      </c>
      <c r="E43" s="24"/>
      <c r="F43" s="24"/>
      <c r="G43" s="24"/>
      <c r="H43" s="24"/>
      <c r="I43" s="24"/>
      <c r="J43" s="24"/>
    </row>
    <row r="44" spans="2:10" x14ac:dyDescent="0.3">
      <c r="B44" s="21" t="s">
        <v>54</v>
      </c>
      <c r="C44" s="22" t="str">
        <f>INDEX('91_NYELV'!$C$7:$D$408,241,NYELV_IDX)</f>
        <v>F. RÖVID LEJÁRATÚ KÖTELEZETTSÉGEK</v>
      </c>
      <c r="E44" s="23">
        <f>$E$45+$E$46+$E$47+$E$48+$E$49+$E$50+$E$51+$E$52</f>
        <v>0</v>
      </c>
      <c r="F44" s="23">
        <f>$F$45+$F$46+$F$47+$F$48+$F$49+$F$50+$F$51+$F$52</f>
        <v>0</v>
      </c>
      <c r="G44" s="23">
        <f>$G$45+$G$46+$G$47+$G$48+$G$49+$G$50+$G$51+$G$52</f>
        <v>0</v>
      </c>
      <c r="H44" s="23">
        <f>$H$45+$H$46+$H$47+$H$48+$H$49+$H$50+$H$51+$H$52</f>
        <v>0</v>
      </c>
      <c r="I44" s="23">
        <f>$I$45+$I$46+$I$47+$I$48+$I$49+$I$50+$I$51+$I$52</f>
        <v>0</v>
      </c>
      <c r="J44" s="23">
        <f>$J$45+$J$46+$J$47+$J$48+$J$49+$J$50+$J$51+$J$52</f>
        <v>0</v>
      </c>
    </row>
    <row r="45" spans="2:10" x14ac:dyDescent="0.3">
      <c r="B45" s="21" t="s">
        <v>55</v>
      </c>
      <c r="C45" s="5" t="str">
        <f>INDEX('91_NYELV'!$C$7:$D$408,242,NYELV_IDX)</f>
        <v>1. Szállítói és egyéb kötelezettségek</v>
      </c>
      <c r="E45" s="24"/>
      <c r="F45" s="24"/>
      <c r="G45" s="24"/>
      <c r="H45" s="24"/>
      <c r="I45" s="24"/>
      <c r="J45" s="24"/>
    </row>
    <row r="46" spans="2:10" x14ac:dyDescent="0.3">
      <c r="B46" s="21" t="s">
        <v>56</v>
      </c>
      <c r="C46" s="5" t="str">
        <f>INDEX('91_NYELV'!$C$7:$D$408,243,NYELV_IDX)</f>
        <v>2. Szerződéses kötelezettségek</v>
      </c>
      <c r="E46" s="24"/>
      <c r="F46" s="24"/>
      <c r="G46" s="24"/>
      <c r="H46" s="24"/>
      <c r="I46" s="24"/>
      <c r="J46" s="24"/>
    </row>
    <row r="47" spans="2:10" x14ac:dyDescent="0.3">
      <c r="B47" s="21" t="s">
        <v>57</v>
      </c>
      <c r="C47" s="5" t="str">
        <f>INDEX('91_NYELV'!$C$7:$D$408,244,NYELV_IDX)</f>
        <v>3. Hitelek és kölcsönök (rövid lejáratú)</v>
      </c>
      <c r="E47" s="24"/>
      <c r="F47" s="24"/>
      <c r="G47" s="24"/>
      <c r="H47" s="24"/>
      <c r="I47" s="24"/>
      <c r="J47" s="24"/>
    </row>
    <row r="48" spans="2:10" x14ac:dyDescent="0.3">
      <c r="B48" s="21" t="s">
        <v>58</v>
      </c>
      <c r="C48" s="5" t="str">
        <f>INDEX('91_NYELV'!$C$7:$D$408,245,NYELV_IDX)</f>
        <v>4. Lízingkötelezettségek (rövid lejáratú)</v>
      </c>
      <c r="E48" s="24"/>
      <c r="F48" s="24"/>
      <c r="G48" s="24"/>
      <c r="H48" s="24"/>
      <c r="I48" s="24"/>
      <c r="J48" s="24"/>
    </row>
    <row r="49" spans="2:10" x14ac:dyDescent="0.3">
      <c r="B49" s="21" t="s">
        <v>59</v>
      </c>
      <c r="C49" s="5" t="str">
        <f>INDEX('91_NYELV'!$C$7:$D$408,246,NYELV_IDX)</f>
        <v>5. Tényleges adókötelezettségek</v>
      </c>
      <c r="E49" s="24"/>
      <c r="F49" s="24"/>
      <c r="G49" s="24"/>
      <c r="H49" s="24"/>
      <c r="I49" s="24"/>
      <c r="J49" s="24"/>
    </row>
    <row r="50" spans="2:10" x14ac:dyDescent="0.3">
      <c r="B50" s="21" t="s">
        <v>60</v>
      </c>
      <c r="C50" s="5" t="str">
        <f>INDEX('91_NYELV'!$C$7:$D$408,247,NYELV_IDX)</f>
        <v>6. Céltartalékok (rövid lejáratú)</v>
      </c>
      <c r="E50" s="24"/>
      <c r="F50" s="24"/>
      <c r="G50" s="24"/>
      <c r="H50" s="24"/>
      <c r="I50" s="24"/>
      <c r="J50" s="24"/>
    </row>
    <row r="51" spans="2:10" x14ac:dyDescent="0.3">
      <c r="B51" s="21" t="s">
        <v>61</v>
      </c>
      <c r="C51" s="5" t="str">
        <f>INDEX('91_NYELV'!$C$7:$D$408,248,NYELV_IDX)</f>
        <v>7. Egyéb rövid lejáratú kötelezettségek, passzív elhatárolások</v>
      </c>
      <c r="E51" s="24"/>
      <c r="F51" s="24"/>
      <c r="G51" s="24"/>
      <c r="H51" s="24"/>
      <c r="I51" s="24"/>
      <c r="J51" s="24"/>
    </row>
    <row r="52" spans="2:10" x14ac:dyDescent="0.3">
      <c r="B52" s="21" t="s">
        <v>62</v>
      </c>
      <c r="C52" s="5" t="str">
        <f>INDEX('91_NYELV'!$C$7:$D$408,249,NYELV_IDX)</f>
        <v>8. Értékesítésre tartott kötelezettségek (IFRS 5)</v>
      </c>
      <c r="E52" s="24"/>
      <c r="F52" s="24"/>
      <c r="G52" s="24"/>
      <c r="H52" s="24"/>
      <c r="I52" s="24"/>
      <c r="J52" s="24"/>
    </row>
    <row r="53" spans="2:10" x14ac:dyDescent="0.3">
      <c r="B53" s="21" t="s">
        <v>63</v>
      </c>
      <c r="C53" s="22" t="str">
        <f>INDEX('91_NYELV'!$C$7:$D$408,250,NYELV_IDX)</f>
        <v>SAJÁT TŐKE ÉS KÖTELEZETTSÉGEK ÖSSZESEN</v>
      </c>
      <c r="E53" s="23">
        <f>$E$36+$E$37+$E$44</f>
        <v>0</v>
      </c>
      <c r="F53" s="23">
        <f>$F$36+$F$37+$F$44</f>
        <v>0</v>
      </c>
      <c r="G53" s="23">
        <f>$G$36+$G$37+$G$44</f>
        <v>0</v>
      </c>
      <c r="H53" s="23">
        <f>$H$36+$H$37+$H$44</f>
        <v>0</v>
      </c>
      <c r="I53" s="23">
        <f>$I$36+$I$37+$I$44</f>
        <v>0</v>
      </c>
      <c r="J53" s="23">
        <f>$J$36+$J$37+$J$44</f>
        <v>0</v>
      </c>
    </row>
    <row r="54" spans="2:10" x14ac:dyDescent="0.3">
      <c r="B54" s="21" t="s">
        <v>64</v>
      </c>
      <c r="C54" s="22" t="str">
        <f>INDEX('91_NYELV'!$C$7:$D$408,251,NYELV_IDX)</f>
        <v>I. ÜZEMI (MŰKÖDÉSI) KATEGÓRIA</v>
      </c>
      <c r="E54" s="23">
        <f>$E$55-$E$56+$E$58-$E$59-$E$60-$E$61-$E$62</f>
        <v>0</v>
      </c>
      <c r="F54" s="23">
        <f>$F$55-$F$56+$F$58-$F$59-$F$60-$F$61-$F$62</f>
        <v>0</v>
      </c>
      <c r="G54" s="23">
        <f>$G$55-$G$56+$G$58-$G$59-$G$60-$G$61-$G$62</f>
        <v>0</v>
      </c>
      <c r="H54" s="23">
        <f>$H$55-$H$56+$H$58-$H$59-$H$60-$H$61-$H$62</f>
        <v>0</v>
      </c>
      <c r="I54" s="23">
        <f>$I$55-$I$56+$I$58-$I$59-$I$60-$I$61-$I$62</f>
        <v>0</v>
      </c>
      <c r="J54" s="23">
        <f>$J$55-$J$56+$J$58-$J$59-$J$60-$J$61-$J$62</f>
        <v>0</v>
      </c>
    </row>
    <row r="55" spans="2:10" x14ac:dyDescent="0.3">
      <c r="B55" s="21" t="s">
        <v>65</v>
      </c>
      <c r="C55" s="5" t="str">
        <f>INDEX('91_NYELV'!$C$7:$D$408,252,NYELV_IDX)</f>
        <v>1. Árbevétel</v>
      </c>
      <c r="E55" s="24"/>
      <c r="F55" s="24"/>
      <c r="G55" s="24"/>
      <c r="H55" s="24"/>
      <c r="I55" s="24"/>
      <c r="J55" s="24"/>
    </row>
    <row r="56" spans="2:10" x14ac:dyDescent="0.3">
      <c r="B56" s="21" t="s">
        <v>66</v>
      </c>
      <c r="C56" s="5" t="str">
        <f>INDEX('91_NYELV'!$C$7:$D$408,253,NYELV_IDX)</f>
        <v>2. Az értékesítés önköltsége</v>
      </c>
      <c r="E56" s="24"/>
      <c r="F56" s="24"/>
      <c r="G56" s="24"/>
      <c r="H56" s="24"/>
      <c r="I56" s="24"/>
      <c r="J56" s="24"/>
    </row>
    <row r="57" spans="2:10" x14ac:dyDescent="0.3">
      <c r="B57" s="21" t="s">
        <v>67</v>
      </c>
      <c r="C57" s="25" t="str">
        <f>INDEX('91_NYELV'!$C$7:$D$408,254,NYELV_IDX)</f>
        <v>Bruttó fedezet</v>
      </c>
      <c r="E57" s="8">
        <f>$E$55-$E$56</f>
        <v>0</v>
      </c>
      <c r="F57" s="8">
        <f>$F$55-$F$56</f>
        <v>0</v>
      </c>
      <c r="G57" s="8">
        <f>$G$55-$G$56</f>
        <v>0</v>
      </c>
      <c r="H57" s="8">
        <f>$H$55-$H$56</f>
        <v>0</v>
      </c>
      <c r="I57" s="8">
        <f>$I$55-$I$56</f>
        <v>0</v>
      </c>
      <c r="J57" s="8">
        <f>$J$55-$J$56</f>
        <v>0</v>
      </c>
    </row>
    <row r="58" spans="2:10" x14ac:dyDescent="0.3">
      <c r="B58" s="21" t="s">
        <v>68</v>
      </c>
      <c r="C58" s="5" t="str">
        <f>INDEX('91_NYELV'!$C$7:$D$408,255,NYELV_IDX)</f>
        <v>3. Egyéb működési bevételek</v>
      </c>
      <c r="E58" s="24"/>
      <c r="F58" s="24"/>
      <c r="G58" s="24"/>
      <c r="H58" s="24"/>
      <c r="I58" s="24"/>
      <c r="J58" s="24"/>
    </row>
    <row r="59" spans="2:10" x14ac:dyDescent="0.3">
      <c r="B59" s="21" t="s">
        <v>69</v>
      </c>
      <c r="C59" s="5" t="str">
        <f>INDEX('91_NYELV'!$C$7:$D$408,256,NYELV_IDX)</f>
        <v>4. Értékesítési és forgalmazási költségek</v>
      </c>
      <c r="E59" s="24"/>
      <c r="F59" s="24"/>
      <c r="G59" s="24"/>
      <c r="H59" s="24"/>
      <c r="I59" s="24"/>
      <c r="J59" s="24"/>
    </row>
    <row r="60" spans="2:10" x14ac:dyDescent="0.3">
      <c r="B60" s="21" t="s">
        <v>70</v>
      </c>
      <c r="C60" s="5" t="str">
        <f>INDEX('91_NYELV'!$C$7:$D$408,257,NYELV_IDX)</f>
        <v>5. Igazgatási költségek</v>
      </c>
      <c r="E60" s="24"/>
      <c r="F60" s="24"/>
      <c r="G60" s="24"/>
      <c r="H60" s="24"/>
      <c r="I60" s="24"/>
      <c r="J60" s="24"/>
    </row>
    <row r="61" spans="2:10" x14ac:dyDescent="0.3">
      <c r="B61" s="21" t="s">
        <v>71</v>
      </c>
      <c r="C61" s="5" t="str">
        <f>INDEX('91_NYELV'!$C$7:$D$408,258,NYELV_IDX)</f>
        <v>6. Értékvesztés (goodwill és egyéb eszközök, IAS 36)</v>
      </c>
      <c r="E61" s="24"/>
      <c r="F61" s="24"/>
      <c r="G61" s="24"/>
      <c r="H61" s="24"/>
      <c r="I61" s="24"/>
      <c r="J61" s="24"/>
    </row>
    <row r="62" spans="2:10" x14ac:dyDescent="0.3">
      <c r="B62" s="21" t="s">
        <v>72</v>
      </c>
      <c r="C62" s="5" t="str">
        <f>INDEX('91_NYELV'!$C$7:$D$408,259,NYELV_IDX)</f>
        <v>7. Egyéb működési ráfordítások</v>
      </c>
      <c r="E62" s="24"/>
      <c r="F62" s="24"/>
      <c r="G62" s="24"/>
      <c r="H62" s="24"/>
      <c r="I62" s="24"/>
      <c r="J62" s="24"/>
    </row>
    <row r="63" spans="2:10" x14ac:dyDescent="0.3">
      <c r="B63" s="21" t="s">
        <v>73</v>
      </c>
      <c r="C63" s="22" t="str">
        <f>INDEX('91_NYELV'!$C$7:$D$408,260,NYELV_IDX)</f>
        <v>ÜZEMI EREDMÉNY [IFRS 18 kötelező részösszeg]</v>
      </c>
      <c r="E63" s="23">
        <f>$E$54</f>
        <v>0</v>
      </c>
      <c r="F63" s="23">
        <f>$F$54</f>
        <v>0</v>
      </c>
      <c r="G63" s="23">
        <f>$G$54</f>
        <v>0</v>
      </c>
      <c r="H63" s="23">
        <f>$H$54</f>
        <v>0</v>
      </c>
      <c r="I63" s="23">
        <f>$I$54</f>
        <v>0</v>
      </c>
      <c r="J63" s="23">
        <f>$J$54</f>
        <v>0</v>
      </c>
    </row>
    <row r="64" spans="2:10" x14ac:dyDescent="0.3">
      <c r="B64" s="21" t="s">
        <v>74</v>
      </c>
      <c r="C64" s="22" t="str">
        <f>INDEX('91_NYELV'!$C$7:$D$408,261,NYELV_IDX)</f>
        <v>II. BEFEKTETÉSI KATEGÓRIA</v>
      </c>
      <c r="E64" s="23">
        <f>$E$65+$E$66+$E$67</f>
        <v>0</v>
      </c>
      <c r="F64" s="23">
        <f>$F$65+$F$66+$F$67</f>
        <v>0</v>
      </c>
      <c r="G64" s="23">
        <f>$G$65+$G$66+$G$67</f>
        <v>0</v>
      </c>
      <c r="H64" s="23">
        <f>$H$65+$H$66+$H$67</f>
        <v>0</v>
      </c>
      <c r="I64" s="23">
        <f>$I$65+$I$66+$I$67</f>
        <v>0</v>
      </c>
      <c r="J64" s="23">
        <f>$J$65+$J$66+$J$67</f>
        <v>0</v>
      </c>
    </row>
    <row r="65" spans="2:10" x14ac:dyDescent="0.3">
      <c r="B65" s="21" t="s">
        <v>75</v>
      </c>
      <c r="C65" s="5" t="str">
        <f>INDEX('91_NYELV'!$C$7:$D$408,262,NYELV_IDX)</f>
        <v>1. Társult és közös vezetésű vállalkozások eredményéből való részesedés</v>
      </c>
      <c r="E65" s="24"/>
      <c r="F65" s="24"/>
      <c r="G65" s="24"/>
      <c r="H65" s="24"/>
      <c r="I65" s="24"/>
      <c r="J65" s="24"/>
    </row>
    <row r="66" spans="2:10" x14ac:dyDescent="0.3">
      <c r="B66" s="21" t="s">
        <v>76</v>
      </c>
      <c r="C66" s="5" t="str">
        <f>INDEX('91_NYELV'!$C$7:$D$408,263,NYELV_IDX)</f>
        <v>2. Befektetések bevételei (osztalék, árfolyamnyereség)</v>
      </c>
      <c r="E66" s="24"/>
      <c r="F66" s="24"/>
      <c r="G66" s="24"/>
      <c r="H66" s="24"/>
      <c r="I66" s="24"/>
      <c r="J66" s="24"/>
    </row>
    <row r="67" spans="2:10" x14ac:dyDescent="0.3">
      <c r="B67" s="21" t="s">
        <v>77</v>
      </c>
      <c r="C67" s="5" t="str">
        <f>INDEX('91_NYELV'!$C$7:$D$408,264,NYELV_IDX)</f>
        <v>3. Befektetések kamatbevétele</v>
      </c>
      <c r="E67" s="24"/>
      <c r="F67" s="24"/>
      <c r="G67" s="24"/>
      <c r="H67" s="24"/>
      <c r="I67" s="24"/>
      <c r="J67" s="24"/>
    </row>
    <row r="68" spans="2:10" x14ac:dyDescent="0.3">
      <c r="B68" s="21" t="s">
        <v>78</v>
      </c>
      <c r="C68" s="22" t="str">
        <f>INDEX('91_NYELV'!$C$7:$D$408,265,NYELV_IDX)</f>
        <v>FINANSZÍROZÁS ÉS NYERESÉGADÓK ELŐTTI EREDMÉNY [IFRS 18 kötelező részösszeg]</v>
      </c>
      <c r="E68" s="23">
        <f>$E$63+$E$64</f>
        <v>0</v>
      </c>
      <c r="F68" s="23">
        <f>$F$63+$F$64</f>
        <v>0</v>
      </c>
      <c r="G68" s="23">
        <f>$G$63+$G$64</f>
        <v>0</v>
      </c>
      <c r="H68" s="23">
        <f>$H$63+$H$64</f>
        <v>0</v>
      </c>
      <c r="I68" s="23">
        <f>$I$63+$I$64</f>
        <v>0</v>
      </c>
      <c r="J68" s="23">
        <f>$J$63+$J$64</f>
        <v>0</v>
      </c>
    </row>
    <row r="69" spans="2:10" x14ac:dyDescent="0.3">
      <c r="B69" s="21" t="s">
        <v>79</v>
      </c>
      <c r="C69" s="22" t="str">
        <f>INDEX('91_NYELV'!$C$7:$D$408,266,NYELV_IDX)</f>
        <v>III. FINANSZÍROZÁSI KATEGÓRIA</v>
      </c>
      <c r="E69" s="23">
        <f>-$E$70-$E$71-$E$72+$E$73</f>
        <v>0</v>
      </c>
      <c r="F69" s="23">
        <f>-$F$70-$F$71-$F$72+$F$73</f>
        <v>0</v>
      </c>
      <c r="G69" s="23">
        <f>-$G$70-$G$71-$G$72+$G$73</f>
        <v>0</v>
      </c>
      <c r="H69" s="23">
        <f>-$H$70-$H$71-$H$72+$H$73</f>
        <v>0</v>
      </c>
      <c r="I69" s="23">
        <f>-$I$70-$I$71-$I$72+$I$73</f>
        <v>0</v>
      </c>
      <c r="J69" s="23">
        <f>-$J$70-$J$71-$J$72+$J$73</f>
        <v>0</v>
      </c>
    </row>
    <row r="70" spans="2:10" x14ac:dyDescent="0.3">
      <c r="B70" s="21" t="s">
        <v>80</v>
      </c>
      <c r="C70" s="5" t="str">
        <f>INDEX('91_NYELV'!$C$7:$D$408,267,NYELV_IDX)</f>
        <v>1. Hitelek és kölcsönök kamatráfordítása</v>
      </c>
      <c r="E70" s="24"/>
      <c r="F70" s="24"/>
      <c r="G70" s="24"/>
      <c r="H70" s="24"/>
      <c r="I70" s="24"/>
      <c r="J70" s="24"/>
    </row>
    <row r="71" spans="2:10" x14ac:dyDescent="0.3">
      <c r="B71" s="21" t="s">
        <v>81</v>
      </c>
      <c r="C71" s="5" t="str">
        <f>INDEX('91_NYELV'!$C$7:$D$408,268,NYELV_IDX)</f>
        <v>2. Lízingkötelezettségek kamatráfordítása</v>
      </c>
      <c r="E71" s="24"/>
      <c r="F71" s="24"/>
      <c r="G71" s="24"/>
      <c r="H71" s="24"/>
      <c r="I71" s="24"/>
      <c r="J71" s="24"/>
    </row>
    <row r="72" spans="2:10" x14ac:dyDescent="0.3">
      <c r="B72" s="21" t="s">
        <v>82</v>
      </c>
      <c r="C72" s="5" t="str">
        <f>INDEX('91_NYELV'!$C$7:$D$408,269,NYELV_IDX)</f>
        <v>3. Egyéb finanszírozási ráfordítások</v>
      </c>
      <c r="E72" s="24"/>
      <c r="F72" s="24"/>
      <c r="G72" s="24"/>
      <c r="H72" s="24"/>
      <c r="I72" s="24"/>
      <c r="J72" s="24"/>
    </row>
    <row r="73" spans="2:10" x14ac:dyDescent="0.3">
      <c r="B73" s="21" t="s">
        <v>83</v>
      </c>
      <c r="C73" s="5" t="str">
        <f>INDEX('91_NYELV'!$C$7:$D$408,270,NYELV_IDX)</f>
        <v>4. Finanszírozási bevételek</v>
      </c>
      <c r="E73" s="24"/>
      <c r="F73" s="24"/>
      <c r="G73" s="24"/>
      <c r="H73" s="24"/>
      <c r="I73" s="24"/>
      <c r="J73" s="24"/>
    </row>
    <row r="74" spans="2:10" x14ac:dyDescent="0.3">
      <c r="B74" s="21" t="s">
        <v>84</v>
      </c>
      <c r="C74" s="22" t="str">
        <f>INDEX('91_NYELV'!$C$7:$D$408,271,NYELV_IDX)</f>
        <v>ADÓZÁS ELŐTTI EREDMÉNY</v>
      </c>
      <c r="E74" s="23">
        <f>$E$68+$E$69</f>
        <v>0</v>
      </c>
      <c r="F74" s="23">
        <f>$F$68+$F$69</f>
        <v>0</v>
      </c>
      <c r="G74" s="23">
        <f>$G$68+$G$69</f>
        <v>0</v>
      </c>
      <c r="H74" s="23">
        <f>$H$68+$H$69</f>
        <v>0</v>
      </c>
      <c r="I74" s="23">
        <f>$I$68+$I$69</f>
        <v>0</v>
      </c>
      <c r="J74" s="23">
        <f>$J$68+$J$69</f>
        <v>0</v>
      </c>
    </row>
    <row r="75" spans="2:10" x14ac:dyDescent="0.3">
      <c r="B75" s="21" t="s">
        <v>85</v>
      </c>
      <c r="C75" s="22" t="str">
        <f>INDEX('91_NYELV'!$C$7:$D$408,272,NYELV_IDX)</f>
        <v>IV. NYERESÉGADÓK KATEGÓRIA</v>
      </c>
      <c r="E75" s="23">
        <f>-$E$76-$E$77</f>
        <v>0</v>
      </c>
      <c r="F75" s="23">
        <f>-$F$76-$F$77</f>
        <v>0</v>
      </c>
      <c r="G75" s="23">
        <f>-$G$76-$G$77</f>
        <v>0</v>
      </c>
      <c r="H75" s="23">
        <f>-$H$76-$H$77</f>
        <v>0</v>
      </c>
      <c r="I75" s="23">
        <f>-$I$76-$I$77</f>
        <v>0</v>
      </c>
      <c r="J75" s="23">
        <f>-$J$76-$J$77</f>
        <v>0</v>
      </c>
    </row>
    <row r="76" spans="2:10" x14ac:dyDescent="0.3">
      <c r="B76" s="21" t="s">
        <v>86</v>
      </c>
      <c r="C76" s="5" t="str">
        <f>INDEX('91_NYELV'!$C$7:$D$408,273,NYELV_IDX)</f>
        <v>1. Nyereségadó-ráfordítás (IAS 12)</v>
      </c>
      <c r="E76" s="24"/>
      <c r="F76" s="24"/>
      <c r="G76" s="24"/>
      <c r="H76" s="24"/>
      <c r="I76" s="24"/>
      <c r="J76" s="24"/>
    </row>
    <row r="77" spans="2:10" x14ac:dyDescent="0.3">
      <c r="B77" s="21" t="s">
        <v>87</v>
      </c>
      <c r="C77" s="5" t="str">
        <f>INDEX('91_NYELV'!$C$7:$D$408,274,NYELV_IDX)</f>
        <v>2. Konszolidáció miatti halasztott adó (IAS 12)</v>
      </c>
      <c r="E77" s="24"/>
      <c r="F77" s="24"/>
      <c r="G77" s="24"/>
      <c r="H77" s="24"/>
      <c r="I77" s="24"/>
      <c r="J77" s="24"/>
    </row>
    <row r="78" spans="2:10" x14ac:dyDescent="0.3">
      <c r="B78" s="21" t="s">
        <v>88</v>
      </c>
      <c r="C78" s="22" t="str">
        <f>INDEX('91_NYELV'!$C$7:$D$408,275,NYELV_IDX)</f>
        <v>FOLYTATÓDÓ TEVÉKENYSÉG EREDMÉNYE</v>
      </c>
      <c r="E78" s="23">
        <f>$E$74+$E$75</f>
        <v>0</v>
      </c>
      <c r="F78" s="23">
        <f>$F$74+$F$75</f>
        <v>0</v>
      </c>
      <c r="G78" s="23">
        <f>$G$74+$G$75</f>
        <v>0</v>
      </c>
      <c r="H78" s="23">
        <f>$H$74+$H$75</f>
        <v>0</v>
      </c>
      <c r="I78" s="23">
        <f>$I$74+$I$75</f>
        <v>0</v>
      </c>
      <c r="J78" s="23">
        <f>$J$74+$J$75</f>
        <v>0</v>
      </c>
    </row>
    <row r="79" spans="2:10" x14ac:dyDescent="0.3">
      <c r="B79" s="21" t="s">
        <v>89</v>
      </c>
      <c r="C79" s="22" t="str">
        <f>INDEX('91_NYELV'!$C$7:$D$408,276,NYELV_IDX)</f>
        <v>V. MEGSZŰNT TEVÉKENYSÉGEK KATEGÓRIA</v>
      </c>
      <c r="E79" s="23">
        <f>$E$80</f>
        <v>0</v>
      </c>
      <c r="F79" s="23">
        <f>$F$80</f>
        <v>0</v>
      </c>
      <c r="G79" s="23">
        <f>$G$80</f>
        <v>0</v>
      </c>
      <c r="H79" s="23">
        <f>$H$80</f>
        <v>0</v>
      </c>
      <c r="I79" s="23">
        <f>$I$80</f>
        <v>0</v>
      </c>
      <c r="J79" s="23">
        <f>$J$80</f>
        <v>0</v>
      </c>
    </row>
    <row r="80" spans="2:10" x14ac:dyDescent="0.3">
      <c r="B80" s="21" t="s">
        <v>90</v>
      </c>
      <c r="C80" s="5" t="str">
        <f>INDEX('91_NYELV'!$C$7:$D$408,277,NYELV_IDX)</f>
        <v>1. Megszűnt tevékenységek eredménye (IFRS 5)</v>
      </c>
      <c r="E80" s="24"/>
      <c r="F80" s="24"/>
      <c r="G80" s="24"/>
      <c r="H80" s="24"/>
      <c r="I80" s="24"/>
      <c r="J80" s="24"/>
    </row>
    <row r="81" spans="2:10" x14ac:dyDescent="0.3">
      <c r="B81" s="21" t="s">
        <v>91</v>
      </c>
      <c r="C81" s="22" t="str">
        <f>INDEX('91_NYELV'!$C$7:$D$408,278,NYELV_IDX)</f>
        <v>IDŐSZAKI EREDMÉNY</v>
      </c>
      <c r="E81" s="23">
        <f>$E$78+$E$79</f>
        <v>0</v>
      </c>
      <c r="F81" s="23">
        <f>$F$78+$F$79</f>
        <v>0</v>
      </c>
      <c r="G81" s="23">
        <f>$G$78+$G$79</f>
        <v>0</v>
      </c>
      <c r="H81" s="23">
        <f>$H$78+$H$79</f>
        <v>0</v>
      </c>
      <c r="I81" s="23">
        <f>$I$78+$I$79</f>
        <v>0</v>
      </c>
      <c r="J81" s="23">
        <f>$J$78+$J$79</f>
        <v>0</v>
      </c>
    </row>
    <row r="82" spans="2:10" x14ac:dyDescent="0.3">
      <c r="B82" s="21" t="s">
        <v>92</v>
      </c>
      <c r="C82" s="5" t="str">
        <f>INDEX('91_NYELV'!$C$7:$D$408,279,NYELV_IDX)</f>
        <v>ebből: az anyavállalat tulajdonosaira jutó</v>
      </c>
      <c r="E82" s="24"/>
      <c r="F82" s="24"/>
      <c r="G82" s="24"/>
      <c r="H82" s="24"/>
      <c r="I82" s="24"/>
      <c r="J82" s="24"/>
    </row>
    <row r="83" spans="2:10" x14ac:dyDescent="0.3">
      <c r="B83" s="21" t="s">
        <v>93</v>
      </c>
      <c r="C83" s="5" t="str">
        <f>INDEX('91_NYELV'!$C$7:$D$408,280,NYELV_IDX)</f>
        <v>ebből: a nem ellenőrző részesedésekre jutó</v>
      </c>
      <c r="E83" s="24"/>
      <c r="F83" s="24"/>
      <c r="G83" s="24"/>
      <c r="H83" s="24"/>
      <c r="I83" s="24"/>
      <c r="J83" s="24"/>
    </row>
    <row r="84" spans="2:10" x14ac:dyDescent="0.3">
      <c r="B84" s="21" t="s">
        <v>94</v>
      </c>
      <c r="C84" s="5" t="str">
        <f>INDEX('91_NYELV'!$C$7:$D$408,281,NYELV_IDX)</f>
        <v>Késztermékek és befejezetlen termelés állományváltozása</v>
      </c>
      <c r="E84" s="24"/>
      <c r="F84" s="24"/>
      <c r="G84" s="24"/>
      <c r="H84" s="24"/>
      <c r="I84" s="24"/>
      <c r="J84" s="24"/>
    </row>
    <row r="85" spans="2:10" x14ac:dyDescent="0.3">
      <c r="B85" s="21" t="s">
        <v>95</v>
      </c>
      <c r="C85" s="5" t="str">
        <f>INDEX('91_NYELV'!$C$7:$D$408,282,NYELV_IDX)</f>
        <v>Felhasznált anyagok és igénybe vett szolgáltatások</v>
      </c>
      <c r="E85" s="24"/>
      <c r="F85" s="24"/>
      <c r="G85" s="24"/>
      <c r="H85" s="24"/>
      <c r="I85" s="24"/>
      <c r="J85" s="24"/>
    </row>
    <row r="86" spans="2:10" x14ac:dyDescent="0.3">
      <c r="B86" s="21" t="s">
        <v>96</v>
      </c>
      <c r="C86" s="5" t="str">
        <f>INDEX('91_NYELV'!$C$7:$D$408,283,NYELV_IDX)</f>
        <v>Személyi jellegű ráfordítások</v>
      </c>
      <c r="E86" s="24"/>
      <c r="F86" s="24"/>
      <c r="G86" s="24"/>
      <c r="H86" s="24"/>
      <c r="I86" s="24"/>
      <c r="J86" s="24"/>
    </row>
    <row r="87" spans="2:10" x14ac:dyDescent="0.3">
      <c r="B87" s="21" t="s">
        <v>97</v>
      </c>
      <c r="C87" s="5" t="str">
        <f>INDEX('91_NYELV'!$C$7:$D$408,284,NYELV_IDX)</f>
        <v>Értékcsökkenési leírás és amortizáció</v>
      </c>
      <c r="E87" s="24"/>
      <c r="F87" s="24"/>
      <c r="G87" s="24"/>
      <c r="H87" s="24"/>
      <c r="I87" s="24"/>
      <c r="J87" s="24"/>
    </row>
    <row r="88" spans="2:10" x14ac:dyDescent="0.3">
      <c r="B88" s="21" t="s">
        <v>98</v>
      </c>
      <c r="C88" s="5" t="str">
        <f>INDEX('91_NYELV'!$C$7:$D$408,285,NYELV_IDX)</f>
        <v>Egyéb ráfordítások</v>
      </c>
      <c r="E88" s="24"/>
      <c r="F88" s="24"/>
      <c r="G88" s="24"/>
      <c r="H88" s="24"/>
      <c r="I88" s="24"/>
      <c r="J88" s="24"/>
    </row>
    <row r="89" spans="2:10" x14ac:dyDescent="0.3">
      <c r="B89" s="21" t="s">
        <v>99</v>
      </c>
      <c r="C89" s="22" t="str">
        <f>INDEX('91_NYELV'!$C$7:$D$408,286,NYELV_IDX)</f>
        <v>A. Eredménybe át NEM sorolható tételek</v>
      </c>
      <c r="E89" s="23">
        <f>$E$90+$E$91+$E$92-$E$93</f>
        <v>0</v>
      </c>
      <c r="F89" s="23">
        <f>$F$90+$F$91+$F$92-$F$93</f>
        <v>0</v>
      </c>
      <c r="G89" s="23">
        <f>$G$90+$G$91+$G$92-$G$93</f>
        <v>0</v>
      </c>
      <c r="H89" s="23">
        <f>$H$90+$H$91+$H$92-$H$93</f>
        <v>0</v>
      </c>
      <c r="I89" s="23">
        <f>$I$90+$I$91+$I$92-$I$93</f>
        <v>0</v>
      </c>
      <c r="J89" s="23">
        <f>$J$90+$J$91+$J$92-$J$93</f>
        <v>0</v>
      </c>
    </row>
    <row r="90" spans="2:10" x14ac:dyDescent="0.3">
      <c r="B90" s="21" t="s">
        <v>100</v>
      </c>
      <c r="C90" s="5" t="str">
        <f>INDEX('91_NYELV'!$C$7:$D$408,287,NYELV_IDX)</f>
        <v>1. Ingatlanok, gépek, berendezések értékelési többlete</v>
      </c>
      <c r="E90" s="24"/>
      <c r="F90" s="24"/>
      <c r="G90" s="24"/>
      <c r="H90" s="24"/>
      <c r="I90" s="24"/>
      <c r="J90" s="24"/>
    </row>
    <row r="91" spans="2:10" x14ac:dyDescent="0.3">
      <c r="B91" s="21" t="s">
        <v>101</v>
      </c>
      <c r="C91" s="5" t="str">
        <f>INDEX('91_NYELV'!$C$7:$D$408,288,NYELV_IDX)</f>
        <v>2. Meghatározott juttatási programok újraértékelése</v>
      </c>
      <c r="E91" s="24"/>
      <c r="F91" s="24"/>
      <c r="G91" s="24"/>
      <c r="H91" s="24"/>
      <c r="I91" s="24"/>
      <c r="J91" s="24"/>
    </row>
    <row r="92" spans="2:10" x14ac:dyDescent="0.3">
      <c r="B92" s="21" t="s">
        <v>102</v>
      </c>
      <c r="C92" s="5" t="str">
        <f>INDEX('91_NYELV'!$C$7:$D$408,289,NYELV_IDX)</f>
        <v>3. FVOCI tőkeinstrumentumok valósérték-változása</v>
      </c>
      <c r="E92" s="24"/>
      <c r="F92" s="24"/>
      <c r="G92" s="24"/>
      <c r="H92" s="24"/>
      <c r="I92" s="24"/>
      <c r="J92" s="24"/>
    </row>
    <row r="93" spans="2:10" x14ac:dyDescent="0.3">
      <c r="B93" s="21" t="s">
        <v>103</v>
      </c>
      <c r="C93" s="5" t="str">
        <f>INDEX('91_NYELV'!$C$7:$D$408,290,NYELV_IDX)</f>
        <v>4. A fenti tételekre jutó nyereségadó</v>
      </c>
      <c r="E93" s="24"/>
      <c r="F93" s="24"/>
      <c r="G93" s="24"/>
      <c r="H93" s="24"/>
      <c r="I93" s="24"/>
      <c r="J93" s="24"/>
    </row>
    <row r="94" spans="2:10" x14ac:dyDescent="0.3">
      <c r="B94" s="21" t="s">
        <v>104</v>
      </c>
      <c r="C94" s="22" t="str">
        <f>INDEX('91_NYELV'!$C$7:$D$408,291,NYELV_IDX)</f>
        <v>B. Eredménybe átsorolható tételek</v>
      </c>
      <c r="E94" s="23">
        <f>$E$95+$E$96+$E$97+$E$98-$E$99</f>
        <v>0</v>
      </c>
      <c r="F94" s="23">
        <f>$F$95+$F$96+$F$97+$F$98-$F$99</f>
        <v>0</v>
      </c>
      <c r="G94" s="23">
        <f>$G$95+$G$96+$G$97+$G$98-$G$99</f>
        <v>0</v>
      </c>
      <c r="H94" s="23">
        <f>$H$95+$H$96+$H$97+$H$98-$H$99</f>
        <v>0</v>
      </c>
      <c r="I94" s="23">
        <f>$I$95+$I$96+$I$97+$I$98-$I$99</f>
        <v>0</v>
      </c>
      <c r="J94" s="23">
        <f>$J$95+$J$96+$J$97+$J$98-$J$99</f>
        <v>0</v>
      </c>
    </row>
    <row r="95" spans="2:10" x14ac:dyDescent="0.3">
      <c r="B95" s="21" t="s">
        <v>105</v>
      </c>
      <c r="C95" s="5" t="str">
        <f>INDEX('91_NYELV'!$C$7:$D$408,292,NYELV_IDX)</f>
        <v>1. Külföldi érdekeltségek átszámítási különbözete (IAS 21)</v>
      </c>
      <c r="E95" s="24"/>
      <c r="F95" s="24"/>
      <c r="G95" s="24"/>
      <c r="H95" s="24"/>
      <c r="I95" s="24"/>
      <c r="J95" s="24"/>
    </row>
    <row r="96" spans="2:10" x14ac:dyDescent="0.3">
      <c r="B96" s="21" t="s">
        <v>106</v>
      </c>
      <c r="C96" s="5" t="str">
        <f>INDEX('91_NYELV'!$C$7:$D$408,293,NYELV_IDX)</f>
        <v>2. Cash flow fedezeti ügyletek</v>
      </c>
      <c r="E96" s="24"/>
      <c r="F96" s="24"/>
      <c r="G96" s="24"/>
      <c r="H96" s="24"/>
      <c r="I96" s="24"/>
      <c r="J96" s="24"/>
    </row>
    <row r="97" spans="2:10" x14ac:dyDescent="0.3">
      <c r="B97" s="21" t="s">
        <v>107</v>
      </c>
      <c r="C97" s="5" t="str">
        <f>INDEX('91_NYELV'!$C$7:$D$408,294,NYELV_IDX)</f>
        <v>3. FVOCI hitelinstrumentumok valósérték-változása</v>
      </c>
      <c r="E97" s="24"/>
      <c r="F97" s="24"/>
      <c r="G97" s="24"/>
      <c r="H97" s="24"/>
      <c r="I97" s="24"/>
      <c r="J97" s="24"/>
    </row>
    <row r="98" spans="2:10" x14ac:dyDescent="0.3">
      <c r="B98" s="21" t="s">
        <v>108</v>
      </c>
      <c r="C98" s="5" t="str">
        <f>INDEX('91_NYELV'!$C$7:$D$408,295,NYELV_IDX)</f>
        <v>4. Társult vállalkozások egyéb átfogó jövedelméből való részesedés</v>
      </c>
      <c r="E98" s="24"/>
      <c r="F98" s="24"/>
      <c r="G98" s="24"/>
      <c r="H98" s="24"/>
      <c r="I98" s="24"/>
      <c r="J98" s="24"/>
    </row>
    <row r="99" spans="2:10" x14ac:dyDescent="0.3">
      <c r="B99" s="21" t="s">
        <v>109</v>
      </c>
      <c r="C99" s="5" t="str">
        <f>INDEX('91_NYELV'!$C$7:$D$408,296,NYELV_IDX)</f>
        <v>5. A fenti tételekre jutó nyereségadó</v>
      </c>
      <c r="E99" s="24"/>
      <c r="F99" s="24"/>
      <c r="G99" s="24"/>
      <c r="H99" s="24"/>
      <c r="I99" s="24"/>
      <c r="J99" s="24"/>
    </row>
    <row r="100" spans="2:10" x14ac:dyDescent="0.3">
      <c r="B100" s="21" t="s">
        <v>110</v>
      </c>
      <c r="C100" s="22" t="str">
        <f>INDEX('91_NYELV'!$C$7:$D$408,297,NYELV_IDX)</f>
        <v>IDŐSZAKI EGYÉB ÁTFOGÓ JÖVEDELEM ÖSSZESEN</v>
      </c>
      <c r="E100" s="23">
        <f>$E$89+$E$94</f>
        <v>0</v>
      </c>
      <c r="F100" s="23">
        <f>$F$89+$F$94</f>
        <v>0</v>
      </c>
      <c r="G100" s="23">
        <f>$G$89+$G$94</f>
        <v>0</v>
      </c>
      <c r="H100" s="23">
        <f>$H$89+$H$94</f>
        <v>0</v>
      </c>
      <c r="I100" s="23">
        <f>$I$89+$I$94</f>
        <v>0</v>
      </c>
      <c r="J100" s="23">
        <f>$J$89+$J$94</f>
        <v>0</v>
      </c>
    </row>
    <row r="101" spans="2:10" x14ac:dyDescent="0.3">
      <c r="B101" s="21" t="s">
        <v>111</v>
      </c>
      <c r="C101" s="22" t="str">
        <f>INDEX('91_NYELV'!$C$7:$D$408,298,NYELV_IDX)</f>
        <v>IDŐSZAKI ÁTFOGÓ JÖVEDELEM ÖSSZESEN</v>
      </c>
      <c r="E101" s="23">
        <f>$E$81+$E$100</f>
        <v>0</v>
      </c>
      <c r="F101" s="23">
        <f>$F$81+$F$100</f>
        <v>0</v>
      </c>
      <c r="G101" s="23">
        <f>$G$81+$G$100</f>
        <v>0</v>
      </c>
      <c r="H101" s="23">
        <f>$H$81+$H$100</f>
        <v>0</v>
      </c>
      <c r="I101" s="23">
        <f>$I$81+$I$100</f>
        <v>0</v>
      </c>
      <c r="J101" s="23">
        <f>$J$81+$J$100</f>
        <v>0</v>
      </c>
    </row>
    <row r="102" spans="2:10" x14ac:dyDescent="0.3">
      <c r="B102" s="21" t="s">
        <v>112</v>
      </c>
      <c r="C102" s="5" t="str">
        <f>INDEX('91_NYELV'!$C$7:$D$408,299,NYELV_IDX)</f>
        <v>ebből: az anyavállalat tulajdonosaira jutó</v>
      </c>
      <c r="E102" s="24"/>
      <c r="F102" s="24"/>
      <c r="G102" s="24"/>
      <c r="H102" s="24"/>
      <c r="I102" s="24"/>
      <c r="J102" s="24"/>
    </row>
    <row r="103" spans="2:10" x14ac:dyDescent="0.3">
      <c r="B103" s="21" t="s">
        <v>113</v>
      </c>
      <c r="C103" s="5" t="str">
        <f>INDEX('91_NYELV'!$C$7:$D$408,300,NYELV_IDX)</f>
        <v>ebből: a nem ellenőrző részesedésekre jutó</v>
      </c>
      <c r="E103" s="24"/>
      <c r="F103" s="24"/>
      <c r="G103" s="24"/>
      <c r="H103" s="24"/>
      <c r="I103" s="24"/>
      <c r="J103" s="24"/>
    </row>
    <row r="105" spans="2:10" x14ac:dyDescent="0.3">
      <c r="C105" s="10" t="str">
        <f>INDEX('91_NYELV'!$C$7:$D$408,183,NYELV_IDX)</f>
        <v>Egyensúly-ellenőrzés</v>
      </c>
      <c r="E105" s="23">
        <f t="shared" ref="E105:J105" si="0">E27-E53</f>
        <v>0</v>
      </c>
      <c r="F105" s="23">
        <f t="shared" si="0"/>
        <v>0</v>
      </c>
      <c r="G105" s="23">
        <f t="shared" si="0"/>
        <v>0</v>
      </c>
      <c r="H105" s="23">
        <f t="shared" si="0"/>
        <v>0</v>
      </c>
      <c r="I105" s="23">
        <f t="shared" si="0"/>
        <v>0</v>
      </c>
      <c r="J105" s="23">
        <f t="shared" si="0"/>
        <v>0</v>
      </c>
    </row>
  </sheetData>
  <sheetProtection algorithmName="SHA-512" hashValue="lVLhwBpoRN3COG19792uNnL1iC8awWsi1dRv+4D0Pei9fFQVhco+MTvemgNCRa4948Fwt0FErG8E6XfpUa1YQg==" saltValue="/uh7gEsxp8AwSQ2yCSEqeQ==" spinCount="100000" sheet="1" objects="1" scenarios="1"/>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Munka5"/>
  <dimension ref="B1:D103"/>
  <sheetViews>
    <sheetView showGridLines="0" workbookViewId="0"/>
  </sheetViews>
  <sheetFormatPr defaultRowHeight="14.4" x14ac:dyDescent="0.3"/>
  <cols>
    <col min="2" max="2" width="14" customWidth="1"/>
    <col min="3" max="3" width="58" customWidth="1"/>
    <col min="4" max="4" width="18" customWidth="1"/>
  </cols>
  <sheetData>
    <row r="1" spans="2:4" ht="73.95" customHeight="1" x14ac:dyDescent="0.3"/>
    <row r="3" spans="2:4" ht="18" x14ac:dyDescent="0.35">
      <c r="B3" s="11" t="str">
        <f>INDEX('91_NYELV'!$C$7:$D$408,181,NYELV_IDX)</f>
        <v>Előző évi (nyitó) konszolidált adatok</v>
      </c>
    </row>
    <row r="4" spans="2:4" x14ac:dyDescent="0.3">
      <c r="B4" s="15" t="str">
        <f>INDEX('91_NYELV'!$C$7:$D$408,8,NYELV_IDX)</f>
        <v>A sárga hátterű, kék betűs cellák a kitöltendő adatok. A szürke cellák képletet tartalmaznak.</v>
      </c>
    </row>
    <row r="7" spans="2:4" x14ac:dyDescent="0.3">
      <c r="B7" s="16" t="str">
        <f>INDEX('91_NYELV'!$C$7:$D$408,9,NYELV_IDX)</f>
        <v>Kód</v>
      </c>
      <c r="C7" s="16" t="str">
        <f>INDEX('91_NYELV'!$C$7:$D$408,10,NYELV_IDX)</f>
        <v>Megnevezés</v>
      </c>
      <c r="D7" s="16" t="str">
        <f>INDEX('91_NYELV'!$C$7:$D$408,12,NYELV_IDX)</f>
        <v>Előző év</v>
      </c>
    </row>
    <row r="8" spans="2:4" x14ac:dyDescent="0.3">
      <c r="B8" s="21" t="s">
        <v>18</v>
      </c>
      <c r="C8" s="22" t="str">
        <f>INDEX('91_NYELV'!$C$7:$D$408,205,NYELV_IDX)</f>
        <v>A. BEFEKTETETT ESZKÖZÖK</v>
      </c>
      <c r="D8" s="24"/>
    </row>
    <row r="9" spans="2:4" x14ac:dyDescent="0.3">
      <c r="B9" s="21" t="s">
        <v>19</v>
      </c>
      <c r="C9" s="5" t="str">
        <f>INDEX('91_NYELV'!$C$7:$D$408,206,NYELV_IDX)</f>
        <v>1. Ingatlanok, gépek és berendezések</v>
      </c>
      <c r="D9" s="24"/>
    </row>
    <row r="10" spans="2:4" x14ac:dyDescent="0.3">
      <c r="B10" s="21" t="s">
        <v>20</v>
      </c>
      <c r="C10" s="5" t="str">
        <f>INDEX('91_NYELV'!$C$7:$D$408,207,NYELV_IDX)</f>
        <v>2. Használatijog-eszközök</v>
      </c>
      <c r="D10" s="24"/>
    </row>
    <row r="11" spans="2:4" x14ac:dyDescent="0.3">
      <c r="B11" s="21" t="s">
        <v>21</v>
      </c>
      <c r="C11" s="5" t="str">
        <f>INDEX('91_NYELV'!$C$7:$D$408,208,NYELV_IDX)</f>
        <v>3. Befektetési célú ingatlanok</v>
      </c>
      <c r="D11" s="24"/>
    </row>
    <row r="12" spans="2:4" x14ac:dyDescent="0.3">
      <c r="B12" s="21" t="s">
        <v>22</v>
      </c>
      <c r="C12" s="5" t="str">
        <f>INDEX('91_NYELV'!$C$7:$D$408,209,NYELV_IDX)</f>
        <v>4. Goodwill (üzleti vagy cégérték)</v>
      </c>
      <c r="D12" s="24"/>
    </row>
    <row r="13" spans="2:4" x14ac:dyDescent="0.3">
      <c r="B13" s="21" t="s">
        <v>23</v>
      </c>
      <c r="C13" s="5" t="str">
        <f>INDEX('91_NYELV'!$C$7:$D$408,210,NYELV_IDX)</f>
        <v>5. Egyéb immateriális javak</v>
      </c>
      <c r="D13" s="24"/>
    </row>
    <row r="14" spans="2:4" x14ac:dyDescent="0.3">
      <c r="B14" s="21" t="s">
        <v>24</v>
      </c>
      <c r="C14" s="5" t="str">
        <f>INDEX('91_NYELV'!$C$7:$D$408,211,NYELV_IDX)</f>
        <v>6. Társult és közös vezetésű vállalkozásokban lévő befektetések (equity)</v>
      </c>
      <c r="D14" s="24"/>
    </row>
    <row r="15" spans="2:4" x14ac:dyDescent="0.3">
      <c r="B15" s="21" t="s">
        <v>25</v>
      </c>
      <c r="C15" s="5" t="str">
        <f>INDEX('91_NYELV'!$C$7:$D$408,212,NYELV_IDX)</f>
        <v>7. Egyéb pénzügyi eszközök (befektetett)</v>
      </c>
      <c r="D15" s="24"/>
    </row>
    <row r="16" spans="2:4" x14ac:dyDescent="0.3">
      <c r="B16" s="21" t="s">
        <v>26</v>
      </c>
      <c r="C16" s="5" t="str">
        <f>INDEX('91_NYELV'!$C$7:$D$408,213,NYELV_IDX)</f>
        <v>8. Halasztott adókövetelések</v>
      </c>
      <c r="D16" s="24"/>
    </row>
    <row r="17" spans="2:4" x14ac:dyDescent="0.3">
      <c r="B17" s="21" t="s">
        <v>27</v>
      </c>
      <c r="C17" s="5" t="str">
        <f>INDEX('91_NYELV'!$C$7:$D$408,214,NYELV_IDX)</f>
        <v>9. Egyéb befektetett eszközök</v>
      </c>
      <c r="D17" s="24"/>
    </row>
    <row r="18" spans="2:4" x14ac:dyDescent="0.3">
      <c r="B18" s="21" t="s">
        <v>28</v>
      </c>
      <c r="C18" s="22" t="str">
        <f>INDEX('91_NYELV'!$C$7:$D$408,215,NYELV_IDX)</f>
        <v>B. FORGÓESZKÖZÖK</v>
      </c>
      <c r="D18" s="24"/>
    </row>
    <row r="19" spans="2:4" x14ac:dyDescent="0.3">
      <c r="B19" s="21" t="s">
        <v>29</v>
      </c>
      <c r="C19" s="5" t="str">
        <f>INDEX('91_NYELV'!$C$7:$D$408,216,NYELV_IDX)</f>
        <v>1. Készletek</v>
      </c>
      <c r="D19" s="24"/>
    </row>
    <row r="20" spans="2:4" x14ac:dyDescent="0.3">
      <c r="B20" s="21" t="s">
        <v>30</v>
      </c>
      <c r="C20" s="5" t="str">
        <f>INDEX('91_NYELV'!$C$7:$D$408,217,NYELV_IDX)</f>
        <v>2. Vevő- és egyéb követelések</v>
      </c>
      <c r="D20" s="24"/>
    </row>
    <row r="21" spans="2:4" x14ac:dyDescent="0.3">
      <c r="B21" s="21" t="s">
        <v>31</v>
      </c>
      <c r="C21" s="5" t="str">
        <f>INDEX('91_NYELV'!$C$7:$D$408,218,NYELV_IDX)</f>
        <v>3. Szerződéses eszközök</v>
      </c>
      <c r="D21" s="24"/>
    </row>
    <row r="22" spans="2:4" x14ac:dyDescent="0.3">
      <c r="B22" s="21" t="s">
        <v>32</v>
      </c>
      <c r="C22" s="5" t="str">
        <f>INDEX('91_NYELV'!$C$7:$D$408,219,NYELV_IDX)</f>
        <v>4. Egyéb pénzügyi eszközök (forgó)</v>
      </c>
      <c r="D22" s="24"/>
    </row>
    <row r="23" spans="2:4" x14ac:dyDescent="0.3">
      <c r="B23" s="21" t="s">
        <v>33</v>
      </c>
      <c r="C23" s="5" t="str">
        <f>INDEX('91_NYELV'!$C$7:$D$408,220,NYELV_IDX)</f>
        <v>5. Tényleges adókövetelések</v>
      </c>
      <c r="D23" s="24"/>
    </row>
    <row r="24" spans="2:4" x14ac:dyDescent="0.3">
      <c r="B24" s="21" t="s">
        <v>34</v>
      </c>
      <c r="C24" s="5" t="str">
        <f>INDEX('91_NYELV'!$C$7:$D$408,221,NYELV_IDX)</f>
        <v>6. Egyéb forgóeszközök, aktív időbeli elhatárolások</v>
      </c>
      <c r="D24" s="24"/>
    </row>
    <row r="25" spans="2:4" x14ac:dyDescent="0.3">
      <c r="B25" s="21" t="s">
        <v>35</v>
      </c>
      <c r="C25" s="5" t="str">
        <f>INDEX('91_NYELV'!$C$7:$D$408,222,NYELV_IDX)</f>
        <v>7. Pénzeszközök és pénzeszköz-egyenértékesek</v>
      </c>
      <c r="D25" s="24"/>
    </row>
    <row r="26" spans="2:4" x14ac:dyDescent="0.3">
      <c r="B26" s="21" t="s">
        <v>36</v>
      </c>
      <c r="C26" s="5" t="str">
        <f>INDEX('91_NYELV'!$C$7:$D$408,223,NYELV_IDX)</f>
        <v>8. Értékesítésre tartott eszközök (IFRS 5)</v>
      </c>
      <c r="D26" s="24"/>
    </row>
    <row r="27" spans="2:4" x14ac:dyDescent="0.3">
      <c r="B27" s="21" t="s">
        <v>37</v>
      </c>
      <c r="C27" s="22" t="str">
        <f>INDEX('91_NYELV'!$C$7:$D$408,224,NYELV_IDX)</f>
        <v>ESZKÖZÖK ÖSSZESEN</v>
      </c>
      <c r="D27" s="24"/>
    </row>
    <row r="28" spans="2:4" x14ac:dyDescent="0.3">
      <c r="B28" s="21" t="s">
        <v>38</v>
      </c>
      <c r="C28" s="22" t="str">
        <f>INDEX('91_NYELV'!$C$7:$D$408,225,NYELV_IDX)</f>
        <v>C. AZ ANYAVÁLLALAT TULAJDONOSAIRA JUTÓ SAJÁT TŐKE</v>
      </c>
      <c r="D28" s="24"/>
    </row>
    <row r="29" spans="2:4" x14ac:dyDescent="0.3">
      <c r="B29" s="21" t="s">
        <v>39</v>
      </c>
      <c r="C29" s="5" t="str">
        <f>INDEX('91_NYELV'!$C$7:$D$408,226,NYELV_IDX)</f>
        <v>1. Jegyzett tőke</v>
      </c>
      <c r="D29" s="24"/>
    </row>
    <row r="30" spans="2:4" x14ac:dyDescent="0.3">
      <c r="B30" s="21" t="s">
        <v>40</v>
      </c>
      <c r="C30" s="5" t="str">
        <f>INDEX('91_NYELV'!$C$7:$D$408,227,NYELV_IDX)</f>
        <v>2. Tőketartalék (ázsió)</v>
      </c>
      <c r="D30" s="24"/>
    </row>
    <row r="31" spans="2:4" x14ac:dyDescent="0.3">
      <c r="B31" s="21" t="s">
        <v>41</v>
      </c>
      <c r="C31" s="5" t="str">
        <f>INDEX('91_NYELV'!$C$7:$D$408,228,NYELV_IDX)</f>
        <v>3. Visszavásárolt saját részvények (–)</v>
      </c>
      <c r="D31" s="24"/>
    </row>
    <row r="32" spans="2:4" x14ac:dyDescent="0.3">
      <c r="B32" s="21" t="s">
        <v>42</v>
      </c>
      <c r="C32" s="5" t="str">
        <f>INDEX('91_NYELV'!$C$7:$D$408,229,NYELV_IDX)</f>
        <v>4. Eredménytartalék</v>
      </c>
      <c r="D32" s="24"/>
    </row>
    <row r="33" spans="2:4" x14ac:dyDescent="0.3">
      <c r="B33" s="21" t="s">
        <v>43</v>
      </c>
      <c r="C33" s="5" t="str">
        <f>INDEX('91_NYELV'!$C$7:$D$408,230,NYELV_IDX)</f>
        <v>5. Átszámítási különbözet (külföldi érdekeltségek)</v>
      </c>
      <c r="D33" s="24"/>
    </row>
    <row r="34" spans="2:4" x14ac:dyDescent="0.3">
      <c r="B34" s="21" t="s">
        <v>44</v>
      </c>
      <c r="C34" s="5" t="str">
        <f>INDEX('91_NYELV'!$C$7:$D$408,231,NYELV_IDX)</f>
        <v>6. Egyéb tartalékok (értékelési, fedezeti, FVOCI)</v>
      </c>
      <c r="D34" s="24"/>
    </row>
    <row r="35" spans="2:4" x14ac:dyDescent="0.3">
      <c r="B35" s="21" t="s">
        <v>45</v>
      </c>
      <c r="C35" s="22" t="str">
        <f>INDEX('91_NYELV'!$C$7:$D$408,232,NYELV_IDX)</f>
        <v>D. NEM ELLENŐRZŐ RÉSZESEDÉSEK</v>
      </c>
      <c r="D35" s="24"/>
    </row>
    <row r="36" spans="2:4" x14ac:dyDescent="0.3">
      <c r="B36" s="21" t="s">
        <v>46</v>
      </c>
      <c r="C36" s="22" t="str">
        <f>INDEX('91_NYELV'!$C$7:$D$408,233,NYELV_IDX)</f>
        <v>SAJÁT TŐKE ÖSSZESEN</v>
      </c>
      <c r="D36" s="24"/>
    </row>
    <row r="37" spans="2:4" x14ac:dyDescent="0.3">
      <c r="B37" s="21" t="s">
        <v>47</v>
      </c>
      <c r="C37" s="22" t="str">
        <f>INDEX('91_NYELV'!$C$7:$D$408,234,NYELV_IDX)</f>
        <v>E. HOSSZÚ LEJÁRATÚ KÖTELEZETTSÉGEK</v>
      </c>
      <c r="D37" s="24"/>
    </row>
    <row r="38" spans="2:4" x14ac:dyDescent="0.3">
      <c r="B38" s="21" t="s">
        <v>48</v>
      </c>
      <c r="C38" s="5" t="str">
        <f>INDEX('91_NYELV'!$C$7:$D$408,235,NYELV_IDX)</f>
        <v>1. Hitelek és kölcsönök (hosszú lejáratú)</v>
      </c>
      <c r="D38" s="24"/>
    </row>
    <row r="39" spans="2:4" x14ac:dyDescent="0.3">
      <c r="B39" s="21" t="s">
        <v>49</v>
      </c>
      <c r="C39" s="5" t="str">
        <f>INDEX('91_NYELV'!$C$7:$D$408,236,NYELV_IDX)</f>
        <v>2. Lízingkötelezettségek (hosszú lejáratú)</v>
      </c>
      <c r="D39" s="24"/>
    </row>
    <row r="40" spans="2:4" x14ac:dyDescent="0.3">
      <c r="B40" s="21" t="s">
        <v>50</v>
      </c>
      <c r="C40" s="5" t="str">
        <f>INDEX('91_NYELV'!$C$7:$D$408,237,NYELV_IDX)</f>
        <v>3. Halasztott adókötelezettségek</v>
      </c>
      <c r="D40" s="24"/>
    </row>
    <row r="41" spans="2:4" x14ac:dyDescent="0.3">
      <c r="B41" s="21" t="s">
        <v>51</v>
      </c>
      <c r="C41" s="5" t="str">
        <f>INDEX('91_NYELV'!$C$7:$D$408,238,NYELV_IDX)</f>
        <v>4. Céltartalékok (hosszú lejáratú)</v>
      </c>
      <c r="D41" s="24"/>
    </row>
    <row r="42" spans="2:4" x14ac:dyDescent="0.3">
      <c r="B42" s="21" t="s">
        <v>52</v>
      </c>
      <c r="C42" s="5" t="str">
        <f>INDEX('91_NYELV'!$C$7:$D$408,239,NYELV_IDX)</f>
        <v>5. Munkavállalói juttatási kötelezettségek</v>
      </c>
      <c r="D42" s="24"/>
    </row>
    <row r="43" spans="2:4" x14ac:dyDescent="0.3">
      <c r="B43" s="21" t="s">
        <v>53</v>
      </c>
      <c r="C43" s="5" t="str">
        <f>INDEX('91_NYELV'!$C$7:$D$408,240,NYELV_IDX)</f>
        <v>6. Egyéb hosszú lejáratú kötelezettségek</v>
      </c>
      <c r="D43" s="24"/>
    </row>
    <row r="44" spans="2:4" x14ac:dyDescent="0.3">
      <c r="B44" s="21" t="s">
        <v>54</v>
      </c>
      <c r="C44" s="22" t="str">
        <f>INDEX('91_NYELV'!$C$7:$D$408,241,NYELV_IDX)</f>
        <v>F. RÖVID LEJÁRATÚ KÖTELEZETTSÉGEK</v>
      </c>
      <c r="D44" s="24"/>
    </row>
    <row r="45" spans="2:4" x14ac:dyDescent="0.3">
      <c r="B45" s="21" t="s">
        <v>55</v>
      </c>
      <c r="C45" s="5" t="str">
        <f>INDEX('91_NYELV'!$C$7:$D$408,242,NYELV_IDX)</f>
        <v>1. Szállítói és egyéb kötelezettségek</v>
      </c>
      <c r="D45" s="24"/>
    </row>
    <row r="46" spans="2:4" x14ac:dyDescent="0.3">
      <c r="B46" s="21" t="s">
        <v>56</v>
      </c>
      <c r="C46" s="5" t="str">
        <f>INDEX('91_NYELV'!$C$7:$D$408,243,NYELV_IDX)</f>
        <v>2. Szerződéses kötelezettségek</v>
      </c>
      <c r="D46" s="24"/>
    </row>
    <row r="47" spans="2:4" x14ac:dyDescent="0.3">
      <c r="B47" s="21" t="s">
        <v>57</v>
      </c>
      <c r="C47" s="5" t="str">
        <f>INDEX('91_NYELV'!$C$7:$D$408,244,NYELV_IDX)</f>
        <v>3. Hitelek és kölcsönök (rövid lejáratú)</v>
      </c>
      <c r="D47" s="24"/>
    </row>
    <row r="48" spans="2:4" x14ac:dyDescent="0.3">
      <c r="B48" s="21" t="s">
        <v>58</v>
      </c>
      <c r="C48" s="5" t="str">
        <f>INDEX('91_NYELV'!$C$7:$D$408,245,NYELV_IDX)</f>
        <v>4. Lízingkötelezettségek (rövid lejáratú)</v>
      </c>
      <c r="D48" s="24"/>
    </row>
    <row r="49" spans="2:4" x14ac:dyDescent="0.3">
      <c r="B49" s="21" t="s">
        <v>59</v>
      </c>
      <c r="C49" s="5" t="str">
        <f>INDEX('91_NYELV'!$C$7:$D$408,246,NYELV_IDX)</f>
        <v>5. Tényleges adókötelezettségek</v>
      </c>
      <c r="D49" s="24"/>
    </row>
    <row r="50" spans="2:4" x14ac:dyDescent="0.3">
      <c r="B50" s="21" t="s">
        <v>60</v>
      </c>
      <c r="C50" s="5" t="str">
        <f>INDEX('91_NYELV'!$C$7:$D$408,247,NYELV_IDX)</f>
        <v>6. Céltartalékok (rövid lejáratú)</v>
      </c>
      <c r="D50" s="24"/>
    </row>
    <row r="51" spans="2:4" x14ac:dyDescent="0.3">
      <c r="B51" s="21" t="s">
        <v>61</v>
      </c>
      <c r="C51" s="5" t="str">
        <f>INDEX('91_NYELV'!$C$7:$D$408,248,NYELV_IDX)</f>
        <v>7. Egyéb rövid lejáratú kötelezettségek, passzív elhatárolások</v>
      </c>
      <c r="D51" s="24"/>
    </row>
    <row r="52" spans="2:4" x14ac:dyDescent="0.3">
      <c r="B52" s="21" t="s">
        <v>62</v>
      </c>
      <c r="C52" s="5" t="str">
        <f>INDEX('91_NYELV'!$C$7:$D$408,249,NYELV_IDX)</f>
        <v>8. Értékesítésre tartott kötelezettségek (IFRS 5)</v>
      </c>
      <c r="D52" s="24"/>
    </row>
    <row r="53" spans="2:4" x14ac:dyDescent="0.3">
      <c r="B53" s="21" t="s">
        <v>63</v>
      </c>
      <c r="C53" s="22" t="str">
        <f>INDEX('91_NYELV'!$C$7:$D$408,250,NYELV_IDX)</f>
        <v>SAJÁT TŐKE ÉS KÖTELEZETTSÉGEK ÖSSZESEN</v>
      </c>
      <c r="D53" s="24"/>
    </row>
    <row r="54" spans="2:4" x14ac:dyDescent="0.3">
      <c r="B54" s="21" t="s">
        <v>64</v>
      </c>
      <c r="C54" s="22" t="str">
        <f>INDEX('91_NYELV'!$C$7:$D$408,251,NYELV_IDX)</f>
        <v>I. ÜZEMI (MŰKÖDÉSI) KATEGÓRIA</v>
      </c>
      <c r="D54" s="24"/>
    </row>
    <row r="55" spans="2:4" x14ac:dyDescent="0.3">
      <c r="B55" s="21" t="s">
        <v>65</v>
      </c>
      <c r="C55" s="5" t="str">
        <f>INDEX('91_NYELV'!$C$7:$D$408,252,NYELV_IDX)</f>
        <v>1. Árbevétel</v>
      </c>
      <c r="D55" s="24"/>
    </row>
    <row r="56" spans="2:4" x14ac:dyDescent="0.3">
      <c r="B56" s="21" t="s">
        <v>66</v>
      </c>
      <c r="C56" s="5" t="str">
        <f>INDEX('91_NYELV'!$C$7:$D$408,253,NYELV_IDX)</f>
        <v>2. Az értékesítés önköltsége</v>
      </c>
      <c r="D56" s="24"/>
    </row>
    <row r="57" spans="2:4" x14ac:dyDescent="0.3">
      <c r="B57" s="21" t="s">
        <v>67</v>
      </c>
      <c r="C57" s="5" t="str">
        <f>INDEX('91_NYELV'!$C$7:$D$408,254,NYELV_IDX)</f>
        <v>Bruttó fedezet</v>
      </c>
      <c r="D57" s="24"/>
    </row>
    <row r="58" spans="2:4" x14ac:dyDescent="0.3">
      <c r="B58" s="21" t="s">
        <v>68</v>
      </c>
      <c r="C58" s="5" t="str">
        <f>INDEX('91_NYELV'!$C$7:$D$408,255,NYELV_IDX)</f>
        <v>3. Egyéb működési bevételek</v>
      </c>
      <c r="D58" s="24"/>
    </row>
    <row r="59" spans="2:4" x14ac:dyDescent="0.3">
      <c r="B59" s="21" t="s">
        <v>69</v>
      </c>
      <c r="C59" s="5" t="str">
        <f>INDEX('91_NYELV'!$C$7:$D$408,256,NYELV_IDX)</f>
        <v>4. Értékesítési és forgalmazási költségek</v>
      </c>
      <c r="D59" s="24"/>
    </row>
    <row r="60" spans="2:4" x14ac:dyDescent="0.3">
      <c r="B60" s="21" t="s">
        <v>70</v>
      </c>
      <c r="C60" s="5" t="str">
        <f>INDEX('91_NYELV'!$C$7:$D$408,257,NYELV_IDX)</f>
        <v>5. Igazgatási költségek</v>
      </c>
      <c r="D60" s="24"/>
    </row>
    <row r="61" spans="2:4" x14ac:dyDescent="0.3">
      <c r="B61" s="21" t="s">
        <v>71</v>
      </c>
      <c r="C61" s="5" t="str">
        <f>INDEX('91_NYELV'!$C$7:$D$408,258,NYELV_IDX)</f>
        <v>6. Értékvesztés (goodwill és egyéb eszközök, IAS 36)</v>
      </c>
      <c r="D61" s="24"/>
    </row>
    <row r="62" spans="2:4" x14ac:dyDescent="0.3">
      <c r="B62" s="21" t="s">
        <v>72</v>
      </c>
      <c r="C62" s="5" t="str">
        <f>INDEX('91_NYELV'!$C$7:$D$408,259,NYELV_IDX)</f>
        <v>7. Egyéb működési ráfordítások</v>
      </c>
      <c r="D62" s="24"/>
    </row>
    <row r="63" spans="2:4" x14ac:dyDescent="0.3">
      <c r="B63" s="21" t="s">
        <v>73</v>
      </c>
      <c r="C63" s="22" t="str">
        <f>INDEX('91_NYELV'!$C$7:$D$408,260,NYELV_IDX)</f>
        <v>ÜZEMI EREDMÉNY [IFRS 18 kötelező részösszeg]</v>
      </c>
      <c r="D63" s="24"/>
    </row>
    <row r="64" spans="2:4" x14ac:dyDescent="0.3">
      <c r="B64" s="21" t="s">
        <v>74</v>
      </c>
      <c r="C64" s="22" t="str">
        <f>INDEX('91_NYELV'!$C$7:$D$408,261,NYELV_IDX)</f>
        <v>II. BEFEKTETÉSI KATEGÓRIA</v>
      </c>
      <c r="D64" s="24"/>
    </row>
    <row r="65" spans="2:4" x14ac:dyDescent="0.3">
      <c r="B65" s="21" t="s">
        <v>75</v>
      </c>
      <c r="C65" s="5" t="str">
        <f>INDEX('91_NYELV'!$C$7:$D$408,262,NYELV_IDX)</f>
        <v>1. Társult és közös vezetésű vállalkozások eredményéből való részesedés</v>
      </c>
      <c r="D65" s="24"/>
    </row>
    <row r="66" spans="2:4" x14ac:dyDescent="0.3">
      <c r="B66" s="21" t="s">
        <v>76</v>
      </c>
      <c r="C66" s="5" t="str">
        <f>INDEX('91_NYELV'!$C$7:$D$408,263,NYELV_IDX)</f>
        <v>2. Befektetések bevételei (osztalék, árfolyamnyereség)</v>
      </c>
      <c r="D66" s="24"/>
    </row>
    <row r="67" spans="2:4" x14ac:dyDescent="0.3">
      <c r="B67" s="21" t="s">
        <v>77</v>
      </c>
      <c r="C67" s="5" t="str">
        <f>INDEX('91_NYELV'!$C$7:$D$408,264,NYELV_IDX)</f>
        <v>3. Befektetések kamatbevétele</v>
      </c>
      <c r="D67" s="24"/>
    </row>
    <row r="68" spans="2:4" x14ac:dyDescent="0.3">
      <c r="B68" s="21" t="s">
        <v>78</v>
      </c>
      <c r="C68" s="22" t="str">
        <f>INDEX('91_NYELV'!$C$7:$D$408,265,NYELV_IDX)</f>
        <v>FINANSZÍROZÁS ÉS NYERESÉGADÓK ELŐTTI EREDMÉNY [IFRS 18 kötelező részösszeg]</v>
      </c>
      <c r="D68" s="24"/>
    </row>
    <row r="69" spans="2:4" x14ac:dyDescent="0.3">
      <c r="B69" s="21" t="s">
        <v>79</v>
      </c>
      <c r="C69" s="22" t="str">
        <f>INDEX('91_NYELV'!$C$7:$D$408,266,NYELV_IDX)</f>
        <v>III. FINANSZÍROZÁSI KATEGÓRIA</v>
      </c>
      <c r="D69" s="24"/>
    </row>
    <row r="70" spans="2:4" x14ac:dyDescent="0.3">
      <c r="B70" s="21" t="s">
        <v>80</v>
      </c>
      <c r="C70" s="5" t="str">
        <f>INDEX('91_NYELV'!$C$7:$D$408,267,NYELV_IDX)</f>
        <v>1. Hitelek és kölcsönök kamatráfordítása</v>
      </c>
      <c r="D70" s="24"/>
    </row>
    <row r="71" spans="2:4" x14ac:dyDescent="0.3">
      <c r="B71" s="21" t="s">
        <v>81</v>
      </c>
      <c r="C71" s="5" t="str">
        <f>INDEX('91_NYELV'!$C$7:$D$408,268,NYELV_IDX)</f>
        <v>2. Lízingkötelezettségek kamatráfordítása</v>
      </c>
      <c r="D71" s="24"/>
    </row>
    <row r="72" spans="2:4" x14ac:dyDescent="0.3">
      <c r="B72" s="21" t="s">
        <v>82</v>
      </c>
      <c r="C72" s="5" t="str">
        <f>INDEX('91_NYELV'!$C$7:$D$408,269,NYELV_IDX)</f>
        <v>3. Egyéb finanszírozási ráfordítások</v>
      </c>
      <c r="D72" s="24"/>
    </row>
    <row r="73" spans="2:4" x14ac:dyDescent="0.3">
      <c r="B73" s="21" t="s">
        <v>83</v>
      </c>
      <c r="C73" s="5" t="str">
        <f>INDEX('91_NYELV'!$C$7:$D$408,270,NYELV_IDX)</f>
        <v>4. Finanszírozási bevételek</v>
      </c>
      <c r="D73" s="24"/>
    </row>
    <row r="74" spans="2:4" x14ac:dyDescent="0.3">
      <c r="B74" s="21" t="s">
        <v>84</v>
      </c>
      <c r="C74" s="22" t="str">
        <f>INDEX('91_NYELV'!$C$7:$D$408,271,NYELV_IDX)</f>
        <v>ADÓZÁS ELŐTTI EREDMÉNY</v>
      </c>
      <c r="D74" s="24"/>
    </row>
    <row r="75" spans="2:4" x14ac:dyDescent="0.3">
      <c r="B75" s="21" t="s">
        <v>85</v>
      </c>
      <c r="C75" s="22" t="str">
        <f>INDEX('91_NYELV'!$C$7:$D$408,272,NYELV_IDX)</f>
        <v>IV. NYERESÉGADÓK KATEGÓRIA</v>
      </c>
      <c r="D75" s="24"/>
    </row>
    <row r="76" spans="2:4" x14ac:dyDescent="0.3">
      <c r="B76" s="21" t="s">
        <v>86</v>
      </c>
      <c r="C76" s="5" t="str">
        <f>INDEX('91_NYELV'!$C$7:$D$408,273,NYELV_IDX)</f>
        <v>1. Nyereségadó-ráfordítás (IAS 12)</v>
      </c>
      <c r="D76" s="24"/>
    </row>
    <row r="77" spans="2:4" x14ac:dyDescent="0.3">
      <c r="B77" s="21" t="s">
        <v>87</v>
      </c>
      <c r="C77" s="5" t="str">
        <f>INDEX('91_NYELV'!$C$7:$D$408,274,NYELV_IDX)</f>
        <v>2. Konszolidáció miatti halasztott adó (IAS 12)</v>
      </c>
      <c r="D77" s="24"/>
    </row>
    <row r="78" spans="2:4" x14ac:dyDescent="0.3">
      <c r="B78" s="21" t="s">
        <v>88</v>
      </c>
      <c r="C78" s="22" t="str">
        <f>INDEX('91_NYELV'!$C$7:$D$408,275,NYELV_IDX)</f>
        <v>FOLYTATÓDÓ TEVÉKENYSÉG EREDMÉNYE</v>
      </c>
      <c r="D78" s="24"/>
    </row>
    <row r="79" spans="2:4" x14ac:dyDescent="0.3">
      <c r="B79" s="21" t="s">
        <v>89</v>
      </c>
      <c r="C79" s="22" t="str">
        <f>INDEX('91_NYELV'!$C$7:$D$408,276,NYELV_IDX)</f>
        <v>V. MEGSZŰNT TEVÉKENYSÉGEK KATEGÓRIA</v>
      </c>
      <c r="D79" s="24"/>
    </row>
    <row r="80" spans="2:4" x14ac:dyDescent="0.3">
      <c r="B80" s="21" t="s">
        <v>90</v>
      </c>
      <c r="C80" s="5" t="str">
        <f>INDEX('91_NYELV'!$C$7:$D$408,277,NYELV_IDX)</f>
        <v>1. Megszűnt tevékenységek eredménye (IFRS 5)</v>
      </c>
      <c r="D80" s="24"/>
    </row>
    <row r="81" spans="2:4" x14ac:dyDescent="0.3">
      <c r="B81" s="21" t="s">
        <v>91</v>
      </c>
      <c r="C81" s="22" t="str">
        <f>INDEX('91_NYELV'!$C$7:$D$408,278,NYELV_IDX)</f>
        <v>IDŐSZAKI EREDMÉNY</v>
      </c>
      <c r="D81" s="24"/>
    </row>
    <row r="82" spans="2:4" x14ac:dyDescent="0.3">
      <c r="B82" s="21" t="s">
        <v>92</v>
      </c>
      <c r="C82" s="5" t="str">
        <f>INDEX('91_NYELV'!$C$7:$D$408,279,NYELV_IDX)</f>
        <v>ebből: az anyavállalat tulajdonosaira jutó</v>
      </c>
      <c r="D82" s="24"/>
    </row>
    <row r="83" spans="2:4" x14ac:dyDescent="0.3">
      <c r="B83" s="21" t="s">
        <v>93</v>
      </c>
      <c r="C83" s="5" t="str">
        <f>INDEX('91_NYELV'!$C$7:$D$408,280,NYELV_IDX)</f>
        <v>ebből: a nem ellenőrző részesedésekre jutó</v>
      </c>
      <c r="D83" s="24"/>
    </row>
    <row r="84" spans="2:4" x14ac:dyDescent="0.3">
      <c r="B84" s="21" t="s">
        <v>94</v>
      </c>
      <c r="C84" s="5" t="str">
        <f>INDEX('91_NYELV'!$C$7:$D$408,281,NYELV_IDX)</f>
        <v>Késztermékek és befejezetlen termelés állományváltozása</v>
      </c>
      <c r="D84" s="24"/>
    </row>
    <row r="85" spans="2:4" x14ac:dyDescent="0.3">
      <c r="B85" s="21" t="s">
        <v>95</v>
      </c>
      <c r="C85" s="5" t="str">
        <f>INDEX('91_NYELV'!$C$7:$D$408,282,NYELV_IDX)</f>
        <v>Felhasznált anyagok és igénybe vett szolgáltatások</v>
      </c>
      <c r="D85" s="24"/>
    </row>
    <row r="86" spans="2:4" x14ac:dyDescent="0.3">
      <c r="B86" s="21" t="s">
        <v>96</v>
      </c>
      <c r="C86" s="5" t="str">
        <f>INDEX('91_NYELV'!$C$7:$D$408,283,NYELV_IDX)</f>
        <v>Személyi jellegű ráfordítások</v>
      </c>
      <c r="D86" s="24"/>
    </row>
    <row r="87" spans="2:4" x14ac:dyDescent="0.3">
      <c r="B87" s="21" t="s">
        <v>97</v>
      </c>
      <c r="C87" s="5" t="str">
        <f>INDEX('91_NYELV'!$C$7:$D$408,284,NYELV_IDX)</f>
        <v>Értékcsökkenési leírás és amortizáció</v>
      </c>
      <c r="D87" s="24"/>
    </row>
    <row r="88" spans="2:4" x14ac:dyDescent="0.3">
      <c r="B88" s="21" t="s">
        <v>98</v>
      </c>
      <c r="C88" s="5" t="str">
        <f>INDEX('91_NYELV'!$C$7:$D$408,285,NYELV_IDX)</f>
        <v>Egyéb ráfordítások</v>
      </c>
      <c r="D88" s="24"/>
    </row>
    <row r="89" spans="2:4" x14ac:dyDescent="0.3">
      <c r="B89" s="21" t="s">
        <v>99</v>
      </c>
      <c r="C89" s="22" t="str">
        <f>INDEX('91_NYELV'!$C$7:$D$408,286,NYELV_IDX)</f>
        <v>A. Eredménybe át NEM sorolható tételek</v>
      </c>
      <c r="D89" s="24"/>
    </row>
    <row r="90" spans="2:4" x14ac:dyDescent="0.3">
      <c r="B90" s="21" t="s">
        <v>100</v>
      </c>
      <c r="C90" s="5" t="str">
        <f>INDEX('91_NYELV'!$C$7:$D$408,287,NYELV_IDX)</f>
        <v>1. Ingatlanok, gépek, berendezések értékelési többlete</v>
      </c>
      <c r="D90" s="24"/>
    </row>
    <row r="91" spans="2:4" x14ac:dyDescent="0.3">
      <c r="B91" s="21" t="s">
        <v>101</v>
      </c>
      <c r="C91" s="5" t="str">
        <f>INDEX('91_NYELV'!$C$7:$D$408,288,NYELV_IDX)</f>
        <v>2. Meghatározott juttatási programok újraértékelése</v>
      </c>
      <c r="D91" s="24"/>
    </row>
    <row r="92" spans="2:4" x14ac:dyDescent="0.3">
      <c r="B92" s="21" t="s">
        <v>102</v>
      </c>
      <c r="C92" s="5" t="str">
        <f>INDEX('91_NYELV'!$C$7:$D$408,289,NYELV_IDX)</f>
        <v>3. FVOCI tőkeinstrumentumok valósérték-változása</v>
      </c>
      <c r="D92" s="24"/>
    </row>
    <row r="93" spans="2:4" x14ac:dyDescent="0.3">
      <c r="B93" s="21" t="s">
        <v>103</v>
      </c>
      <c r="C93" s="5" t="str">
        <f>INDEX('91_NYELV'!$C$7:$D$408,290,NYELV_IDX)</f>
        <v>4. A fenti tételekre jutó nyereségadó</v>
      </c>
      <c r="D93" s="24"/>
    </row>
    <row r="94" spans="2:4" x14ac:dyDescent="0.3">
      <c r="B94" s="21" t="s">
        <v>104</v>
      </c>
      <c r="C94" s="22" t="str">
        <f>INDEX('91_NYELV'!$C$7:$D$408,291,NYELV_IDX)</f>
        <v>B. Eredménybe átsorolható tételek</v>
      </c>
      <c r="D94" s="24"/>
    </row>
    <row r="95" spans="2:4" x14ac:dyDescent="0.3">
      <c r="B95" s="21" t="s">
        <v>105</v>
      </c>
      <c r="C95" s="5" t="str">
        <f>INDEX('91_NYELV'!$C$7:$D$408,292,NYELV_IDX)</f>
        <v>1. Külföldi érdekeltségek átszámítási különbözete (IAS 21)</v>
      </c>
      <c r="D95" s="24"/>
    </row>
    <row r="96" spans="2:4" x14ac:dyDescent="0.3">
      <c r="B96" s="21" t="s">
        <v>106</v>
      </c>
      <c r="C96" s="5" t="str">
        <f>INDEX('91_NYELV'!$C$7:$D$408,293,NYELV_IDX)</f>
        <v>2. Cash flow fedezeti ügyletek</v>
      </c>
      <c r="D96" s="24"/>
    </row>
    <row r="97" spans="2:4" x14ac:dyDescent="0.3">
      <c r="B97" s="21" t="s">
        <v>107</v>
      </c>
      <c r="C97" s="5" t="str">
        <f>INDEX('91_NYELV'!$C$7:$D$408,294,NYELV_IDX)</f>
        <v>3. FVOCI hitelinstrumentumok valósérték-változása</v>
      </c>
      <c r="D97" s="24"/>
    </row>
    <row r="98" spans="2:4" x14ac:dyDescent="0.3">
      <c r="B98" s="21" t="s">
        <v>108</v>
      </c>
      <c r="C98" s="5" t="str">
        <f>INDEX('91_NYELV'!$C$7:$D$408,295,NYELV_IDX)</f>
        <v>4. Társult vállalkozások egyéb átfogó jövedelméből való részesedés</v>
      </c>
      <c r="D98" s="24"/>
    </row>
    <row r="99" spans="2:4" x14ac:dyDescent="0.3">
      <c r="B99" s="21" t="s">
        <v>109</v>
      </c>
      <c r="C99" s="5" t="str">
        <f>INDEX('91_NYELV'!$C$7:$D$408,296,NYELV_IDX)</f>
        <v>5. A fenti tételekre jutó nyereségadó</v>
      </c>
      <c r="D99" s="24"/>
    </row>
    <row r="100" spans="2:4" x14ac:dyDescent="0.3">
      <c r="B100" s="21" t="s">
        <v>110</v>
      </c>
      <c r="C100" s="22" t="str">
        <f>INDEX('91_NYELV'!$C$7:$D$408,297,NYELV_IDX)</f>
        <v>IDŐSZAKI EGYÉB ÁTFOGÓ JÖVEDELEM ÖSSZESEN</v>
      </c>
      <c r="D100" s="24"/>
    </row>
    <row r="101" spans="2:4" x14ac:dyDescent="0.3">
      <c r="B101" s="21" t="s">
        <v>111</v>
      </c>
      <c r="C101" s="22" t="str">
        <f>INDEX('91_NYELV'!$C$7:$D$408,298,NYELV_IDX)</f>
        <v>IDŐSZAKI ÁTFOGÓ JÖVEDELEM ÖSSZESEN</v>
      </c>
      <c r="D101" s="24"/>
    </row>
    <row r="102" spans="2:4" x14ac:dyDescent="0.3">
      <c r="B102" s="21" t="s">
        <v>112</v>
      </c>
      <c r="C102" s="5" t="str">
        <f>INDEX('91_NYELV'!$C$7:$D$408,299,NYELV_IDX)</f>
        <v>ebből: az anyavállalat tulajdonosaira jutó</v>
      </c>
      <c r="D102" s="24"/>
    </row>
    <row r="103" spans="2:4" x14ac:dyDescent="0.3">
      <c r="B103" s="21" t="s">
        <v>113</v>
      </c>
      <c r="C103" s="5" t="str">
        <f>INDEX('91_NYELV'!$C$7:$D$408,300,NYELV_IDX)</f>
        <v>ebből: a nem ellenőrző részesedésekre jutó</v>
      </c>
      <c r="D103" s="24"/>
    </row>
  </sheetData>
  <sheetProtection algorithmName="SHA-512" hashValue="F6z38DvLpepiLbV0AiuDja9dsmNTFWae9lPvxnh+ppHj5l9V67xlDv+OFOD+nyi7y4eQFJvhiY6BabKAI4J51g==" saltValue="aSx5zrAktsuAZnCDsfmPlA==" spinCount="100000" sheet="1" objects="1" scenarios="1"/>
  <pageMargins left="0.75" right="0.75" top="1" bottom="1" header="0.5" footer="0.5"/>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Munka6"/>
  <dimension ref="B1:G15"/>
  <sheetViews>
    <sheetView showGridLines="0" workbookViewId="0"/>
  </sheetViews>
  <sheetFormatPr defaultRowHeight="14.4" x14ac:dyDescent="0.3"/>
  <cols>
    <col min="2" max="2" width="40" customWidth="1"/>
    <col min="3" max="7" width="18" customWidth="1"/>
  </cols>
  <sheetData>
    <row r="1" spans="2:7" ht="73.95" customHeight="1" x14ac:dyDescent="0.3"/>
    <row r="3" spans="2:7" ht="18" x14ac:dyDescent="0.35">
      <c r="B3" s="11" t="str">
        <f>INDEX('91_NYELV'!$C$7:$D$408,87,NYELV_IDX)</f>
        <v>Akvizíciós elszámolás – goodwill (IFRS 3)</v>
      </c>
    </row>
    <row r="4" spans="2:7" x14ac:dyDescent="0.3">
      <c r="B4" s="15" t="str">
        <f>INDEX('91_NYELV'!$C$7:$D$408,98,NYELV_IDX)</f>
        <v>A goodwill IFRS szerint NEM amortizálható – évente értékvesztés-tesztet kell végezni (IAS 36).</v>
      </c>
    </row>
    <row r="6" spans="2:7" x14ac:dyDescent="0.3">
      <c r="B6" s="16" t="str">
        <f>INDEX('91_NYELV'!$C$7:$D$408,88,NYELV_IDX)</f>
        <v>Megszerzett társaság</v>
      </c>
      <c r="C6" s="20" t="str">
        <f>'02_CSOPORT'!$C$8</f>
        <v>Minta Leány Kft.</v>
      </c>
      <c r="D6" s="20" t="str">
        <f>'02_CSOPORT'!$C$9</f>
        <v>Minta Külföldi GmbH</v>
      </c>
      <c r="E6" s="20" t="str">
        <f>'02_CSOPORT'!$C$10</f>
        <v>Minta Társult Zrt.</v>
      </c>
      <c r="F6" s="20">
        <f>'02_CSOPORT'!$C$11</f>
        <v>0</v>
      </c>
      <c r="G6" s="20">
        <f>'02_CSOPORT'!$C$12</f>
        <v>0</v>
      </c>
    </row>
    <row r="7" spans="2:7" x14ac:dyDescent="0.3">
      <c r="B7" s="7" t="str">
        <f>INDEX('91_NYELV'!$C$7:$D$408,89,NYELV_IDX)</f>
        <v>Átadott ellenérték valós értéke</v>
      </c>
      <c r="C7" s="24"/>
      <c r="D7" s="24"/>
      <c r="E7" s="24"/>
      <c r="F7" s="24"/>
      <c r="G7" s="24"/>
    </row>
    <row r="8" spans="2:7" x14ac:dyDescent="0.3">
      <c r="B8" s="7" t="str">
        <f>INDEX('91_NYELV'!$C$7:$D$408,90,NYELV_IDX)</f>
        <v>Nem ellenőrző részesedés értéke</v>
      </c>
      <c r="C8" s="24"/>
      <c r="D8" s="24"/>
      <c r="E8" s="24"/>
      <c r="F8" s="24"/>
      <c r="G8" s="24"/>
    </row>
    <row r="9" spans="2:7" x14ac:dyDescent="0.3">
      <c r="B9" s="7" t="str">
        <f>INDEX('91_NYELV'!$C$7:$D$408,91,NYELV_IDX)</f>
        <v>Korábban birtokolt részesedés valós értéke</v>
      </c>
      <c r="C9" s="24"/>
      <c r="D9" s="24"/>
      <c r="E9" s="24"/>
      <c r="F9" s="24"/>
      <c r="G9" s="24"/>
    </row>
    <row r="10" spans="2:7" x14ac:dyDescent="0.3">
      <c r="B10" s="10" t="str">
        <f>INDEX('91_NYELV'!$C$7:$D$408,92,NYELV_IDX)</f>
        <v>Összesen</v>
      </c>
      <c r="C10" s="26">
        <f>C7+C8+C9</f>
        <v>0</v>
      </c>
      <c r="D10" s="26">
        <f>D7+D8+D9</f>
        <v>0</v>
      </c>
      <c r="E10" s="26">
        <f>E7+E8+E9</f>
        <v>0</v>
      </c>
      <c r="F10" s="26">
        <f>F7+F8+F9</f>
        <v>0</v>
      </c>
      <c r="G10" s="26">
        <f>G7+G8+G9</f>
        <v>0</v>
      </c>
    </row>
    <row r="11" spans="2:7" x14ac:dyDescent="0.3">
      <c r="B11" s="7" t="str">
        <f>INDEX('91_NYELV'!$C$7:$D$408,93,NYELV_IDX)</f>
        <v>Azonosítható nettó eszközök valós értéke</v>
      </c>
      <c r="C11" s="24"/>
      <c r="D11" s="24"/>
      <c r="E11" s="24"/>
      <c r="F11" s="24"/>
      <c r="G11" s="24"/>
    </row>
    <row r="12" spans="2:7" x14ac:dyDescent="0.3">
      <c r="B12" s="10" t="str">
        <f>INDEX('91_NYELV'!$C$7:$D$408,94,NYELV_IDX)</f>
        <v>GOODWILL (IFRS 3.32)</v>
      </c>
      <c r="C12" s="23">
        <f>C10-C11</f>
        <v>0</v>
      </c>
      <c r="D12" s="23">
        <f>D10-D11</f>
        <v>0</v>
      </c>
      <c r="E12" s="23">
        <f>E10-E11</f>
        <v>0</v>
      </c>
      <c r="F12" s="23">
        <f>F10-F11</f>
        <v>0</v>
      </c>
      <c r="G12" s="23">
        <f>G10-G11</f>
        <v>0</v>
      </c>
    </row>
    <row r="13" spans="2:7" x14ac:dyDescent="0.3">
      <c r="B13" s="7" t="str">
        <f>INDEX('91_NYELV'!$C$7:$D$408,96,NYELV_IDX)</f>
        <v>Tulajdoni hányad</v>
      </c>
      <c r="C13" s="27">
        <f>'02_CSOPORT'!$F$8</f>
        <v>0.8</v>
      </c>
      <c r="D13" s="27">
        <f>'02_CSOPORT'!$F$9</f>
        <v>0.75</v>
      </c>
      <c r="E13" s="27">
        <f>'02_CSOPORT'!$F$10</f>
        <v>0.3</v>
      </c>
      <c r="F13" s="27">
        <f>'02_CSOPORT'!$F$11</f>
        <v>0</v>
      </c>
      <c r="G13" s="27">
        <f>'02_CSOPORT'!$F$12</f>
        <v>0</v>
      </c>
    </row>
    <row r="15" spans="2:7" x14ac:dyDescent="0.3">
      <c r="B15" s="28" t="str">
        <f>INDEX('91_NYELV'!$C$7:$D$408,95,NYELV_IDX)</f>
        <v>Ha negatív: nyereséges vétel – azonnal eredménybe (IFRS 3.34)</v>
      </c>
    </row>
  </sheetData>
  <sheetProtection algorithmName="SHA-512" hashValue="DULrdWogCilKArwRjjwLG9cQfC9uc/8XkKNWSxPhBJgWFWv8yF3T6Va4hZDcrC85gdj3wGnP6OkFHjhSXS7Fjw==" saltValue="RIRD65NLDX35y4M4H6+sHg==" spinCount="100000" sheet="1" objects="1" scenarios="1"/>
  <pageMargins left="0.75" right="0.75" top="1" bottom="1" header="0.5" footer="0.5"/>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unka7"/>
  <dimension ref="B1:F31"/>
  <sheetViews>
    <sheetView showGridLines="0" workbookViewId="0"/>
  </sheetViews>
  <sheetFormatPr defaultRowHeight="14.4" x14ac:dyDescent="0.3"/>
  <cols>
    <col min="2" max="2" width="10" customWidth="1"/>
    <col min="3" max="3" width="26" customWidth="1"/>
    <col min="4" max="6" width="18" customWidth="1"/>
  </cols>
  <sheetData>
    <row r="1" spans="2:6" ht="73.95" customHeight="1" x14ac:dyDescent="0.3"/>
    <row r="3" spans="2:6" ht="18" x14ac:dyDescent="0.35">
      <c r="B3" s="11" t="str">
        <f>INDEX('91_NYELV'!$C$7:$D$408,99,NYELV_IDX)</f>
        <v>Csoporton belüli egyenlegek kiszűrése (IFRS 10)</v>
      </c>
    </row>
    <row r="4" spans="2:6" x14ac:dyDescent="0.3">
      <c r="B4" s="15" t="str">
        <f>INDEX('91_NYELV'!$C$7:$D$408,99,NYELV_IDX)</f>
        <v>Csoporton belüli egyenlegek kiszűrése (IFRS 10)</v>
      </c>
    </row>
    <row r="6" spans="2:6" x14ac:dyDescent="0.3">
      <c r="B6" s="16" t="str">
        <f>INDEX('91_NYELV'!$C$7:$D$408,100,NYELV_IDX)</f>
        <v>Kötelezett</v>
      </c>
      <c r="C6" s="16" t="str">
        <f>INDEX('91_NYELV'!$C$7:$D$408,101,NYELV_IDX)</f>
        <v>Jogosult</v>
      </c>
      <c r="D6" s="16" t="str">
        <f>INDEX('91_NYELV'!$C$7:$D$408,103,NYELV_IDX)</f>
        <v>Kötelezettség sor kódja</v>
      </c>
      <c r="E6" s="16" t="str">
        <f>INDEX('91_NYELV'!$C$7:$D$408,104,NYELV_IDX)</f>
        <v>Követelés sor kódja</v>
      </c>
      <c r="F6" s="16" t="str">
        <f>INDEX('91_NYELV'!$C$7:$D$408,102,NYELV_IDX)</f>
        <v>Összeg</v>
      </c>
    </row>
    <row r="7" spans="2:6" x14ac:dyDescent="0.3">
      <c r="B7" s="12"/>
      <c r="C7" s="12"/>
      <c r="D7" s="12"/>
      <c r="E7" s="12"/>
      <c r="F7" s="24"/>
    </row>
    <row r="8" spans="2:6" x14ac:dyDescent="0.3">
      <c r="B8" s="12"/>
      <c r="C8" s="12"/>
      <c r="D8" s="12"/>
      <c r="E8" s="12"/>
      <c r="F8" s="24"/>
    </row>
    <row r="9" spans="2:6" x14ac:dyDescent="0.3">
      <c r="B9" s="12"/>
      <c r="C9" s="12"/>
      <c r="D9" s="12"/>
      <c r="E9" s="12"/>
      <c r="F9" s="24"/>
    </row>
    <row r="10" spans="2:6" x14ac:dyDescent="0.3">
      <c r="B10" s="12"/>
      <c r="C10" s="12"/>
      <c r="D10" s="12"/>
      <c r="E10" s="12"/>
      <c r="F10" s="24"/>
    </row>
    <row r="11" spans="2:6" x14ac:dyDescent="0.3">
      <c r="B11" s="12"/>
      <c r="C11" s="12"/>
      <c r="D11" s="12"/>
      <c r="E11" s="12"/>
      <c r="F11" s="24"/>
    </row>
    <row r="12" spans="2:6" x14ac:dyDescent="0.3">
      <c r="B12" s="12"/>
      <c r="C12" s="12"/>
      <c r="D12" s="12"/>
      <c r="E12" s="12"/>
      <c r="F12" s="24"/>
    </row>
    <row r="13" spans="2:6" x14ac:dyDescent="0.3">
      <c r="B13" s="12"/>
      <c r="C13" s="12"/>
      <c r="D13" s="12"/>
      <c r="E13" s="12"/>
      <c r="F13" s="24"/>
    </row>
    <row r="14" spans="2:6" x14ac:dyDescent="0.3">
      <c r="B14" s="12"/>
      <c r="C14" s="12"/>
      <c r="D14" s="12"/>
      <c r="E14" s="12"/>
      <c r="F14" s="24"/>
    </row>
    <row r="15" spans="2:6" x14ac:dyDescent="0.3">
      <c r="B15" s="12"/>
      <c r="C15" s="12"/>
      <c r="D15" s="12"/>
      <c r="E15" s="12"/>
      <c r="F15" s="24"/>
    </row>
    <row r="16" spans="2:6" x14ac:dyDescent="0.3">
      <c r="B16" s="12"/>
      <c r="C16" s="12"/>
      <c r="D16" s="12"/>
      <c r="E16" s="12"/>
      <c r="F16" s="24"/>
    </row>
    <row r="17" spans="2:6" x14ac:dyDescent="0.3">
      <c r="B17" s="12"/>
      <c r="C17" s="12"/>
      <c r="D17" s="12"/>
      <c r="E17" s="12"/>
      <c r="F17" s="24"/>
    </row>
    <row r="18" spans="2:6" x14ac:dyDescent="0.3">
      <c r="B18" s="12"/>
      <c r="C18" s="12"/>
      <c r="D18" s="12"/>
      <c r="E18" s="12"/>
      <c r="F18" s="24"/>
    </row>
    <row r="19" spans="2:6" x14ac:dyDescent="0.3">
      <c r="B19" s="12"/>
      <c r="C19" s="12"/>
      <c r="D19" s="12"/>
      <c r="E19" s="12"/>
      <c r="F19" s="24"/>
    </row>
    <row r="20" spans="2:6" x14ac:dyDescent="0.3">
      <c r="B20" s="12"/>
      <c r="C20" s="12"/>
      <c r="D20" s="12"/>
      <c r="E20" s="12"/>
      <c r="F20" s="24"/>
    </row>
    <row r="21" spans="2:6" x14ac:dyDescent="0.3">
      <c r="B21" s="12"/>
      <c r="C21" s="12"/>
      <c r="D21" s="12"/>
      <c r="E21" s="12"/>
      <c r="F21" s="24"/>
    </row>
    <row r="22" spans="2:6" x14ac:dyDescent="0.3">
      <c r="B22" s="12"/>
      <c r="C22" s="12"/>
      <c r="D22" s="12"/>
      <c r="E22" s="12"/>
      <c r="F22" s="24"/>
    </row>
    <row r="23" spans="2:6" x14ac:dyDescent="0.3">
      <c r="B23" s="12"/>
      <c r="C23" s="12"/>
      <c r="D23" s="12"/>
      <c r="E23" s="12"/>
      <c r="F23" s="24"/>
    </row>
    <row r="24" spans="2:6" x14ac:dyDescent="0.3">
      <c r="B24" s="12"/>
      <c r="C24" s="12"/>
      <c r="D24" s="12"/>
      <c r="E24" s="12"/>
      <c r="F24" s="24"/>
    </row>
    <row r="25" spans="2:6" x14ac:dyDescent="0.3">
      <c r="B25" s="12"/>
      <c r="C25" s="12"/>
      <c r="D25" s="12"/>
      <c r="E25" s="12"/>
      <c r="F25" s="24"/>
    </row>
    <row r="26" spans="2:6" x14ac:dyDescent="0.3">
      <c r="B26" s="12"/>
      <c r="C26" s="12"/>
      <c r="D26" s="12"/>
      <c r="E26" s="12"/>
      <c r="F26" s="24"/>
    </row>
    <row r="27" spans="2:6" x14ac:dyDescent="0.3">
      <c r="B27" s="12"/>
      <c r="C27" s="12"/>
      <c r="D27" s="12"/>
      <c r="E27" s="12"/>
      <c r="F27" s="24"/>
    </row>
    <row r="28" spans="2:6" x14ac:dyDescent="0.3">
      <c r="B28" s="12"/>
      <c r="C28" s="12"/>
      <c r="D28" s="12"/>
      <c r="E28" s="12"/>
      <c r="F28" s="24"/>
    </row>
    <row r="29" spans="2:6" x14ac:dyDescent="0.3">
      <c r="B29" s="12"/>
      <c r="C29" s="12"/>
      <c r="D29" s="12"/>
      <c r="E29" s="12"/>
      <c r="F29" s="24"/>
    </row>
    <row r="30" spans="2:6" x14ac:dyDescent="0.3">
      <c r="B30" s="12"/>
      <c r="C30" s="12"/>
      <c r="D30" s="12"/>
      <c r="E30" s="12"/>
      <c r="F30" s="24"/>
    </row>
    <row r="31" spans="2:6" x14ac:dyDescent="0.3">
      <c r="B31" s="12"/>
      <c r="C31" s="12"/>
      <c r="D31" s="12"/>
      <c r="E31" s="12"/>
      <c r="F31" s="24"/>
    </row>
  </sheetData>
  <sheetProtection algorithmName="SHA-512" hashValue="0O/Tz3brs1GT1Uqb62ef5i55ohH7HXEK1QQ2KcuLNnxbgFYdVXeMIN1fgniBcqyal0YA7Vy+t17vhrOurRHkZQ==" saltValue="6wTbqIflhI7jEhf3DJYcFw==" spinCount="100000" sheet="1" objects="1" scenarios="1"/>
  <pageMargins left="0.75" right="0.75" top="1" bottom="1" header="0.5" footer="0.5"/>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unka8"/>
  <dimension ref="B1:D31"/>
  <sheetViews>
    <sheetView showGridLines="0" workbookViewId="0"/>
  </sheetViews>
  <sheetFormatPr defaultRowHeight="14.4" x14ac:dyDescent="0.3"/>
  <cols>
    <col min="2" max="2" width="10" customWidth="1"/>
    <col min="3" max="3" width="30" customWidth="1"/>
    <col min="4" max="4" width="22" customWidth="1"/>
    <col min="5" max="5" width="18" customWidth="1"/>
  </cols>
  <sheetData>
    <row r="1" spans="2:4" ht="73.95" customHeight="1" x14ac:dyDescent="0.3"/>
    <row r="3" spans="2:4" ht="18" x14ac:dyDescent="0.35">
      <c r="B3" s="11" t="str">
        <f>INDEX('91_NYELV'!$C$7:$D$408,106,NYELV_IDX)</f>
        <v>Nem realizált eredmény kiszűrése</v>
      </c>
    </row>
    <row r="4" spans="2:4" x14ac:dyDescent="0.3">
      <c r="B4" s="15" t="str">
        <f>INDEX('91_NYELV'!$C$7:$D$408,109,NYELV_IDX)</f>
        <v>A csoporton belüli szállításból származó, még nem realizált eredmény.</v>
      </c>
    </row>
    <row r="6" spans="2:4" ht="24" x14ac:dyDescent="0.3">
      <c r="B6" s="16" t="str">
        <f>INDEX('91_NYELV'!$C$7:$D$408,69,NYELV_IDX)</f>
        <v>Társaság neve</v>
      </c>
      <c r="C6" s="16" t="str">
        <f>INDEX('91_NYELV'!$C$7:$D$408,107,NYELV_IDX)</f>
        <v>Érintett eszköz sor kódja</v>
      </c>
      <c r="D6" s="16" t="str">
        <f>INDEX('91_NYELV'!$C$7:$D$408,108,NYELV_IDX)</f>
        <v>Nem realizált eredmény</v>
      </c>
    </row>
    <row r="7" spans="2:4" x14ac:dyDescent="0.3">
      <c r="B7" s="12"/>
      <c r="C7" s="12"/>
      <c r="D7" s="24"/>
    </row>
    <row r="8" spans="2:4" x14ac:dyDescent="0.3">
      <c r="B8" s="12"/>
      <c r="C8" s="12"/>
      <c r="D8" s="24"/>
    </row>
    <row r="9" spans="2:4" x14ac:dyDescent="0.3">
      <c r="B9" s="12"/>
      <c r="C9" s="12"/>
      <c r="D9" s="24"/>
    </row>
    <row r="10" spans="2:4" x14ac:dyDescent="0.3">
      <c r="B10" s="12"/>
      <c r="C10" s="12"/>
      <c r="D10" s="24"/>
    </row>
    <row r="11" spans="2:4" x14ac:dyDescent="0.3">
      <c r="B11" s="12"/>
      <c r="C11" s="12"/>
      <c r="D11" s="24"/>
    </row>
    <row r="12" spans="2:4" x14ac:dyDescent="0.3">
      <c r="B12" s="12"/>
      <c r="C12" s="12"/>
      <c r="D12" s="24"/>
    </row>
    <row r="13" spans="2:4" x14ac:dyDescent="0.3">
      <c r="B13" s="12"/>
      <c r="C13" s="12"/>
      <c r="D13" s="24"/>
    </row>
    <row r="14" spans="2:4" x14ac:dyDescent="0.3">
      <c r="B14" s="12"/>
      <c r="C14" s="12"/>
      <c r="D14" s="24"/>
    </row>
    <row r="15" spans="2:4" x14ac:dyDescent="0.3">
      <c r="B15" s="12"/>
      <c r="C15" s="12"/>
      <c r="D15" s="24"/>
    </row>
    <row r="16" spans="2:4" x14ac:dyDescent="0.3">
      <c r="B16" s="12"/>
      <c r="C16" s="12"/>
      <c r="D16" s="24"/>
    </row>
    <row r="17" spans="2:4" x14ac:dyDescent="0.3">
      <c r="B17" s="12"/>
      <c r="C17" s="12"/>
      <c r="D17" s="24"/>
    </row>
    <row r="18" spans="2:4" x14ac:dyDescent="0.3">
      <c r="B18" s="12"/>
      <c r="C18" s="12"/>
      <c r="D18" s="24"/>
    </row>
    <row r="19" spans="2:4" x14ac:dyDescent="0.3">
      <c r="B19" s="12"/>
      <c r="C19" s="12"/>
      <c r="D19" s="24"/>
    </row>
    <row r="20" spans="2:4" x14ac:dyDescent="0.3">
      <c r="B20" s="12"/>
      <c r="C20" s="12"/>
      <c r="D20" s="24"/>
    </row>
    <row r="21" spans="2:4" x14ac:dyDescent="0.3">
      <c r="B21" s="12"/>
      <c r="C21" s="12"/>
      <c r="D21" s="24"/>
    </row>
    <row r="22" spans="2:4" x14ac:dyDescent="0.3">
      <c r="B22" s="12"/>
      <c r="C22" s="12"/>
      <c r="D22" s="24"/>
    </row>
    <row r="23" spans="2:4" x14ac:dyDescent="0.3">
      <c r="B23" s="12"/>
      <c r="C23" s="12"/>
      <c r="D23" s="24"/>
    </row>
    <row r="24" spans="2:4" x14ac:dyDescent="0.3">
      <c r="B24" s="12"/>
      <c r="C24" s="12"/>
      <c r="D24" s="24"/>
    </row>
    <row r="25" spans="2:4" x14ac:dyDescent="0.3">
      <c r="B25" s="12"/>
      <c r="C25" s="12"/>
      <c r="D25" s="24"/>
    </row>
    <row r="26" spans="2:4" x14ac:dyDescent="0.3">
      <c r="B26" s="12"/>
      <c r="C26" s="12"/>
      <c r="D26" s="24"/>
    </row>
    <row r="27" spans="2:4" x14ac:dyDescent="0.3">
      <c r="B27" s="12"/>
      <c r="C27" s="12"/>
      <c r="D27" s="24"/>
    </row>
    <row r="28" spans="2:4" x14ac:dyDescent="0.3">
      <c r="B28" s="12"/>
      <c r="C28" s="12"/>
      <c r="D28" s="24"/>
    </row>
    <row r="29" spans="2:4" x14ac:dyDescent="0.3">
      <c r="B29" s="12"/>
      <c r="C29" s="12"/>
      <c r="D29" s="24"/>
    </row>
    <row r="30" spans="2:4" x14ac:dyDescent="0.3">
      <c r="B30" s="12"/>
      <c r="C30" s="12"/>
      <c r="D30" s="24"/>
    </row>
    <row r="31" spans="2:4" x14ac:dyDescent="0.3">
      <c r="B31" s="12"/>
      <c r="C31" s="12"/>
      <c r="D31" s="24"/>
    </row>
  </sheetData>
  <sheetProtection algorithmName="SHA-512" hashValue="OP2dqM7rOWyXBEB/DZa+SvXkFBCYVNBi73NUUaG9VPYxW5ieMXHF/sbLYztVlwHK14BfhfKMIe8h3CZiG5Z8vg==" saltValue="Ru4oPdK0yYyjSzGDv0iqvA==" spinCount="100000" sheet="1" objects="1" scenarios="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unka9"/>
  <dimension ref="B1:E31"/>
  <sheetViews>
    <sheetView showGridLines="0" workbookViewId="0"/>
  </sheetViews>
  <sheetFormatPr defaultRowHeight="14.4" x14ac:dyDescent="0.3"/>
  <cols>
    <col min="2" max="2" width="10" customWidth="1"/>
    <col min="3" max="3" width="30" customWidth="1"/>
    <col min="4" max="5" width="20" customWidth="1"/>
    <col min="6" max="6" width="18" customWidth="1"/>
  </cols>
  <sheetData>
    <row r="1" spans="2:5" ht="73.95" customHeight="1" x14ac:dyDescent="0.3"/>
    <row r="3" spans="2:5" ht="18" x14ac:dyDescent="0.35">
      <c r="B3" s="11" t="str">
        <f>INDEX('91_NYELV'!$C$7:$D$408,110,NYELV_IDX)</f>
        <v>Csoporton belüli bevételek és ráfordítások</v>
      </c>
    </row>
    <row r="4" spans="2:5" x14ac:dyDescent="0.3">
      <c r="B4" s="15" t="str">
        <f>INDEX('91_NYELV'!$C$7:$D$408,113,NYELV_IDX)</f>
        <v>Csoporton belüli osztalék</v>
      </c>
    </row>
    <row r="6" spans="2:5" ht="24" x14ac:dyDescent="0.3">
      <c r="B6" s="16" t="str">
        <f>INDEX('91_NYELV'!$C$7:$D$408,69,NYELV_IDX)</f>
        <v>Társaság neve</v>
      </c>
      <c r="C6" s="16" t="str">
        <f>INDEX('91_NYELV'!$C$7:$D$408,111,NYELV_IDX)</f>
        <v>Bevétel sor kódja</v>
      </c>
      <c r="D6" s="16" t="str">
        <f>INDEX('91_NYELV'!$C$7:$D$408,112,NYELV_IDX)</f>
        <v>Ráfordítás sor kódja</v>
      </c>
      <c r="E6" s="16" t="str">
        <f>INDEX('91_NYELV'!$C$7:$D$408,102,NYELV_IDX)</f>
        <v>Összeg</v>
      </c>
    </row>
    <row r="7" spans="2:5" x14ac:dyDescent="0.3">
      <c r="B7" s="12"/>
      <c r="C7" s="12"/>
      <c r="D7" s="12"/>
      <c r="E7" s="24"/>
    </row>
    <row r="8" spans="2:5" x14ac:dyDescent="0.3">
      <c r="B8" s="12"/>
      <c r="C8" s="12"/>
      <c r="D8" s="12"/>
      <c r="E8" s="24"/>
    </row>
    <row r="9" spans="2:5" x14ac:dyDescent="0.3">
      <c r="B9" s="12"/>
      <c r="C9" s="12"/>
      <c r="D9" s="12"/>
      <c r="E9" s="24"/>
    </row>
    <row r="10" spans="2:5" x14ac:dyDescent="0.3">
      <c r="B10" s="12"/>
      <c r="C10" s="12"/>
      <c r="D10" s="12"/>
      <c r="E10" s="24"/>
    </row>
    <row r="11" spans="2:5" x14ac:dyDescent="0.3">
      <c r="B11" s="12"/>
      <c r="C11" s="12"/>
      <c r="D11" s="12"/>
      <c r="E11" s="24"/>
    </row>
    <row r="12" spans="2:5" x14ac:dyDescent="0.3">
      <c r="B12" s="12"/>
      <c r="C12" s="12"/>
      <c r="D12" s="12"/>
      <c r="E12" s="24"/>
    </row>
    <row r="13" spans="2:5" x14ac:dyDescent="0.3">
      <c r="B13" s="12"/>
      <c r="C13" s="12"/>
      <c r="D13" s="12"/>
      <c r="E13" s="24"/>
    </row>
    <row r="14" spans="2:5" x14ac:dyDescent="0.3">
      <c r="B14" s="12"/>
      <c r="C14" s="12"/>
      <c r="D14" s="12"/>
      <c r="E14" s="24"/>
    </row>
    <row r="15" spans="2:5" x14ac:dyDescent="0.3">
      <c r="B15" s="12"/>
      <c r="C15" s="12"/>
      <c r="D15" s="12"/>
      <c r="E15" s="24"/>
    </row>
    <row r="16" spans="2:5" x14ac:dyDescent="0.3">
      <c r="B16" s="12"/>
      <c r="C16" s="12"/>
      <c r="D16" s="12"/>
      <c r="E16" s="24"/>
    </row>
    <row r="17" spans="2:5" x14ac:dyDescent="0.3">
      <c r="B17" s="12"/>
      <c r="C17" s="12"/>
      <c r="D17" s="12"/>
      <c r="E17" s="24"/>
    </row>
    <row r="18" spans="2:5" x14ac:dyDescent="0.3">
      <c r="B18" s="12"/>
      <c r="C18" s="12"/>
      <c r="D18" s="12"/>
      <c r="E18" s="24"/>
    </row>
    <row r="19" spans="2:5" x14ac:dyDescent="0.3">
      <c r="B19" s="12"/>
      <c r="C19" s="12"/>
      <c r="D19" s="12"/>
      <c r="E19" s="24"/>
    </row>
    <row r="20" spans="2:5" x14ac:dyDescent="0.3">
      <c r="B20" s="12"/>
      <c r="C20" s="12"/>
      <c r="D20" s="12"/>
      <c r="E20" s="24"/>
    </row>
    <row r="21" spans="2:5" x14ac:dyDescent="0.3">
      <c r="B21" s="12"/>
      <c r="C21" s="12"/>
      <c r="D21" s="12"/>
      <c r="E21" s="24"/>
    </row>
    <row r="22" spans="2:5" x14ac:dyDescent="0.3">
      <c r="B22" s="12"/>
      <c r="C22" s="12"/>
      <c r="D22" s="12"/>
      <c r="E22" s="24"/>
    </row>
    <row r="23" spans="2:5" x14ac:dyDescent="0.3">
      <c r="B23" s="12"/>
      <c r="C23" s="12"/>
      <c r="D23" s="12"/>
      <c r="E23" s="24"/>
    </row>
    <row r="24" spans="2:5" x14ac:dyDescent="0.3">
      <c r="B24" s="12"/>
      <c r="C24" s="12"/>
      <c r="D24" s="12"/>
      <c r="E24" s="24"/>
    </row>
    <row r="25" spans="2:5" x14ac:dyDescent="0.3">
      <c r="B25" s="12"/>
      <c r="C25" s="12"/>
      <c r="D25" s="12"/>
      <c r="E25" s="24"/>
    </row>
    <row r="26" spans="2:5" x14ac:dyDescent="0.3">
      <c r="B26" s="12"/>
      <c r="C26" s="12"/>
      <c r="D26" s="12"/>
      <c r="E26" s="24"/>
    </row>
    <row r="27" spans="2:5" x14ac:dyDescent="0.3">
      <c r="B27" s="12"/>
      <c r="C27" s="12"/>
      <c r="D27" s="12"/>
      <c r="E27" s="24"/>
    </row>
    <row r="28" spans="2:5" x14ac:dyDescent="0.3">
      <c r="B28" s="12"/>
      <c r="C28" s="12"/>
      <c r="D28" s="12"/>
      <c r="E28" s="24"/>
    </row>
    <row r="29" spans="2:5" x14ac:dyDescent="0.3">
      <c r="B29" s="12"/>
      <c r="C29" s="12"/>
      <c r="D29" s="12"/>
      <c r="E29" s="24"/>
    </row>
    <row r="30" spans="2:5" x14ac:dyDescent="0.3">
      <c r="B30" s="12"/>
      <c r="C30" s="12"/>
      <c r="D30" s="12"/>
      <c r="E30" s="24"/>
    </row>
    <row r="31" spans="2:5" x14ac:dyDescent="0.3">
      <c r="B31" s="12"/>
      <c r="C31" s="12"/>
      <c r="D31" s="12"/>
      <c r="E31" s="24"/>
    </row>
  </sheetData>
  <sheetProtection algorithmName="SHA-512" hashValue="d/dwMZDj1oyxS5T7w47wG+lc6J1JPeYyuKsS9hGhDIjCVO39QmcugAQZxCzPuDRiSl3mMDHjHuZmVhaBRBAtLw==" saltValue="ukEVWIqavK3q/sz0KaOvKA==" spinCount="100000" sheet="1" objects="1" scenarios="1"/>
  <pageMargins left="0.75" right="0.75" top="1" bottom="1" header="0.5" footer="0.5"/>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unka10"/>
  <dimension ref="B1:I16"/>
  <sheetViews>
    <sheetView showGridLines="0" workbookViewId="0"/>
  </sheetViews>
  <sheetFormatPr defaultRowHeight="14.4" x14ac:dyDescent="0.3"/>
  <cols>
    <col min="2" max="2" width="26" customWidth="1"/>
    <col min="3" max="4" width="18" customWidth="1"/>
    <col min="5" max="5" width="14" customWidth="1"/>
    <col min="6" max="9" width="18" customWidth="1"/>
  </cols>
  <sheetData>
    <row r="1" spans="2:9" ht="73.95" customHeight="1" x14ac:dyDescent="0.3"/>
    <row r="3" spans="2:9" ht="18" x14ac:dyDescent="0.35">
      <c r="B3" s="11" t="str">
        <f>INDEX('91_NYELV'!$C$7:$D$408,114,NYELV_IDX)</f>
        <v>Társult vállalkozások – equity módszer (IAS 28)</v>
      </c>
    </row>
    <row r="4" spans="2:9" x14ac:dyDescent="0.3">
      <c r="B4" s="15" t="str">
        <f>INDEX('91_NYELV'!$C$7:$D$408,98,NYELV_IDX)</f>
        <v>A goodwill IFRS szerint NEM amortizálható – évente értékvesztés-tesztet kell végezni (IAS 36).</v>
      </c>
    </row>
    <row r="6" spans="2:9" ht="36" x14ac:dyDescent="0.3">
      <c r="B6" s="16" t="str">
        <f>INDEX('91_NYELV'!$C$7:$D$408,115,NYELV_IDX)</f>
        <v>Társaság</v>
      </c>
      <c r="C6" s="16" t="str">
        <f>INDEX('91_NYELV'!$C$7:$D$408,116,NYELV_IDX)</f>
        <v>Befektetés könyv szerinti értéke</v>
      </c>
      <c r="D6" s="16" t="str">
        <f>INDEX('91_NYELV'!$C$7:$D$408,117,NYELV_IDX)</f>
        <v>A társaság saját tőkéje</v>
      </c>
      <c r="E6" s="16" t="str">
        <f>INDEX('91_NYELV'!$C$7:$D$408,118,NYELV_IDX)</f>
        <v>Tulajdoni hányad</v>
      </c>
      <c r="F6" s="16" t="str">
        <f>INDEX('91_NYELV'!$C$7:$D$408,119,NYELV_IDX)</f>
        <v>Tőkerészesedési érték</v>
      </c>
      <c r="G6" s="16" t="str">
        <f>INDEX('91_NYELV'!$C$7:$D$408,120,NYELV_IDX)</f>
        <v>Tárgyévi eredményből való részesedés</v>
      </c>
      <c r="H6" s="16" t="str">
        <f>INDEX('91_NYELV'!$C$7:$D$408,121,NYELV_IDX)</f>
        <v>Egyéb átfogó jövedelemből való részesedés</v>
      </c>
      <c r="I6" s="16" t="str">
        <f>INDEX('91_NYELV'!$C$7:$D$408,122,NYELV_IDX)</f>
        <v>Különbözet (korábbi évek)</v>
      </c>
    </row>
    <row r="7" spans="2:9" x14ac:dyDescent="0.3">
      <c r="B7" s="12"/>
      <c r="C7" s="24"/>
      <c r="D7" s="24"/>
      <c r="E7" s="13"/>
      <c r="F7" s="8">
        <f t="shared" ref="F7:F16" si="0">$D7*$E7</f>
        <v>0</v>
      </c>
      <c r="G7" s="24"/>
      <c r="H7" s="24"/>
      <c r="I7" s="8">
        <f t="shared" ref="I7:I16" si="1">$F7-$C7-$G7-$H7</f>
        <v>0</v>
      </c>
    </row>
    <row r="8" spans="2:9" x14ac:dyDescent="0.3">
      <c r="B8" s="12"/>
      <c r="C8" s="24"/>
      <c r="D8" s="24"/>
      <c r="E8" s="13"/>
      <c r="F8" s="8">
        <f t="shared" si="0"/>
        <v>0</v>
      </c>
      <c r="G8" s="24"/>
      <c r="H8" s="24"/>
      <c r="I8" s="8">
        <f t="shared" si="1"/>
        <v>0</v>
      </c>
    </row>
    <row r="9" spans="2:9" x14ac:dyDescent="0.3">
      <c r="B9" s="12"/>
      <c r="C9" s="24"/>
      <c r="D9" s="24"/>
      <c r="E9" s="13"/>
      <c r="F9" s="8">
        <f t="shared" si="0"/>
        <v>0</v>
      </c>
      <c r="G9" s="24"/>
      <c r="H9" s="24"/>
      <c r="I9" s="8">
        <f t="shared" si="1"/>
        <v>0</v>
      </c>
    </row>
    <row r="10" spans="2:9" x14ac:dyDescent="0.3">
      <c r="B10" s="12"/>
      <c r="C10" s="24"/>
      <c r="D10" s="24"/>
      <c r="E10" s="13"/>
      <c r="F10" s="8">
        <f t="shared" si="0"/>
        <v>0</v>
      </c>
      <c r="G10" s="24"/>
      <c r="H10" s="24"/>
      <c r="I10" s="8">
        <f t="shared" si="1"/>
        <v>0</v>
      </c>
    </row>
    <row r="11" spans="2:9" x14ac:dyDescent="0.3">
      <c r="B11" s="12"/>
      <c r="C11" s="24"/>
      <c r="D11" s="24"/>
      <c r="E11" s="13"/>
      <c r="F11" s="8">
        <f t="shared" si="0"/>
        <v>0</v>
      </c>
      <c r="G11" s="24"/>
      <c r="H11" s="24"/>
      <c r="I11" s="8">
        <f t="shared" si="1"/>
        <v>0</v>
      </c>
    </row>
    <row r="12" spans="2:9" x14ac:dyDescent="0.3">
      <c r="B12" s="12"/>
      <c r="C12" s="24"/>
      <c r="D12" s="24"/>
      <c r="E12" s="13"/>
      <c r="F12" s="8">
        <f t="shared" si="0"/>
        <v>0</v>
      </c>
      <c r="G12" s="24"/>
      <c r="H12" s="24"/>
      <c r="I12" s="8">
        <f t="shared" si="1"/>
        <v>0</v>
      </c>
    </row>
    <row r="13" spans="2:9" x14ac:dyDescent="0.3">
      <c r="B13" s="12"/>
      <c r="C13" s="24"/>
      <c r="D13" s="24"/>
      <c r="E13" s="13"/>
      <c r="F13" s="8">
        <f t="shared" si="0"/>
        <v>0</v>
      </c>
      <c r="G13" s="24"/>
      <c r="H13" s="24"/>
      <c r="I13" s="8">
        <f t="shared" si="1"/>
        <v>0</v>
      </c>
    </row>
    <row r="14" spans="2:9" x14ac:dyDescent="0.3">
      <c r="B14" s="12"/>
      <c r="C14" s="24"/>
      <c r="D14" s="24"/>
      <c r="E14" s="13"/>
      <c r="F14" s="8">
        <f t="shared" si="0"/>
        <v>0</v>
      </c>
      <c r="G14" s="24"/>
      <c r="H14" s="24"/>
      <c r="I14" s="8">
        <f t="shared" si="1"/>
        <v>0</v>
      </c>
    </row>
    <row r="15" spans="2:9" x14ac:dyDescent="0.3">
      <c r="B15" s="12"/>
      <c r="C15" s="24"/>
      <c r="D15" s="24"/>
      <c r="E15" s="13"/>
      <c r="F15" s="8">
        <f t="shared" si="0"/>
        <v>0</v>
      </c>
      <c r="G15" s="24"/>
      <c r="H15" s="24"/>
      <c r="I15" s="8">
        <f t="shared" si="1"/>
        <v>0</v>
      </c>
    </row>
    <row r="16" spans="2:9" x14ac:dyDescent="0.3">
      <c r="B16" s="12"/>
      <c r="C16" s="24"/>
      <c r="D16" s="24"/>
      <c r="E16" s="13"/>
      <c r="F16" s="8">
        <f t="shared" si="0"/>
        <v>0</v>
      </c>
      <c r="G16" s="24"/>
      <c r="H16" s="24"/>
      <c r="I16" s="8">
        <f t="shared" si="1"/>
        <v>0</v>
      </c>
    </row>
  </sheetData>
  <sheetProtection algorithmName="SHA-512" hashValue="BcsYqlyfdlvt3/XxF2b5ztlwBxktl7uUrGozNLKLhatC6mG0P04X3sMgFRiUOrFMEhmvXbAOY6Mu6j+2fVaJkw==" saltValue="CCTfYGAnqMBGaTgAgKuB/Q==" spinCount="100000" sheet="1" objects="1" scenarios="1"/>
  <pageMargins left="0.75" right="0.75" top="1" bottom="1" header="0.5" footer="0.5"/>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unka11"/>
  <dimension ref="B1:F31"/>
  <sheetViews>
    <sheetView showGridLines="0" workbookViewId="0"/>
  </sheetViews>
  <sheetFormatPr defaultRowHeight="14.4" x14ac:dyDescent="0.3"/>
  <cols>
    <col min="2" max="2" width="10" customWidth="1"/>
    <col min="3" max="3" width="40" customWidth="1"/>
    <col min="4" max="4" width="16" customWidth="1"/>
    <col min="5" max="5" width="18" customWidth="1"/>
    <col min="6" max="6" width="12" customWidth="1"/>
    <col min="7" max="7" width="18" customWidth="1"/>
  </cols>
  <sheetData>
    <row r="1" spans="2:6" ht="73.95" customHeight="1" x14ac:dyDescent="0.3"/>
    <row r="3" spans="2:6" ht="18" x14ac:dyDescent="0.35">
      <c r="B3" s="11" t="str">
        <f>INDEX('91_NYELV'!$C$7:$D$408,123,NYELV_IDX)</f>
        <v>Halasztott adó a konszolidációs korrekciókra (IAS 12)</v>
      </c>
    </row>
    <row r="4" spans="2:6" x14ac:dyDescent="0.3">
      <c r="B4" s="15" t="str">
        <f>INDEX('91_NYELV'!$C$7:$D$408,127,NYELV_IDX)</f>
        <v>Az IAS 12 szerint a konszolidációs korrekciók átmeneti különbözetet keletkeztetnek.</v>
      </c>
    </row>
    <row r="6" spans="2:6" ht="24" x14ac:dyDescent="0.3">
      <c r="B6" s="16" t="str">
        <f>INDEX('91_NYELV'!$C$7:$D$408,138,NYELV_IDX)</f>
        <v>Leírás</v>
      </c>
      <c r="C6" s="16" t="str">
        <f>INDEX('91_NYELV'!$C$7:$D$408,9,NYELV_IDX)</f>
        <v>Kód</v>
      </c>
      <c r="D6" s="16" t="str">
        <f>INDEX('91_NYELV'!$C$7:$D$408,124,NYELV_IDX)</f>
        <v>Átmeneti különbözet alapja</v>
      </c>
      <c r="E6" s="16" t="str">
        <f>INDEX('91_NYELV'!$C$7:$D$408,125,NYELV_IDX)</f>
        <v>Adókulcs</v>
      </c>
      <c r="F6" s="16" t="str">
        <f>INDEX('91_NYELV'!$C$7:$D$408,126,NYELV_IDX)</f>
        <v>Halasztott adó</v>
      </c>
    </row>
    <row r="7" spans="2:6" x14ac:dyDescent="0.3">
      <c r="B7" s="12"/>
      <c r="C7" s="12"/>
      <c r="D7" s="24"/>
      <c r="E7" s="13"/>
      <c r="F7" s="8">
        <f t="shared" ref="F7:F31" si="0">$D7*$E7</f>
        <v>0</v>
      </c>
    </row>
    <row r="8" spans="2:6" x14ac:dyDescent="0.3">
      <c r="B8" s="12"/>
      <c r="C8" s="12"/>
      <c r="D8" s="24"/>
      <c r="E8" s="13"/>
      <c r="F8" s="8">
        <f t="shared" si="0"/>
        <v>0</v>
      </c>
    </row>
    <row r="9" spans="2:6" x14ac:dyDescent="0.3">
      <c r="B9" s="12"/>
      <c r="C9" s="12"/>
      <c r="D9" s="24"/>
      <c r="E9" s="13"/>
      <c r="F9" s="8">
        <f t="shared" si="0"/>
        <v>0</v>
      </c>
    </row>
    <row r="10" spans="2:6" x14ac:dyDescent="0.3">
      <c r="B10" s="12"/>
      <c r="C10" s="12"/>
      <c r="D10" s="24"/>
      <c r="E10" s="13"/>
      <c r="F10" s="8">
        <f t="shared" si="0"/>
        <v>0</v>
      </c>
    </row>
    <row r="11" spans="2:6" x14ac:dyDescent="0.3">
      <c r="B11" s="12"/>
      <c r="C11" s="12"/>
      <c r="D11" s="24"/>
      <c r="E11" s="13"/>
      <c r="F11" s="8">
        <f t="shared" si="0"/>
        <v>0</v>
      </c>
    </row>
    <row r="12" spans="2:6" x14ac:dyDescent="0.3">
      <c r="B12" s="12"/>
      <c r="C12" s="12"/>
      <c r="D12" s="24"/>
      <c r="E12" s="13"/>
      <c r="F12" s="8">
        <f t="shared" si="0"/>
        <v>0</v>
      </c>
    </row>
    <row r="13" spans="2:6" x14ac:dyDescent="0.3">
      <c r="B13" s="12"/>
      <c r="C13" s="12"/>
      <c r="D13" s="24"/>
      <c r="E13" s="13"/>
      <c r="F13" s="8">
        <f t="shared" si="0"/>
        <v>0</v>
      </c>
    </row>
    <row r="14" spans="2:6" x14ac:dyDescent="0.3">
      <c r="B14" s="12"/>
      <c r="C14" s="12"/>
      <c r="D14" s="24"/>
      <c r="E14" s="13"/>
      <c r="F14" s="8">
        <f t="shared" si="0"/>
        <v>0</v>
      </c>
    </row>
    <row r="15" spans="2:6" x14ac:dyDescent="0.3">
      <c r="B15" s="12"/>
      <c r="C15" s="12"/>
      <c r="D15" s="24"/>
      <c r="E15" s="13"/>
      <c r="F15" s="8">
        <f t="shared" si="0"/>
        <v>0</v>
      </c>
    </row>
    <row r="16" spans="2:6" x14ac:dyDescent="0.3">
      <c r="B16" s="12"/>
      <c r="C16" s="12"/>
      <c r="D16" s="24"/>
      <c r="E16" s="13"/>
      <c r="F16" s="8">
        <f t="shared" si="0"/>
        <v>0</v>
      </c>
    </row>
    <row r="17" spans="2:6" x14ac:dyDescent="0.3">
      <c r="B17" s="12"/>
      <c r="C17" s="12"/>
      <c r="D17" s="24"/>
      <c r="E17" s="13"/>
      <c r="F17" s="8">
        <f t="shared" si="0"/>
        <v>0</v>
      </c>
    </row>
    <row r="18" spans="2:6" x14ac:dyDescent="0.3">
      <c r="B18" s="12"/>
      <c r="C18" s="12"/>
      <c r="D18" s="24"/>
      <c r="E18" s="13"/>
      <c r="F18" s="8">
        <f t="shared" si="0"/>
        <v>0</v>
      </c>
    </row>
    <row r="19" spans="2:6" x14ac:dyDescent="0.3">
      <c r="B19" s="12"/>
      <c r="C19" s="12"/>
      <c r="D19" s="24"/>
      <c r="E19" s="13"/>
      <c r="F19" s="8">
        <f t="shared" si="0"/>
        <v>0</v>
      </c>
    </row>
    <row r="20" spans="2:6" x14ac:dyDescent="0.3">
      <c r="B20" s="12"/>
      <c r="C20" s="12"/>
      <c r="D20" s="24"/>
      <c r="E20" s="13"/>
      <c r="F20" s="8">
        <f t="shared" si="0"/>
        <v>0</v>
      </c>
    </row>
    <row r="21" spans="2:6" x14ac:dyDescent="0.3">
      <c r="B21" s="12"/>
      <c r="C21" s="12"/>
      <c r="D21" s="24"/>
      <c r="E21" s="13"/>
      <c r="F21" s="8">
        <f t="shared" si="0"/>
        <v>0</v>
      </c>
    </row>
    <row r="22" spans="2:6" x14ac:dyDescent="0.3">
      <c r="B22" s="12"/>
      <c r="C22" s="12"/>
      <c r="D22" s="24"/>
      <c r="E22" s="13"/>
      <c r="F22" s="8">
        <f t="shared" si="0"/>
        <v>0</v>
      </c>
    </row>
    <row r="23" spans="2:6" x14ac:dyDescent="0.3">
      <c r="B23" s="12"/>
      <c r="C23" s="12"/>
      <c r="D23" s="24"/>
      <c r="E23" s="13"/>
      <c r="F23" s="8">
        <f t="shared" si="0"/>
        <v>0</v>
      </c>
    </row>
    <row r="24" spans="2:6" x14ac:dyDescent="0.3">
      <c r="B24" s="12"/>
      <c r="C24" s="12"/>
      <c r="D24" s="24"/>
      <c r="E24" s="13"/>
      <c r="F24" s="8">
        <f t="shared" si="0"/>
        <v>0</v>
      </c>
    </row>
    <row r="25" spans="2:6" x14ac:dyDescent="0.3">
      <c r="B25" s="12"/>
      <c r="C25" s="12"/>
      <c r="D25" s="24"/>
      <c r="E25" s="13"/>
      <c r="F25" s="8">
        <f t="shared" si="0"/>
        <v>0</v>
      </c>
    </row>
    <row r="26" spans="2:6" x14ac:dyDescent="0.3">
      <c r="B26" s="12"/>
      <c r="C26" s="12"/>
      <c r="D26" s="24"/>
      <c r="E26" s="13"/>
      <c r="F26" s="8">
        <f t="shared" si="0"/>
        <v>0</v>
      </c>
    </row>
    <row r="27" spans="2:6" x14ac:dyDescent="0.3">
      <c r="B27" s="12"/>
      <c r="C27" s="12"/>
      <c r="D27" s="24"/>
      <c r="E27" s="13"/>
      <c r="F27" s="8">
        <f t="shared" si="0"/>
        <v>0</v>
      </c>
    </row>
    <row r="28" spans="2:6" x14ac:dyDescent="0.3">
      <c r="B28" s="12"/>
      <c r="C28" s="12"/>
      <c r="D28" s="24"/>
      <c r="E28" s="13"/>
      <c r="F28" s="8">
        <f t="shared" si="0"/>
        <v>0</v>
      </c>
    </row>
    <row r="29" spans="2:6" x14ac:dyDescent="0.3">
      <c r="B29" s="12"/>
      <c r="C29" s="12"/>
      <c r="D29" s="24"/>
      <c r="E29" s="13"/>
      <c r="F29" s="8">
        <f t="shared" si="0"/>
        <v>0</v>
      </c>
    </row>
    <row r="30" spans="2:6" x14ac:dyDescent="0.3">
      <c r="B30" s="12"/>
      <c r="C30" s="12"/>
      <c r="D30" s="24"/>
      <c r="E30" s="13"/>
      <c r="F30" s="8">
        <f t="shared" si="0"/>
        <v>0</v>
      </c>
    </row>
    <row r="31" spans="2:6" x14ac:dyDescent="0.3">
      <c r="B31" s="12"/>
      <c r="C31" s="12"/>
      <c r="D31" s="24"/>
      <c r="E31" s="13"/>
      <c r="F31" s="8">
        <f t="shared" si="0"/>
        <v>0</v>
      </c>
    </row>
  </sheetData>
  <sheetProtection algorithmName="SHA-512" hashValue="3rKgaIyR61t3EeyUwvPSMYI3au5KPqYRHJBGut1xyWNQ4eAuL9VVNTXVn5hD4Lo+i++lf4Gxe9kTsI822WD0qQ==" saltValue="y4AtGmkFYwk1Enylxh2fFg==" spinCount="100000" sheet="1" objects="1" scenarios="1"/>
  <pageMargins left="0.75" right="0.75" top="1" bottom="1" header="0.5" footer="0.5"/>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unka12"/>
  <dimension ref="B1:E16"/>
  <sheetViews>
    <sheetView showGridLines="0" workbookViewId="0"/>
  </sheetViews>
  <sheetFormatPr defaultRowHeight="14.4" x14ac:dyDescent="0.3"/>
  <cols>
    <col min="2" max="2" width="32" customWidth="1"/>
    <col min="3" max="5" width="20" customWidth="1"/>
  </cols>
  <sheetData>
    <row r="1" spans="2:5" ht="73.95" customHeight="1" x14ac:dyDescent="0.3"/>
    <row r="3" spans="2:5" ht="18" x14ac:dyDescent="0.35">
      <c r="B3" s="11" t="str">
        <f>INDEX('91_NYELV'!$C$7:$D$408,128,NYELV_IDX)</f>
        <v>Goodwill értékvesztés-teszt (IAS 36)</v>
      </c>
    </row>
    <row r="4" spans="2:5" x14ac:dyDescent="0.3">
      <c r="B4" s="15" t="str">
        <f>INDEX('91_NYELV'!$C$7:$D$408,133,NYELV_IDX)</f>
        <v>Az IAS 36 szerint a goodwillt évente teszteni kell. Az elszámolt értékvesztés NEM fordítható vissza (IAS 36.124).</v>
      </c>
    </row>
    <row r="6" spans="2:5" ht="24" x14ac:dyDescent="0.3">
      <c r="B6" s="16" t="str">
        <f>INDEX('91_NYELV'!$C$7:$D$408,129,NYELV_IDX)</f>
        <v>Pénztermelő egység / megszerzett társaság</v>
      </c>
      <c r="C6" s="16" t="str">
        <f>INDEX('91_NYELV'!$C$7:$D$408,130,NYELV_IDX)</f>
        <v>Goodwill könyv szerinti értéke</v>
      </c>
      <c r="D6" s="16" t="str">
        <f>INDEX('91_NYELV'!$C$7:$D$408,131,NYELV_IDX)</f>
        <v>Megtérülő érték</v>
      </c>
      <c r="E6" s="16" t="str">
        <f>INDEX('91_NYELV'!$C$7:$D$408,132,NYELV_IDX)</f>
        <v>Elszámolandó értékvesztés</v>
      </c>
    </row>
    <row r="7" spans="2:5" x14ac:dyDescent="0.3">
      <c r="B7" s="12"/>
      <c r="C7" s="24"/>
      <c r="D7" s="24"/>
      <c r="E7" s="23">
        <f t="shared" ref="E7:E16" si="0">IF(AND($C7&gt;0,$D7&lt;$C7),$C7-$D7,0)</f>
        <v>0</v>
      </c>
    </row>
    <row r="8" spans="2:5" x14ac:dyDescent="0.3">
      <c r="B8" s="12"/>
      <c r="C8" s="24"/>
      <c r="D8" s="24"/>
      <c r="E8" s="23">
        <f t="shared" si="0"/>
        <v>0</v>
      </c>
    </row>
    <row r="9" spans="2:5" x14ac:dyDescent="0.3">
      <c r="B9" s="12"/>
      <c r="C9" s="24"/>
      <c r="D9" s="24"/>
      <c r="E9" s="23">
        <f t="shared" si="0"/>
        <v>0</v>
      </c>
    </row>
    <row r="10" spans="2:5" x14ac:dyDescent="0.3">
      <c r="B10" s="12"/>
      <c r="C10" s="24"/>
      <c r="D10" s="24"/>
      <c r="E10" s="23">
        <f t="shared" si="0"/>
        <v>0</v>
      </c>
    </row>
    <row r="11" spans="2:5" x14ac:dyDescent="0.3">
      <c r="B11" s="12"/>
      <c r="C11" s="24"/>
      <c r="D11" s="24"/>
      <c r="E11" s="23">
        <f t="shared" si="0"/>
        <v>0</v>
      </c>
    </row>
    <row r="12" spans="2:5" x14ac:dyDescent="0.3">
      <c r="B12" s="12"/>
      <c r="C12" s="24"/>
      <c r="D12" s="24"/>
      <c r="E12" s="23">
        <f t="shared" si="0"/>
        <v>0</v>
      </c>
    </row>
    <row r="13" spans="2:5" x14ac:dyDescent="0.3">
      <c r="B13" s="12"/>
      <c r="C13" s="24"/>
      <c r="D13" s="24"/>
      <c r="E13" s="23">
        <f t="shared" si="0"/>
        <v>0</v>
      </c>
    </row>
    <row r="14" spans="2:5" x14ac:dyDescent="0.3">
      <c r="B14" s="12"/>
      <c r="C14" s="24"/>
      <c r="D14" s="24"/>
      <c r="E14" s="23">
        <f t="shared" si="0"/>
        <v>0</v>
      </c>
    </row>
    <row r="15" spans="2:5" x14ac:dyDescent="0.3">
      <c r="B15" s="12"/>
      <c r="C15" s="24"/>
      <c r="D15" s="24"/>
      <c r="E15" s="23">
        <f t="shared" si="0"/>
        <v>0</v>
      </c>
    </row>
    <row r="16" spans="2:5" x14ac:dyDescent="0.3">
      <c r="B16" s="12"/>
      <c r="C16" s="24"/>
      <c r="D16" s="24"/>
      <c r="E16" s="23">
        <f t="shared" si="0"/>
        <v>0</v>
      </c>
    </row>
  </sheetData>
  <sheetProtection algorithmName="SHA-512" hashValue="Tgrv4M6E4+PlP/y+vbp3RuLA5yp+LOOk61Fo1RO5wNW7sLf0OFgSqToIPrV/hou8NM3UH1SKIHyOcm8j9s5z/g==" saltValue="v7BwS50uPTMboBKpD6+H5g==" spinCount="100000" sheet="1" objects="1" scenarios="1"/>
  <pageMargins left="0.75" right="0.75" top="1" bottom="1" header="0.5" footer="0.5"/>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Munka13"/>
  <dimension ref="B1:J808"/>
  <sheetViews>
    <sheetView showGridLines="0" workbookViewId="0"/>
  </sheetViews>
  <sheetFormatPr defaultRowHeight="14.4" x14ac:dyDescent="0.3"/>
  <cols>
    <col min="2" max="3" width="8" customWidth="1"/>
    <col min="4" max="4" width="9" customWidth="1"/>
    <col min="5" max="5" width="40" customWidth="1"/>
    <col min="6" max="6" width="14" customWidth="1"/>
    <col min="7" max="7" width="52" customWidth="1"/>
    <col min="8" max="9" width="16" customWidth="1"/>
    <col min="10" max="10" width="14" customWidth="1"/>
  </cols>
  <sheetData>
    <row r="1" spans="2:10" ht="73.95" customHeight="1" x14ac:dyDescent="0.3"/>
    <row r="3" spans="2:10" ht="18" x14ac:dyDescent="0.35">
      <c r="B3" s="11" t="str">
        <f>INDEX('91_NYELV'!$C$7:$D$408,134,NYELV_IDX)</f>
        <v>Konszolidációs napló</v>
      </c>
    </row>
    <row r="4" spans="2:10" x14ac:dyDescent="0.3">
      <c r="B4" s="15" t="str">
        <f>INDEX('91_NYELV'!$C$7:$D$408,142,NYELV_IDX)</f>
        <v>Az AUTO jelzésű sorokat a generátor makrók írják – kézzel ne módosítsa őket.</v>
      </c>
    </row>
    <row r="6" spans="2:10" x14ac:dyDescent="0.3">
      <c r="B6" s="16" t="str">
        <f>INDEX('91_NYELV'!$C$7:$D$408,135,NYELV_IDX)</f>
        <v>Sorszám</v>
      </c>
      <c r="C6" s="16" t="str">
        <f>INDEX('91_NYELV'!$C$7:$D$408,136,NYELV_IDX)</f>
        <v>Év</v>
      </c>
      <c r="D6" s="16" t="str">
        <f>INDEX('91_NYELV'!$C$7:$D$408,137,NYELV_IDX)</f>
        <v>Lépés</v>
      </c>
      <c r="E6" s="16" t="str">
        <f>INDEX('91_NYELV'!$C$7:$D$408,138,NYELV_IDX)</f>
        <v>Leírás</v>
      </c>
      <c r="F6" s="16" t="str">
        <f>INDEX('91_NYELV'!$C$7:$D$408,9,NYELV_IDX)</f>
        <v>Kód</v>
      </c>
      <c r="G6" s="16" t="str">
        <f>INDEX('91_NYELV'!$C$7:$D$408,10,NYELV_IDX)</f>
        <v>Megnevezés</v>
      </c>
      <c r="H6" s="16" t="str">
        <f>INDEX('91_NYELV'!$C$7:$D$408,139,NYELV_IDX)</f>
        <v>Tartozik</v>
      </c>
      <c r="I6" s="16" t="str">
        <f>INDEX('91_NYELV'!$C$7:$D$408,140,NYELV_IDX)</f>
        <v>Követel</v>
      </c>
      <c r="J6" s="16" t="str">
        <f>INDEX('91_NYELV'!$C$7:$D$408,141,NYELV_IDX)</f>
        <v>Forrás</v>
      </c>
    </row>
    <row r="7" spans="2:10" x14ac:dyDescent="0.3">
      <c r="B7" s="29" t="str">
        <f t="shared" ref="B7:B70" si="0">IF(LEN($F7)&gt;0,ROW()-6,"")</f>
        <v/>
      </c>
      <c r="C7" s="12"/>
      <c r="D7" s="12"/>
      <c r="E7" s="12"/>
      <c r="F7" s="12"/>
      <c r="G7" s="29" t="str">
        <f>IF(LEN($F7)&gt;0,IFERROR(INDEX('90_SEMA'!$G$7:$H$102,MATCH($F7,'90_SEMA'!$B$7:$B$102,0),NYELV_IDX),""),"")</f>
        <v/>
      </c>
      <c r="H7" s="24"/>
      <c r="I7" s="24"/>
      <c r="J7" s="12"/>
    </row>
    <row r="8" spans="2:10" x14ac:dyDescent="0.3">
      <c r="B8" s="29" t="str">
        <f t="shared" si="0"/>
        <v/>
      </c>
      <c r="C8" s="12"/>
      <c r="D8" s="12"/>
      <c r="E8" s="12"/>
      <c r="F8" s="12"/>
      <c r="G8" s="29" t="str">
        <f>IF(LEN($F8)&gt;0,IFERROR(INDEX('90_SEMA'!$G$7:$H$102,MATCH($F8,'90_SEMA'!$B$7:$B$102,0),NYELV_IDX),""),"")</f>
        <v/>
      </c>
      <c r="H8" s="24"/>
      <c r="I8" s="24"/>
      <c r="J8" s="12"/>
    </row>
    <row r="9" spans="2:10" x14ac:dyDescent="0.3">
      <c r="B9" s="29" t="str">
        <f t="shared" si="0"/>
        <v/>
      </c>
      <c r="C9" s="12"/>
      <c r="D9" s="12"/>
      <c r="E9" s="12"/>
      <c r="F9" s="12"/>
      <c r="G9" s="29" t="str">
        <f>IF(LEN($F9)&gt;0,IFERROR(INDEX('90_SEMA'!$G$7:$H$102,MATCH($F9,'90_SEMA'!$B$7:$B$102,0),NYELV_IDX),""),"")</f>
        <v/>
      </c>
      <c r="H9" s="24"/>
      <c r="I9" s="24"/>
      <c r="J9" s="12"/>
    </row>
    <row r="10" spans="2:10" x14ac:dyDescent="0.3">
      <c r="B10" s="29" t="str">
        <f t="shared" si="0"/>
        <v/>
      </c>
      <c r="C10" s="12"/>
      <c r="D10" s="12"/>
      <c r="E10" s="12"/>
      <c r="F10" s="12"/>
      <c r="G10" s="29" t="str">
        <f>IF(LEN($F10)&gt;0,IFERROR(INDEX('90_SEMA'!$G$7:$H$102,MATCH($F10,'90_SEMA'!$B$7:$B$102,0),NYELV_IDX),""),"")</f>
        <v/>
      </c>
      <c r="H10" s="24"/>
      <c r="I10" s="24"/>
      <c r="J10" s="12"/>
    </row>
    <row r="11" spans="2:10" x14ac:dyDescent="0.3">
      <c r="B11" s="29" t="str">
        <f t="shared" si="0"/>
        <v/>
      </c>
      <c r="C11" s="12"/>
      <c r="D11" s="12"/>
      <c r="E11" s="12"/>
      <c r="F11" s="12"/>
      <c r="G11" s="29" t="str">
        <f>IF(LEN($F11)&gt;0,IFERROR(INDEX('90_SEMA'!$G$7:$H$102,MATCH($F11,'90_SEMA'!$B$7:$B$102,0),NYELV_IDX),""),"")</f>
        <v/>
      </c>
      <c r="H11" s="24"/>
      <c r="I11" s="24"/>
      <c r="J11" s="12"/>
    </row>
    <row r="12" spans="2:10" x14ac:dyDescent="0.3">
      <c r="B12" s="29" t="str">
        <f t="shared" si="0"/>
        <v/>
      </c>
      <c r="C12" s="12"/>
      <c r="D12" s="12"/>
      <c r="E12" s="12"/>
      <c r="F12" s="12"/>
      <c r="G12" s="29" t="str">
        <f>IF(LEN($F12)&gt;0,IFERROR(INDEX('90_SEMA'!$G$7:$H$102,MATCH($F12,'90_SEMA'!$B$7:$B$102,0),NYELV_IDX),""),"")</f>
        <v/>
      </c>
      <c r="H12" s="24"/>
      <c r="I12" s="24"/>
      <c r="J12" s="12"/>
    </row>
    <row r="13" spans="2:10" x14ac:dyDescent="0.3">
      <c r="B13" s="29" t="str">
        <f t="shared" si="0"/>
        <v/>
      </c>
      <c r="C13" s="12"/>
      <c r="D13" s="12"/>
      <c r="E13" s="12"/>
      <c r="F13" s="12"/>
      <c r="G13" s="29" t="str">
        <f>IF(LEN($F13)&gt;0,IFERROR(INDEX('90_SEMA'!$G$7:$H$102,MATCH($F13,'90_SEMA'!$B$7:$B$102,0),NYELV_IDX),""),"")</f>
        <v/>
      </c>
      <c r="H13" s="24"/>
      <c r="I13" s="24"/>
      <c r="J13" s="12"/>
    </row>
    <row r="14" spans="2:10" x14ac:dyDescent="0.3">
      <c r="B14" s="29" t="str">
        <f t="shared" si="0"/>
        <v/>
      </c>
      <c r="C14" s="12"/>
      <c r="D14" s="12"/>
      <c r="E14" s="12"/>
      <c r="F14" s="12"/>
      <c r="G14" s="29" t="str">
        <f>IF(LEN($F14)&gt;0,IFERROR(INDEX('90_SEMA'!$G$7:$H$102,MATCH($F14,'90_SEMA'!$B$7:$B$102,0),NYELV_IDX),""),"")</f>
        <v/>
      </c>
      <c r="H14" s="24"/>
      <c r="I14" s="24"/>
      <c r="J14" s="12"/>
    </row>
    <row r="15" spans="2:10" x14ac:dyDescent="0.3">
      <c r="B15" s="29" t="str">
        <f t="shared" si="0"/>
        <v/>
      </c>
      <c r="C15" s="12"/>
      <c r="D15" s="12"/>
      <c r="E15" s="12"/>
      <c r="F15" s="12"/>
      <c r="G15" s="29" t="str">
        <f>IF(LEN($F15)&gt;0,IFERROR(INDEX('90_SEMA'!$G$7:$H$102,MATCH($F15,'90_SEMA'!$B$7:$B$102,0),NYELV_IDX),""),"")</f>
        <v/>
      </c>
      <c r="H15" s="24"/>
      <c r="I15" s="24"/>
      <c r="J15" s="12"/>
    </row>
    <row r="16" spans="2:10" x14ac:dyDescent="0.3">
      <c r="B16" s="29" t="str">
        <f t="shared" si="0"/>
        <v/>
      </c>
      <c r="C16" s="12"/>
      <c r="D16" s="12"/>
      <c r="E16" s="12"/>
      <c r="F16" s="12"/>
      <c r="G16" s="29" t="str">
        <f>IF(LEN($F16)&gt;0,IFERROR(INDEX('90_SEMA'!$G$7:$H$102,MATCH($F16,'90_SEMA'!$B$7:$B$102,0),NYELV_IDX),""),"")</f>
        <v/>
      </c>
      <c r="H16" s="24"/>
      <c r="I16" s="24"/>
      <c r="J16" s="12"/>
    </row>
    <row r="17" spans="2:10" x14ac:dyDescent="0.3">
      <c r="B17" s="29" t="str">
        <f t="shared" si="0"/>
        <v/>
      </c>
      <c r="C17" s="12"/>
      <c r="D17" s="12"/>
      <c r="E17" s="12"/>
      <c r="F17" s="12"/>
      <c r="G17" s="29" t="str">
        <f>IF(LEN($F17)&gt;0,IFERROR(INDEX('90_SEMA'!$G$7:$H$102,MATCH($F17,'90_SEMA'!$B$7:$B$102,0),NYELV_IDX),""),"")</f>
        <v/>
      </c>
      <c r="H17" s="24"/>
      <c r="I17" s="24"/>
      <c r="J17" s="12"/>
    </row>
    <row r="18" spans="2:10" x14ac:dyDescent="0.3">
      <c r="B18" s="29" t="str">
        <f t="shared" si="0"/>
        <v/>
      </c>
      <c r="C18" s="12"/>
      <c r="D18" s="12"/>
      <c r="E18" s="12"/>
      <c r="F18" s="12"/>
      <c r="G18" s="29" t="str">
        <f>IF(LEN($F18)&gt;0,IFERROR(INDEX('90_SEMA'!$G$7:$H$102,MATCH($F18,'90_SEMA'!$B$7:$B$102,0),NYELV_IDX),""),"")</f>
        <v/>
      </c>
      <c r="H18" s="24"/>
      <c r="I18" s="24"/>
      <c r="J18" s="12"/>
    </row>
    <row r="19" spans="2:10" x14ac:dyDescent="0.3">
      <c r="B19" s="29" t="str">
        <f t="shared" si="0"/>
        <v/>
      </c>
      <c r="C19" s="12"/>
      <c r="D19" s="12"/>
      <c r="E19" s="12"/>
      <c r="F19" s="12"/>
      <c r="G19" s="29" t="str">
        <f>IF(LEN($F19)&gt;0,IFERROR(INDEX('90_SEMA'!$G$7:$H$102,MATCH($F19,'90_SEMA'!$B$7:$B$102,0),NYELV_IDX),""),"")</f>
        <v/>
      </c>
      <c r="H19" s="24"/>
      <c r="I19" s="24"/>
      <c r="J19" s="12"/>
    </row>
    <row r="20" spans="2:10" x14ac:dyDescent="0.3">
      <c r="B20" s="29" t="str">
        <f t="shared" si="0"/>
        <v/>
      </c>
      <c r="C20" s="12"/>
      <c r="D20" s="12"/>
      <c r="E20" s="12"/>
      <c r="F20" s="12"/>
      <c r="G20" s="29" t="str">
        <f>IF(LEN($F20)&gt;0,IFERROR(INDEX('90_SEMA'!$G$7:$H$102,MATCH($F20,'90_SEMA'!$B$7:$B$102,0),NYELV_IDX),""),"")</f>
        <v/>
      </c>
      <c r="H20" s="24"/>
      <c r="I20" s="24"/>
      <c r="J20" s="12"/>
    </row>
    <row r="21" spans="2:10" x14ac:dyDescent="0.3">
      <c r="B21" s="29" t="str">
        <f t="shared" si="0"/>
        <v/>
      </c>
      <c r="C21" s="12"/>
      <c r="D21" s="12"/>
      <c r="E21" s="12"/>
      <c r="F21" s="12"/>
      <c r="G21" s="29" t="str">
        <f>IF(LEN($F21)&gt;0,IFERROR(INDEX('90_SEMA'!$G$7:$H$102,MATCH($F21,'90_SEMA'!$B$7:$B$102,0),NYELV_IDX),""),"")</f>
        <v/>
      </c>
      <c r="H21" s="24"/>
      <c r="I21" s="24"/>
      <c r="J21" s="12"/>
    </row>
    <row r="22" spans="2:10" x14ac:dyDescent="0.3">
      <c r="B22" s="29" t="str">
        <f t="shared" si="0"/>
        <v/>
      </c>
      <c r="C22" s="12"/>
      <c r="D22" s="12"/>
      <c r="E22" s="12"/>
      <c r="F22" s="12"/>
      <c r="G22" s="29" t="str">
        <f>IF(LEN($F22)&gt;0,IFERROR(INDEX('90_SEMA'!$G$7:$H$102,MATCH($F22,'90_SEMA'!$B$7:$B$102,0),NYELV_IDX),""),"")</f>
        <v/>
      </c>
      <c r="H22" s="24"/>
      <c r="I22" s="24"/>
      <c r="J22" s="12"/>
    </row>
    <row r="23" spans="2:10" x14ac:dyDescent="0.3">
      <c r="B23" s="29" t="str">
        <f t="shared" si="0"/>
        <v/>
      </c>
      <c r="C23" s="12"/>
      <c r="D23" s="12"/>
      <c r="E23" s="12"/>
      <c r="F23" s="12"/>
      <c r="G23" s="29" t="str">
        <f>IF(LEN($F23)&gt;0,IFERROR(INDEX('90_SEMA'!$G$7:$H$102,MATCH($F23,'90_SEMA'!$B$7:$B$102,0),NYELV_IDX),""),"")</f>
        <v/>
      </c>
      <c r="H23" s="24"/>
      <c r="I23" s="24"/>
      <c r="J23" s="12"/>
    </row>
    <row r="24" spans="2:10" x14ac:dyDescent="0.3">
      <c r="B24" s="29" t="str">
        <f t="shared" si="0"/>
        <v/>
      </c>
      <c r="C24" s="12"/>
      <c r="D24" s="12"/>
      <c r="E24" s="12"/>
      <c r="F24" s="12"/>
      <c r="G24" s="29" t="str">
        <f>IF(LEN($F24)&gt;0,IFERROR(INDEX('90_SEMA'!$G$7:$H$102,MATCH($F24,'90_SEMA'!$B$7:$B$102,0),NYELV_IDX),""),"")</f>
        <v/>
      </c>
      <c r="H24" s="24"/>
      <c r="I24" s="24"/>
      <c r="J24" s="12"/>
    </row>
    <row r="25" spans="2:10" x14ac:dyDescent="0.3">
      <c r="B25" s="29" t="str">
        <f t="shared" si="0"/>
        <v/>
      </c>
      <c r="C25" s="12"/>
      <c r="D25" s="12"/>
      <c r="E25" s="12"/>
      <c r="F25" s="12"/>
      <c r="G25" s="29" t="str">
        <f>IF(LEN($F25)&gt;0,IFERROR(INDEX('90_SEMA'!$G$7:$H$102,MATCH($F25,'90_SEMA'!$B$7:$B$102,0),NYELV_IDX),""),"")</f>
        <v/>
      </c>
      <c r="H25" s="24"/>
      <c r="I25" s="24"/>
      <c r="J25" s="12"/>
    </row>
    <row r="26" spans="2:10" x14ac:dyDescent="0.3">
      <c r="B26" s="29" t="str">
        <f t="shared" si="0"/>
        <v/>
      </c>
      <c r="C26" s="12"/>
      <c r="D26" s="12"/>
      <c r="E26" s="12"/>
      <c r="F26" s="12"/>
      <c r="G26" s="29" t="str">
        <f>IF(LEN($F26)&gt;0,IFERROR(INDEX('90_SEMA'!$G$7:$H$102,MATCH($F26,'90_SEMA'!$B$7:$B$102,0),NYELV_IDX),""),"")</f>
        <v/>
      </c>
      <c r="H26" s="24"/>
      <c r="I26" s="24"/>
      <c r="J26" s="12"/>
    </row>
    <row r="27" spans="2:10" x14ac:dyDescent="0.3">
      <c r="B27" s="29" t="str">
        <f t="shared" si="0"/>
        <v/>
      </c>
      <c r="C27" s="12"/>
      <c r="D27" s="12"/>
      <c r="E27" s="12"/>
      <c r="F27" s="12"/>
      <c r="G27" s="29" t="str">
        <f>IF(LEN($F27)&gt;0,IFERROR(INDEX('90_SEMA'!$G$7:$H$102,MATCH($F27,'90_SEMA'!$B$7:$B$102,0),NYELV_IDX),""),"")</f>
        <v/>
      </c>
      <c r="H27" s="24"/>
      <c r="I27" s="24"/>
      <c r="J27" s="12"/>
    </row>
    <row r="28" spans="2:10" x14ac:dyDescent="0.3">
      <c r="B28" s="29" t="str">
        <f t="shared" si="0"/>
        <v/>
      </c>
      <c r="C28" s="12"/>
      <c r="D28" s="12"/>
      <c r="E28" s="12"/>
      <c r="F28" s="12"/>
      <c r="G28" s="29" t="str">
        <f>IF(LEN($F28)&gt;0,IFERROR(INDEX('90_SEMA'!$G$7:$H$102,MATCH($F28,'90_SEMA'!$B$7:$B$102,0),NYELV_IDX),""),"")</f>
        <v/>
      </c>
      <c r="H28" s="24"/>
      <c r="I28" s="24"/>
      <c r="J28" s="12"/>
    </row>
    <row r="29" spans="2:10" x14ac:dyDescent="0.3">
      <c r="B29" s="29" t="str">
        <f t="shared" si="0"/>
        <v/>
      </c>
      <c r="C29" s="12"/>
      <c r="D29" s="12"/>
      <c r="E29" s="12"/>
      <c r="F29" s="12"/>
      <c r="G29" s="29" t="str">
        <f>IF(LEN($F29)&gt;0,IFERROR(INDEX('90_SEMA'!$G$7:$H$102,MATCH($F29,'90_SEMA'!$B$7:$B$102,0),NYELV_IDX),""),"")</f>
        <v/>
      </c>
      <c r="H29" s="24"/>
      <c r="I29" s="24"/>
      <c r="J29" s="12"/>
    </row>
    <row r="30" spans="2:10" x14ac:dyDescent="0.3">
      <c r="B30" s="29" t="str">
        <f t="shared" si="0"/>
        <v/>
      </c>
      <c r="C30" s="12"/>
      <c r="D30" s="12"/>
      <c r="E30" s="12"/>
      <c r="F30" s="12"/>
      <c r="G30" s="29" t="str">
        <f>IF(LEN($F30)&gt;0,IFERROR(INDEX('90_SEMA'!$G$7:$H$102,MATCH($F30,'90_SEMA'!$B$7:$B$102,0),NYELV_IDX),""),"")</f>
        <v/>
      </c>
      <c r="H30" s="24"/>
      <c r="I30" s="24"/>
      <c r="J30" s="12"/>
    </row>
    <row r="31" spans="2:10" x14ac:dyDescent="0.3">
      <c r="B31" s="29" t="str">
        <f t="shared" si="0"/>
        <v/>
      </c>
      <c r="C31" s="12"/>
      <c r="D31" s="12"/>
      <c r="E31" s="12"/>
      <c r="F31" s="12"/>
      <c r="G31" s="29" t="str">
        <f>IF(LEN($F31)&gt;0,IFERROR(INDEX('90_SEMA'!$G$7:$H$102,MATCH($F31,'90_SEMA'!$B$7:$B$102,0),NYELV_IDX),""),"")</f>
        <v/>
      </c>
      <c r="H31" s="24"/>
      <c r="I31" s="24"/>
      <c r="J31" s="12"/>
    </row>
    <row r="32" spans="2:10" x14ac:dyDescent="0.3">
      <c r="B32" s="29" t="str">
        <f t="shared" si="0"/>
        <v/>
      </c>
      <c r="C32" s="12"/>
      <c r="D32" s="12"/>
      <c r="E32" s="12"/>
      <c r="F32" s="12"/>
      <c r="G32" s="29" t="str">
        <f>IF(LEN($F32)&gt;0,IFERROR(INDEX('90_SEMA'!$G$7:$H$102,MATCH($F32,'90_SEMA'!$B$7:$B$102,0),NYELV_IDX),""),"")</f>
        <v/>
      </c>
      <c r="H32" s="24"/>
      <c r="I32" s="24"/>
      <c r="J32" s="12"/>
    </row>
    <row r="33" spans="2:10" x14ac:dyDescent="0.3">
      <c r="B33" s="29" t="str">
        <f t="shared" si="0"/>
        <v/>
      </c>
      <c r="C33" s="12"/>
      <c r="D33" s="12"/>
      <c r="E33" s="12"/>
      <c r="F33" s="12"/>
      <c r="G33" s="29" t="str">
        <f>IF(LEN($F33)&gt;0,IFERROR(INDEX('90_SEMA'!$G$7:$H$102,MATCH($F33,'90_SEMA'!$B$7:$B$102,0),NYELV_IDX),""),"")</f>
        <v/>
      </c>
      <c r="H33" s="24"/>
      <c r="I33" s="24"/>
      <c r="J33" s="12"/>
    </row>
    <row r="34" spans="2:10" x14ac:dyDescent="0.3">
      <c r="B34" s="29" t="str">
        <f t="shared" si="0"/>
        <v/>
      </c>
      <c r="C34" s="12"/>
      <c r="D34" s="12"/>
      <c r="E34" s="12"/>
      <c r="F34" s="12"/>
      <c r="G34" s="29" t="str">
        <f>IF(LEN($F34)&gt;0,IFERROR(INDEX('90_SEMA'!$G$7:$H$102,MATCH($F34,'90_SEMA'!$B$7:$B$102,0),NYELV_IDX),""),"")</f>
        <v/>
      </c>
      <c r="H34" s="24"/>
      <c r="I34" s="24"/>
      <c r="J34" s="12"/>
    </row>
    <row r="35" spans="2:10" x14ac:dyDescent="0.3">
      <c r="B35" s="29" t="str">
        <f t="shared" si="0"/>
        <v/>
      </c>
      <c r="C35" s="12"/>
      <c r="D35" s="12"/>
      <c r="E35" s="12"/>
      <c r="F35" s="12"/>
      <c r="G35" s="29" t="str">
        <f>IF(LEN($F35)&gt;0,IFERROR(INDEX('90_SEMA'!$G$7:$H$102,MATCH($F35,'90_SEMA'!$B$7:$B$102,0),NYELV_IDX),""),"")</f>
        <v/>
      </c>
      <c r="H35" s="24"/>
      <c r="I35" s="24"/>
      <c r="J35" s="12"/>
    </row>
    <row r="36" spans="2:10" x14ac:dyDescent="0.3">
      <c r="B36" s="29" t="str">
        <f t="shared" si="0"/>
        <v/>
      </c>
      <c r="C36" s="12"/>
      <c r="D36" s="12"/>
      <c r="E36" s="12"/>
      <c r="F36" s="12"/>
      <c r="G36" s="29" t="str">
        <f>IF(LEN($F36)&gt;0,IFERROR(INDEX('90_SEMA'!$G$7:$H$102,MATCH($F36,'90_SEMA'!$B$7:$B$102,0),NYELV_IDX),""),"")</f>
        <v/>
      </c>
      <c r="H36" s="24"/>
      <c r="I36" s="24"/>
      <c r="J36" s="12"/>
    </row>
    <row r="37" spans="2:10" x14ac:dyDescent="0.3">
      <c r="B37" s="29" t="str">
        <f t="shared" si="0"/>
        <v/>
      </c>
      <c r="C37" s="12"/>
      <c r="D37" s="12"/>
      <c r="E37" s="12"/>
      <c r="F37" s="12"/>
      <c r="G37" s="29" t="str">
        <f>IF(LEN($F37)&gt;0,IFERROR(INDEX('90_SEMA'!$G$7:$H$102,MATCH($F37,'90_SEMA'!$B$7:$B$102,0),NYELV_IDX),""),"")</f>
        <v/>
      </c>
      <c r="H37" s="24"/>
      <c r="I37" s="24"/>
      <c r="J37" s="12"/>
    </row>
    <row r="38" spans="2:10" x14ac:dyDescent="0.3">
      <c r="B38" s="29" t="str">
        <f t="shared" si="0"/>
        <v/>
      </c>
      <c r="C38" s="12"/>
      <c r="D38" s="12"/>
      <c r="E38" s="12"/>
      <c r="F38" s="12"/>
      <c r="G38" s="29" t="str">
        <f>IF(LEN($F38)&gt;0,IFERROR(INDEX('90_SEMA'!$G$7:$H$102,MATCH($F38,'90_SEMA'!$B$7:$B$102,0),NYELV_IDX),""),"")</f>
        <v/>
      </c>
      <c r="H38" s="24"/>
      <c r="I38" s="24"/>
      <c r="J38" s="12"/>
    </row>
    <row r="39" spans="2:10" x14ac:dyDescent="0.3">
      <c r="B39" s="29" t="str">
        <f t="shared" si="0"/>
        <v/>
      </c>
      <c r="C39" s="12"/>
      <c r="D39" s="12"/>
      <c r="E39" s="12"/>
      <c r="F39" s="12"/>
      <c r="G39" s="29" t="str">
        <f>IF(LEN($F39)&gt;0,IFERROR(INDEX('90_SEMA'!$G$7:$H$102,MATCH($F39,'90_SEMA'!$B$7:$B$102,0),NYELV_IDX),""),"")</f>
        <v/>
      </c>
      <c r="H39" s="24"/>
      <c r="I39" s="24"/>
      <c r="J39" s="12"/>
    </row>
    <row r="40" spans="2:10" x14ac:dyDescent="0.3">
      <c r="B40" s="29" t="str">
        <f t="shared" si="0"/>
        <v/>
      </c>
      <c r="C40" s="12"/>
      <c r="D40" s="12"/>
      <c r="E40" s="12"/>
      <c r="F40" s="12"/>
      <c r="G40" s="29" t="str">
        <f>IF(LEN($F40)&gt;0,IFERROR(INDEX('90_SEMA'!$G$7:$H$102,MATCH($F40,'90_SEMA'!$B$7:$B$102,0),NYELV_IDX),""),"")</f>
        <v/>
      </c>
      <c r="H40" s="24"/>
      <c r="I40" s="24"/>
      <c r="J40" s="12"/>
    </row>
    <row r="41" spans="2:10" x14ac:dyDescent="0.3">
      <c r="B41" s="29" t="str">
        <f t="shared" si="0"/>
        <v/>
      </c>
      <c r="C41" s="12"/>
      <c r="D41" s="12"/>
      <c r="E41" s="12"/>
      <c r="F41" s="12"/>
      <c r="G41" s="29" t="str">
        <f>IF(LEN($F41)&gt;0,IFERROR(INDEX('90_SEMA'!$G$7:$H$102,MATCH($F41,'90_SEMA'!$B$7:$B$102,0),NYELV_IDX),""),"")</f>
        <v/>
      </c>
      <c r="H41" s="24"/>
      <c r="I41" s="24"/>
      <c r="J41" s="12"/>
    </row>
    <row r="42" spans="2:10" x14ac:dyDescent="0.3">
      <c r="B42" s="29" t="str">
        <f t="shared" si="0"/>
        <v/>
      </c>
      <c r="C42" s="12"/>
      <c r="D42" s="12"/>
      <c r="E42" s="12"/>
      <c r="F42" s="12"/>
      <c r="G42" s="29" t="str">
        <f>IF(LEN($F42)&gt;0,IFERROR(INDEX('90_SEMA'!$G$7:$H$102,MATCH($F42,'90_SEMA'!$B$7:$B$102,0),NYELV_IDX),""),"")</f>
        <v/>
      </c>
      <c r="H42" s="24"/>
      <c r="I42" s="24"/>
      <c r="J42" s="12"/>
    </row>
    <row r="43" spans="2:10" x14ac:dyDescent="0.3">
      <c r="B43" s="29" t="str">
        <f t="shared" si="0"/>
        <v/>
      </c>
      <c r="C43" s="12"/>
      <c r="D43" s="12"/>
      <c r="E43" s="12"/>
      <c r="F43" s="12"/>
      <c r="G43" s="29" t="str">
        <f>IF(LEN($F43)&gt;0,IFERROR(INDEX('90_SEMA'!$G$7:$H$102,MATCH($F43,'90_SEMA'!$B$7:$B$102,0),NYELV_IDX),""),"")</f>
        <v/>
      </c>
      <c r="H43" s="24"/>
      <c r="I43" s="24"/>
      <c r="J43" s="12"/>
    </row>
    <row r="44" spans="2:10" x14ac:dyDescent="0.3">
      <c r="B44" s="29" t="str">
        <f t="shared" si="0"/>
        <v/>
      </c>
      <c r="C44" s="12"/>
      <c r="D44" s="12"/>
      <c r="E44" s="12"/>
      <c r="F44" s="12"/>
      <c r="G44" s="29" t="str">
        <f>IF(LEN($F44)&gt;0,IFERROR(INDEX('90_SEMA'!$G$7:$H$102,MATCH($F44,'90_SEMA'!$B$7:$B$102,0),NYELV_IDX),""),"")</f>
        <v/>
      </c>
      <c r="H44" s="24"/>
      <c r="I44" s="24"/>
      <c r="J44" s="12"/>
    </row>
    <row r="45" spans="2:10" x14ac:dyDescent="0.3">
      <c r="B45" s="29" t="str">
        <f t="shared" si="0"/>
        <v/>
      </c>
      <c r="C45" s="12"/>
      <c r="D45" s="12"/>
      <c r="E45" s="12"/>
      <c r="F45" s="12"/>
      <c r="G45" s="29" t="str">
        <f>IF(LEN($F45)&gt;0,IFERROR(INDEX('90_SEMA'!$G$7:$H$102,MATCH($F45,'90_SEMA'!$B$7:$B$102,0),NYELV_IDX),""),"")</f>
        <v/>
      </c>
      <c r="H45" s="24"/>
      <c r="I45" s="24"/>
      <c r="J45" s="12"/>
    </row>
    <row r="46" spans="2:10" x14ac:dyDescent="0.3">
      <c r="B46" s="29" t="str">
        <f t="shared" si="0"/>
        <v/>
      </c>
      <c r="C46" s="12"/>
      <c r="D46" s="12"/>
      <c r="E46" s="12"/>
      <c r="F46" s="12"/>
      <c r="G46" s="29" t="str">
        <f>IF(LEN($F46)&gt;0,IFERROR(INDEX('90_SEMA'!$G$7:$H$102,MATCH($F46,'90_SEMA'!$B$7:$B$102,0),NYELV_IDX),""),"")</f>
        <v/>
      </c>
      <c r="H46" s="24"/>
      <c r="I46" s="24"/>
      <c r="J46" s="12"/>
    </row>
    <row r="47" spans="2:10" x14ac:dyDescent="0.3">
      <c r="B47" s="29" t="str">
        <f t="shared" si="0"/>
        <v/>
      </c>
      <c r="C47" s="12"/>
      <c r="D47" s="12"/>
      <c r="E47" s="12"/>
      <c r="F47" s="12"/>
      <c r="G47" s="29" t="str">
        <f>IF(LEN($F47)&gt;0,IFERROR(INDEX('90_SEMA'!$G$7:$H$102,MATCH($F47,'90_SEMA'!$B$7:$B$102,0),NYELV_IDX),""),"")</f>
        <v/>
      </c>
      <c r="H47" s="24"/>
      <c r="I47" s="24"/>
      <c r="J47" s="12"/>
    </row>
    <row r="48" spans="2:10" x14ac:dyDescent="0.3">
      <c r="B48" s="29" t="str">
        <f t="shared" si="0"/>
        <v/>
      </c>
      <c r="C48" s="12"/>
      <c r="D48" s="12"/>
      <c r="E48" s="12"/>
      <c r="F48" s="12"/>
      <c r="G48" s="29" t="str">
        <f>IF(LEN($F48)&gt;0,IFERROR(INDEX('90_SEMA'!$G$7:$H$102,MATCH($F48,'90_SEMA'!$B$7:$B$102,0),NYELV_IDX),""),"")</f>
        <v/>
      </c>
      <c r="H48" s="24"/>
      <c r="I48" s="24"/>
      <c r="J48" s="12"/>
    </row>
    <row r="49" spans="2:10" x14ac:dyDescent="0.3">
      <c r="B49" s="29" t="str">
        <f t="shared" si="0"/>
        <v/>
      </c>
      <c r="C49" s="12"/>
      <c r="D49" s="12"/>
      <c r="E49" s="12"/>
      <c r="F49" s="12"/>
      <c r="G49" s="29" t="str">
        <f>IF(LEN($F49)&gt;0,IFERROR(INDEX('90_SEMA'!$G$7:$H$102,MATCH($F49,'90_SEMA'!$B$7:$B$102,0),NYELV_IDX),""),"")</f>
        <v/>
      </c>
      <c r="H49" s="24"/>
      <c r="I49" s="24"/>
      <c r="J49" s="12"/>
    </row>
    <row r="50" spans="2:10" x14ac:dyDescent="0.3">
      <c r="B50" s="29" t="str">
        <f t="shared" si="0"/>
        <v/>
      </c>
      <c r="C50" s="12"/>
      <c r="D50" s="12"/>
      <c r="E50" s="12"/>
      <c r="F50" s="12"/>
      <c r="G50" s="29" t="str">
        <f>IF(LEN($F50)&gt;0,IFERROR(INDEX('90_SEMA'!$G$7:$H$102,MATCH($F50,'90_SEMA'!$B$7:$B$102,0),NYELV_IDX),""),"")</f>
        <v/>
      </c>
      <c r="H50" s="24"/>
      <c r="I50" s="24"/>
      <c r="J50" s="12"/>
    </row>
    <row r="51" spans="2:10" x14ac:dyDescent="0.3">
      <c r="B51" s="29" t="str">
        <f t="shared" si="0"/>
        <v/>
      </c>
      <c r="C51" s="12"/>
      <c r="D51" s="12"/>
      <c r="E51" s="12"/>
      <c r="F51" s="12"/>
      <c r="G51" s="29" t="str">
        <f>IF(LEN($F51)&gt;0,IFERROR(INDEX('90_SEMA'!$G$7:$H$102,MATCH($F51,'90_SEMA'!$B$7:$B$102,0),NYELV_IDX),""),"")</f>
        <v/>
      </c>
      <c r="H51" s="24"/>
      <c r="I51" s="24"/>
      <c r="J51" s="12"/>
    </row>
    <row r="52" spans="2:10" x14ac:dyDescent="0.3">
      <c r="B52" s="29" t="str">
        <f t="shared" si="0"/>
        <v/>
      </c>
      <c r="C52" s="12"/>
      <c r="D52" s="12"/>
      <c r="E52" s="12"/>
      <c r="F52" s="12"/>
      <c r="G52" s="29" t="str">
        <f>IF(LEN($F52)&gt;0,IFERROR(INDEX('90_SEMA'!$G$7:$H$102,MATCH($F52,'90_SEMA'!$B$7:$B$102,0),NYELV_IDX),""),"")</f>
        <v/>
      </c>
      <c r="H52" s="24"/>
      <c r="I52" s="24"/>
      <c r="J52" s="12"/>
    </row>
    <row r="53" spans="2:10" x14ac:dyDescent="0.3">
      <c r="B53" s="29" t="str">
        <f t="shared" si="0"/>
        <v/>
      </c>
      <c r="C53" s="12"/>
      <c r="D53" s="12"/>
      <c r="E53" s="12"/>
      <c r="F53" s="12"/>
      <c r="G53" s="29" t="str">
        <f>IF(LEN($F53)&gt;0,IFERROR(INDEX('90_SEMA'!$G$7:$H$102,MATCH($F53,'90_SEMA'!$B$7:$B$102,0),NYELV_IDX),""),"")</f>
        <v/>
      </c>
      <c r="H53" s="24"/>
      <c r="I53" s="24"/>
      <c r="J53" s="12"/>
    </row>
    <row r="54" spans="2:10" x14ac:dyDescent="0.3">
      <c r="B54" s="29" t="str">
        <f t="shared" si="0"/>
        <v/>
      </c>
      <c r="C54" s="12"/>
      <c r="D54" s="12"/>
      <c r="E54" s="12"/>
      <c r="F54" s="12"/>
      <c r="G54" s="29" t="str">
        <f>IF(LEN($F54)&gt;0,IFERROR(INDEX('90_SEMA'!$G$7:$H$102,MATCH($F54,'90_SEMA'!$B$7:$B$102,0),NYELV_IDX),""),"")</f>
        <v/>
      </c>
      <c r="H54" s="24"/>
      <c r="I54" s="24"/>
      <c r="J54" s="12"/>
    </row>
    <row r="55" spans="2:10" x14ac:dyDescent="0.3">
      <c r="B55" s="29" t="str">
        <f t="shared" si="0"/>
        <v/>
      </c>
      <c r="C55" s="12"/>
      <c r="D55" s="12"/>
      <c r="E55" s="12"/>
      <c r="F55" s="12"/>
      <c r="G55" s="29" t="str">
        <f>IF(LEN($F55)&gt;0,IFERROR(INDEX('90_SEMA'!$G$7:$H$102,MATCH($F55,'90_SEMA'!$B$7:$B$102,0),NYELV_IDX),""),"")</f>
        <v/>
      </c>
      <c r="H55" s="24"/>
      <c r="I55" s="24"/>
      <c r="J55" s="12"/>
    </row>
    <row r="56" spans="2:10" x14ac:dyDescent="0.3">
      <c r="B56" s="29" t="str">
        <f t="shared" si="0"/>
        <v/>
      </c>
      <c r="C56" s="12"/>
      <c r="D56" s="12"/>
      <c r="E56" s="12"/>
      <c r="F56" s="12"/>
      <c r="G56" s="29" t="str">
        <f>IF(LEN($F56)&gt;0,IFERROR(INDEX('90_SEMA'!$G$7:$H$102,MATCH($F56,'90_SEMA'!$B$7:$B$102,0),NYELV_IDX),""),"")</f>
        <v/>
      </c>
      <c r="H56" s="24"/>
      <c r="I56" s="24"/>
      <c r="J56" s="12"/>
    </row>
    <row r="57" spans="2:10" x14ac:dyDescent="0.3">
      <c r="B57" s="29" t="str">
        <f t="shared" si="0"/>
        <v/>
      </c>
      <c r="C57" s="12"/>
      <c r="D57" s="12"/>
      <c r="E57" s="12"/>
      <c r="F57" s="12"/>
      <c r="G57" s="29" t="str">
        <f>IF(LEN($F57)&gt;0,IFERROR(INDEX('90_SEMA'!$G$7:$H$102,MATCH($F57,'90_SEMA'!$B$7:$B$102,0),NYELV_IDX),""),"")</f>
        <v/>
      </c>
      <c r="H57" s="24"/>
      <c r="I57" s="24"/>
      <c r="J57" s="12"/>
    </row>
    <row r="58" spans="2:10" x14ac:dyDescent="0.3">
      <c r="B58" s="29" t="str">
        <f t="shared" si="0"/>
        <v/>
      </c>
      <c r="C58" s="12"/>
      <c r="D58" s="12"/>
      <c r="E58" s="12"/>
      <c r="F58" s="12"/>
      <c r="G58" s="29" t="str">
        <f>IF(LEN($F58)&gt;0,IFERROR(INDEX('90_SEMA'!$G$7:$H$102,MATCH($F58,'90_SEMA'!$B$7:$B$102,0),NYELV_IDX),""),"")</f>
        <v/>
      </c>
      <c r="H58" s="24"/>
      <c r="I58" s="24"/>
      <c r="J58" s="12"/>
    </row>
    <row r="59" spans="2:10" x14ac:dyDescent="0.3">
      <c r="B59" s="29" t="str">
        <f t="shared" si="0"/>
        <v/>
      </c>
      <c r="C59" s="12"/>
      <c r="D59" s="12"/>
      <c r="E59" s="12"/>
      <c r="F59" s="12"/>
      <c r="G59" s="29" t="str">
        <f>IF(LEN($F59)&gt;0,IFERROR(INDEX('90_SEMA'!$G$7:$H$102,MATCH($F59,'90_SEMA'!$B$7:$B$102,0),NYELV_IDX),""),"")</f>
        <v/>
      </c>
      <c r="H59" s="24"/>
      <c r="I59" s="24"/>
      <c r="J59" s="12"/>
    </row>
    <row r="60" spans="2:10" x14ac:dyDescent="0.3">
      <c r="B60" s="29" t="str">
        <f t="shared" si="0"/>
        <v/>
      </c>
      <c r="C60" s="12"/>
      <c r="D60" s="12"/>
      <c r="E60" s="12"/>
      <c r="F60" s="12"/>
      <c r="G60" s="29" t="str">
        <f>IF(LEN($F60)&gt;0,IFERROR(INDEX('90_SEMA'!$G$7:$H$102,MATCH($F60,'90_SEMA'!$B$7:$B$102,0),NYELV_IDX),""),"")</f>
        <v/>
      </c>
      <c r="H60" s="24"/>
      <c r="I60" s="24"/>
      <c r="J60" s="12"/>
    </row>
    <row r="61" spans="2:10" x14ac:dyDescent="0.3">
      <c r="B61" s="29" t="str">
        <f t="shared" si="0"/>
        <v/>
      </c>
      <c r="C61" s="12"/>
      <c r="D61" s="12"/>
      <c r="E61" s="12"/>
      <c r="F61" s="12"/>
      <c r="G61" s="29" t="str">
        <f>IF(LEN($F61)&gt;0,IFERROR(INDEX('90_SEMA'!$G$7:$H$102,MATCH($F61,'90_SEMA'!$B$7:$B$102,0),NYELV_IDX),""),"")</f>
        <v/>
      </c>
      <c r="H61" s="24"/>
      <c r="I61" s="24"/>
      <c r="J61" s="12"/>
    </row>
    <row r="62" spans="2:10" x14ac:dyDescent="0.3">
      <c r="B62" s="29" t="str">
        <f t="shared" si="0"/>
        <v/>
      </c>
      <c r="C62" s="12"/>
      <c r="D62" s="12"/>
      <c r="E62" s="12"/>
      <c r="F62" s="12"/>
      <c r="G62" s="29" t="str">
        <f>IF(LEN($F62)&gt;0,IFERROR(INDEX('90_SEMA'!$G$7:$H$102,MATCH($F62,'90_SEMA'!$B$7:$B$102,0),NYELV_IDX),""),"")</f>
        <v/>
      </c>
      <c r="H62" s="24"/>
      <c r="I62" s="24"/>
      <c r="J62" s="12"/>
    </row>
    <row r="63" spans="2:10" x14ac:dyDescent="0.3">
      <c r="B63" s="29" t="str">
        <f t="shared" si="0"/>
        <v/>
      </c>
      <c r="C63" s="12"/>
      <c r="D63" s="12"/>
      <c r="E63" s="12"/>
      <c r="F63" s="12"/>
      <c r="G63" s="29" t="str">
        <f>IF(LEN($F63)&gt;0,IFERROR(INDEX('90_SEMA'!$G$7:$H$102,MATCH($F63,'90_SEMA'!$B$7:$B$102,0),NYELV_IDX),""),"")</f>
        <v/>
      </c>
      <c r="H63" s="24"/>
      <c r="I63" s="24"/>
      <c r="J63" s="12"/>
    </row>
    <row r="64" spans="2:10" x14ac:dyDescent="0.3">
      <c r="B64" s="29" t="str">
        <f t="shared" si="0"/>
        <v/>
      </c>
      <c r="C64" s="12"/>
      <c r="D64" s="12"/>
      <c r="E64" s="12"/>
      <c r="F64" s="12"/>
      <c r="G64" s="29" t="str">
        <f>IF(LEN($F64)&gt;0,IFERROR(INDEX('90_SEMA'!$G$7:$H$102,MATCH($F64,'90_SEMA'!$B$7:$B$102,0),NYELV_IDX),""),"")</f>
        <v/>
      </c>
      <c r="H64" s="24"/>
      <c r="I64" s="24"/>
      <c r="J64" s="12"/>
    </row>
    <row r="65" spans="2:10" x14ac:dyDescent="0.3">
      <c r="B65" s="29" t="str">
        <f t="shared" si="0"/>
        <v/>
      </c>
      <c r="C65" s="12"/>
      <c r="D65" s="12"/>
      <c r="E65" s="12"/>
      <c r="F65" s="12"/>
      <c r="G65" s="29" t="str">
        <f>IF(LEN($F65)&gt;0,IFERROR(INDEX('90_SEMA'!$G$7:$H$102,MATCH($F65,'90_SEMA'!$B$7:$B$102,0),NYELV_IDX),""),"")</f>
        <v/>
      </c>
      <c r="H65" s="24"/>
      <c r="I65" s="24"/>
      <c r="J65" s="12"/>
    </row>
    <row r="66" spans="2:10" x14ac:dyDescent="0.3">
      <c r="B66" s="29" t="str">
        <f t="shared" si="0"/>
        <v/>
      </c>
      <c r="C66" s="12"/>
      <c r="D66" s="12"/>
      <c r="E66" s="12"/>
      <c r="F66" s="12"/>
      <c r="G66" s="29" t="str">
        <f>IF(LEN($F66)&gt;0,IFERROR(INDEX('90_SEMA'!$G$7:$H$102,MATCH($F66,'90_SEMA'!$B$7:$B$102,0),NYELV_IDX),""),"")</f>
        <v/>
      </c>
      <c r="H66" s="24"/>
      <c r="I66" s="24"/>
      <c r="J66" s="12"/>
    </row>
    <row r="67" spans="2:10" x14ac:dyDescent="0.3">
      <c r="B67" s="29" t="str">
        <f t="shared" si="0"/>
        <v/>
      </c>
      <c r="C67" s="12"/>
      <c r="D67" s="12"/>
      <c r="E67" s="12"/>
      <c r="F67" s="12"/>
      <c r="G67" s="29" t="str">
        <f>IF(LEN($F67)&gt;0,IFERROR(INDEX('90_SEMA'!$G$7:$H$102,MATCH($F67,'90_SEMA'!$B$7:$B$102,0),NYELV_IDX),""),"")</f>
        <v/>
      </c>
      <c r="H67" s="24"/>
      <c r="I67" s="24"/>
      <c r="J67" s="12"/>
    </row>
    <row r="68" spans="2:10" x14ac:dyDescent="0.3">
      <c r="B68" s="29" t="str">
        <f t="shared" si="0"/>
        <v/>
      </c>
      <c r="C68" s="12"/>
      <c r="D68" s="12"/>
      <c r="E68" s="12"/>
      <c r="F68" s="12"/>
      <c r="G68" s="29" t="str">
        <f>IF(LEN($F68)&gt;0,IFERROR(INDEX('90_SEMA'!$G$7:$H$102,MATCH($F68,'90_SEMA'!$B$7:$B$102,0),NYELV_IDX),""),"")</f>
        <v/>
      </c>
      <c r="H68" s="24"/>
      <c r="I68" s="24"/>
      <c r="J68" s="12"/>
    </row>
    <row r="69" spans="2:10" x14ac:dyDescent="0.3">
      <c r="B69" s="29" t="str">
        <f t="shared" si="0"/>
        <v/>
      </c>
      <c r="C69" s="12"/>
      <c r="D69" s="12"/>
      <c r="E69" s="12"/>
      <c r="F69" s="12"/>
      <c r="G69" s="29" t="str">
        <f>IF(LEN($F69)&gt;0,IFERROR(INDEX('90_SEMA'!$G$7:$H$102,MATCH($F69,'90_SEMA'!$B$7:$B$102,0),NYELV_IDX),""),"")</f>
        <v/>
      </c>
      <c r="H69" s="24"/>
      <c r="I69" s="24"/>
      <c r="J69" s="12"/>
    </row>
    <row r="70" spans="2:10" x14ac:dyDescent="0.3">
      <c r="B70" s="29" t="str">
        <f t="shared" si="0"/>
        <v/>
      </c>
      <c r="C70" s="12"/>
      <c r="D70" s="12"/>
      <c r="E70" s="12"/>
      <c r="F70" s="12"/>
      <c r="G70" s="29" t="str">
        <f>IF(LEN($F70)&gt;0,IFERROR(INDEX('90_SEMA'!$G$7:$H$102,MATCH($F70,'90_SEMA'!$B$7:$B$102,0),NYELV_IDX),""),"")</f>
        <v/>
      </c>
      <c r="H70" s="24"/>
      <c r="I70" s="24"/>
      <c r="J70" s="12"/>
    </row>
    <row r="71" spans="2:10" x14ac:dyDescent="0.3">
      <c r="B71" s="29" t="str">
        <f t="shared" ref="B71:B134" si="1">IF(LEN($F71)&gt;0,ROW()-6,"")</f>
        <v/>
      </c>
      <c r="C71" s="12"/>
      <c r="D71" s="12"/>
      <c r="E71" s="12"/>
      <c r="F71" s="12"/>
      <c r="G71" s="29" t="str">
        <f>IF(LEN($F71)&gt;0,IFERROR(INDEX('90_SEMA'!$G$7:$H$102,MATCH($F71,'90_SEMA'!$B$7:$B$102,0),NYELV_IDX),""),"")</f>
        <v/>
      </c>
      <c r="H71" s="24"/>
      <c r="I71" s="24"/>
      <c r="J71" s="12"/>
    </row>
    <row r="72" spans="2:10" x14ac:dyDescent="0.3">
      <c r="B72" s="29" t="str">
        <f t="shared" si="1"/>
        <v/>
      </c>
      <c r="C72" s="12"/>
      <c r="D72" s="12"/>
      <c r="E72" s="12"/>
      <c r="F72" s="12"/>
      <c r="G72" s="29" t="str">
        <f>IF(LEN($F72)&gt;0,IFERROR(INDEX('90_SEMA'!$G$7:$H$102,MATCH($F72,'90_SEMA'!$B$7:$B$102,0),NYELV_IDX),""),"")</f>
        <v/>
      </c>
      <c r="H72" s="24"/>
      <c r="I72" s="24"/>
      <c r="J72" s="12"/>
    </row>
    <row r="73" spans="2:10" x14ac:dyDescent="0.3">
      <c r="B73" s="29" t="str">
        <f t="shared" si="1"/>
        <v/>
      </c>
      <c r="C73" s="12"/>
      <c r="D73" s="12"/>
      <c r="E73" s="12"/>
      <c r="F73" s="12"/>
      <c r="G73" s="29" t="str">
        <f>IF(LEN($F73)&gt;0,IFERROR(INDEX('90_SEMA'!$G$7:$H$102,MATCH($F73,'90_SEMA'!$B$7:$B$102,0),NYELV_IDX),""),"")</f>
        <v/>
      </c>
      <c r="H73" s="24"/>
      <c r="I73" s="24"/>
      <c r="J73" s="12"/>
    </row>
    <row r="74" spans="2:10" x14ac:dyDescent="0.3">
      <c r="B74" s="29" t="str">
        <f t="shared" si="1"/>
        <v/>
      </c>
      <c r="C74" s="12"/>
      <c r="D74" s="12"/>
      <c r="E74" s="12"/>
      <c r="F74" s="12"/>
      <c r="G74" s="29" t="str">
        <f>IF(LEN($F74)&gt;0,IFERROR(INDEX('90_SEMA'!$G$7:$H$102,MATCH($F74,'90_SEMA'!$B$7:$B$102,0),NYELV_IDX),""),"")</f>
        <v/>
      </c>
      <c r="H74" s="24"/>
      <c r="I74" s="24"/>
      <c r="J74" s="12"/>
    </row>
    <row r="75" spans="2:10" x14ac:dyDescent="0.3">
      <c r="B75" s="29" t="str">
        <f t="shared" si="1"/>
        <v/>
      </c>
      <c r="C75" s="12"/>
      <c r="D75" s="12"/>
      <c r="E75" s="12"/>
      <c r="F75" s="12"/>
      <c r="G75" s="29" t="str">
        <f>IF(LEN($F75)&gt;0,IFERROR(INDEX('90_SEMA'!$G$7:$H$102,MATCH($F75,'90_SEMA'!$B$7:$B$102,0),NYELV_IDX),""),"")</f>
        <v/>
      </c>
      <c r="H75" s="24"/>
      <c r="I75" s="24"/>
      <c r="J75" s="12"/>
    </row>
    <row r="76" spans="2:10" x14ac:dyDescent="0.3">
      <c r="B76" s="29" t="str">
        <f t="shared" si="1"/>
        <v/>
      </c>
      <c r="C76" s="12"/>
      <c r="D76" s="12"/>
      <c r="E76" s="12"/>
      <c r="F76" s="12"/>
      <c r="G76" s="29" t="str">
        <f>IF(LEN($F76)&gt;0,IFERROR(INDEX('90_SEMA'!$G$7:$H$102,MATCH($F76,'90_SEMA'!$B$7:$B$102,0),NYELV_IDX),""),"")</f>
        <v/>
      </c>
      <c r="H76" s="24"/>
      <c r="I76" s="24"/>
      <c r="J76" s="12"/>
    </row>
    <row r="77" spans="2:10" x14ac:dyDescent="0.3">
      <c r="B77" s="29" t="str">
        <f t="shared" si="1"/>
        <v/>
      </c>
      <c r="C77" s="12"/>
      <c r="D77" s="12"/>
      <c r="E77" s="12"/>
      <c r="F77" s="12"/>
      <c r="G77" s="29" t="str">
        <f>IF(LEN($F77)&gt;0,IFERROR(INDEX('90_SEMA'!$G$7:$H$102,MATCH($F77,'90_SEMA'!$B$7:$B$102,0),NYELV_IDX),""),"")</f>
        <v/>
      </c>
      <c r="H77" s="24"/>
      <c r="I77" s="24"/>
      <c r="J77" s="12"/>
    </row>
    <row r="78" spans="2:10" x14ac:dyDescent="0.3">
      <c r="B78" s="29" t="str">
        <f t="shared" si="1"/>
        <v/>
      </c>
      <c r="C78" s="12"/>
      <c r="D78" s="12"/>
      <c r="E78" s="12"/>
      <c r="F78" s="12"/>
      <c r="G78" s="29" t="str">
        <f>IF(LEN($F78)&gt;0,IFERROR(INDEX('90_SEMA'!$G$7:$H$102,MATCH($F78,'90_SEMA'!$B$7:$B$102,0),NYELV_IDX),""),"")</f>
        <v/>
      </c>
      <c r="H78" s="24"/>
      <c r="I78" s="24"/>
      <c r="J78" s="12"/>
    </row>
    <row r="79" spans="2:10" x14ac:dyDescent="0.3">
      <c r="B79" s="29" t="str">
        <f t="shared" si="1"/>
        <v/>
      </c>
      <c r="C79" s="12"/>
      <c r="D79" s="12"/>
      <c r="E79" s="12"/>
      <c r="F79" s="12"/>
      <c r="G79" s="29" t="str">
        <f>IF(LEN($F79)&gt;0,IFERROR(INDEX('90_SEMA'!$G$7:$H$102,MATCH($F79,'90_SEMA'!$B$7:$B$102,0),NYELV_IDX),""),"")</f>
        <v/>
      </c>
      <c r="H79" s="24"/>
      <c r="I79" s="24"/>
      <c r="J79" s="12"/>
    </row>
    <row r="80" spans="2:10" x14ac:dyDescent="0.3">
      <c r="B80" s="29" t="str">
        <f t="shared" si="1"/>
        <v/>
      </c>
      <c r="C80" s="12"/>
      <c r="D80" s="12"/>
      <c r="E80" s="12"/>
      <c r="F80" s="12"/>
      <c r="G80" s="29" t="str">
        <f>IF(LEN($F80)&gt;0,IFERROR(INDEX('90_SEMA'!$G$7:$H$102,MATCH($F80,'90_SEMA'!$B$7:$B$102,0),NYELV_IDX),""),"")</f>
        <v/>
      </c>
      <c r="H80" s="24"/>
      <c r="I80" s="24"/>
      <c r="J80" s="12"/>
    </row>
    <row r="81" spans="2:10" x14ac:dyDescent="0.3">
      <c r="B81" s="29" t="str">
        <f t="shared" si="1"/>
        <v/>
      </c>
      <c r="C81" s="12"/>
      <c r="D81" s="12"/>
      <c r="E81" s="12"/>
      <c r="F81" s="12"/>
      <c r="G81" s="29" t="str">
        <f>IF(LEN($F81)&gt;0,IFERROR(INDEX('90_SEMA'!$G$7:$H$102,MATCH($F81,'90_SEMA'!$B$7:$B$102,0),NYELV_IDX),""),"")</f>
        <v/>
      </c>
      <c r="H81" s="24"/>
      <c r="I81" s="24"/>
      <c r="J81" s="12"/>
    </row>
    <row r="82" spans="2:10" x14ac:dyDescent="0.3">
      <c r="B82" s="29" t="str">
        <f t="shared" si="1"/>
        <v/>
      </c>
      <c r="C82" s="12"/>
      <c r="D82" s="12"/>
      <c r="E82" s="12"/>
      <c r="F82" s="12"/>
      <c r="G82" s="29" t="str">
        <f>IF(LEN($F82)&gt;0,IFERROR(INDEX('90_SEMA'!$G$7:$H$102,MATCH($F82,'90_SEMA'!$B$7:$B$102,0),NYELV_IDX),""),"")</f>
        <v/>
      </c>
      <c r="H82" s="24"/>
      <c r="I82" s="24"/>
      <c r="J82" s="12"/>
    </row>
    <row r="83" spans="2:10" x14ac:dyDescent="0.3">
      <c r="B83" s="29" t="str">
        <f t="shared" si="1"/>
        <v/>
      </c>
      <c r="C83" s="12"/>
      <c r="D83" s="12"/>
      <c r="E83" s="12"/>
      <c r="F83" s="12"/>
      <c r="G83" s="29" t="str">
        <f>IF(LEN($F83)&gt;0,IFERROR(INDEX('90_SEMA'!$G$7:$H$102,MATCH($F83,'90_SEMA'!$B$7:$B$102,0),NYELV_IDX),""),"")</f>
        <v/>
      </c>
      <c r="H83" s="24"/>
      <c r="I83" s="24"/>
      <c r="J83" s="12"/>
    </row>
    <row r="84" spans="2:10" x14ac:dyDescent="0.3">
      <c r="B84" s="29" t="str">
        <f t="shared" si="1"/>
        <v/>
      </c>
      <c r="C84" s="12"/>
      <c r="D84" s="12"/>
      <c r="E84" s="12"/>
      <c r="F84" s="12"/>
      <c r="G84" s="29" t="str">
        <f>IF(LEN($F84)&gt;0,IFERROR(INDEX('90_SEMA'!$G$7:$H$102,MATCH($F84,'90_SEMA'!$B$7:$B$102,0),NYELV_IDX),""),"")</f>
        <v/>
      </c>
      <c r="H84" s="24"/>
      <c r="I84" s="24"/>
      <c r="J84" s="12"/>
    </row>
    <row r="85" spans="2:10" x14ac:dyDescent="0.3">
      <c r="B85" s="29" t="str">
        <f t="shared" si="1"/>
        <v/>
      </c>
      <c r="C85" s="12"/>
      <c r="D85" s="12"/>
      <c r="E85" s="12"/>
      <c r="F85" s="12"/>
      <c r="G85" s="29" t="str">
        <f>IF(LEN($F85)&gt;0,IFERROR(INDEX('90_SEMA'!$G$7:$H$102,MATCH($F85,'90_SEMA'!$B$7:$B$102,0),NYELV_IDX),""),"")</f>
        <v/>
      </c>
      <c r="H85" s="24"/>
      <c r="I85" s="24"/>
      <c r="J85" s="12"/>
    </row>
    <row r="86" spans="2:10" x14ac:dyDescent="0.3">
      <c r="B86" s="29" t="str">
        <f t="shared" si="1"/>
        <v/>
      </c>
      <c r="C86" s="12"/>
      <c r="D86" s="12"/>
      <c r="E86" s="12"/>
      <c r="F86" s="12"/>
      <c r="G86" s="29" t="str">
        <f>IF(LEN($F86)&gt;0,IFERROR(INDEX('90_SEMA'!$G$7:$H$102,MATCH($F86,'90_SEMA'!$B$7:$B$102,0),NYELV_IDX),""),"")</f>
        <v/>
      </c>
      <c r="H86" s="24"/>
      <c r="I86" s="24"/>
      <c r="J86" s="12"/>
    </row>
    <row r="87" spans="2:10" x14ac:dyDescent="0.3">
      <c r="B87" s="29" t="str">
        <f t="shared" si="1"/>
        <v/>
      </c>
      <c r="C87" s="12"/>
      <c r="D87" s="12"/>
      <c r="E87" s="12"/>
      <c r="F87" s="12"/>
      <c r="G87" s="29" t="str">
        <f>IF(LEN($F87)&gt;0,IFERROR(INDEX('90_SEMA'!$G$7:$H$102,MATCH($F87,'90_SEMA'!$B$7:$B$102,0),NYELV_IDX),""),"")</f>
        <v/>
      </c>
      <c r="H87" s="24"/>
      <c r="I87" s="24"/>
      <c r="J87" s="12"/>
    </row>
    <row r="88" spans="2:10" x14ac:dyDescent="0.3">
      <c r="B88" s="29" t="str">
        <f t="shared" si="1"/>
        <v/>
      </c>
      <c r="C88" s="12"/>
      <c r="D88" s="12"/>
      <c r="E88" s="12"/>
      <c r="F88" s="12"/>
      <c r="G88" s="29" t="str">
        <f>IF(LEN($F88)&gt;0,IFERROR(INDEX('90_SEMA'!$G$7:$H$102,MATCH($F88,'90_SEMA'!$B$7:$B$102,0),NYELV_IDX),""),"")</f>
        <v/>
      </c>
      <c r="H88" s="24"/>
      <c r="I88" s="24"/>
      <c r="J88" s="12"/>
    </row>
    <row r="89" spans="2:10" x14ac:dyDescent="0.3">
      <c r="B89" s="29" t="str">
        <f t="shared" si="1"/>
        <v/>
      </c>
      <c r="C89" s="12"/>
      <c r="D89" s="12"/>
      <c r="E89" s="12"/>
      <c r="F89" s="12"/>
      <c r="G89" s="29" t="str">
        <f>IF(LEN($F89)&gt;0,IFERROR(INDEX('90_SEMA'!$G$7:$H$102,MATCH($F89,'90_SEMA'!$B$7:$B$102,0),NYELV_IDX),""),"")</f>
        <v/>
      </c>
      <c r="H89" s="24"/>
      <c r="I89" s="24"/>
      <c r="J89" s="12"/>
    </row>
    <row r="90" spans="2:10" x14ac:dyDescent="0.3">
      <c r="B90" s="29" t="str">
        <f t="shared" si="1"/>
        <v/>
      </c>
      <c r="C90" s="12"/>
      <c r="D90" s="12"/>
      <c r="E90" s="12"/>
      <c r="F90" s="12"/>
      <c r="G90" s="29" t="str">
        <f>IF(LEN($F90)&gt;0,IFERROR(INDEX('90_SEMA'!$G$7:$H$102,MATCH($F90,'90_SEMA'!$B$7:$B$102,0),NYELV_IDX),""),"")</f>
        <v/>
      </c>
      <c r="H90" s="24"/>
      <c r="I90" s="24"/>
      <c r="J90" s="12"/>
    </row>
    <row r="91" spans="2:10" x14ac:dyDescent="0.3">
      <c r="B91" s="29" t="str">
        <f t="shared" si="1"/>
        <v/>
      </c>
      <c r="C91" s="12"/>
      <c r="D91" s="12"/>
      <c r="E91" s="12"/>
      <c r="F91" s="12"/>
      <c r="G91" s="29" t="str">
        <f>IF(LEN($F91)&gt;0,IFERROR(INDEX('90_SEMA'!$G$7:$H$102,MATCH($F91,'90_SEMA'!$B$7:$B$102,0),NYELV_IDX),""),"")</f>
        <v/>
      </c>
      <c r="H91" s="24"/>
      <c r="I91" s="24"/>
      <c r="J91" s="12"/>
    </row>
    <row r="92" spans="2:10" x14ac:dyDescent="0.3">
      <c r="B92" s="29" t="str">
        <f t="shared" si="1"/>
        <v/>
      </c>
      <c r="C92" s="12"/>
      <c r="D92" s="12"/>
      <c r="E92" s="12"/>
      <c r="F92" s="12"/>
      <c r="G92" s="29" t="str">
        <f>IF(LEN($F92)&gt;0,IFERROR(INDEX('90_SEMA'!$G$7:$H$102,MATCH($F92,'90_SEMA'!$B$7:$B$102,0),NYELV_IDX),""),"")</f>
        <v/>
      </c>
      <c r="H92" s="24"/>
      <c r="I92" s="24"/>
      <c r="J92" s="12"/>
    </row>
    <row r="93" spans="2:10" x14ac:dyDescent="0.3">
      <c r="B93" s="29" t="str">
        <f t="shared" si="1"/>
        <v/>
      </c>
      <c r="C93" s="12"/>
      <c r="D93" s="12"/>
      <c r="E93" s="12"/>
      <c r="F93" s="12"/>
      <c r="G93" s="29" t="str">
        <f>IF(LEN($F93)&gt;0,IFERROR(INDEX('90_SEMA'!$G$7:$H$102,MATCH($F93,'90_SEMA'!$B$7:$B$102,0),NYELV_IDX),""),"")</f>
        <v/>
      </c>
      <c r="H93" s="24"/>
      <c r="I93" s="24"/>
      <c r="J93" s="12"/>
    </row>
    <row r="94" spans="2:10" x14ac:dyDescent="0.3">
      <c r="B94" s="29" t="str">
        <f t="shared" si="1"/>
        <v/>
      </c>
      <c r="C94" s="12"/>
      <c r="D94" s="12"/>
      <c r="E94" s="12"/>
      <c r="F94" s="12"/>
      <c r="G94" s="29" t="str">
        <f>IF(LEN($F94)&gt;0,IFERROR(INDEX('90_SEMA'!$G$7:$H$102,MATCH($F94,'90_SEMA'!$B$7:$B$102,0),NYELV_IDX),""),"")</f>
        <v/>
      </c>
      <c r="H94" s="24"/>
      <c r="I94" s="24"/>
      <c r="J94" s="12"/>
    </row>
    <row r="95" spans="2:10" x14ac:dyDescent="0.3">
      <c r="B95" s="29" t="str">
        <f t="shared" si="1"/>
        <v/>
      </c>
      <c r="C95" s="12"/>
      <c r="D95" s="12"/>
      <c r="E95" s="12"/>
      <c r="F95" s="12"/>
      <c r="G95" s="29" t="str">
        <f>IF(LEN($F95)&gt;0,IFERROR(INDEX('90_SEMA'!$G$7:$H$102,MATCH($F95,'90_SEMA'!$B$7:$B$102,0),NYELV_IDX),""),"")</f>
        <v/>
      </c>
      <c r="H95" s="24"/>
      <c r="I95" s="24"/>
      <c r="J95" s="12"/>
    </row>
    <row r="96" spans="2:10" x14ac:dyDescent="0.3">
      <c r="B96" s="29" t="str">
        <f t="shared" si="1"/>
        <v/>
      </c>
      <c r="C96" s="12"/>
      <c r="D96" s="12"/>
      <c r="E96" s="12"/>
      <c r="F96" s="12"/>
      <c r="G96" s="29" t="str">
        <f>IF(LEN($F96)&gt;0,IFERROR(INDEX('90_SEMA'!$G$7:$H$102,MATCH($F96,'90_SEMA'!$B$7:$B$102,0),NYELV_IDX),""),"")</f>
        <v/>
      </c>
      <c r="H96" s="24"/>
      <c r="I96" s="24"/>
      <c r="J96" s="12"/>
    </row>
    <row r="97" spans="2:10" x14ac:dyDescent="0.3">
      <c r="B97" s="29" t="str">
        <f t="shared" si="1"/>
        <v/>
      </c>
      <c r="C97" s="12"/>
      <c r="D97" s="12"/>
      <c r="E97" s="12"/>
      <c r="F97" s="12"/>
      <c r="G97" s="29" t="str">
        <f>IF(LEN($F97)&gt;0,IFERROR(INDEX('90_SEMA'!$G$7:$H$102,MATCH($F97,'90_SEMA'!$B$7:$B$102,0),NYELV_IDX),""),"")</f>
        <v/>
      </c>
      <c r="H97" s="24"/>
      <c r="I97" s="24"/>
      <c r="J97" s="12"/>
    </row>
    <row r="98" spans="2:10" x14ac:dyDescent="0.3">
      <c r="B98" s="29" t="str">
        <f t="shared" si="1"/>
        <v/>
      </c>
      <c r="C98" s="12"/>
      <c r="D98" s="12"/>
      <c r="E98" s="12"/>
      <c r="F98" s="12"/>
      <c r="G98" s="29" t="str">
        <f>IF(LEN($F98)&gt;0,IFERROR(INDEX('90_SEMA'!$G$7:$H$102,MATCH($F98,'90_SEMA'!$B$7:$B$102,0),NYELV_IDX),""),"")</f>
        <v/>
      </c>
      <c r="H98" s="24"/>
      <c r="I98" s="24"/>
      <c r="J98" s="12"/>
    </row>
    <row r="99" spans="2:10" x14ac:dyDescent="0.3">
      <c r="B99" s="29" t="str">
        <f t="shared" si="1"/>
        <v/>
      </c>
      <c r="C99" s="12"/>
      <c r="D99" s="12"/>
      <c r="E99" s="12"/>
      <c r="F99" s="12"/>
      <c r="G99" s="29" t="str">
        <f>IF(LEN($F99)&gt;0,IFERROR(INDEX('90_SEMA'!$G$7:$H$102,MATCH($F99,'90_SEMA'!$B$7:$B$102,0),NYELV_IDX),""),"")</f>
        <v/>
      </c>
      <c r="H99" s="24"/>
      <c r="I99" s="24"/>
      <c r="J99" s="12"/>
    </row>
    <row r="100" spans="2:10" x14ac:dyDescent="0.3">
      <c r="B100" s="29" t="str">
        <f t="shared" si="1"/>
        <v/>
      </c>
      <c r="C100" s="12"/>
      <c r="D100" s="12"/>
      <c r="E100" s="12"/>
      <c r="F100" s="12"/>
      <c r="G100" s="29" t="str">
        <f>IF(LEN($F100)&gt;0,IFERROR(INDEX('90_SEMA'!$G$7:$H$102,MATCH($F100,'90_SEMA'!$B$7:$B$102,0),NYELV_IDX),""),"")</f>
        <v/>
      </c>
      <c r="H100" s="24"/>
      <c r="I100" s="24"/>
      <c r="J100" s="12"/>
    </row>
    <row r="101" spans="2:10" x14ac:dyDescent="0.3">
      <c r="B101" s="29" t="str">
        <f t="shared" si="1"/>
        <v/>
      </c>
      <c r="C101" s="12"/>
      <c r="D101" s="12"/>
      <c r="E101" s="12"/>
      <c r="F101" s="12"/>
      <c r="G101" s="29" t="str">
        <f>IF(LEN($F101)&gt;0,IFERROR(INDEX('90_SEMA'!$G$7:$H$102,MATCH($F101,'90_SEMA'!$B$7:$B$102,0),NYELV_IDX),""),"")</f>
        <v/>
      </c>
      <c r="H101" s="24"/>
      <c r="I101" s="24"/>
      <c r="J101" s="12"/>
    </row>
    <row r="102" spans="2:10" x14ac:dyDescent="0.3">
      <c r="B102" s="29" t="str">
        <f t="shared" si="1"/>
        <v/>
      </c>
      <c r="C102" s="12"/>
      <c r="D102" s="12"/>
      <c r="E102" s="12"/>
      <c r="F102" s="12"/>
      <c r="G102" s="29" t="str">
        <f>IF(LEN($F102)&gt;0,IFERROR(INDEX('90_SEMA'!$G$7:$H$102,MATCH($F102,'90_SEMA'!$B$7:$B$102,0),NYELV_IDX),""),"")</f>
        <v/>
      </c>
      <c r="H102" s="24"/>
      <c r="I102" s="24"/>
      <c r="J102" s="12"/>
    </row>
    <row r="103" spans="2:10" x14ac:dyDescent="0.3">
      <c r="B103" s="29" t="str">
        <f t="shared" si="1"/>
        <v/>
      </c>
      <c r="C103" s="12"/>
      <c r="D103" s="12"/>
      <c r="E103" s="12"/>
      <c r="F103" s="12"/>
      <c r="G103" s="29" t="str">
        <f>IF(LEN($F103)&gt;0,IFERROR(INDEX('90_SEMA'!$G$7:$H$102,MATCH($F103,'90_SEMA'!$B$7:$B$102,0),NYELV_IDX),""),"")</f>
        <v/>
      </c>
      <c r="H103" s="24"/>
      <c r="I103" s="24"/>
      <c r="J103" s="12"/>
    </row>
    <row r="104" spans="2:10" x14ac:dyDescent="0.3">
      <c r="B104" s="29" t="str">
        <f t="shared" si="1"/>
        <v/>
      </c>
      <c r="C104" s="12"/>
      <c r="D104" s="12"/>
      <c r="E104" s="12"/>
      <c r="F104" s="12"/>
      <c r="G104" s="29" t="str">
        <f>IF(LEN($F104)&gt;0,IFERROR(INDEX('90_SEMA'!$G$7:$H$102,MATCH($F104,'90_SEMA'!$B$7:$B$102,0),NYELV_IDX),""),"")</f>
        <v/>
      </c>
      <c r="H104" s="24"/>
      <c r="I104" s="24"/>
      <c r="J104" s="12"/>
    </row>
    <row r="105" spans="2:10" x14ac:dyDescent="0.3">
      <c r="B105" s="29" t="str">
        <f t="shared" si="1"/>
        <v/>
      </c>
      <c r="C105" s="12"/>
      <c r="D105" s="12"/>
      <c r="E105" s="12"/>
      <c r="F105" s="12"/>
      <c r="G105" s="29" t="str">
        <f>IF(LEN($F105)&gt;0,IFERROR(INDEX('90_SEMA'!$G$7:$H$102,MATCH($F105,'90_SEMA'!$B$7:$B$102,0),NYELV_IDX),""),"")</f>
        <v/>
      </c>
      <c r="H105" s="24"/>
      <c r="I105" s="24"/>
      <c r="J105" s="12"/>
    </row>
    <row r="106" spans="2:10" x14ac:dyDescent="0.3">
      <c r="B106" s="29" t="str">
        <f t="shared" si="1"/>
        <v/>
      </c>
      <c r="C106" s="12"/>
      <c r="D106" s="12"/>
      <c r="E106" s="12"/>
      <c r="F106" s="12"/>
      <c r="G106" s="29" t="str">
        <f>IF(LEN($F106)&gt;0,IFERROR(INDEX('90_SEMA'!$G$7:$H$102,MATCH($F106,'90_SEMA'!$B$7:$B$102,0),NYELV_IDX),""),"")</f>
        <v/>
      </c>
      <c r="H106" s="24"/>
      <c r="I106" s="24"/>
      <c r="J106" s="12"/>
    </row>
    <row r="107" spans="2:10" x14ac:dyDescent="0.3">
      <c r="B107" s="29" t="str">
        <f t="shared" si="1"/>
        <v/>
      </c>
      <c r="C107" s="12"/>
      <c r="D107" s="12"/>
      <c r="E107" s="12"/>
      <c r="F107" s="12"/>
      <c r="G107" s="29" t="str">
        <f>IF(LEN($F107)&gt;0,IFERROR(INDEX('90_SEMA'!$G$7:$H$102,MATCH($F107,'90_SEMA'!$B$7:$B$102,0),NYELV_IDX),""),"")</f>
        <v/>
      </c>
      <c r="H107" s="24"/>
      <c r="I107" s="24"/>
      <c r="J107" s="12"/>
    </row>
    <row r="108" spans="2:10" x14ac:dyDescent="0.3">
      <c r="B108" s="29" t="str">
        <f t="shared" si="1"/>
        <v/>
      </c>
      <c r="C108" s="12"/>
      <c r="D108" s="12"/>
      <c r="E108" s="12"/>
      <c r="F108" s="12"/>
      <c r="G108" s="29" t="str">
        <f>IF(LEN($F108)&gt;0,IFERROR(INDEX('90_SEMA'!$G$7:$H$102,MATCH($F108,'90_SEMA'!$B$7:$B$102,0),NYELV_IDX),""),"")</f>
        <v/>
      </c>
      <c r="H108" s="24"/>
      <c r="I108" s="24"/>
      <c r="J108" s="12"/>
    </row>
    <row r="109" spans="2:10" x14ac:dyDescent="0.3">
      <c r="B109" s="29" t="str">
        <f t="shared" si="1"/>
        <v/>
      </c>
      <c r="C109" s="12"/>
      <c r="D109" s="12"/>
      <c r="E109" s="12"/>
      <c r="F109" s="12"/>
      <c r="G109" s="29" t="str">
        <f>IF(LEN($F109)&gt;0,IFERROR(INDEX('90_SEMA'!$G$7:$H$102,MATCH($F109,'90_SEMA'!$B$7:$B$102,0),NYELV_IDX),""),"")</f>
        <v/>
      </c>
      <c r="H109" s="24"/>
      <c r="I109" s="24"/>
      <c r="J109" s="12"/>
    </row>
    <row r="110" spans="2:10" x14ac:dyDescent="0.3">
      <c r="B110" s="29" t="str">
        <f t="shared" si="1"/>
        <v/>
      </c>
      <c r="C110" s="12"/>
      <c r="D110" s="12"/>
      <c r="E110" s="12"/>
      <c r="F110" s="12"/>
      <c r="G110" s="29" t="str">
        <f>IF(LEN($F110)&gt;0,IFERROR(INDEX('90_SEMA'!$G$7:$H$102,MATCH($F110,'90_SEMA'!$B$7:$B$102,0),NYELV_IDX),""),"")</f>
        <v/>
      </c>
      <c r="H110" s="24"/>
      <c r="I110" s="24"/>
      <c r="J110" s="12"/>
    </row>
    <row r="111" spans="2:10" x14ac:dyDescent="0.3">
      <c r="B111" s="29" t="str">
        <f t="shared" si="1"/>
        <v/>
      </c>
      <c r="C111" s="12"/>
      <c r="D111" s="12"/>
      <c r="E111" s="12"/>
      <c r="F111" s="12"/>
      <c r="G111" s="29" t="str">
        <f>IF(LEN($F111)&gt;0,IFERROR(INDEX('90_SEMA'!$G$7:$H$102,MATCH($F111,'90_SEMA'!$B$7:$B$102,0),NYELV_IDX),""),"")</f>
        <v/>
      </c>
      <c r="H111" s="24"/>
      <c r="I111" s="24"/>
      <c r="J111" s="12"/>
    </row>
    <row r="112" spans="2:10" x14ac:dyDescent="0.3">
      <c r="B112" s="29" t="str">
        <f t="shared" si="1"/>
        <v/>
      </c>
      <c r="C112" s="12"/>
      <c r="D112" s="12"/>
      <c r="E112" s="12"/>
      <c r="F112" s="12"/>
      <c r="G112" s="29" t="str">
        <f>IF(LEN($F112)&gt;0,IFERROR(INDEX('90_SEMA'!$G$7:$H$102,MATCH($F112,'90_SEMA'!$B$7:$B$102,0),NYELV_IDX),""),"")</f>
        <v/>
      </c>
      <c r="H112" s="24"/>
      <c r="I112" s="24"/>
      <c r="J112" s="12"/>
    </row>
    <row r="113" spans="2:10" x14ac:dyDescent="0.3">
      <c r="B113" s="29" t="str">
        <f t="shared" si="1"/>
        <v/>
      </c>
      <c r="C113" s="12"/>
      <c r="D113" s="12"/>
      <c r="E113" s="12"/>
      <c r="F113" s="12"/>
      <c r="G113" s="29" t="str">
        <f>IF(LEN($F113)&gt;0,IFERROR(INDEX('90_SEMA'!$G$7:$H$102,MATCH($F113,'90_SEMA'!$B$7:$B$102,0),NYELV_IDX),""),"")</f>
        <v/>
      </c>
      <c r="H113" s="24"/>
      <c r="I113" s="24"/>
      <c r="J113" s="12"/>
    </row>
    <row r="114" spans="2:10" x14ac:dyDescent="0.3">
      <c r="B114" s="29" t="str">
        <f t="shared" si="1"/>
        <v/>
      </c>
      <c r="C114" s="12"/>
      <c r="D114" s="12"/>
      <c r="E114" s="12"/>
      <c r="F114" s="12"/>
      <c r="G114" s="29" t="str">
        <f>IF(LEN($F114)&gt;0,IFERROR(INDEX('90_SEMA'!$G$7:$H$102,MATCH($F114,'90_SEMA'!$B$7:$B$102,0),NYELV_IDX),""),"")</f>
        <v/>
      </c>
      <c r="H114" s="24"/>
      <c r="I114" s="24"/>
      <c r="J114" s="12"/>
    </row>
    <row r="115" spans="2:10" x14ac:dyDescent="0.3">
      <c r="B115" s="29" t="str">
        <f t="shared" si="1"/>
        <v/>
      </c>
      <c r="C115" s="12"/>
      <c r="D115" s="12"/>
      <c r="E115" s="12"/>
      <c r="F115" s="12"/>
      <c r="G115" s="29" t="str">
        <f>IF(LEN($F115)&gt;0,IFERROR(INDEX('90_SEMA'!$G$7:$H$102,MATCH($F115,'90_SEMA'!$B$7:$B$102,0),NYELV_IDX),""),"")</f>
        <v/>
      </c>
      <c r="H115" s="24"/>
      <c r="I115" s="24"/>
      <c r="J115" s="12"/>
    </row>
    <row r="116" spans="2:10" x14ac:dyDescent="0.3">
      <c r="B116" s="29" t="str">
        <f t="shared" si="1"/>
        <v/>
      </c>
      <c r="C116" s="12"/>
      <c r="D116" s="12"/>
      <c r="E116" s="12"/>
      <c r="F116" s="12"/>
      <c r="G116" s="29" t="str">
        <f>IF(LEN($F116)&gt;0,IFERROR(INDEX('90_SEMA'!$G$7:$H$102,MATCH($F116,'90_SEMA'!$B$7:$B$102,0),NYELV_IDX),""),"")</f>
        <v/>
      </c>
      <c r="H116" s="24"/>
      <c r="I116" s="24"/>
      <c r="J116" s="12"/>
    </row>
    <row r="117" spans="2:10" x14ac:dyDescent="0.3">
      <c r="B117" s="29" t="str">
        <f t="shared" si="1"/>
        <v/>
      </c>
      <c r="C117" s="12"/>
      <c r="D117" s="12"/>
      <c r="E117" s="12"/>
      <c r="F117" s="12"/>
      <c r="G117" s="29" t="str">
        <f>IF(LEN($F117)&gt;0,IFERROR(INDEX('90_SEMA'!$G$7:$H$102,MATCH($F117,'90_SEMA'!$B$7:$B$102,0),NYELV_IDX),""),"")</f>
        <v/>
      </c>
      <c r="H117" s="24"/>
      <c r="I117" s="24"/>
      <c r="J117" s="12"/>
    </row>
    <row r="118" spans="2:10" x14ac:dyDescent="0.3">
      <c r="B118" s="29" t="str">
        <f t="shared" si="1"/>
        <v/>
      </c>
      <c r="C118" s="12"/>
      <c r="D118" s="12"/>
      <c r="E118" s="12"/>
      <c r="F118" s="12"/>
      <c r="G118" s="29" t="str">
        <f>IF(LEN($F118)&gt;0,IFERROR(INDEX('90_SEMA'!$G$7:$H$102,MATCH($F118,'90_SEMA'!$B$7:$B$102,0),NYELV_IDX),""),"")</f>
        <v/>
      </c>
      <c r="H118" s="24"/>
      <c r="I118" s="24"/>
      <c r="J118" s="12"/>
    </row>
    <row r="119" spans="2:10" x14ac:dyDescent="0.3">
      <c r="B119" s="29" t="str">
        <f t="shared" si="1"/>
        <v/>
      </c>
      <c r="C119" s="12"/>
      <c r="D119" s="12"/>
      <c r="E119" s="12"/>
      <c r="F119" s="12"/>
      <c r="G119" s="29" t="str">
        <f>IF(LEN($F119)&gt;0,IFERROR(INDEX('90_SEMA'!$G$7:$H$102,MATCH($F119,'90_SEMA'!$B$7:$B$102,0),NYELV_IDX),""),"")</f>
        <v/>
      </c>
      <c r="H119" s="24"/>
      <c r="I119" s="24"/>
      <c r="J119" s="12"/>
    </row>
    <row r="120" spans="2:10" x14ac:dyDescent="0.3">
      <c r="B120" s="29" t="str">
        <f t="shared" si="1"/>
        <v/>
      </c>
      <c r="C120" s="12"/>
      <c r="D120" s="12"/>
      <c r="E120" s="12"/>
      <c r="F120" s="12"/>
      <c r="G120" s="29" t="str">
        <f>IF(LEN($F120)&gt;0,IFERROR(INDEX('90_SEMA'!$G$7:$H$102,MATCH($F120,'90_SEMA'!$B$7:$B$102,0),NYELV_IDX),""),"")</f>
        <v/>
      </c>
      <c r="H120" s="24"/>
      <c r="I120" s="24"/>
      <c r="J120" s="12"/>
    </row>
    <row r="121" spans="2:10" x14ac:dyDescent="0.3">
      <c r="B121" s="29" t="str">
        <f t="shared" si="1"/>
        <v/>
      </c>
      <c r="C121" s="12"/>
      <c r="D121" s="12"/>
      <c r="E121" s="12"/>
      <c r="F121" s="12"/>
      <c r="G121" s="29" t="str">
        <f>IF(LEN($F121)&gt;0,IFERROR(INDEX('90_SEMA'!$G$7:$H$102,MATCH($F121,'90_SEMA'!$B$7:$B$102,0),NYELV_IDX),""),"")</f>
        <v/>
      </c>
      <c r="H121" s="24"/>
      <c r="I121" s="24"/>
      <c r="J121" s="12"/>
    </row>
    <row r="122" spans="2:10" x14ac:dyDescent="0.3">
      <c r="B122" s="29" t="str">
        <f t="shared" si="1"/>
        <v/>
      </c>
      <c r="C122" s="12"/>
      <c r="D122" s="12"/>
      <c r="E122" s="12"/>
      <c r="F122" s="12"/>
      <c r="G122" s="29" t="str">
        <f>IF(LEN($F122)&gt;0,IFERROR(INDEX('90_SEMA'!$G$7:$H$102,MATCH($F122,'90_SEMA'!$B$7:$B$102,0),NYELV_IDX),""),"")</f>
        <v/>
      </c>
      <c r="H122" s="24"/>
      <c r="I122" s="24"/>
      <c r="J122" s="12"/>
    </row>
    <row r="123" spans="2:10" x14ac:dyDescent="0.3">
      <c r="B123" s="29" t="str">
        <f t="shared" si="1"/>
        <v/>
      </c>
      <c r="C123" s="12"/>
      <c r="D123" s="12"/>
      <c r="E123" s="12"/>
      <c r="F123" s="12"/>
      <c r="G123" s="29" t="str">
        <f>IF(LEN($F123)&gt;0,IFERROR(INDEX('90_SEMA'!$G$7:$H$102,MATCH($F123,'90_SEMA'!$B$7:$B$102,0),NYELV_IDX),""),"")</f>
        <v/>
      </c>
      <c r="H123" s="24"/>
      <c r="I123" s="24"/>
      <c r="J123" s="12"/>
    </row>
    <row r="124" spans="2:10" x14ac:dyDescent="0.3">
      <c r="B124" s="29" t="str">
        <f t="shared" si="1"/>
        <v/>
      </c>
      <c r="C124" s="12"/>
      <c r="D124" s="12"/>
      <c r="E124" s="12"/>
      <c r="F124" s="12"/>
      <c r="G124" s="29" t="str">
        <f>IF(LEN($F124)&gt;0,IFERROR(INDEX('90_SEMA'!$G$7:$H$102,MATCH($F124,'90_SEMA'!$B$7:$B$102,0),NYELV_IDX),""),"")</f>
        <v/>
      </c>
      <c r="H124" s="24"/>
      <c r="I124" s="24"/>
      <c r="J124" s="12"/>
    </row>
    <row r="125" spans="2:10" x14ac:dyDescent="0.3">
      <c r="B125" s="29" t="str">
        <f t="shared" si="1"/>
        <v/>
      </c>
      <c r="C125" s="12"/>
      <c r="D125" s="12"/>
      <c r="E125" s="12"/>
      <c r="F125" s="12"/>
      <c r="G125" s="29" t="str">
        <f>IF(LEN($F125)&gt;0,IFERROR(INDEX('90_SEMA'!$G$7:$H$102,MATCH($F125,'90_SEMA'!$B$7:$B$102,0),NYELV_IDX),""),"")</f>
        <v/>
      </c>
      <c r="H125" s="24"/>
      <c r="I125" s="24"/>
      <c r="J125" s="12"/>
    </row>
    <row r="126" spans="2:10" x14ac:dyDescent="0.3">
      <c r="B126" s="29" t="str">
        <f t="shared" si="1"/>
        <v/>
      </c>
      <c r="C126" s="12"/>
      <c r="D126" s="12"/>
      <c r="E126" s="12"/>
      <c r="F126" s="12"/>
      <c r="G126" s="29" t="str">
        <f>IF(LEN($F126)&gt;0,IFERROR(INDEX('90_SEMA'!$G$7:$H$102,MATCH($F126,'90_SEMA'!$B$7:$B$102,0),NYELV_IDX),""),"")</f>
        <v/>
      </c>
      <c r="H126" s="24"/>
      <c r="I126" s="24"/>
      <c r="J126" s="12"/>
    </row>
    <row r="127" spans="2:10" x14ac:dyDescent="0.3">
      <c r="B127" s="29" t="str">
        <f t="shared" si="1"/>
        <v/>
      </c>
      <c r="C127" s="12"/>
      <c r="D127" s="12"/>
      <c r="E127" s="12"/>
      <c r="F127" s="12"/>
      <c r="G127" s="29" t="str">
        <f>IF(LEN($F127)&gt;0,IFERROR(INDEX('90_SEMA'!$G$7:$H$102,MATCH($F127,'90_SEMA'!$B$7:$B$102,0),NYELV_IDX),""),"")</f>
        <v/>
      </c>
      <c r="H127" s="24"/>
      <c r="I127" s="24"/>
      <c r="J127" s="12"/>
    </row>
    <row r="128" spans="2:10" x14ac:dyDescent="0.3">
      <c r="B128" s="29" t="str">
        <f t="shared" si="1"/>
        <v/>
      </c>
      <c r="C128" s="12"/>
      <c r="D128" s="12"/>
      <c r="E128" s="12"/>
      <c r="F128" s="12"/>
      <c r="G128" s="29" t="str">
        <f>IF(LEN($F128)&gt;0,IFERROR(INDEX('90_SEMA'!$G$7:$H$102,MATCH($F128,'90_SEMA'!$B$7:$B$102,0),NYELV_IDX),""),"")</f>
        <v/>
      </c>
      <c r="H128" s="24"/>
      <c r="I128" s="24"/>
      <c r="J128" s="12"/>
    </row>
    <row r="129" spans="2:10" x14ac:dyDescent="0.3">
      <c r="B129" s="29" t="str">
        <f t="shared" si="1"/>
        <v/>
      </c>
      <c r="C129" s="12"/>
      <c r="D129" s="12"/>
      <c r="E129" s="12"/>
      <c r="F129" s="12"/>
      <c r="G129" s="29" t="str">
        <f>IF(LEN($F129)&gt;0,IFERROR(INDEX('90_SEMA'!$G$7:$H$102,MATCH($F129,'90_SEMA'!$B$7:$B$102,0),NYELV_IDX),""),"")</f>
        <v/>
      </c>
      <c r="H129" s="24"/>
      <c r="I129" s="24"/>
      <c r="J129" s="12"/>
    </row>
    <row r="130" spans="2:10" x14ac:dyDescent="0.3">
      <c r="B130" s="29" t="str">
        <f t="shared" si="1"/>
        <v/>
      </c>
      <c r="C130" s="12"/>
      <c r="D130" s="12"/>
      <c r="E130" s="12"/>
      <c r="F130" s="12"/>
      <c r="G130" s="29" t="str">
        <f>IF(LEN($F130)&gt;0,IFERROR(INDEX('90_SEMA'!$G$7:$H$102,MATCH($F130,'90_SEMA'!$B$7:$B$102,0),NYELV_IDX),""),"")</f>
        <v/>
      </c>
      <c r="H130" s="24"/>
      <c r="I130" s="24"/>
      <c r="J130" s="12"/>
    </row>
    <row r="131" spans="2:10" x14ac:dyDescent="0.3">
      <c r="B131" s="29" t="str">
        <f t="shared" si="1"/>
        <v/>
      </c>
      <c r="C131" s="12"/>
      <c r="D131" s="12"/>
      <c r="E131" s="12"/>
      <c r="F131" s="12"/>
      <c r="G131" s="29" t="str">
        <f>IF(LEN($F131)&gt;0,IFERROR(INDEX('90_SEMA'!$G$7:$H$102,MATCH($F131,'90_SEMA'!$B$7:$B$102,0),NYELV_IDX),""),"")</f>
        <v/>
      </c>
      <c r="H131" s="24"/>
      <c r="I131" s="24"/>
      <c r="J131" s="12"/>
    </row>
    <row r="132" spans="2:10" x14ac:dyDescent="0.3">
      <c r="B132" s="29" t="str">
        <f t="shared" si="1"/>
        <v/>
      </c>
      <c r="C132" s="12"/>
      <c r="D132" s="12"/>
      <c r="E132" s="12"/>
      <c r="F132" s="12"/>
      <c r="G132" s="29" t="str">
        <f>IF(LEN($F132)&gt;0,IFERROR(INDEX('90_SEMA'!$G$7:$H$102,MATCH($F132,'90_SEMA'!$B$7:$B$102,0),NYELV_IDX),""),"")</f>
        <v/>
      </c>
      <c r="H132" s="24"/>
      <c r="I132" s="24"/>
      <c r="J132" s="12"/>
    </row>
    <row r="133" spans="2:10" x14ac:dyDescent="0.3">
      <c r="B133" s="29" t="str">
        <f t="shared" si="1"/>
        <v/>
      </c>
      <c r="C133" s="12"/>
      <c r="D133" s="12"/>
      <c r="E133" s="12"/>
      <c r="F133" s="12"/>
      <c r="G133" s="29" t="str">
        <f>IF(LEN($F133)&gt;0,IFERROR(INDEX('90_SEMA'!$G$7:$H$102,MATCH($F133,'90_SEMA'!$B$7:$B$102,0),NYELV_IDX),""),"")</f>
        <v/>
      </c>
      <c r="H133" s="24"/>
      <c r="I133" s="24"/>
      <c r="J133" s="12"/>
    </row>
    <row r="134" spans="2:10" x14ac:dyDescent="0.3">
      <c r="B134" s="29" t="str">
        <f t="shared" si="1"/>
        <v/>
      </c>
      <c r="C134" s="12"/>
      <c r="D134" s="12"/>
      <c r="E134" s="12"/>
      <c r="F134" s="12"/>
      <c r="G134" s="29" t="str">
        <f>IF(LEN($F134)&gt;0,IFERROR(INDEX('90_SEMA'!$G$7:$H$102,MATCH($F134,'90_SEMA'!$B$7:$B$102,0),NYELV_IDX),""),"")</f>
        <v/>
      </c>
      <c r="H134" s="24"/>
      <c r="I134" s="24"/>
      <c r="J134" s="12"/>
    </row>
    <row r="135" spans="2:10" x14ac:dyDescent="0.3">
      <c r="B135" s="29" t="str">
        <f t="shared" ref="B135:B198" si="2">IF(LEN($F135)&gt;0,ROW()-6,"")</f>
        <v/>
      </c>
      <c r="C135" s="12"/>
      <c r="D135" s="12"/>
      <c r="E135" s="12"/>
      <c r="F135" s="12"/>
      <c r="G135" s="29" t="str">
        <f>IF(LEN($F135)&gt;0,IFERROR(INDEX('90_SEMA'!$G$7:$H$102,MATCH($F135,'90_SEMA'!$B$7:$B$102,0),NYELV_IDX),""),"")</f>
        <v/>
      </c>
      <c r="H135" s="24"/>
      <c r="I135" s="24"/>
      <c r="J135" s="12"/>
    </row>
    <row r="136" spans="2:10" x14ac:dyDescent="0.3">
      <c r="B136" s="29" t="str">
        <f t="shared" si="2"/>
        <v/>
      </c>
      <c r="C136" s="12"/>
      <c r="D136" s="12"/>
      <c r="E136" s="12"/>
      <c r="F136" s="12"/>
      <c r="G136" s="29" t="str">
        <f>IF(LEN($F136)&gt;0,IFERROR(INDEX('90_SEMA'!$G$7:$H$102,MATCH($F136,'90_SEMA'!$B$7:$B$102,0),NYELV_IDX),""),"")</f>
        <v/>
      </c>
      <c r="H136" s="24"/>
      <c r="I136" s="24"/>
      <c r="J136" s="12"/>
    </row>
    <row r="137" spans="2:10" x14ac:dyDescent="0.3">
      <c r="B137" s="29" t="str">
        <f t="shared" si="2"/>
        <v/>
      </c>
      <c r="C137" s="12"/>
      <c r="D137" s="12"/>
      <c r="E137" s="12"/>
      <c r="F137" s="12"/>
      <c r="G137" s="29" t="str">
        <f>IF(LEN($F137)&gt;0,IFERROR(INDEX('90_SEMA'!$G$7:$H$102,MATCH($F137,'90_SEMA'!$B$7:$B$102,0),NYELV_IDX),""),"")</f>
        <v/>
      </c>
      <c r="H137" s="24"/>
      <c r="I137" s="24"/>
      <c r="J137" s="12"/>
    </row>
    <row r="138" spans="2:10" x14ac:dyDescent="0.3">
      <c r="B138" s="29" t="str">
        <f t="shared" si="2"/>
        <v/>
      </c>
      <c r="C138" s="12"/>
      <c r="D138" s="12"/>
      <c r="E138" s="12"/>
      <c r="F138" s="12"/>
      <c r="G138" s="29" t="str">
        <f>IF(LEN($F138)&gt;0,IFERROR(INDEX('90_SEMA'!$G$7:$H$102,MATCH($F138,'90_SEMA'!$B$7:$B$102,0),NYELV_IDX),""),"")</f>
        <v/>
      </c>
      <c r="H138" s="24"/>
      <c r="I138" s="24"/>
      <c r="J138" s="12"/>
    </row>
    <row r="139" spans="2:10" x14ac:dyDescent="0.3">
      <c r="B139" s="29" t="str">
        <f t="shared" si="2"/>
        <v/>
      </c>
      <c r="C139" s="12"/>
      <c r="D139" s="12"/>
      <c r="E139" s="12"/>
      <c r="F139" s="12"/>
      <c r="G139" s="29" t="str">
        <f>IF(LEN($F139)&gt;0,IFERROR(INDEX('90_SEMA'!$G$7:$H$102,MATCH($F139,'90_SEMA'!$B$7:$B$102,0),NYELV_IDX),""),"")</f>
        <v/>
      </c>
      <c r="H139" s="24"/>
      <c r="I139" s="24"/>
      <c r="J139" s="12"/>
    </row>
    <row r="140" spans="2:10" x14ac:dyDescent="0.3">
      <c r="B140" s="29" t="str">
        <f t="shared" si="2"/>
        <v/>
      </c>
      <c r="C140" s="12"/>
      <c r="D140" s="12"/>
      <c r="E140" s="12"/>
      <c r="F140" s="12"/>
      <c r="G140" s="29" t="str">
        <f>IF(LEN($F140)&gt;0,IFERROR(INDEX('90_SEMA'!$G$7:$H$102,MATCH($F140,'90_SEMA'!$B$7:$B$102,0),NYELV_IDX),""),"")</f>
        <v/>
      </c>
      <c r="H140" s="24"/>
      <c r="I140" s="24"/>
      <c r="J140" s="12"/>
    </row>
    <row r="141" spans="2:10" x14ac:dyDescent="0.3">
      <c r="B141" s="29" t="str">
        <f t="shared" si="2"/>
        <v/>
      </c>
      <c r="C141" s="12"/>
      <c r="D141" s="12"/>
      <c r="E141" s="12"/>
      <c r="F141" s="12"/>
      <c r="G141" s="29" t="str">
        <f>IF(LEN($F141)&gt;0,IFERROR(INDEX('90_SEMA'!$G$7:$H$102,MATCH($F141,'90_SEMA'!$B$7:$B$102,0),NYELV_IDX),""),"")</f>
        <v/>
      </c>
      <c r="H141" s="24"/>
      <c r="I141" s="24"/>
      <c r="J141" s="12"/>
    </row>
    <row r="142" spans="2:10" x14ac:dyDescent="0.3">
      <c r="B142" s="29" t="str">
        <f t="shared" si="2"/>
        <v/>
      </c>
      <c r="C142" s="12"/>
      <c r="D142" s="12"/>
      <c r="E142" s="12"/>
      <c r="F142" s="12"/>
      <c r="G142" s="29" t="str">
        <f>IF(LEN($F142)&gt;0,IFERROR(INDEX('90_SEMA'!$G$7:$H$102,MATCH($F142,'90_SEMA'!$B$7:$B$102,0),NYELV_IDX),""),"")</f>
        <v/>
      </c>
      <c r="H142" s="24"/>
      <c r="I142" s="24"/>
      <c r="J142" s="12"/>
    </row>
    <row r="143" spans="2:10" x14ac:dyDescent="0.3">
      <c r="B143" s="29" t="str">
        <f t="shared" si="2"/>
        <v/>
      </c>
      <c r="C143" s="12"/>
      <c r="D143" s="12"/>
      <c r="E143" s="12"/>
      <c r="F143" s="12"/>
      <c r="G143" s="29" t="str">
        <f>IF(LEN($F143)&gt;0,IFERROR(INDEX('90_SEMA'!$G$7:$H$102,MATCH($F143,'90_SEMA'!$B$7:$B$102,0),NYELV_IDX),""),"")</f>
        <v/>
      </c>
      <c r="H143" s="24"/>
      <c r="I143" s="24"/>
      <c r="J143" s="12"/>
    </row>
    <row r="144" spans="2:10" x14ac:dyDescent="0.3">
      <c r="B144" s="29" t="str">
        <f t="shared" si="2"/>
        <v/>
      </c>
      <c r="C144" s="12"/>
      <c r="D144" s="12"/>
      <c r="E144" s="12"/>
      <c r="F144" s="12"/>
      <c r="G144" s="29" t="str">
        <f>IF(LEN($F144)&gt;0,IFERROR(INDEX('90_SEMA'!$G$7:$H$102,MATCH($F144,'90_SEMA'!$B$7:$B$102,0),NYELV_IDX),""),"")</f>
        <v/>
      </c>
      <c r="H144" s="24"/>
      <c r="I144" s="24"/>
      <c r="J144" s="12"/>
    </row>
    <row r="145" spans="2:10" x14ac:dyDescent="0.3">
      <c r="B145" s="29" t="str">
        <f t="shared" si="2"/>
        <v/>
      </c>
      <c r="C145" s="12"/>
      <c r="D145" s="12"/>
      <c r="E145" s="12"/>
      <c r="F145" s="12"/>
      <c r="G145" s="29" t="str">
        <f>IF(LEN($F145)&gt;0,IFERROR(INDEX('90_SEMA'!$G$7:$H$102,MATCH($F145,'90_SEMA'!$B$7:$B$102,0),NYELV_IDX),""),"")</f>
        <v/>
      </c>
      <c r="H145" s="24"/>
      <c r="I145" s="24"/>
      <c r="J145" s="12"/>
    </row>
    <row r="146" spans="2:10" x14ac:dyDescent="0.3">
      <c r="B146" s="29" t="str">
        <f t="shared" si="2"/>
        <v/>
      </c>
      <c r="C146" s="12"/>
      <c r="D146" s="12"/>
      <c r="E146" s="12"/>
      <c r="F146" s="12"/>
      <c r="G146" s="29" t="str">
        <f>IF(LEN($F146)&gt;0,IFERROR(INDEX('90_SEMA'!$G$7:$H$102,MATCH($F146,'90_SEMA'!$B$7:$B$102,0),NYELV_IDX),""),"")</f>
        <v/>
      </c>
      <c r="H146" s="24"/>
      <c r="I146" s="24"/>
      <c r="J146" s="12"/>
    </row>
    <row r="147" spans="2:10" x14ac:dyDescent="0.3">
      <c r="B147" s="29" t="str">
        <f t="shared" si="2"/>
        <v/>
      </c>
      <c r="C147" s="12"/>
      <c r="D147" s="12"/>
      <c r="E147" s="12"/>
      <c r="F147" s="12"/>
      <c r="G147" s="29" t="str">
        <f>IF(LEN($F147)&gt;0,IFERROR(INDEX('90_SEMA'!$G$7:$H$102,MATCH($F147,'90_SEMA'!$B$7:$B$102,0),NYELV_IDX),""),"")</f>
        <v/>
      </c>
      <c r="H147" s="24"/>
      <c r="I147" s="24"/>
      <c r="J147" s="12"/>
    </row>
    <row r="148" spans="2:10" x14ac:dyDescent="0.3">
      <c r="B148" s="29" t="str">
        <f t="shared" si="2"/>
        <v/>
      </c>
      <c r="C148" s="12"/>
      <c r="D148" s="12"/>
      <c r="E148" s="12"/>
      <c r="F148" s="12"/>
      <c r="G148" s="29" t="str">
        <f>IF(LEN($F148)&gt;0,IFERROR(INDEX('90_SEMA'!$G$7:$H$102,MATCH($F148,'90_SEMA'!$B$7:$B$102,0),NYELV_IDX),""),"")</f>
        <v/>
      </c>
      <c r="H148" s="24"/>
      <c r="I148" s="24"/>
      <c r="J148" s="12"/>
    </row>
    <row r="149" spans="2:10" x14ac:dyDescent="0.3">
      <c r="B149" s="29" t="str">
        <f t="shared" si="2"/>
        <v/>
      </c>
      <c r="C149" s="12"/>
      <c r="D149" s="12"/>
      <c r="E149" s="12"/>
      <c r="F149" s="12"/>
      <c r="G149" s="29" t="str">
        <f>IF(LEN($F149)&gt;0,IFERROR(INDEX('90_SEMA'!$G$7:$H$102,MATCH($F149,'90_SEMA'!$B$7:$B$102,0),NYELV_IDX),""),"")</f>
        <v/>
      </c>
      <c r="H149" s="24"/>
      <c r="I149" s="24"/>
      <c r="J149" s="12"/>
    </row>
    <row r="150" spans="2:10" x14ac:dyDescent="0.3">
      <c r="B150" s="29" t="str">
        <f t="shared" si="2"/>
        <v/>
      </c>
      <c r="C150" s="12"/>
      <c r="D150" s="12"/>
      <c r="E150" s="12"/>
      <c r="F150" s="12"/>
      <c r="G150" s="29" t="str">
        <f>IF(LEN($F150)&gt;0,IFERROR(INDEX('90_SEMA'!$G$7:$H$102,MATCH($F150,'90_SEMA'!$B$7:$B$102,0),NYELV_IDX),""),"")</f>
        <v/>
      </c>
      <c r="H150" s="24"/>
      <c r="I150" s="24"/>
      <c r="J150" s="12"/>
    </row>
    <row r="151" spans="2:10" x14ac:dyDescent="0.3">
      <c r="B151" s="29" t="str">
        <f t="shared" si="2"/>
        <v/>
      </c>
      <c r="C151" s="12"/>
      <c r="D151" s="12"/>
      <c r="E151" s="12"/>
      <c r="F151" s="12"/>
      <c r="G151" s="29" t="str">
        <f>IF(LEN($F151)&gt;0,IFERROR(INDEX('90_SEMA'!$G$7:$H$102,MATCH($F151,'90_SEMA'!$B$7:$B$102,0),NYELV_IDX),""),"")</f>
        <v/>
      </c>
      <c r="H151" s="24"/>
      <c r="I151" s="24"/>
      <c r="J151" s="12"/>
    </row>
    <row r="152" spans="2:10" x14ac:dyDescent="0.3">
      <c r="B152" s="29" t="str">
        <f t="shared" si="2"/>
        <v/>
      </c>
      <c r="C152" s="12"/>
      <c r="D152" s="12"/>
      <c r="E152" s="12"/>
      <c r="F152" s="12"/>
      <c r="G152" s="29" t="str">
        <f>IF(LEN($F152)&gt;0,IFERROR(INDEX('90_SEMA'!$G$7:$H$102,MATCH($F152,'90_SEMA'!$B$7:$B$102,0),NYELV_IDX),""),"")</f>
        <v/>
      </c>
      <c r="H152" s="24"/>
      <c r="I152" s="24"/>
      <c r="J152" s="12"/>
    </row>
    <row r="153" spans="2:10" x14ac:dyDescent="0.3">
      <c r="B153" s="29" t="str">
        <f t="shared" si="2"/>
        <v/>
      </c>
      <c r="C153" s="12"/>
      <c r="D153" s="12"/>
      <c r="E153" s="12"/>
      <c r="F153" s="12"/>
      <c r="G153" s="29" t="str">
        <f>IF(LEN($F153)&gt;0,IFERROR(INDEX('90_SEMA'!$G$7:$H$102,MATCH($F153,'90_SEMA'!$B$7:$B$102,0),NYELV_IDX),""),"")</f>
        <v/>
      </c>
      <c r="H153" s="24"/>
      <c r="I153" s="24"/>
      <c r="J153" s="12"/>
    </row>
    <row r="154" spans="2:10" x14ac:dyDescent="0.3">
      <c r="B154" s="29" t="str">
        <f t="shared" si="2"/>
        <v/>
      </c>
      <c r="C154" s="12"/>
      <c r="D154" s="12"/>
      <c r="E154" s="12"/>
      <c r="F154" s="12"/>
      <c r="G154" s="29" t="str">
        <f>IF(LEN($F154)&gt;0,IFERROR(INDEX('90_SEMA'!$G$7:$H$102,MATCH($F154,'90_SEMA'!$B$7:$B$102,0),NYELV_IDX),""),"")</f>
        <v/>
      </c>
      <c r="H154" s="24"/>
      <c r="I154" s="24"/>
      <c r="J154" s="12"/>
    </row>
    <row r="155" spans="2:10" x14ac:dyDescent="0.3">
      <c r="B155" s="29" t="str">
        <f t="shared" si="2"/>
        <v/>
      </c>
      <c r="C155" s="12"/>
      <c r="D155" s="12"/>
      <c r="E155" s="12"/>
      <c r="F155" s="12"/>
      <c r="G155" s="29" t="str">
        <f>IF(LEN($F155)&gt;0,IFERROR(INDEX('90_SEMA'!$G$7:$H$102,MATCH($F155,'90_SEMA'!$B$7:$B$102,0),NYELV_IDX),""),"")</f>
        <v/>
      </c>
      <c r="H155" s="24"/>
      <c r="I155" s="24"/>
      <c r="J155" s="12"/>
    </row>
    <row r="156" spans="2:10" x14ac:dyDescent="0.3">
      <c r="B156" s="29" t="str">
        <f t="shared" si="2"/>
        <v/>
      </c>
      <c r="C156" s="12"/>
      <c r="D156" s="12"/>
      <c r="E156" s="12"/>
      <c r="F156" s="12"/>
      <c r="G156" s="29" t="str">
        <f>IF(LEN($F156)&gt;0,IFERROR(INDEX('90_SEMA'!$G$7:$H$102,MATCH($F156,'90_SEMA'!$B$7:$B$102,0),NYELV_IDX),""),"")</f>
        <v/>
      </c>
      <c r="H156" s="24"/>
      <c r="I156" s="24"/>
      <c r="J156" s="12"/>
    </row>
    <row r="157" spans="2:10" x14ac:dyDescent="0.3">
      <c r="B157" s="29" t="str">
        <f t="shared" si="2"/>
        <v/>
      </c>
      <c r="C157" s="12"/>
      <c r="D157" s="12"/>
      <c r="E157" s="12"/>
      <c r="F157" s="12"/>
      <c r="G157" s="29" t="str">
        <f>IF(LEN($F157)&gt;0,IFERROR(INDEX('90_SEMA'!$G$7:$H$102,MATCH($F157,'90_SEMA'!$B$7:$B$102,0),NYELV_IDX),""),"")</f>
        <v/>
      </c>
      <c r="H157" s="24"/>
      <c r="I157" s="24"/>
      <c r="J157" s="12"/>
    </row>
    <row r="158" spans="2:10" x14ac:dyDescent="0.3">
      <c r="B158" s="29" t="str">
        <f t="shared" si="2"/>
        <v/>
      </c>
      <c r="C158" s="12"/>
      <c r="D158" s="12"/>
      <c r="E158" s="12"/>
      <c r="F158" s="12"/>
      <c r="G158" s="29" t="str">
        <f>IF(LEN($F158)&gt;0,IFERROR(INDEX('90_SEMA'!$G$7:$H$102,MATCH($F158,'90_SEMA'!$B$7:$B$102,0),NYELV_IDX),""),"")</f>
        <v/>
      </c>
      <c r="H158" s="24"/>
      <c r="I158" s="24"/>
      <c r="J158" s="12"/>
    </row>
    <row r="159" spans="2:10" x14ac:dyDescent="0.3">
      <c r="B159" s="29" t="str">
        <f t="shared" si="2"/>
        <v/>
      </c>
      <c r="C159" s="12"/>
      <c r="D159" s="12"/>
      <c r="E159" s="12"/>
      <c r="F159" s="12"/>
      <c r="G159" s="29" t="str">
        <f>IF(LEN($F159)&gt;0,IFERROR(INDEX('90_SEMA'!$G$7:$H$102,MATCH($F159,'90_SEMA'!$B$7:$B$102,0),NYELV_IDX),""),"")</f>
        <v/>
      </c>
      <c r="H159" s="24"/>
      <c r="I159" s="24"/>
      <c r="J159" s="12"/>
    </row>
    <row r="160" spans="2:10" x14ac:dyDescent="0.3">
      <c r="B160" s="29" t="str">
        <f t="shared" si="2"/>
        <v/>
      </c>
      <c r="C160" s="12"/>
      <c r="D160" s="12"/>
      <c r="E160" s="12"/>
      <c r="F160" s="12"/>
      <c r="G160" s="29" t="str">
        <f>IF(LEN($F160)&gt;0,IFERROR(INDEX('90_SEMA'!$G$7:$H$102,MATCH($F160,'90_SEMA'!$B$7:$B$102,0),NYELV_IDX),""),"")</f>
        <v/>
      </c>
      <c r="H160" s="24"/>
      <c r="I160" s="24"/>
      <c r="J160" s="12"/>
    </row>
    <row r="161" spans="2:10" x14ac:dyDescent="0.3">
      <c r="B161" s="29" t="str">
        <f t="shared" si="2"/>
        <v/>
      </c>
      <c r="C161" s="12"/>
      <c r="D161" s="12"/>
      <c r="E161" s="12"/>
      <c r="F161" s="12"/>
      <c r="G161" s="29" t="str">
        <f>IF(LEN($F161)&gt;0,IFERROR(INDEX('90_SEMA'!$G$7:$H$102,MATCH($F161,'90_SEMA'!$B$7:$B$102,0),NYELV_IDX),""),"")</f>
        <v/>
      </c>
      <c r="H161" s="24"/>
      <c r="I161" s="24"/>
      <c r="J161" s="12"/>
    </row>
    <row r="162" spans="2:10" x14ac:dyDescent="0.3">
      <c r="B162" s="29" t="str">
        <f t="shared" si="2"/>
        <v/>
      </c>
      <c r="C162" s="12"/>
      <c r="D162" s="12"/>
      <c r="E162" s="12"/>
      <c r="F162" s="12"/>
      <c r="G162" s="29" t="str">
        <f>IF(LEN($F162)&gt;0,IFERROR(INDEX('90_SEMA'!$G$7:$H$102,MATCH($F162,'90_SEMA'!$B$7:$B$102,0),NYELV_IDX),""),"")</f>
        <v/>
      </c>
      <c r="H162" s="24"/>
      <c r="I162" s="24"/>
      <c r="J162" s="12"/>
    </row>
    <row r="163" spans="2:10" x14ac:dyDescent="0.3">
      <c r="B163" s="29" t="str">
        <f t="shared" si="2"/>
        <v/>
      </c>
      <c r="C163" s="12"/>
      <c r="D163" s="12"/>
      <c r="E163" s="12"/>
      <c r="F163" s="12"/>
      <c r="G163" s="29" t="str">
        <f>IF(LEN($F163)&gt;0,IFERROR(INDEX('90_SEMA'!$G$7:$H$102,MATCH($F163,'90_SEMA'!$B$7:$B$102,0),NYELV_IDX),""),"")</f>
        <v/>
      </c>
      <c r="H163" s="24"/>
      <c r="I163" s="24"/>
      <c r="J163" s="12"/>
    </row>
    <row r="164" spans="2:10" x14ac:dyDescent="0.3">
      <c r="B164" s="29" t="str">
        <f t="shared" si="2"/>
        <v/>
      </c>
      <c r="C164" s="12"/>
      <c r="D164" s="12"/>
      <c r="E164" s="12"/>
      <c r="F164" s="12"/>
      <c r="G164" s="29" t="str">
        <f>IF(LEN($F164)&gt;0,IFERROR(INDEX('90_SEMA'!$G$7:$H$102,MATCH($F164,'90_SEMA'!$B$7:$B$102,0),NYELV_IDX),""),"")</f>
        <v/>
      </c>
      <c r="H164" s="24"/>
      <c r="I164" s="24"/>
      <c r="J164" s="12"/>
    </row>
    <row r="165" spans="2:10" x14ac:dyDescent="0.3">
      <c r="B165" s="29" t="str">
        <f t="shared" si="2"/>
        <v/>
      </c>
      <c r="C165" s="12"/>
      <c r="D165" s="12"/>
      <c r="E165" s="12"/>
      <c r="F165" s="12"/>
      <c r="G165" s="29" t="str">
        <f>IF(LEN($F165)&gt;0,IFERROR(INDEX('90_SEMA'!$G$7:$H$102,MATCH($F165,'90_SEMA'!$B$7:$B$102,0),NYELV_IDX),""),"")</f>
        <v/>
      </c>
      <c r="H165" s="24"/>
      <c r="I165" s="24"/>
      <c r="J165" s="12"/>
    </row>
    <row r="166" spans="2:10" x14ac:dyDescent="0.3">
      <c r="B166" s="29" t="str">
        <f t="shared" si="2"/>
        <v/>
      </c>
      <c r="C166" s="12"/>
      <c r="D166" s="12"/>
      <c r="E166" s="12"/>
      <c r="F166" s="12"/>
      <c r="G166" s="29" t="str">
        <f>IF(LEN($F166)&gt;0,IFERROR(INDEX('90_SEMA'!$G$7:$H$102,MATCH($F166,'90_SEMA'!$B$7:$B$102,0),NYELV_IDX),""),"")</f>
        <v/>
      </c>
      <c r="H166" s="24"/>
      <c r="I166" s="24"/>
      <c r="J166" s="12"/>
    </row>
    <row r="167" spans="2:10" x14ac:dyDescent="0.3">
      <c r="B167" s="29" t="str">
        <f t="shared" si="2"/>
        <v/>
      </c>
      <c r="C167" s="12"/>
      <c r="D167" s="12"/>
      <c r="E167" s="12"/>
      <c r="F167" s="12"/>
      <c r="G167" s="29" t="str">
        <f>IF(LEN($F167)&gt;0,IFERROR(INDEX('90_SEMA'!$G$7:$H$102,MATCH($F167,'90_SEMA'!$B$7:$B$102,0),NYELV_IDX),""),"")</f>
        <v/>
      </c>
      <c r="H167" s="24"/>
      <c r="I167" s="24"/>
      <c r="J167" s="12"/>
    </row>
    <row r="168" spans="2:10" x14ac:dyDescent="0.3">
      <c r="B168" s="29" t="str">
        <f t="shared" si="2"/>
        <v/>
      </c>
      <c r="C168" s="12"/>
      <c r="D168" s="12"/>
      <c r="E168" s="12"/>
      <c r="F168" s="12"/>
      <c r="G168" s="29" t="str">
        <f>IF(LEN($F168)&gt;0,IFERROR(INDEX('90_SEMA'!$G$7:$H$102,MATCH($F168,'90_SEMA'!$B$7:$B$102,0),NYELV_IDX),""),"")</f>
        <v/>
      </c>
      <c r="H168" s="24"/>
      <c r="I168" s="24"/>
      <c r="J168" s="12"/>
    </row>
    <row r="169" spans="2:10" x14ac:dyDescent="0.3">
      <c r="B169" s="29" t="str">
        <f t="shared" si="2"/>
        <v/>
      </c>
      <c r="C169" s="12"/>
      <c r="D169" s="12"/>
      <c r="E169" s="12"/>
      <c r="F169" s="12"/>
      <c r="G169" s="29" t="str">
        <f>IF(LEN($F169)&gt;0,IFERROR(INDEX('90_SEMA'!$G$7:$H$102,MATCH($F169,'90_SEMA'!$B$7:$B$102,0),NYELV_IDX),""),"")</f>
        <v/>
      </c>
      <c r="H169" s="24"/>
      <c r="I169" s="24"/>
      <c r="J169" s="12"/>
    </row>
    <row r="170" spans="2:10" x14ac:dyDescent="0.3">
      <c r="B170" s="29" t="str">
        <f t="shared" si="2"/>
        <v/>
      </c>
      <c r="C170" s="12"/>
      <c r="D170" s="12"/>
      <c r="E170" s="12"/>
      <c r="F170" s="12"/>
      <c r="G170" s="29" t="str">
        <f>IF(LEN($F170)&gt;0,IFERROR(INDEX('90_SEMA'!$G$7:$H$102,MATCH($F170,'90_SEMA'!$B$7:$B$102,0),NYELV_IDX),""),"")</f>
        <v/>
      </c>
      <c r="H170" s="24"/>
      <c r="I170" s="24"/>
      <c r="J170" s="12"/>
    </row>
    <row r="171" spans="2:10" x14ac:dyDescent="0.3">
      <c r="B171" s="29" t="str">
        <f t="shared" si="2"/>
        <v/>
      </c>
      <c r="C171" s="12"/>
      <c r="D171" s="12"/>
      <c r="E171" s="12"/>
      <c r="F171" s="12"/>
      <c r="G171" s="29" t="str">
        <f>IF(LEN($F171)&gt;0,IFERROR(INDEX('90_SEMA'!$G$7:$H$102,MATCH($F171,'90_SEMA'!$B$7:$B$102,0),NYELV_IDX),""),"")</f>
        <v/>
      </c>
      <c r="H171" s="24"/>
      <c r="I171" s="24"/>
      <c r="J171" s="12"/>
    </row>
    <row r="172" spans="2:10" x14ac:dyDescent="0.3">
      <c r="B172" s="29" t="str">
        <f t="shared" si="2"/>
        <v/>
      </c>
      <c r="C172" s="12"/>
      <c r="D172" s="12"/>
      <c r="E172" s="12"/>
      <c r="F172" s="12"/>
      <c r="G172" s="29" t="str">
        <f>IF(LEN($F172)&gt;0,IFERROR(INDEX('90_SEMA'!$G$7:$H$102,MATCH($F172,'90_SEMA'!$B$7:$B$102,0),NYELV_IDX),""),"")</f>
        <v/>
      </c>
      <c r="H172" s="24"/>
      <c r="I172" s="24"/>
      <c r="J172" s="12"/>
    </row>
    <row r="173" spans="2:10" x14ac:dyDescent="0.3">
      <c r="B173" s="29" t="str">
        <f t="shared" si="2"/>
        <v/>
      </c>
      <c r="C173" s="12"/>
      <c r="D173" s="12"/>
      <c r="E173" s="12"/>
      <c r="F173" s="12"/>
      <c r="G173" s="29" t="str">
        <f>IF(LEN($F173)&gt;0,IFERROR(INDEX('90_SEMA'!$G$7:$H$102,MATCH($F173,'90_SEMA'!$B$7:$B$102,0),NYELV_IDX),""),"")</f>
        <v/>
      </c>
      <c r="H173" s="24"/>
      <c r="I173" s="24"/>
      <c r="J173" s="12"/>
    </row>
    <row r="174" spans="2:10" x14ac:dyDescent="0.3">
      <c r="B174" s="29" t="str">
        <f t="shared" si="2"/>
        <v/>
      </c>
      <c r="C174" s="12"/>
      <c r="D174" s="12"/>
      <c r="E174" s="12"/>
      <c r="F174" s="12"/>
      <c r="G174" s="29" t="str">
        <f>IF(LEN($F174)&gt;0,IFERROR(INDEX('90_SEMA'!$G$7:$H$102,MATCH($F174,'90_SEMA'!$B$7:$B$102,0),NYELV_IDX),""),"")</f>
        <v/>
      </c>
      <c r="H174" s="24"/>
      <c r="I174" s="24"/>
      <c r="J174" s="12"/>
    </row>
    <row r="175" spans="2:10" x14ac:dyDescent="0.3">
      <c r="B175" s="29" t="str">
        <f t="shared" si="2"/>
        <v/>
      </c>
      <c r="C175" s="12"/>
      <c r="D175" s="12"/>
      <c r="E175" s="12"/>
      <c r="F175" s="12"/>
      <c r="G175" s="29" t="str">
        <f>IF(LEN($F175)&gt;0,IFERROR(INDEX('90_SEMA'!$G$7:$H$102,MATCH($F175,'90_SEMA'!$B$7:$B$102,0),NYELV_IDX),""),"")</f>
        <v/>
      </c>
      <c r="H175" s="24"/>
      <c r="I175" s="24"/>
      <c r="J175" s="12"/>
    </row>
    <row r="176" spans="2:10" x14ac:dyDescent="0.3">
      <c r="B176" s="29" t="str">
        <f t="shared" si="2"/>
        <v/>
      </c>
      <c r="C176" s="12"/>
      <c r="D176" s="12"/>
      <c r="E176" s="12"/>
      <c r="F176" s="12"/>
      <c r="G176" s="29" t="str">
        <f>IF(LEN($F176)&gt;0,IFERROR(INDEX('90_SEMA'!$G$7:$H$102,MATCH($F176,'90_SEMA'!$B$7:$B$102,0),NYELV_IDX),""),"")</f>
        <v/>
      </c>
      <c r="H176" s="24"/>
      <c r="I176" s="24"/>
      <c r="J176" s="12"/>
    </row>
    <row r="177" spans="2:10" x14ac:dyDescent="0.3">
      <c r="B177" s="29" t="str">
        <f t="shared" si="2"/>
        <v/>
      </c>
      <c r="C177" s="12"/>
      <c r="D177" s="12"/>
      <c r="E177" s="12"/>
      <c r="F177" s="12"/>
      <c r="G177" s="29" t="str">
        <f>IF(LEN($F177)&gt;0,IFERROR(INDEX('90_SEMA'!$G$7:$H$102,MATCH($F177,'90_SEMA'!$B$7:$B$102,0),NYELV_IDX),""),"")</f>
        <v/>
      </c>
      <c r="H177" s="24"/>
      <c r="I177" s="24"/>
      <c r="J177" s="12"/>
    </row>
    <row r="178" spans="2:10" x14ac:dyDescent="0.3">
      <c r="B178" s="29" t="str">
        <f t="shared" si="2"/>
        <v/>
      </c>
      <c r="C178" s="12"/>
      <c r="D178" s="12"/>
      <c r="E178" s="12"/>
      <c r="F178" s="12"/>
      <c r="G178" s="29" t="str">
        <f>IF(LEN($F178)&gt;0,IFERROR(INDEX('90_SEMA'!$G$7:$H$102,MATCH($F178,'90_SEMA'!$B$7:$B$102,0),NYELV_IDX),""),"")</f>
        <v/>
      </c>
      <c r="H178" s="24"/>
      <c r="I178" s="24"/>
      <c r="J178" s="12"/>
    </row>
    <row r="179" spans="2:10" x14ac:dyDescent="0.3">
      <c r="B179" s="29" t="str">
        <f t="shared" si="2"/>
        <v/>
      </c>
      <c r="C179" s="12"/>
      <c r="D179" s="12"/>
      <c r="E179" s="12"/>
      <c r="F179" s="12"/>
      <c r="G179" s="29" t="str">
        <f>IF(LEN($F179)&gt;0,IFERROR(INDEX('90_SEMA'!$G$7:$H$102,MATCH($F179,'90_SEMA'!$B$7:$B$102,0),NYELV_IDX),""),"")</f>
        <v/>
      </c>
      <c r="H179" s="24"/>
      <c r="I179" s="24"/>
      <c r="J179" s="12"/>
    </row>
    <row r="180" spans="2:10" x14ac:dyDescent="0.3">
      <c r="B180" s="29" t="str">
        <f t="shared" si="2"/>
        <v/>
      </c>
      <c r="C180" s="12"/>
      <c r="D180" s="12"/>
      <c r="E180" s="12"/>
      <c r="F180" s="12"/>
      <c r="G180" s="29" t="str">
        <f>IF(LEN($F180)&gt;0,IFERROR(INDEX('90_SEMA'!$G$7:$H$102,MATCH($F180,'90_SEMA'!$B$7:$B$102,0),NYELV_IDX),""),"")</f>
        <v/>
      </c>
      <c r="H180" s="24"/>
      <c r="I180" s="24"/>
      <c r="J180" s="12"/>
    </row>
    <row r="181" spans="2:10" x14ac:dyDescent="0.3">
      <c r="B181" s="29" t="str">
        <f t="shared" si="2"/>
        <v/>
      </c>
      <c r="C181" s="12"/>
      <c r="D181" s="12"/>
      <c r="E181" s="12"/>
      <c r="F181" s="12"/>
      <c r="G181" s="29" t="str">
        <f>IF(LEN($F181)&gt;0,IFERROR(INDEX('90_SEMA'!$G$7:$H$102,MATCH($F181,'90_SEMA'!$B$7:$B$102,0),NYELV_IDX),""),"")</f>
        <v/>
      </c>
      <c r="H181" s="24"/>
      <c r="I181" s="24"/>
      <c r="J181" s="12"/>
    </row>
    <row r="182" spans="2:10" x14ac:dyDescent="0.3">
      <c r="B182" s="29" t="str">
        <f t="shared" si="2"/>
        <v/>
      </c>
      <c r="C182" s="12"/>
      <c r="D182" s="12"/>
      <c r="E182" s="12"/>
      <c r="F182" s="12"/>
      <c r="G182" s="29" t="str">
        <f>IF(LEN($F182)&gt;0,IFERROR(INDEX('90_SEMA'!$G$7:$H$102,MATCH($F182,'90_SEMA'!$B$7:$B$102,0),NYELV_IDX),""),"")</f>
        <v/>
      </c>
      <c r="H182" s="24"/>
      <c r="I182" s="24"/>
      <c r="J182" s="12"/>
    </row>
    <row r="183" spans="2:10" x14ac:dyDescent="0.3">
      <c r="B183" s="29" t="str">
        <f t="shared" si="2"/>
        <v/>
      </c>
      <c r="C183" s="12"/>
      <c r="D183" s="12"/>
      <c r="E183" s="12"/>
      <c r="F183" s="12"/>
      <c r="G183" s="29" t="str">
        <f>IF(LEN($F183)&gt;0,IFERROR(INDEX('90_SEMA'!$G$7:$H$102,MATCH($F183,'90_SEMA'!$B$7:$B$102,0),NYELV_IDX),""),"")</f>
        <v/>
      </c>
      <c r="H183" s="24"/>
      <c r="I183" s="24"/>
      <c r="J183" s="12"/>
    </row>
    <row r="184" spans="2:10" x14ac:dyDescent="0.3">
      <c r="B184" s="29" t="str">
        <f t="shared" si="2"/>
        <v/>
      </c>
      <c r="C184" s="12"/>
      <c r="D184" s="12"/>
      <c r="E184" s="12"/>
      <c r="F184" s="12"/>
      <c r="G184" s="29" t="str">
        <f>IF(LEN($F184)&gt;0,IFERROR(INDEX('90_SEMA'!$G$7:$H$102,MATCH($F184,'90_SEMA'!$B$7:$B$102,0),NYELV_IDX),""),"")</f>
        <v/>
      </c>
      <c r="H184" s="24"/>
      <c r="I184" s="24"/>
      <c r="J184" s="12"/>
    </row>
    <row r="185" spans="2:10" x14ac:dyDescent="0.3">
      <c r="B185" s="29" t="str">
        <f t="shared" si="2"/>
        <v/>
      </c>
      <c r="C185" s="12"/>
      <c r="D185" s="12"/>
      <c r="E185" s="12"/>
      <c r="F185" s="12"/>
      <c r="G185" s="29" t="str">
        <f>IF(LEN($F185)&gt;0,IFERROR(INDEX('90_SEMA'!$G$7:$H$102,MATCH($F185,'90_SEMA'!$B$7:$B$102,0),NYELV_IDX),""),"")</f>
        <v/>
      </c>
      <c r="H185" s="24"/>
      <c r="I185" s="24"/>
      <c r="J185" s="12"/>
    </row>
    <row r="186" spans="2:10" x14ac:dyDescent="0.3">
      <c r="B186" s="29" t="str">
        <f t="shared" si="2"/>
        <v/>
      </c>
      <c r="C186" s="12"/>
      <c r="D186" s="12"/>
      <c r="E186" s="12"/>
      <c r="F186" s="12"/>
      <c r="G186" s="29" t="str">
        <f>IF(LEN($F186)&gt;0,IFERROR(INDEX('90_SEMA'!$G$7:$H$102,MATCH($F186,'90_SEMA'!$B$7:$B$102,0),NYELV_IDX),""),"")</f>
        <v/>
      </c>
      <c r="H186" s="24"/>
      <c r="I186" s="24"/>
      <c r="J186" s="12"/>
    </row>
    <row r="187" spans="2:10" x14ac:dyDescent="0.3">
      <c r="B187" s="29" t="str">
        <f t="shared" si="2"/>
        <v/>
      </c>
      <c r="C187" s="12"/>
      <c r="D187" s="12"/>
      <c r="E187" s="12"/>
      <c r="F187" s="12"/>
      <c r="G187" s="29" t="str">
        <f>IF(LEN($F187)&gt;0,IFERROR(INDEX('90_SEMA'!$G$7:$H$102,MATCH($F187,'90_SEMA'!$B$7:$B$102,0),NYELV_IDX),""),"")</f>
        <v/>
      </c>
      <c r="H187" s="24"/>
      <c r="I187" s="24"/>
      <c r="J187" s="12"/>
    </row>
    <row r="188" spans="2:10" x14ac:dyDescent="0.3">
      <c r="B188" s="29" t="str">
        <f t="shared" si="2"/>
        <v/>
      </c>
      <c r="C188" s="12"/>
      <c r="D188" s="12"/>
      <c r="E188" s="12"/>
      <c r="F188" s="12"/>
      <c r="G188" s="29" t="str">
        <f>IF(LEN($F188)&gt;0,IFERROR(INDEX('90_SEMA'!$G$7:$H$102,MATCH($F188,'90_SEMA'!$B$7:$B$102,0),NYELV_IDX),""),"")</f>
        <v/>
      </c>
      <c r="H188" s="24"/>
      <c r="I188" s="24"/>
      <c r="J188" s="12"/>
    </row>
    <row r="189" spans="2:10" x14ac:dyDescent="0.3">
      <c r="B189" s="29" t="str">
        <f t="shared" si="2"/>
        <v/>
      </c>
      <c r="C189" s="12"/>
      <c r="D189" s="12"/>
      <c r="E189" s="12"/>
      <c r="F189" s="12"/>
      <c r="G189" s="29" t="str">
        <f>IF(LEN($F189)&gt;0,IFERROR(INDEX('90_SEMA'!$G$7:$H$102,MATCH($F189,'90_SEMA'!$B$7:$B$102,0),NYELV_IDX),""),"")</f>
        <v/>
      </c>
      <c r="H189" s="24"/>
      <c r="I189" s="24"/>
      <c r="J189" s="12"/>
    </row>
    <row r="190" spans="2:10" x14ac:dyDescent="0.3">
      <c r="B190" s="29" t="str">
        <f t="shared" si="2"/>
        <v/>
      </c>
      <c r="C190" s="12"/>
      <c r="D190" s="12"/>
      <c r="E190" s="12"/>
      <c r="F190" s="12"/>
      <c r="G190" s="29" t="str">
        <f>IF(LEN($F190)&gt;0,IFERROR(INDEX('90_SEMA'!$G$7:$H$102,MATCH($F190,'90_SEMA'!$B$7:$B$102,0),NYELV_IDX),""),"")</f>
        <v/>
      </c>
      <c r="H190" s="24"/>
      <c r="I190" s="24"/>
      <c r="J190" s="12"/>
    </row>
    <row r="191" spans="2:10" x14ac:dyDescent="0.3">
      <c r="B191" s="29" t="str">
        <f t="shared" si="2"/>
        <v/>
      </c>
      <c r="C191" s="12"/>
      <c r="D191" s="12"/>
      <c r="E191" s="12"/>
      <c r="F191" s="12"/>
      <c r="G191" s="29" t="str">
        <f>IF(LEN($F191)&gt;0,IFERROR(INDEX('90_SEMA'!$G$7:$H$102,MATCH($F191,'90_SEMA'!$B$7:$B$102,0),NYELV_IDX),""),"")</f>
        <v/>
      </c>
      <c r="H191" s="24"/>
      <c r="I191" s="24"/>
      <c r="J191" s="12"/>
    </row>
    <row r="192" spans="2:10" x14ac:dyDescent="0.3">
      <c r="B192" s="29" t="str">
        <f t="shared" si="2"/>
        <v/>
      </c>
      <c r="C192" s="12"/>
      <c r="D192" s="12"/>
      <c r="E192" s="12"/>
      <c r="F192" s="12"/>
      <c r="G192" s="29" t="str">
        <f>IF(LEN($F192)&gt;0,IFERROR(INDEX('90_SEMA'!$G$7:$H$102,MATCH($F192,'90_SEMA'!$B$7:$B$102,0),NYELV_IDX),""),"")</f>
        <v/>
      </c>
      <c r="H192" s="24"/>
      <c r="I192" s="24"/>
      <c r="J192" s="12"/>
    </row>
    <row r="193" spans="2:10" x14ac:dyDescent="0.3">
      <c r="B193" s="29" t="str">
        <f t="shared" si="2"/>
        <v/>
      </c>
      <c r="C193" s="12"/>
      <c r="D193" s="12"/>
      <c r="E193" s="12"/>
      <c r="F193" s="12"/>
      <c r="G193" s="29" t="str">
        <f>IF(LEN($F193)&gt;0,IFERROR(INDEX('90_SEMA'!$G$7:$H$102,MATCH($F193,'90_SEMA'!$B$7:$B$102,0),NYELV_IDX),""),"")</f>
        <v/>
      </c>
      <c r="H193" s="24"/>
      <c r="I193" s="24"/>
      <c r="J193" s="12"/>
    </row>
    <row r="194" spans="2:10" x14ac:dyDescent="0.3">
      <c r="B194" s="29" t="str">
        <f t="shared" si="2"/>
        <v/>
      </c>
      <c r="C194" s="12"/>
      <c r="D194" s="12"/>
      <c r="E194" s="12"/>
      <c r="F194" s="12"/>
      <c r="G194" s="29" t="str">
        <f>IF(LEN($F194)&gt;0,IFERROR(INDEX('90_SEMA'!$G$7:$H$102,MATCH($F194,'90_SEMA'!$B$7:$B$102,0),NYELV_IDX),""),"")</f>
        <v/>
      </c>
      <c r="H194" s="24"/>
      <c r="I194" s="24"/>
      <c r="J194" s="12"/>
    </row>
    <row r="195" spans="2:10" x14ac:dyDescent="0.3">
      <c r="B195" s="29" t="str">
        <f t="shared" si="2"/>
        <v/>
      </c>
      <c r="C195" s="12"/>
      <c r="D195" s="12"/>
      <c r="E195" s="12"/>
      <c r="F195" s="12"/>
      <c r="G195" s="29" t="str">
        <f>IF(LEN($F195)&gt;0,IFERROR(INDEX('90_SEMA'!$G$7:$H$102,MATCH($F195,'90_SEMA'!$B$7:$B$102,0),NYELV_IDX),""),"")</f>
        <v/>
      </c>
      <c r="H195" s="24"/>
      <c r="I195" s="24"/>
      <c r="J195" s="12"/>
    </row>
    <row r="196" spans="2:10" x14ac:dyDescent="0.3">
      <c r="B196" s="29" t="str">
        <f t="shared" si="2"/>
        <v/>
      </c>
      <c r="C196" s="12"/>
      <c r="D196" s="12"/>
      <c r="E196" s="12"/>
      <c r="F196" s="12"/>
      <c r="G196" s="29" t="str">
        <f>IF(LEN($F196)&gt;0,IFERROR(INDEX('90_SEMA'!$G$7:$H$102,MATCH($F196,'90_SEMA'!$B$7:$B$102,0),NYELV_IDX),""),"")</f>
        <v/>
      </c>
      <c r="H196" s="24"/>
      <c r="I196" s="24"/>
      <c r="J196" s="12"/>
    </row>
    <row r="197" spans="2:10" x14ac:dyDescent="0.3">
      <c r="B197" s="29" t="str">
        <f t="shared" si="2"/>
        <v/>
      </c>
      <c r="C197" s="12"/>
      <c r="D197" s="12"/>
      <c r="E197" s="12"/>
      <c r="F197" s="12"/>
      <c r="G197" s="29" t="str">
        <f>IF(LEN($F197)&gt;0,IFERROR(INDEX('90_SEMA'!$G$7:$H$102,MATCH($F197,'90_SEMA'!$B$7:$B$102,0),NYELV_IDX),""),"")</f>
        <v/>
      </c>
      <c r="H197" s="24"/>
      <c r="I197" s="24"/>
      <c r="J197" s="12"/>
    </row>
    <row r="198" spans="2:10" x14ac:dyDescent="0.3">
      <c r="B198" s="29" t="str">
        <f t="shared" si="2"/>
        <v/>
      </c>
      <c r="C198" s="12"/>
      <c r="D198" s="12"/>
      <c r="E198" s="12"/>
      <c r="F198" s="12"/>
      <c r="G198" s="29" t="str">
        <f>IF(LEN($F198)&gt;0,IFERROR(INDEX('90_SEMA'!$G$7:$H$102,MATCH($F198,'90_SEMA'!$B$7:$B$102,0),NYELV_IDX),""),"")</f>
        <v/>
      </c>
      <c r="H198" s="24"/>
      <c r="I198" s="24"/>
      <c r="J198" s="12"/>
    </row>
    <row r="199" spans="2:10" x14ac:dyDescent="0.3">
      <c r="B199" s="29" t="str">
        <f t="shared" ref="B199:B262" si="3">IF(LEN($F199)&gt;0,ROW()-6,"")</f>
        <v/>
      </c>
      <c r="C199" s="12"/>
      <c r="D199" s="12"/>
      <c r="E199" s="12"/>
      <c r="F199" s="12"/>
      <c r="G199" s="29" t="str">
        <f>IF(LEN($F199)&gt;0,IFERROR(INDEX('90_SEMA'!$G$7:$H$102,MATCH($F199,'90_SEMA'!$B$7:$B$102,0),NYELV_IDX),""),"")</f>
        <v/>
      </c>
      <c r="H199" s="24"/>
      <c r="I199" s="24"/>
      <c r="J199" s="12"/>
    </row>
    <row r="200" spans="2:10" x14ac:dyDescent="0.3">
      <c r="B200" s="29" t="str">
        <f t="shared" si="3"/>
        <v/>
      </c>
      <c r="C200" s="12"/>
      <c r="D200" s="12"/>
      <c r="E200" s="12"/>
      <c r="F200" s="12"/>
      <c r="G200" s="29" t="str">
        <f>IF(LEN($F200)&gt;0,IFERROR(INDEX('90_SEMA'!$G$7:$H$102,MATCH($F200,'90_SEMA'!$B$7:$B$102,0),NYELV_IDX),""),"")</f>
        <v/>
      </c>
      <c r="H200" s="24"/>
      <c r="I200" s="24"/>
      <c r="J200" s="12"/>
    </row>
    <row r="201" spans="2:10" x14ac:dyDescent="0.3">
      <c r="B201" s="29" t="str">
        <f t="shared" si="3"/>
        <v/>
      </c>
      <c r="C201" s="12"/>
      <c r="D201" s="12"/>
      <c r="E201" s="12"/>
      <c r="F201" s="12"/>
      <c r="G201" s="29" t="str">
        <f>IF(LEN($F201)&gt;0,IFERROR(INDEX('90_SEMA'!$G$7:$H$102,MATCH($F201,'90_SEMA'!$B$7:$B$102,0),NYELV_IDX),""),"")</f>
        <v/>
      </c>
      <c r="H201" s="24"/>
      <c r="I201" s="24"/>
      <c r="J201" s="12"/>
    </row>
    <row r="202" spans="2:10" x14ac:dyDescent="0.3">
      <c r="B202" s="29" t="str">
        <f t="shared" si="3"/>
        <v/>
      </c>
      <c r="C202" s="12"/>
      <c r="D202" s="12"/>
      <c r="E202" s="12"/>
      <c r="F202" s="12"/>
      <c r="G202" s="29" t="str">
        <f>IF(LEN($F202)&gt;0,IFERROR(INDEX('90_SEMA'!$G$7:$H$102,MATCH($F202,'90_SEMA'!$B$7:$B$102,0),NYELV_IDX),""),"")</f>
        <v/>
      </c>
      <c r="H202" s="24"/>
      <c r="I202" s="24"/>
      <c r="J202" s="12"/>
    </row>
    <row r="203" spans="2:10" x14ac:dyDescent="0.3">
      <c r="B203" s="29" t="str">
        <f t="shared" si="3"/>
        <v/>
      </c>
      <c r="C203" s="12"/>
      <c r="D203" s="12"/>
      <c r="E203" s="12"/>
      <c r="F203" s="12"/>
      <c r="G203" s="29" t="str">
        <f>IF(LEN($F203)&gt;0,IFERROR(INDEX('90_SEMA'!$G$7:$H$102,MATCH($F203,'90_SEMA'!$B$7:$B$102,0),NYELV_IDX),""),"")</f>
        <v/>
      </c>
      <c r="H203" s="24"/>
      <c r="I203" s="24"/>
      <c r="J203" s="12"/>
    </row>
    <row r="204" spans="2:10" x14ac:dyDescent="0.3">
      <c r="B204" s="29" t="str">
        <f t="shared" si="3"/>
        <v/>
      </c>
      <c r="C204" s="12"/>
      <c r="D204" s="12"/>
      <c r="E204" s="12"/>
      <c r="F204" s="12"/>
      <c r="G204" s="29" t="str">
        <f>IF(LEN($F204)&gt;0,IFERROR(INDEX('90_SEMA'!$G$7:$H$102,MATCH($F204,'90_SEMA'!$B$7:$B$102,0),NYELV_IDX),""),"")</f>
        <v/>
      </c>
      <c r="H204" s="24"/>
      <c r="I204" s="24"/>
      <c r="J204" s="12"/>
    </row>
    <row r="205" spans="2:10" x14ac:dyDescent="0.3">
      <c r="B205" s="29" t="str">
        <f t="shared" si="3"/>
        <v/>
      </c>
      <c r="C205" s="12"/>
      <c r="D205" s="12"/>
      <c r="E205" s="12"/>
      <c r="F205" s="12"/>
      <c r="G205" s="29" t="str">
        <f>IF(LEN($F205)&gt;0,IFERROR(INDEX('90_SEMA'!$G$7:$H$102,MATCH($F205,'90_SEMA'!$B$7:$B$102,0),NYELV_IDX),""),"")</f>
        <v/>
      </c>
      <c r="H205" s="24"/>
      <c r="I205" s="24"/>
      <c r="J205" s="12"/>
    </row>
    <row r="206" spans="2:10" x14ac:dyDescent="0.3">
      <c r="B206" s="29" t="str">
        <f t="shared" si="3"/>
        <v/>
      </c>
      <c r="C206" s="12"/>
      <c r="D206" s="12"/>
      <c r="E206" s="12"/>
      <c r="F206" s="12"/>
      <c r="G206" s="29" t="str">
        <f>IF(LEN($F206)&gt;0,IFERROR(INDEX('90_SEMA'!$G$7:$H$102,MATCH($F206,'90_SEMA'!$B$7:$B$102,0),NYELV_IDX),""),"")</f>
        <v/>
      </c>
      <c r="H206" s="24"/>
      <c r="I206" s="24"/>
      <c r="J206" s="12"/>
    </row>
    <row r="207" spans="2:10" x14ac:dyDescent="0.3">
      <c r="B207" s="29" t="str">
        <f t="shared" si="3"/>
        <v/>
      </c>
      <c r="C207" s="12"/>
      <c r="D207" s="12"/>
      <c r="E207" s="12"/>
      <c r="F207" s="12"/>
      <c r="G207" s="29" t="str">
        <f>IF(LEN($F207)&gt;0,IFERROR(INDEX('90_SEMA'!$G$7:$H$102,MATCH($F207,'90_SEMA'!$B$7:$B$102,0),NYELV_IDX),""),"")</f>
        <v/>
      </c>
      <c r="H207" s="24"/>
      <c r="I207" s="24"/>
      <c r="J207" s="12"/>
    </row>
    <row r="208" spans="2:10" x14ac:dyDescent="0.3">
      <c r="B208" s="29" t="str">
        <f t="shared" si="3"/>
        <v/>
      </c>
      <c r="C208" s="12"/>
      <c r="D208" s="12"/>
      <c r="E208" s="12"/>
      <c r="F208" s="12"/>
      <c r="G208" s="29" t="str">
        <f>IF(LEN($F208)&gt;0,IFERROR(INDEX('90_SEMA'!$G$7:$H$102,MATCH($F208,'90_SEMA'!$B$7:$B$102,0),NYELV_IDX),""),"")</f>
        <v/>
      </c>
      <c r="H208" s="24"/>
      <c r="I208" s="24"/>
      <c r="J208" s="12"/>
    </row>
    <row r="209" spans="2:10" x14ac:dyDescent="0.3">
      <c r="B209" s="29" t="str">
        <f t="shared" si="3"/>
        <v/>
      </c>
      <c r="C209" s="12"/>
      <c r="D209" s="12"/>
      <c r="E209" s="12"/>
      <c r="F209" s="12"/>
      <c r="G209" s="29" t="str">
        <f>IF(LEN($F209)&gt;0,IFERROR(INDEX('90_SEMA'!$G$7:$H$102,MATCH($F209,'90_SEMA'!$B$7:$B$102,0),NYELV_IDX),""),"")</f>
        <v/>
      </c>
      <c r="H209" s="24"/>
      <c r="I209" s="24"/>
      <c r="J209" s="12"/>
    </row>
    <row r="210" spans="2:10" x14ac:dyDescent="0.3">
      <c r="B210" s="29" t="str">
        <f t="shared" si="3"/>
        <v/>
      </c>
      <c r="C210" s="12"/>
      <c r="D210" s="12"/>
      <c r="E210" s="12"/>
      <c r="F210" s="12"/>
      <c r="G210" s="29" t="str">
        <f>IF(LEN($F210)&gt;0,IFERROR(INDEX('90_SEMA'!$G$7:$H$102,MATCH($F210,'90_SEMA'!$B$7:$B$102,0),NYELV_IDX),""),"")</f>
        <v/>
      </c>
      <c r="H210" s="24"/>
      <c r="I210" s="24"/>
      <c r="J210" s="12"/>
    </row>
    <row r="211" spans="2:10" x14ac:dyDescent="0.3">
      <c r="B211" s="29" t="str">
        <f t="shared" si="3"/>
        <v/>
      </c>
      <c r="C211" s="12"/>
      <c r="D211" s="12"/>
      <c r="E211" s="12"/>
      <c r="F211" s="12"/>
      <c r="G211" s="29" t="str">
        <f>IF(LEN($F211)&gt;0,IFERROR(INDEX('90_SEMA'!$G$7:$H$102,MATCH($F211,'90_SEMA'!$B$7:$B$102,0),NYELV_IDX),""),"")</f>
        <v/>
      </c>
      <c r="H211" s="24"/>
      <c r="I211" s="24"/>
      <c r="J211" s="12"/>
    </row>
    <row r="212" spans="2:10" x14ac:dyDescent="0.3">
      <c r="B212" s="29" t="str">
        <f t="shared" si="3"/>
        <v/>
      </c>
      <c r="C212" s="12"/>
      <c r="D212" s="12"/>
      <c r="E212" s="12"/>
      <c r="F212" s="12"/>
      <c r="G212" s="29" t="str">
        <f>IF(LEN($F212)&gt;0,IFERROR(INDEX('90_SEMA'!$G$7:$H$102,MATCH($F212,'90_SEMA'!$B$7:$B$102,0),NYELV_IDX),""),"")</f>
        <v/>
      </c>
      <c r="H212" s="24"/>
      <c r="I212" s="24"/>
      <c r="J212" s="12"/>
    </row>
    <row r="213" spans="2:10" x14ac:dyDescent="0.3">
      <c r="B213" s="29" t="str">
        <f t="shared" si="3"/>
        <v/>
      </c>
      <c r="C213" s="12"/>
      <c r="D213" s="12"/>
      <c r="E213" s="12"/>
      <c r="F213" s="12"/>
      <c r="G213" s="29" t="str">
        <f>IF(LEN($F213)&gt;0,IFERROR(INDEX('90_SEMA'!$G$7:$H$102,MATCH($F213,'90_SEMA'!$B$7:$B$102,0),NYELV_IDX),""),"")</f>
        <v/>
      </c>
      <c r="H213" s="24"/>
      <c r="I213" s="24"/>
      <c r="J213" s="12"/>
    </row>
    <row r="214" spans="2:10" x14ac:dyDescent="0.3">
      <c r="B214" s="29" t="str">
        <f t="shared" si="3"/>
        <v/>
      </c>
      <c r="C214" s="12"/>
      <c r="D214" s="12"/>
      <c r="E214" s="12"/>
      <c r="F214" s="12"/>
      <c r="G214" s="29" t="str">
        <f>IF(LEN($F214)&gt;0,IFERROR(INDEX('90_SEMA'!$G$7:$H$102,MATCH($F214,'90_SEMA'!$B$7:$B$102,0),NYELV_IDX),""),"")</f>
        <v/>
      </c>
      <c r="H214" s="24"/>
      <c r="I214" s="24"/>
      <c r="J214" s="12"/>
    </row>
    <row r="215" spans="2:10" x14ac:dyDescent="0.3">
      <c r="B215" s="29" t="str">
        <f t="shared" si="3"/>
        <v/>
      </c>
      <c r="C215" s="12"/>
      <c r="D215" s="12"/>
      <c r="E215" s="12"/>
      <c r="F215" s="12"/>
      <c r="G215" s="29" t="str">
        <f>IF(LEN($F215)&gt;0,IFERROR(INDEX('90_SEMA'!$G$7:$H$102,MATCH($F215,'90_SEMA'!$B$7:$B$102,0),NYELV_IDX),""),"")</f>
        <v/>
      </c>
      <c r="H215" s="24"/>
      <c r="I215" s="24"/>
      <c r="J215" s="12"/>
    </row>
    <row r="216" spans="2:10" x14ac:dyDescent="0.3">
      <c r="B216" s="29" t="str">
        <f t="shared" si="3"/>
        <v/>
      </c>
      <c r="C216" s="12"/>
      <c r="D216" s="12"/>
      <c r="E216" s="12"/>
      <c r="F216" s="12"/>
      <c r="G216" s="29" t="str">
        <f>IF(LEN($F216)&gt;0,IFERROR(INDEX('90_SEMA'!$G$7:$H$102,MATCH($F216,'90_SEMA'!$B$7:$B$102,0),NYELV_IDX),""),"")</f>
        <v/>
      </c>
      <c r="H216" s="24"/>
      <c r="I216" s="24"/>
      <c r="J216" s="12"/>
    </row>
    <row r="217" spans="2:10" x14ac:dyDescent="0.3">
      <c r="B217" s="29" t="str">
        <f t="shared" si="3"/>
        <v/>
      </c>
      <c r="C217" s="12"/>
      <c r="D217" s="12"/>
      <c r="E217" s="12"/>
      <c r="F217" s="12"/>
      <c r="G217" s="29" t="str">
        <f>IF(LEN($F217)&gt;0,IFERROR(INDEX('90_SEMA'!$G$7:$H$102,MATCH($F217,'90_SEMA'!$B$7:$B$102,0),NYELV_IDX),""),"")</f>
        <v/>
      </c>
      <c r="H217" s="24"/>
      <c r="I217" s="24"/>
      <c r="J217" s="12"/>
    </row>
    <row r="218" spans="2:10" x14ac:dyDescent="0.3">
      <c r="B218" s="29" t="str">
        <f t="shared" si="3"/>
        <v/>
      </c>
      <c r="C218" s="12"/>
      <c r="D218" s="12"/>
      <c r="E218" s="12"/>
      <c r="F218" s="12"/>
      <c r="G218" s="29" t="str">
        <f>IF(LEN($F218)&gt;0,IFERROR(INDEX('90_SEMA'!$G$7:$H$102,MATCH($F218,'90_SEMA'!$B$7:$B$102,0),NYELV_IDX),""),"")</f>
        <v/>
      </c>
      <c r="H218" s="24"/>
      <c r="I218" s="24"/>
      <c r="J218" s="12"/>
    </row>
    <row r="219" spans="2:10" x14ac:dyDescent="0.3">
      <c r="B219" s="29" t="str">
        <f t="shared" si="3"/>
        <v/>
      </c>
      <c r="C219" s="12"/>
      <c r="D219" s="12"/>
      <c r="E219" s="12"/>
      <c r="F219" s="12"/>
      <c r="G219" s="29" t="str">
        <f>IF(LEN($F219)&gt;0,IFERROR(INDEX('90_SEMA'!$G$7:$H$102,MATCH($F219,'90_SEMA'!$B$7:$B$102,0),NYELV_IDX),""),"")</f>
        <v/>
      </c>
      <c r="H219" s="24"/>
      <c r="I219" s="24"/>
      <c r="J219" s="12"/>
    </row>
    <row r="220" spans="2:10" x14ac:dyDescent="0.3">
      <c r="B220" s="29" t="str">
        <f t="shared" si="3"/>
        <v/>
      </c>
      <c r="C220" s="12"/>
      <c r="D220" s="12"/>
      <c r="E220" s="12"/>
      <c r="F220" s="12"/>
      <c r="G220" s="29" t="str">
        <f>IF(LEN($F220)&gt;0,IFERROR(INDEX('90_SEMA'!$G$7:$H$102,MATCH($F220,'90_SEMA'!$B$7:$B$102,0),NYELV_IDX),""),"")</f>
        <v/>
      </c>
      <c r="H220" s="24"/>
      <c r="I220" s="24"/>
      <c r="J220" s="12"/>
    </row>
    <row r="221" spans="2:10" x14ac:dyDescent="0.3">
      <c r="B221" s="29" t="str">
        <f t="shared" si="3"/>
        <v/>
      </c>
      <c r="C221" s="12"/>
      <c r="D221" s="12"/>
      <c r="E221" s="12"/>
      <c r="F221" s="12"/>
      <c r="G221" s="29" t="str">
        <f>IF(LEN($F221)&gt;0,IFERROR(INDEX('90_SEMA'!$G$7:$H$102,MATCH($F221,'90_SEMA'!$B$7:$B$102,0),NYELV_IDX),""),"")</f>
        <v/>
      </c>
      <c r="H221" s="24"/>
      <c r="I221" s="24"/>
      <c r="J221" s="12"/>
    </row>
    <row r="222" spans="2:10" x14ac:dyDescent="0.3">
      <c r="B222" s="29" t="str">
        <f t="shared" si="3"/>
        <v/>
      </c>
      <c r="C222" s="12"/>
      <c r="D222" s="12"/>
      <c r="E222" s="12"/>
      <c r="F222" s="12"/>
      <c r="G222" s="29" t="str">
        <f>IF(LEN($F222)&gt;0,IFERROR(INDEX('90_SEMA'!$G$7:$H$102,MATCH($F222,'90_SEMA'!$B$7:$B$102,0),NYELV_IDX),""),"")</f>
        <v/>
      </c>
      <c r="H222" s="24"/>
      <c r="I222" s="24"/>
      <c r="J222" s="12"/>
    </row>
    <row r="223" spans="2:10" x14ac:dyDescent="0.3">
      <c r="B223" s="29" t="str">
        <f t="shared" si="3"/>
        <v/>
      </c>
      <c r="C223" s="12"/>
      <c r="D223" s="12"/>
      <c r="E223" s="12"/>
      <c r="F223" s="12"/>
      <c r="G223" s="29" t="str">
        <f>IF(LEN($F223)&gt;0,IFERROR(INDEX('90_SEMA'!$G$7:$H$102,MATCH($F223,'90_SEMA'!$B$7:$B$102,0),NYELV_IDX),""),"")</f>
        <v/>
      </c>
      <c r="H223" s="24"/>
      <c r="I223" s="24"/>
      <c r="J223" s="12"/>
    </row>
    <row r="224" spans="2:10" x14ac:dyDescent="0.3">
      <c r="B224" s="29" t="str">
        <f t="shared" si="3"/>
        <v/>
      </c>
      <c r="C224" s="12"/>
      <c r="D224" s="12"/>
      <c r="E224" s="12"/>
      <c r="F224" s="12"/>
      <c r="G224" s="29" t="str">
        <f>IF(LEN($F224)&gt;0,IFERROR(INDEX('90_SEMA'!$G$7:$H$102,MATCH($F224,'90_SEMA'!$B$7:$B$102,0),NYELV_IDX),""),"")</f>
        <v/>
      </c>
      <c r="H224" s="24"/>
      <c r="I224" s="24"/>
      <c r="J224" s="12"/>
    </row>
    <row r="225" spans="2:10" x14ac:dyDescent="0.3">
      <c r="B225" s="29" t="str">
        <f t="shared" si="3"/>
        <v/>
      </c>
      <c r="C225" s="12"/>
      <c r="D225" s="12"/>
      <c r="E225" s="12"/>
      <c r="F225" s="12"/>
      <c r="G225" s="29" t="str">
        <f>IF(LEN($F225)&gt;0,IFERROR(INDEX('90_SEMA'!$G$7:$H$102,MATCH($F225,'90_SEMA'!$B$7:$B$102,0),NYELV_IDX),""),"")</f>
        <v/>
      </c>
      <c r="H225" s="24"/>
      <c r="I225" s="24"/>
      <c r="J225" s="12"/>
    </row>
    <row r="226" spans="2:10" x14ac:dyDescent="0.3">
      <c r="B226" s="29" t="str">
        <f t="shared" si="3"/>
        <v/>
      </c>
      <c r="C226" s="12"/>
      <c r="D226" s="12"/>
      <c r="E226" s="12"/>
      <c r="F226" s="12"/>
      <c r="G226" s="29" t="str">
        <f>IF(LEN($F226)&gt;0,IFERROR(INDEX('90_SEMA'!$G$7:$H$102,MATCH($F226,'90_SEMA'!$B$7:$B$102,0),NYELV_IDX),""),"")</f>
        <v/>
      </c>
      <c r="H226" s="24"/>
      <c r="I226" s="24"/>
      <c r="J226" s="12"/>
    </row>
    <row r="227" spans="2:10" x14ac:dyDescent="0.3">
      <c r="B227" s="29" t="str">
        <f t="shared" si="3"/>
        <v/>
      </c>
      <c r="C227" s="12"/>
      <c r="D227" s="12"/>
      <c r="E227" s="12"/>
      <c r="F227" s="12"/>
      <c r="G227" s="29" t="str">
        <f>IF(LEN($F227)&gt;0,IFERROR(INDEX('90_SEMA'!$G$7:$H$102,MATCH($F227,'90_SEMA'!$B$7:$B$102,0),NYELV_IDX),""),"")</f>
        <v/>
      </c>
      <c r="H227" s="24"/>
      <c r="I227" s="24"/>
      <c r="J227" s="12"/>
    </row>
    <row r="228" spans="2:10" x14ac:dyDescent="0.3">
      <c r="B228" s="29" t="str">
        <f t="shared" si="3"/>
        <v/>
      </c>
      <c r="C228" s="12"/>
      <c r="D228" s="12"/>
      <c r="E228" s="12"/>
      <c r="F228" s="12"/>
      <c r="G228" s="29" t="str">
        <f>IF(LEN($F228)&gt;0,IFERROR(INDEX('90_SEMA'!$G$7:$H$102,MATCH($F228,'90_SEMA'!$B$7:$B$102,0),NYELV_IDX),""),"")</f>
        <v/>
      </c>
      <c r="H228" s="24"/>
      <c r="I228" s="24"/>
      <c r="J228" s="12"/>
    </row>
    <row r="229" spans="2:10" x14ac:dyDescent="0.3">
      <c r="B229" s="29" t="str">
        <f t="shared" si="3"/>
        <v/>
      </c>
      <c r="C229" s="12"/>
      <c r="D229" s="12"/>
      <c r="E229" s="12"/>
      <c r="F229" s="12"/>
      <c r="G229" s="29" t="str">
        <f>IF(LEN($F229)&gt;0,IFERROR(INDEX('90_SEMA'!$G$7:$H$102,MATCH($F229,'90_SEMA'!$B$7:$B$102,0),NYELV_IDX),""),"")</f>
        <v/>
      </c>
      <c r="H229" s="24"/>
      <c r="I229" s="24"/>
      <c r="J229" s="12"/>
    </row>
    <row r="230" spans="2:10" x14ac:dyDescent="0.3">
      <c r="B230" s="29" t="str">
        <f t="shared" si="3"/>
        <v/>
      </c>
      <c r="C230" s="12"/>
      <c r="D230" s="12"/>
      <c r="E230" s="12"/>
      <c r="F230" s="12"/>
      <c r="G230" s="29" t="str">
        <f>IF(LEN($F230)&gt;0,IFERROR(INDEX('90_SEMA'!$G$7:$H$102,MATCH($F230,'90_SEMA'!$B$7:$B$102,0),NYELV_IDX),""),"")</f>
        <v/>
      </c>
      <c r="H230" s="24"/>
      <c r="I230" s="24"/>
      <c r="J230" s="12"/>
    </row>
    <row r="231" spans="2:10" x14ac:dyDescent="0.3">
      <c r="B231" s="29" t="str">
        <f t="shared" si="3"/>
        <v/>
      </c>
      <c r="C231" s="12"/>
      <c r="D231" s="12"/>
      <c r="E231" s="12"/>
      <c r="F231" s="12"/>
      <c r="G231" s="29" t="str">
        <f>IF(LEN($F231)&gt;0,IFERROR(INDEX('90_SEMA'!$G$7:$H$102,MATCH($F231,'90_SEMA'!$B$7:$B$102,0),NYELV_IDX),""),"")</f>
        <v/>
      </c>
      <c r="H231" s="24"/>
      <c r="I231" s="24"/>
      <c r="J231" s="12"/>
    </row>
    <row r="232" spans="2:10" x14ac:dyDescent="0.3">
      <c r="B232" s="29" t="str">
        <f t="shared" si="3"/>
        <v/>
      </c>
      <c r="C232" s="12"/>
      <c r="D232" s="12"/>
      <c r="E232" s="12"/>
      <c r="F232" s="12"/>
      <c r="G232" s="29" t="str">
        <f>IF(LEN($F232)&gt;0,IFERROR(INDEX('90_SEMA'!$G$7:$H$102,MATCH($F232,'90_SEMA'!$B$7:$B$102,0),NYELV_IDX),""),"")</f>
        <v/>
      </c>
      <c r="H232" s="24"/>
      <c r="I232" s="24"/>
      <c r="J232" s="12"/>
    </row>
    <row r="233" spans="2:10" x14ac:dyDescent="0.3">
      <c r="B233" s="29" t="str">
        <f t="shared" si="3"/>
        <v/>
      </c>
      <c r="C233" s="12"/>
      <c r="D233" s="12"/>
      <c r="E233" s="12"/>
      <c r="F233" s="12"/>
      <c r="G233" s="29" t="str">
        <f>IF(LEN($F233)&gt;0,IFERROR(INDEX('90_SEMA'!$G$7:$H$102,MATCH($F233,'90_SEMA'!$B$7:$B$102,0),NYELV_IDX),""),"")</f>
        <v/>
      </c>
      <c r="H233" s="24"/>
      <c r="I233" s="24"/>
      <c r="J233" s="12"/>
    </row>
    <row r="234" spans="2:10" x14ac:dyDescent="0.3">
      <c r="B234" s="29" t="str">
        <f t="shared" si="3"/>
        <v/>
      </c>
      <c r="C234" s="12"/>
      <c r="D234" s="12"/>
      <c r="E234" s="12"/>
      <c r="F234" s="12"/>
      <c r="G234" s="29" t="str">
        <f>IF(LEN($F234)&gt;0,IFERROR(INDEX('90_SEMA'!$G$7:$H$102,MATCH($F234,'90_SEMA'!$B$7:$B$102,0),NYELV_IDX),""),"")</f>
        <v/>
      </c>
      <c r="H234" s="24"/>
      <c r="I234" s="24"/>
      <c r="J234" s="12"/>
    </row>
    <row r="235" spans="2:10" x14ac:dyDescent="0.3">
      <c r="B235" s="29" t="str">
        <f t="shared" si="3"/>
        <v/>
      </c>
      <c r="C235" s="12"/>
      <c r="D235" s="12"/>
      <c r="E235" s="12"/>
      <c r="F235" s="12"/>
      <c r="G235" s="29" t="str">
        <f>IF(LEN($F235)&gt;0,IFERROR(INDEX('90_SEMA'!$G$7:$H$102,MATCH($F235,'90_SEMA'!$B$7:$B$102,0),NYELV_IDX),""),"")</f>
        <v/>
      </c>
      <c r="H235" s="24"/>
      <c r="I235" s="24"/>
      <c r="J235" s="12"/>
    </row>
    <row r="236" spans="2:10" x14ac:dyDescent="0.3">
      <c r="B236" s="29" t="str">
        <f t="shared" si="3"/>
        <v/>
      </c>
      <c r="C236" s="12"/>
      <c r="D236" s="12"/>
      <c r="E236" s="12"/>
      <c r="F236" s="12"/>
      <c r="G236" s="29" t="str">
        <f>IF(LEN($F236)&gt;0,IFERROR(INDEX('90_SEMA'!$G$7:$H$102,MATCH($F236,'90_SEMA'!$B$7:$B$102,0),NYELV_IDX),""),"")</f>
        <v/>
      </c>
      <c r="H236" s="24"/>
      <c r="I236" s="24"/>
      <c r="J236" s="12"/>
    </row>
    <row r="237" spans="2:10" x14ac:dyDescent="0.3">
      <c r="B237" s="29" t="str">
        <f t="shared" si="3"/>
        <v/>
      </c>
      <c r="C237" s="12"/>
      <c r="D237" s="12"/>
      <c r="E237" s="12"/>
      <c r="F237" s="12"/>
      <c r="G237" s="29" t="str">
        <f>IF(LEN($F237)&gt;0,IFERROR(INDEX('90_SEMA'!$G$7:$H$102,MATCH($F237,'90_SEMA'!$B$7:$B$102,0),NYELV_IDX),""),"")</f>
        <v/>
      </c>
      <c r="H237" s="24"/>
      <c r="I237" s="24"/>
      <c r="J237" s="12"/>
    </row>
    <row r="238" spans="2:10" x14ac:dyDescent="0.3">
      <c r="B238" s="29" t="str">
        <f t="shared" si="3"/>
        <v/>
      </c>
      <c r="C238" s="12"/>
      <c r="D238" s="12"/>
      <c r="E238" s="12"/>
      <c r="F238" s="12"/>
      <c r="G238" s="29" t="str">
        <f>IF(LEN($F238)&gt;0,IFERROR(INDEX('90_SEMA'!$G$7:$H$102,MATCH($F238,'90_SEMA'!$B$7:$B$102,0),NYELV_IDX),""),"")</f>
        <v/>
      </c>
      <c r="H238" s="24"/>
      <c r="I238" s="24"/>
      <c r="J238" s="12"/>
    </row>
    <row r="239" spans="2:10" x14ac:dyDescent="0.3">
      <c r="B239" s="29" t="str">
        <f t="shared" si="3"/>
        <v/>
      </c>
      <c r="C239" s="12"/>
      <c r="D239" s="12"/>
      <c r="E239" s="12"/>
      <c r="F239" s="12"/>
      <c r="G239" s="29" t="str">
        <f>IF(LEN($F239)&gt;0,IFERROR(INDEX('90_SEMA'!$G$7:$H$102,MATCH($F239,'90_SEMA'!$B$7:$B$102,0),NYELV_IDX),""),"")</f>
        <v/>
      </c>
      <c r="H239" s="24"/>
      <c r="I239" s="24"/>
      <c r="J239" s="12"/>
    </row>
    <row r="240" spans="2:10" x14ac:dyDescent="0.3">
      <c r="B240" s="29" t="str">
        <f t="shared" si="3"/>
        <v/>
      </c>
      <c r="C240" s="12"/>
      <c r="D240" s="12"/>
      <c r="E240" s="12"/>
      <c r="F240" s="12"/>
      <c r="G240" s="29" t="str">
        <f>IF(LEN($F240)&gt;0,IFERROR(INDEX('90_SEMA'!$G$7:$H$102,MATCH($F240,'90_SEMA'!$B$7:$B$102,0),NYELV_IDX),""),"")</f>
        <v/>
      </c>
      <c r="H240" s="24"/>
      <c r="I240" s="24"/>
      <c r="J240" s="12"/>
    </row>
    <row r="241" spans="2:10" x14ac:dyDescent="0.3">
      <c r="B241" s="29" t="str">
        <f t="shared" si="3"/>
        <v/>
      </c>
      <c r="C241" s="12"/>
      <c r="D241" s="12"/>
      <c r="E241" s="12"/>
      <c r="F241" s="12"/>
      <c r="G241" s="29" t="str">
        <f>IF(LEN($F241)&gt;0,IFERROR(INDEX('90_SEMA'!$G$7:$H$102,MATCH($F241,'90_SEMA'!$B$7:$B$102,0),NYELV_IDX),""),"")</f>
        <v/>
      </c>
      <c r="H241" s="24"/>
      <c r="I241" s="24"/>
      <c r="J241" s="12"/>
    </row>
    <row r="242" spans="2:10" x14ac:dyDescent="0.3">
      <c r="B242" s="29" t="str">
        <f t="shared" si="3"/>
        <v/>
      </c>
      <c r="C242" s="12"/>
      <c r="D242" s="12"/>
      <c r="E242" s="12"/>
      <c r="F242" s="12"/>
      <c r="G242" s="29" t="str">
        <f>IF(LEN($F242)&gt;0,IFERROR(INDEX('90_SEMA'!$G$7:$H$102,MATCH($F242,'90_SEMA'!$B$7:$B$102,0),NYELV_IDX),""),"")</f>
        <v/>
      </c>
      <c r="H242" s="24"/>
      <c r="I242" s="24"/>
      <c r="J242" s="12"/>
    </row>
    <row r="243" spans="2:10" x14ac:dyDescent="0.3">
      <c r="B243" s="29" t="str">
        <f t="shared" si="3"/>
        <v/>
      </c>
      <c r="C243" s="12"/>
      <c r="D243" s="12"/>
      <c r="E243" s="12"/>
      <c r="F243" s="12"/>
      <c r="G243" s="29" t="str">
        <f>IF(LEN($F243)&gt;0,IFERROR(INDEX('90_SEMA'!$G$7:$H$102,MATCH($F243,'90_SEMA'!$B$7:$B$102,0),NYELV_IDX),""),"")</f>
        <v/>
      </c>
      <c r="H243" s="24"/>
      <c r="I243" s="24"/>
      <c r="J243" s="12"/>
    </row>
    <row r="244" spans="2:10" x14ac:dyDescent="0.3">
      <c r="B244" s="29" t="str">
        <f t="shared" si="3"/>
        <v/>
      </c>
      <c r="C244" s="12"/>
      <c r="D244" s="12"/>
      <c r="E244" s="12"/>
      <c r="F244" s="12"/>
      <c r="G244" s="29" t="str">
        <f>IF(LEN($F244)&gt;0,IFERROR(INDEX('90_SEMA'!$G$7:$H$102,MATCH($F244,'90_SEMA'!$B$7:$B$102,0),NYELV_IDX),""),"")</f>
        <v/>
      </c>
      <c r="H244" s="24"/>
      <c r="I244" s="24"/>
      <c r="J244" s="12"/>
    </row>
    <row r="245" spans="2:10" x14ac:dyDescent="0.3">
      <c r="B245" s="29" t="str">
        <f t="shared" si="3"/>
        <v/>
      </c>
      <c r="C245" s="12"/>
      <c r="D245" s="12"/>
      <c r="E245" s="12"/>
      <c r="F245" s="12"/>
      <c r="G245" s="29" t="str">
        <f>IF(LEN($F245)&gt;0,IFERROR(INDEX('90_SEMA'!$G$7:$H$102,MATCH($F245,'90_SEMA'!$B$7:$B$102,0),NYELV_IDX),""),"")</f>
        <v/>
      </c>
      <c r="H245" s="24"/>
      <c r="I245" s="24"/>
      <c r="J245" s="12"/>
    </row>
    <row r="246" spans="2:10" x14ac:dyDescent="0.3">
      <c r="B246" s="29" t="str">
        <f t="shared" si="3"/>
        <v/>
      </c>
      <c r="C246" s="12"/>
      <c r="D246" s="12"/>
      <c r="E246" s="12"/>
      <c r="F246" s="12"/>
      <c r="G246" s="29" t="str">
        <f>IF(LEN($F246)&gt;0,IFERROR(INDEX('90_SEMA'!$G$7:$H$102,MATCH($F246,'90_SEMA'!$B$7:$B$102,0),NYELV_IDX),""),"")</f>
        <v/>
      </c>
      <c r="H246" s="24"/>
      <c r="I246" s="24"/>
      <c r="J246" s="12"/>
    </row>
    <row r="247" spans="2:10" x14ac:dyDescent="0.3">
      <c r="B247" s="29" t="str">
        <f t="shared" si="3"/>
        <v/>
      </c>
      <c r="C247" s="12"/>
      <c r="D247" s="12"/>
      <c r="E247" s="12"/>
      <c r="F247" s="12"/>
      <c r="G247" s="29" t="str">
        <f>IF(LEN($F247)&gt;0,IFERROR(INDEX('90_SEMA'!$G$7:$H$102,MATCH($F247,'90_SEMA'!$B$7:$B$102,0),NYELV_IDX),""),"")</f>
        <v/>
      </c>
      <c r="H247" s="24"/>
      <c r="I247" s="24"/>
      <c r="J247" s="12"/>
    </row>
    <row r="248" spans="2:10" x14ac:dyDescent="0.3">
      <c r="B248" s="29" t="str">
        <f t="shared" si="3"/>
        <v/>
      </c>
      <c r="C248" s="12"/>
      <c r="D248" s="12"/>
      <c r="E248" s="12"/>
      <c r="F248" s="12"/>
      <c r="G248" s="29" t="str">
        <f>IF(LEN($F248)&gt;0,IFERROR(INDEX('90_SEMA'!$G$7:$H$102,MATCH($F248,'90_SEMA'!$B$7:$B$102,0),NYELV_IDX),""),"")</f>
        <v/>
      </c>
      <c r="H248" s="24"/>
      <c r="I248" s="24"/>
      <c r="J248" s="12"/>
    </row>
    <row r="249" spans="2:10" x14ac:dyDescent="0.3">
      <c r="B249" s="29" t="str">
        <f t="shared" si="3"/>
        <v/>
      </c>
      <c r="C249" s="12"/>
      <c r="D249" s="12"/>
      <c r="E249" s="12"/>
      <c r="F249" s="12"/>
      <c r="G249" s="29" t="str">
        <f>IF(LEN($F249)&gt;0,IFERROR(INDEX('90_SEMA'!$G$7:$H$102,MATCH($F249,'90_SEMA'!$B$7:$B$102,0),NYELV_IDX),""),"")</f>
        <v/>
      </c>
      <c r="H249" s="24"/>
      <c r="I249" s="24"/>
      <c r="J249" s="12"/>
    </row>
    <row r="250" spans="2:10" x14ac:dyDescent="0.3">
      <c r="B250" s="29" t="str">
        <f t="shared" si="3"/>
        <v/>
      </c>
      <c r="C250" s="12"/>
      <c r="D250" s="12"/>
      <c r="E250" s="12"/>
      <c r="F250" s="12"/>
      <c r="G250" s="29" t="str">
        <f>IF(LEN($F250)&gt;0,IFERROR(INDEX('90_SEMA'!$G$7:$H$102,MATCH($F250,'90_SEMA'!$B$7:$B$102,0),NYELV_IDX),""),"")</f>
        <v/>
      </c>
      <c r="H250" s="24"/>
      <c r="I250" s="24"/>
      <c r="J250" s="12"/>
    </row>
    <row r="251" spans="2:10" x14ac:dyDescent="0.3">
      <c r="B251" s="29" t="str">
        <f t="shared" si="3"/>
        <v/>
      </c>
      <c r="C251" s="12"/>
      <c r="D251" s="12"/>
      <c r="E251" s="12"/>
      <c r="F251" s="12"/>
      <c r="G251" s="29" t="str">
        <f>IF(LEN($F251)&gt;0,IFERROR(INDEX('90_SEMA'!$G$7:$H$102,MATCH($F251,'90_SEMA'!$B$7:$B$102,0),NYELV_IDX),""),"")</f>
        <v/>
      </c>
      <c r="H251" s="24"/>
      <c r="I251" s="24"/>
      <c r="J251" s="12"/>
    </row>
    <row r="252" spans="2:10" x14ac:dyDescent="0.3">
      <c r="B252" s="29" t="str">
        <f t="shared" si="3"/>
        <v/>
      </c>
      <c r="C252" s="12"/>
      <c r="D252" s="12"/>
      <c r="E252" s="12"/>
      <c r="F252" s="12"/>
      <c r="G252" s="29" t="str">
        <f>IF(LEN($F252)&gt;0,IFERROR(INDEX('90_SEMA'!$G$7:$H$102,MATCH($F252,'90_SEMA'!$B$7:$B$102,0),NYELV_IDX),""),"")</f>
        <v/>
      </c>
      <c r="H252" s="24"/>
      <c r="I252" s="24"/>
      <c r="J252" s="12"/>
    </row>
    <row r="253" spans="2:10" x14ac:dyDescent="0.3">
      <c r="B253" s="29" t="str">
        <f t="shared" si="3"/>
        <v/>
      </c>
      <c r="C253" s="12"/>
      <c r="D253" s="12"/>
      <c r="E253" s="12"/>
      <c r="F253" s="12"/>
      <c r="G253" s="29" t="str">
        <f>IF(LEN($F253)&gt;0,IFERROR(INDEX('90_SEMA'!$G$7:$H$102,MATCH($F253,'90_SEMA'!$B$7:$B$102,0),NYELV_IDX),""),"")</f>
        <v/>
      </c>
      <c r="H253" s="24"/>
      <c r="I253" s="24"/>
      <c r="J253" s="12"/>
    </row>
    <row r="254" spans="2:10" x14ac:dyDescent="0.3">
      <c r="B254" s="29" t="str">
        <f t="shared" si="3"/>
        <v/>
      </c>
      <c r="C254" s="12"/>
      <c r="D254" s="12"/>
      <c r="E254" s="12"/>
      <c r="F254" s="12"/>
      <c r="G254" s="29" t="str">
        <f>IF(LEN($F254)&gt;0,IFERROR(INDEX('90_SEMA'!$G$7:$H$102,MATCH($F254,'90_SEMA'!$B$7:$B$102,0),NYELV_IDX),""),"")</f>
        <v/>
      </c>
      <c r="H254" s="24"/>
      <c r="I254" s="24"/>
      <c r="J254" s="12"/>
    </row>
    <row r="255" spans="2:10" x14ac:dyDescent="0.3">
      <c r="B255" s="29" t="str">
        <f t="shared" si="3"/>
        <v/>
      </c>
      <c r="C255" s="12"/>
      <c r="D255" s="12"/>
      <c r="E255" s="12"/>
      <c r="F255" s="12"/>
      <c r="G255" s="29" t="str">
        <f>IF(LEN($F255)&gt;0,IFERROR(INDEX('90_SEMA'!$G$7:$H$102,MATCH($F255,'90_SEMA'!$B$7:$B$102,0),NYELV_IDX),""),"")</f>
        <v/>
      </c>
      <c r="H255" s="24"/>
      <c r="I255" s="24"/>
      <c r="J255" s="12"/>
    </row>
    <row r="256" spans="2:10" x14ac:dyDescent="0.3">
      <c r="B256" s="29" t="str">
        <f t="shared" si="3"/>
        <v/>
      </c>
      <c r="C256" s="12"/>
      <c r="D256" s="12"/>
      <c r="E256" s="12"/>
      <c r="F256" s="12"/>
      <c r="G256" s="29" t="str">
        <f>IF(LEN($F256)&gt;0,IFERROR(INDEX('90_SEMA'!$G$7:$H$102,MATCH($F256,'90_SEMA'!$B$7:$B$102,0),NYELV_IDX),""),"")</f>
        <v/>
      </c>
      <c r="H256" s="24"/>
      <c r="I256" s="24"/>
      <c r="J256" s="12"/>
    </row>
    <row r="257" spans="2:10" x14ac:dyDescent="0.3">
      <c r="B257" s="29" t="str">
        <f t="shared" si="3"/>
        <v/>
      </c>
      <c r="C257" s="12"/>
      <c r="D257" s="12"/>
      <c r="E257" s="12"/>
      <c r="F257" s="12"/>
      <c r="G257" s="29" t="str">
        <f>IF(LEN($F257)&gt;0,IFERROR(INDEX('90_SEMA'!$G$7:$H$102,MATCH($F257,'90_SEMA'!$B$7:$B$102,0),NYELV_IDX),""),"")</f>
        <v/>
      </c>
      <c r="H257" s="24"/>
      <c r="I257" s="24"/>
      <c r="J257" s="12"/>
    </row>
    <row r="258" spans="2:10" x14ac:dyDescent="0.3">
      <c r="B258" s="29" t="str">
        <f t="shared" si="3"/>
        <v/>
      </c>
      <c r="C258" s="12"/>
      <c r="D258" s="12"/>
      <c r="E258" s="12"/>
      <c r="F258" s="12"/>
      <c r="G258" s="29" t="str">
        <f>IF(LEN($F258)&gt;0,IFERROR(INDEX('90_SEMA'!$G$7:$H$102,MATCH($F258,'90_SEMA'!$B$7:$B$102,0),NYELV_IDX),""),"")</f>
        <v/>
      </c>
      <c r="H258" s="24"/>
      <c r="I258" s="24"/>
      <c r="J258" s="12"/>
    </row>
    <row r="259" spans="2:10" x14ac:dyDescent="0.3">
      <c r="B259" s="29" t="str">
        <f t="shared" si="3"/>
        <v/>
      </c>
      <c r="C259" s="12"/>
      <c r="D259" s="12"/>
      <c r="E259" s="12"/>
      <c r="F259" s="12"/>
      <c r="G259" s="29" t="str">
        <f>IF(LEN($F259)&gt;0,IFERROR(INDEX('90_SEMA'!$G$7:$H$102,MATCH($F259,'90_SEMA'!$B$7:$B$102,0),NYELV_IDX),""),"")</f>
        <v/>
      </c>
      <c r="H259" s="24"/>
      <c r="I259" s="24"/>
      <c r="J259" s="12"/>
    </row>
    <row r="260" spans="2:10" x14ac:dyDescent="0.3">
      <c r="B260" s="29" t="str">
        <f t="shared" si="3"/>
        <v/>
      </c>
      <c r="C260" s="12"/>
      <c r="D260" s="12"/>
      <c r="E260" s="12"/>
      <c r="F260" s="12"/>
      <c r="G260" s="29" t="str">
        <f>IF(LEN($F260)&gt;0,IFERROR(INDEX('90_SEMA'!$G$7:$H$102,MATCH($F260,'90_SEMA'!$B$7:$B$102,0),NYELV_IDX),""),"")</f>
        <v/>
      </c>
      <c r="H260" s="24"/>
      <c r="I260" s="24"/>
      <c r="J260" s="12"/>
    </row>
    <row r="261" spans="2:10" x14ac:dyDescent="0.3">
      <c r="B261" s="29" t="str">
        <f t="shared" si="3"/>
        <v/>
      </c>
      <c r="C261" s="12"/>
      <c r="D261" s="12"/>
      <c r="E261" s="12"/>
      <c r="F261" s="12"/>
      <c r="G261" s="29" t="str">
        <f>IF(LEN($F261)&gt;0,IFERROR(INDEX('90_SEMA'!$G$7:$H$102,MATCH($F261,'90_SEMA'!$B$7:$B$102,0),NYELV_IDX),""),"")</f>
        <v/>
      </c>
      <c r="H261" s="24"/>
      <c r="I261" s="24"/>
      <c r="J261" s="12"/>
    </row>
    <row r="262" spans="2:10" x14ac:dyDescent="0.3">
      <c r="B262" s="29" t="str">
        <f t="shared" si="3"/>
        <v/>
      </c>
      <c r="C262" s="12"/>
      <c r="D262" s="12"/>
      <c r="E262" s="12"/>
      <c r="F262" s="12"/>
      <c r="G262" s="29" t="str">
        <f>IF(LEN($F262)&gt;0,IFERROR(INDEX('90_SEMA'!$G$7:$H$102,MATCH($F262,'90_SEMA'!$B$7:$B$102,0),NYELV_IDX),""),"")</f>
        <v/>
      </c>
      <c r="H262" s="24"/>
      <c r="I262" s="24"/>
      <c r="J262" s="12"/>
    </row>
    <row r="263" spans="2:10" x14ac:dyDescent="0.3">
      <c r="B263" s="29" t="str">
        <f t="shared" ref="B263:B326" si="4">IF(LEN($F263)&gt;0,ROW()-6,"")</f>
        <v/>
      </c>
      <c r="C263" s="12"/>
      <c r="D263" s="12"/>
      <c r="E263" s="12"/>
      <c r="F263" s="12"/>
      <c r="G263" s="29" t="str">
        <f>IF(LEN($F263)&gt;0,IFERROR(INDEX('90_SEMA'!$G$7:$H$102,MATCH($F263,'90_SEMA'!$B$7:$B$102,0),NYELV_IDX),""),"")</f>
        <v/>
      </c>
      <c r="H263" s="24"/>
      <c r="I263" s="24"/>
      <c r="J263" s="12"/>
    </row>
    <row r="264" spans="2:10" x14ac:dyDescent="0.3">
      <c r="B264" s="29" t="str">
        <f t="shared" si="4"/>
        <v/>
      </c>
      <c r="C264" s="12"/>
      <c r="D264" s="12"/>
      <c r="E264" s="12"/>
      <c r="F264" s="12"/>
      <c r="G264" s="29" t="str">
        <f>IF(LEN($F264)&gt;0,IFERROR(INDEX('90_SEMA'!$G$7:$H$102,MATCH($F264,'90_SEMA'!$B$7:$B$102,0),NYELV_IDX),""),"")</f>
        <v/>
      </c>
      <c r="H264" s="24"/>
      <c r="I264" s="24"/>
      <c r="J264" s="12"/>
    </row>
    <row r="265" spans="2:10" x14ac:dyDescent="0.3">
      <c r="B265" s="29" t="str">
        <f t="shared" si="4"/>
        <v/>
      </c>
      <c r="C265" s="12"/>
      <c r="D265" s="12"/>
      <c r="E265" s="12"/>
      <c r="F265" s="12"/>
      <c r="G265" s="29" t="str">
        <f>IF(LEN($F265)&gt;0,IFERROR(INDEX('90_SEMA'!$G$7:$H$102,MATCH($F265,'90_SEMA'!$B$7:$B$102,0),NYELV_IDX),""),"")</f>
        <v/>
      </c>
      <c r="H265" s="24"/>
      <c r="I265" s="24"/>
      <c r="J265" s="12"/>
    </row>
    <row r="266" spans="2:10" x14ac:dyDescent="0.3">
      <c r="B266" s="29" t="str">
        <f t="shared" si="4"/>
        <v/>
      </c>
      <c r="C266" s="12"/>
      <c r="D266" s="12"/>
      <c r="E266" s="12"/>
      <c r="F266" s="12"/>
      <c r="G266" s="29" t="str">
        <f>IF(LEN($F266)&gt;0,IFERROR(INDEX('90_SEMA'!$G$7:$H$102,MATCH($F266,'90_SEMA'!$B$7:$B$102,0),NYELV_IDX),""),"")</f>
        <v/>
      </c>
      <c r="H266" s="24"/>
      <c r="I266" s="24"/>
      <c r="J266" s="12"/>
    </row>
    <row r="267" spans="2:10" x14ac:dyDescent="0.3">
      <c r="B267" s="29" t="str">
        <f t="shared" si="4"/>
        <v/>
      </c>
      <c r="C267" s="12"/>
      <c r="D267" s="12"/>
      <c r="E267" s="12"/>
      <c r="F267" s="12"/>
      <c r="G267" s="29" t="str">
        <f>IF(LEN($F267)&gt;0,IFERROR(INDEX('90_SEMA'!$G$7:$H$102,MATCH($F267,'90_SEMA'!$B$7:$B$102,0),NYELV_IDX),""),"")</f>
        <v/>
      </c>
      <c r="H267" s="24"/>
      <c r="I267" s="24"/>
      <c r="J267" s="12"/>
    </row>
    <row r="268" spans="2:10" x14ac:dyDescent="0.3">
      <c r="B268" s="29" t="str">
        <f t="shared" si="4"/>
        <v/>
      </c>
      <c r="C268" s="12"/>
      <c r="D268" s="12"/>
      <c r="E268" s="12"/>
      <c r="F268" s="12"/>
      <c r="G268" s="29" t="str">
        <f>IF(LEN($F268)&gt;0,IFERROR(INDEX('90_SEMA'!$G$7:$H$102,MATCH($F268,'90_SEMA'!$B$7:$B$102,0),NYELV_IDX),""),"")</f>
        <v/>
      </c>
      <c r="H268" s="24"/>
      <c r="I268" s="24"/>
      <c r="J268" s="12"/>
    </row>
    <row r="269" spans="2:10" x14ac:dyDescent="0.3">
      <c r="B269" s="29" t="str">
        <f t="shared" si="4"/>
        <v/>
      </c>
      <c r="C269" s="12"/>
      <c r="D269" s="12"/>
      <c r="E269" s="12"/>
      <c r="F269" s="12"/>
      <c r="G269" s="29" t="str">
        <f>IF(LEN($F269)&gt;0,IFERROR(INDEX('90_SEMA'!$G$7:$H$102,MATCH($F269,'90_SEMA'!$B$7:$B$102,0),NYELV_IDX),""),"")</f>
        <v/>
      </c>
      <c r="H269" s="24"/>
      <c r="I269" s="24"/>
      <c r="J269" s="12"/>
    </row>
    <row r="270" spans="2:10" x14ac:dyDescent="0.3">
      <c r="B270" s="29" t="str">
        <f t="shared" si="4"/>
        <v/>
      </c>
      <c r="C270" s="12"/>
      <c r="D270" s="12"/>
      <c r="E270" s="12"/>
      <c r="F270" s="12"/>
      <c r="G270" s="29" t="str">
        <f>IF(LEN($F270)&gt;0,IFERROR(INDEX('90_SEMA'!$G$7:$H$102,MATCH($F270,'90_SEMA'!$B$7:$B$102,0),NYELV_IDX),""),"")</f>
        <v/>
      </c>
      <c r="H270" s="24"/>
      <c r="I270" s="24"/>
      <c r="J270" s="12"/>
    </row>
    <row r="271" spans="2:10" x14ac:dyDescent="0.3">
      <c r="B271" s="29" t="str">
        <f t="shared" si="4"/>
        <v/>
      </c>
      <c r="C271" s="12"/>
      <c r="D271" s="12"/>
      <c r="E271" s="12"/>
      <c r="F271" s="12"/>
      <c r="G271" s="29" t="str">
        <f>IF(LEN($F271)&gt;0,IFERROR(INDEX('90_SEMA'!$G$7:$H$102,MATCH($F271,'90_SEMA'!$B$7:$B$102,0),NYELV_IDX),""),"")</f>
        <v/>
      </c>
      <c r="H271" s="24"/>
      <c r="I271" s="24"/>
      <c r="J271" s="12"/>
    </row>
    <row r="272" spans="2:10" x14ac:dyDescent="0.3">
      <c r="B272" s="29" t="str">
        <f t="shared" si="4"/>
        <v/>
      </c>
      <c r="C272" s="12"/>
      <c r="D272" s="12"/>
      <c r="E272" s="12"/>
      <c r="F272" s="12"/>
      <c r="G272" s="29" t="str">
        <f>IF(LEN($F272)&gt;0,IFERROR(INDEX('90_SEMA'!$G$7:$H$102,MATCH($F272,'90_SEMA'!$B$7:$B$102,0),NYELV_IDX),""),"")</f>
        <v/>
      </c>
      <c r="H272" s="24"/>
      <c r="I272" s="24"/>
      <c r="J272" s="12"/>
    </row>
    <row r="273" spans="2:10" x14ac:dyDescent="0.3">
      <c r="B273" s="29" t="str">
        <f t="shared" si="4"/>
        <v/>
      </c>
      <c r="C273" s="12"/>
      <c r="D273" s="12"/>
      <c r="E273" s="12"/>
      <c r="F273" s="12"/>
      <c r="G273" s="29" t="str">
        <f>IF(LEN($F273)&gt;0,IFERROR(INDEX('90_SEMA'!$G$7:$H$102,MATCH($F273,'90_SEMA'!$B$7:$B$102,0),NYELV_IDX),""),"")</f>
        <v/>
      </c>
      <c r="H273" s="24"/>
      <c r="I273" s="24"/>
      <c r="J273" s="12"/>
    </row>
    <row r="274" spans="2:10" x14ac:dyDescent="0.3">
      <c r="B274" s="29" t="str">
        <f t="shared" si="4"/>
        <v/>
      </c>
      <c r="C274" s="12"/>
      <c r="D274" s="12"/>
      <c r="E274" s="12"/>
      <c r="F274" s="12"/>
      <c r="G274" s="29" t="str">
        <f>IF(LEN($F274)&gt;0,IFERROR(INDEX('90_SEMA'!$G$7:$H$102,MATCH($F274,'90_SEMA'!$B$7:$B$102,0),NYELV_IDX),""),"")</f>
        <v/>
      </c>
      <c r="H274" s="24"/>
      <c r="I274" s="24"/>
      <c r="J274" s="12"/>
    </row>
    <row r="275" spans="2:10" x14ac:dyDescent="0.3">
      <c r="B275" s="29" t="str">
        <f t="shared" si="4"/>
        <v/>
      </c>
      <c r="C275" s="12"/>
      <c r="D275" s="12"/>
      <c r="E275" s="12"/>
      <c r="F275" s="12"/>
      <c r="G275" s="29" t="str">
        <f>IF(LEN($F275)&gt;0,IFERROR(INDEX('90_SEMA'!$G$7:$H$102,MATCH($F275,'90_SEMA'!$B$7:$B$102,0),NYELV_IDX),""),"")</f>
        <v/>
      </c>
      <c r="H275" s="24"/>
      <c r="I275" s="24"/>
      <c r="J275" s="12"/>
    </row>
    <row r="276" spans="2:10" x14ac:dyDescent="0.3">
      <c r="B276" s="29" t="str">
        <f t="shared" si="4"/>
        <v/>
      </c>
      <c r="C276" s="12"/>
      <c r="D276" s="12"/>
      <c r="E276" s="12"/>
      <c r="F276" s="12"/>
      <c r="G276" s="29" t="str">
        <f>IF(LEN($F276)&gt;0,IFERROR(INDEX('90_SEMA'!$G$7:$H$102,MATCH($F276,'90_SEMA'!$B$7:$B$102,0),NYELV_IDX),""),"")</f>
        <v/>
      </c>
      <c r="H276" s="24"/>
      <c r="I276" s="24"/>
      <c r="J276" s="12"/>
    </row>
    <row r="277" spans="2:10" x14ac:dyDescent="0.3">
      <c r="B277" s="29" t="str">
        <f t="shared" si="4"/>
        <v/>
      </c>
      <c r="C277" s="12"/>
      <c r="D277" s="12"/>
      <c r="E277" s="12"/>
      <c r="F277" s="12"/>
      <c r="G277" s="29" t="str">
        <f>IF(LEN($F277)&gt;0,IFERROR(INDEX('90_SEMA'!$G$7:$H$102,MATCH($F277,'90_SEMA'!$B$7:$B$102,0),NYELV_IDX),""),"")</f>
        <v/>
      </c>
      <c r="H277" s="24"/>
      <c r="I277" s="24"/>
      <c r="J277" s="12"/>
    </row>
    <row r="278" spans="2:10" x14ac:dyDescent="0.3">
      <c r="B278" s="29" t="str">
        <f t="shared" si="4"/>
        <v/>
      </c>
      <c r="C278" s="12"/>
      <c r="D278" s="12"/>
      <c r="E278" s="12"/>
      <c r="F278" s="12"/>
      <c r="G278" s="29" t="str">
        <f>IF(LEN($F278)&gt;0,IFERROR(INDEX('90_SEMA'!$G$7:$H$102,MATCH($F278,'90_SEMA'!$B$7:$B$102,0),NYELV_IDX),""),"")</f>
        <v/>
      </c>
      <c r="H278" s="24"/>
      <c r="I278" s="24"/>
      <c r="J278" s="12"/>
    </row>
    <row r="279" spans="2:10" x14ac:dyDescent="0.3">
      <c r="B279" s="29" t="str">
        <f t="shared" si="4"/>
        <v/>
      </c>
      <c r="C279" s="12"/>
      <c r="D279" s="12"/>
      <c r="E279" s="12"/>
      <c r="F279" s="12"/>
      <c r="G279" s="29" t="str">
        <f>IF(LEN($F279)&gt;0,IFERROR(INDEX('90_SEMA'!$G$7:$H$102,MATCH($F279,'90_SEMA'!$B$7:$B$102,0),NYELV_IDX),""),"")</f>
        <v/>
      </c>
      <c r="H279" s="24"/>
      <c r="I279" s="24"/>
      <c r="J279" s="12"/>
    </row>
    <row r="280" spans="2:10" x14ac:dyDescent="0.3">
      <c r="B280" s="29" t="str">
        <f t="shared" si="4"/>
        <v/>
      </c>
      <c r="C280" s="12"/>
      <c r="D280" s="12"/>
      <c r="E280" s="12"/>
      <c r="F280" s="12"/>
      <c r="G280" s="29" t="str">
        <f>IF(LEN($F280)&gt;0,IFERROR(INDEX('90_SEMA'!$G$7:$H$102,MATCH($F280,'90_SEMA'!$B$7:$B$102,0),NYELV_IDX),""),"")</f>
        <v/>
      </c>
      <c r="H280" s="24"/>
      <c r="I280" s="24"/>
      <c r="J280" s="12"/>
    </row>
    <row r="281" spans="2:10" x14ac:dyDescent="0.3">
      <c r="B281" s="29" t="str">
        <f t="shared" si="4"/>
        <v/>
      </c>
      <c r="C281" s="12"/>
      <c r="D281" s="12"/>
      <c r="E281" s="12"/>
      <c r="F281" s="12"/>
      <c r="G281" s="29" t="str">
        <f>IF(LEN($F281)&gt;0,IFERROR(INDEX('90_SEMA'!$G$7:$H$102,MATCH($F281,'90_SEMA'!$B$7:$B$102,0),NYELV_IDX),""),"")</f>
        <v/>
      </c>
      <c r="H281" s="24"/>
      <c r="I281" s="24"/>
      <c r="J281" s="12"/>
    </row>
    <row r="282" spans="2:10" x14ac:dyDescent="0.3">
      <c r="B282" s="29" t="str">
        <f t="shared" si="4"/>
        <v/>
      </c>
      <c r="C282" s="12"/>
      <c r="D282" s="12"/>
      <c r="E282" s="12"/>
      <c r="F282" s="12"/>
      <c r="G282" s="29" t="str">
        <f>IF(LEN($F282)&gt;0,IFERROR(INDEX('90_SEMA'!$G$7:$H$102,MATCH($F282,'90_SEMA'!$B$7:$B$102,0),NYELV_IDX),""),"")</f>
        <v/>
      </c>
      <c r="H282" s="24"/>
      <c r="I282" s="24"/>
      <c r="J282" s="12"/>
    </row>
    <row r="283" spans="2:10" x14ac:dyDescent="0.3">
      <c r="B283" s="29" t="str">
        <f t="shared" si="4"/>
        <v/>
      </c>
      <c r="C283" s="12"/>
      <c r="D283" s="12"/>
      <c r="E283" s="12"/>
      <c r="F283" s="12"/>
      <c r="G283" s="29" t="str">
        <f>IF(LEN($F283)&gt;0,IFERROR(INDEX('90_SEMA'!$G$7:$H$102,MATCH($F283,'90_SEMA'!$B$7:$B$102,0),NYELV_IDX),""),"")</f>
        <v/>
      </c>
      <c r="H283" s="24"/>
      <c r="I283" s="24"/>
      <c r="J283" s="12"/>
    </row>
    <row r="284" spans="2:10" x14ac:dyDescent="0.3">
      <c r="B284" s="29" t="str">
        <f t="shared" si="4"/>
        <v/>
      </c>
      <c r="C284" s="12"/>
      <c r="D284" s="12"/>
      <c r="E284" s="12"/>
      <c r="F284" s="12"/>
      <c r="G284" s="29" t="str">
        <f>IF(LEN($F284)&gt;0,IFERROR(INDEX('90_SEMA'!$G$7:$H$102,MATCH($F284,'90_SEMA'!$B$7:$B$102,0),NYELV_IDX),""),"")</f>
        <v/>
      </c>
      <c r="H284" s="24"/>
      <c r="I284" s="24"/>
      <c r="J284" s="12"/>
    </row>
    <row r="285" spans="2:10" x14ac:dyDescent="0.3">
      <c r="B285" s="29" t="str">
        <f t="shared" si="4"/>
        <v/>
      </c>
      <c r="C285" s="12"/>
      <c r="D285" s="12"/>
      <c r="E285" s="12"/>
      <c r="F285" s="12"/>
      <c r="G285" s="29" t="str">
        <f>IF(LEN($F285)&gt;0,IFERROR(INDEX('90_SEMA'!$G$7:$H$102,MATCH($F285,'90_SEMA'!$B$7:$B$102,0),NYELV_IDX),""),"")</f>
        <v/>
      </c>
      <c r="H285" s="24"/>
      <c r="I285" s="24"/>
      <c r="J285" s="12"/>
    </row>
    <row r="286" spans="2:10" x14ac:dyDescent="0.3">
      <c r="B286" s="29" t="str">
        <f t="shared" si="4"/>
        <v/>
      </c>
      <c r="C286" s="12"/>
      <c r="D286" s="12"/>
      <c r="E286" s="12"/>
      <c r="F286" s="12"/>
      <c r="G286" s="29" t="str">
        <f>IF(LEN($F286)&gt;0,IFERROR(INDEX('90_SEMA'!$G$7:$H$102,MATCH($F286,'90_SEMA'!$B$7:$B$102,0),NYELV_IDX),""),"")</f>
        <v/>
      </c>
      <c r="H286" s="24"/>
      <c r="I286" s="24"/>
      <c r="J286" s="12"/>
    </row>
    <row r="287" spans="2:10" x14ac:dyDescent="0.3">
      <c r="B287" s="29" t="str">
        <f t="shared" si="4"/>
        <v/>
      </c>
      <c r="C287" s="12"/>
      <c r="D287" s="12"/>
      <c r="E287" s="12"/>
      <c r="F287" s="12"/>
      <c r="G287" s="29" t="str">
        <f>IF(LEN($F287)&gt;0,IFERROR(INDEX('90_SEMA'!$G$7:$H$102,MATCH($F287,'90_SEMA'!$B$7:$B$102,0),NYELV_IDX),""),"")</f>
        <v/>
      </c>
      <c r="H287" s="24"/>
      <c r="I287" s="24"/>
      <c r="J287" s="12"/>
    </row>
    <row r="288" spans="2:10" x14ac:dyDescent="0.3">
      <c r="B288" s="29" t="str">
        <f t="shared" si="4"/>
        <v/>
      </c>
      <c r="C288" s="12"/>
      <c r="D288" s="12"/>
      <c r="E288" s="12"/>
      <c r="F288" s="12"/>
      <c r="G288" s="29" t="str">
        <f>IF(LEN($F288)&gt;0,IFERROR(INDEX('90_SEMA'!$G$7:$H$102,MATCH($F288,'90_SEMA'!$B$7:$B$102,0),NYELV_IDX),""),"")</f>
        <v/>
      </c>
      <c r="H288" s="24"/>
      <c r="I288" s="24"/>
      <c r="J288" s="12"/>
    </row>
    <row r="289" spans="2:10" x14ac:dyDescent="0.3">
      <c r="B289" s="29" t="str">
        <f t="shared" si="4"/>
        <v/>
      </c>
      <c r="C289" s="12"/>
      <c r="D289" s="12"/>
      <c r="E289" s="12"/>
      <c r="F289" s="12"/>
      <c r="G289" s="29" t="str">
        <f>IF(LEN($F289)&gt;0,IFERROR(INDEX('90_SEMA'!$G$7:$H$102,MATCH($F289,'90_SEMA'!$B$7:$B$102,0),NYELV_IDX),""),"")</f>
        <v/>
      </c>
      <c r="H289" s="24"/>
      <c r="I289" s="24"/>
      <c r="J289" s="12"/>
    </row>
    <row r="290" spans="2:10" x14ac:dyDescent="0.3">
      <c r="B290" s="29" t="str">
        <f t="shared" si="4"/>
        <v/>
      </c>
      <c r="C290" s="12"/>
      <c r="D290" s="12"/>
      <c r="E290" s="12"/>
      <c r="F290" s="12"/>
      <c r="G290" s="29" t="str">
        <f>IF(LEN($F290)&gt;0,IFERROR(INDEX('90_SEMA'!$G$7:$H$102,MATCH($F290,'90_SEMA'!$B$7:$B$102,0),NYELV_IDX),""),"")</f>
        <v/>
      </c>
      <c r="H290" s="24"/>
      <c r="I290" s="24"/>
      <c r="J290" s="12"/>
    </row>
    <row r="291" spans="2:10" x14ac:dyDescent="0.3">
      <c r="B291" s="29" t="str">
        <f t="shared" si="4"/>
        <v/>
      </c>
      <c r="C291" s="12"/>
      <c r="D291" s="12"/>
      <c r="E291" s="12"/>
      <c r="F291" s="12"/>
      <c r="G291" s="29" t="str">
        <f>IF(LEN($F291)&gt;0,IFERROR(INDEX('90_SEMA'!$G$7:$H$102,MATCH($F291,'90_SEMA'!$B$7:$B$102,0),NYELV_IDX),""),"")</f>
        <v/>
      </c>
      <c r="H291" s="24"/>
      <c r="I291" s="24"/>
      <c r="J291" s="12"/>
    </row>
    <row r="292" spans="2:10" x14ac:dyDescent="0.3">
      <c r="B292" s="29" t="str">
        <f t="shared" si="4"/>
        <v/>
      </c>
      <c r="C292" s="12"/>
      <c r="D292" s="12"/>
      <c r="E292" s="12"/>
      <c r="F292" s="12"/>
      <c r="G292" s="29" t="str">
        <f>IF(LEN($F292)&gt;0,IFERROR(INDEX('90_SEMA'!$G$7:$H$102,MATCH($F292,'90_SEMA'!$B$7:$B$102,0),NYELV_IDX),""),"")</f>
        <v/>
      </c>
      <c r="H292" s="24"/>
      <c r="I292" s="24"/>
      <c r="J292" s="12"/>
    </row>
    <row r="293" spans="2:10" x14ac:dyDescent="0.3">
      <c r="B293" s="29" t="str">
        <f t="shared" si="4"/>
        <v/>
      </c>
      <c r="C293" s="12"/>
      <c r="D293" s="12"/>
      <c r="E293" s="12"/>
      <c r="F293" s="12"/>
      <c r="G293" s="29" t="str">
        <f>IF(LEN($F293)&gt;0,IFERROR(INDEX('90_SEMA'!$G$7:$H$102,MATCH($F293,'90_SEMA'!$B$7:$B$102,0),NYELV_IDX),""),"")</f>
        <v/>
      </c>
      <c r="H293" s="24"/>
      <c r="I293" s="24"/>
      <c r="J293" s="12"/>
    </row>
    <row r="294" spans="2:10" x14ac:dyDescent="0.3">
      <c r="B294" s="29" t="str">
        <f t="shared" si="4"/>
        <v/>
      </c>
      <c r="C294" s="12"/>
      <c r="D294" s="12"/>
      <c r="E294" s="12"/>
      <c r="F294" s="12"/>
      <c r="G294" s="29" t="str">
        <f>IF(LEN($F294)&gt;0,IFERROR(INDEX('90_SEMA'!$G$7:$H$102,MATCH($F294,'90_SEMA'!$B$7:$B$102,0),NYELV_IDX),""),"")</f>
        <v/>
      </c>
      <c r="H294" s="24"/>
      <c r="I294" s="24"/>
      <c r="J294" s="12"/>
    </row>
    <row r="295" spans="2:10" x14ac:dyDescent="0.3">
      <c r="B295" s="29" t="str">
        <f t="shared" si="4"/>
        <v/>
      </c>
      <c r="C295" s="12"/>
      <c r="D295" s="12"/>
      <c r="E295" s="12"/>
      <c r="F295" s="12"/>
      <c r="G295" s="29" t="str">
        <f>IF(LEN($F295)&gt;0,IFERROR(INDEX('90_SEMA'!$G$7:$H$102,MATCH($F295,'90_SEMA'!$B$7:$B$102,0),NYELV_IDX),""),"")</f>
        <v/>
      </c>
      <c r="H295" s="24"/>
      <c r="I295" s="24"/>
      <c r="J295" s="12"/>
    </row>
    <row r="296" spans="2:10" x14ac:dyDescent="0.3">
      <c r="B296" s="29" t="str">
        <f t="shared" si="4"/>
        <v/>
      </c>
      <c r="C296" s="12"/>
      <c r="D296" s="12"/>
      <c r="E296" s="12"/>
      <c r="F296" s="12"/>
      <c r="G296" s="29" t="str">
        <f>IF(LEN($F296)&gt;0,IFERROR(INDEX('90_SEMA'!$G$7:$H$102,MATCH($F296,'90_SEMA'!$B$7:$B$102,0),NYELV_IDX),""),"")</f>
        <v/>
      </c>
      <c r="H296" s="24"/>
      <c r="I296" s="24"/>
      <c r="J296" s="12"/>
    </row>
    <row r="297" spans="2:10" x14ac:dyDescent="0.3">
      <c r="B297" s="29" t="str">
        <f t="shared" si="4"/>
        <v/>
      </c>
      <c r="C297" s="12"/>
      <c r="D297" s="12"/>
      <c r="E297" s="12"/>
      <c r="F297" s="12"/>
      <c r="G297" s="29" t="str">
        <f>IF(LEN($F297)&gt;0,IFERROR(INDEX('90_SEMA'!$G$7:$H$102,MATCH($F297,'90_SEMA'!$B$7:$B$102,0),NYELV_IDX),""),"")</f>
        <v/>
      </c>
      <c r="H297" s="24"/>
      <c r="I297" s="24"/>
      <c r="J297" s="12"/>
    </row>
    <row r="298" spans="2:10" x14ac:dyDescent="0.3">
      <c r="B298" s="29" t="str">
        <f t="shared" si="4"/>
        <v/>
      </c>
      <c r="C298" s="12"/>
      <c r="D298" s="12"/>
      <c r="E298" s="12"/>
      <c r="F298" s="12"/>
      <c r="G298" s="29" t="str">
        <f>IF(LEN($F298)&gt;0,IFERROR(INDEX('90_SEMA'!$G$7:$H$102,MATCH($F298,'90_SEMA'!$B$7:$B$102,0),NYELV_IDX),""),"")</f>
        <v/>
      </c>
      <c r="H298" s="24"/>
      <c r="I298" s="24"/>
      <c r="J298" s="12"/>
    </row>
    <row r="299" spans="2:10" x14ac:dyDescent="0.3">
      <c r="B299" s="29" t="str">
        <f t="shared" si="4"/>
        <v/>
      </c>
      <c r="C299" s="12"/>
      <c r="D299" s="12"/>
      <c r="E299" s="12"/>
      <c r="F299" s="12"/>
      <c r="G299" s="29" t="str">
        <f>IF(LEN($F299)&gt;0,IFERROR(INDEX('90_SEMA'!$G$7:$H$102,MATCH($F299,'90_SEMA'!$B$7:$B$102,0),NYELV_IDX),""),"")</f>
        <v/>
      </c>
      <c r="H299" s="24"/>
      <c r="I299" s="24"/>
      <c r="J299" s="12"/>
    </row>
    <row r="300" spans="2:10" x14ac:dyDescent="0.3">
      <c r="B300" s="29" t="str">
        <f t="shared" si="4"/>
        <v/>
      </c>
      <c r="C300" s="12"/>
      <c r="D300" s="12"/>
      <c r="E300" s="12"/>
      <c r="F300" s="12"/>
      <c r="G300" s="29" t="str">
        <f>IF(LEN($F300)&gt;0,IFERROR(INDEX('90_SEMA'!$G$7:$H$102,MATCH($F300,'90_SEMA'!$B$7:$B$102,0),NYELV_IDX),""),"")</f>
        <v/>
      </c>
      <c r="H300" s="24"/>
      <c r="I300" s="24"/>
      <c r="J300" s="12"/>
    </row>
    <row r="301" spans="2:10" x14ac:dyDescent="0.3">
      <c r="B301" s="29" t="str">
        <f t="shared" si="4"/>
        <v/>
      </c>
      <c r="C301" s="12"/>
      <c r="D301" s="12"/>
      <c r="E301" s="12"/>
      <c r="F301" s="12"/>
      <c r="G301" s="29" t="str">
        <f>IF(LEN($F301)&gt;0,IFERROR(INDEX('90_SEMA'!$G$7:$H$102,MATCH($F301,'90_SEMA'!$B$7:$B$102,0),NYELV_IDX),""),"")</f>
        <v/>
      </c>
      <c r="H301" s="24"/>
      <c r="I301" s="24"/>
      <c r="J301" s="12"/>
    </row>
    <row r="302" spans="2:10" x14ac:dyDescent="0.3">
      <c r="B302" s="29" t="str">
        <f t="shared" si="4"/>
        <v/>
      </c>
      <c r="C302" s="12"/>
      <c r="D302" s="12"/>
      <c r="E302" s="12"/>
      <c r="F302" s="12"/>
      <c r="G302" s="29" t="str">
        <f>IF(LEN($F302)&gt;0,IFERROR(INDEX('90_SEMA'!$G$7:$H$102,MATCH($F302,'90_SEMA'!$B$7:$B$102,0),NYELV_IDX),""),"")</f>
        <v/>
      </c>
      <c r="H302" s="24"/>
      <c r="I302" s="24"/>
      <c r="J302" s="12"/>
    </row>
    <row r="303" spans="2:10" x14ac:dyDescent="0.3">
      <c r="B303" s="29" t="str">
        <f t="shared" si="4"/>
        <v/>
      </c>
      <c r="C303" s="12"/>
      <c r="D303" s="12"/>
      <c r="E303" s="12"/>
      <c r="F303" s="12"/>
      <c r="G303" s="29" t="str">
        <f>IF(LEN($F303)&gt;0,IFERROR(INDEX('90_SEMA'!$G$7:$H$102,MATCH($F303,'90_SEMA'!$B$7:$B$102,0),NYELV_IDX),""),"")</f>
        <v/>
      </c>
      <c r="H303" s="24"/>
      <c r="I303" s="24"/>
      <c r="J303" s="12"/>
    </row>
    <row r="304" spans="2:10" x14ac:dyDescent="0.3">
      <c r="B304" s="29" t="str">
        <f t="shared" si="4"/>
        <v/>
      </c>
      <c r="C304" s="12"/>
      <c r="D304" s="12"/>
      <c r="E304" s="12"/>
      <c r="F304" s="12"/>
      <c r="G304" s="29" t="str">
        <f>IF(LEN($F304)&gt;0,IFERROR(INDEX('90_SEMA'!$G$7:$H$102,MATCH($F304,'90_SEMA'!$B$7:$B$102,0),NYELV_IDX),""),"")</f>
        <v/>
      </c>
      <c r="H304" s="24"/>
      <c r="I304" s="24"/>
      <c r="J304" s="12"/>
    </row>
    <row r="305" spans="2:10" x14ac:dyDescent="0.3">
      <c r="B305" s="29" t="str">
        <f t="shared" si="4"/>
        <v/>
      </c>
      <c r="C305" s="12"/>
      <c r="D305" s="12"/>
      <c r="E305" s="12"/>
      <c r="F305" s="12"/>
      <c r="G305" s="29" t="str">
        <f>IF(LEN($F305)&gt;0,IFERROR(INDEX('90_SEMA'!$G$7:$H$102,MATCH($F305,'90_SEMA'!$B$7:$B$102,0),NYELV_IDX),""),"")</f>
        <v/>
      </c>
      <c r="H305" s="24"/>
      <c r="I305" s="24"/>
      <c r="J305" s="12"/>
    </row>
    <row r="306" spans="2:10" x14ac:dyDescent="0.3">
      <c r="B306" s="29" t="str">
        <f t="shared" si="4"/>
        <v/>
      </c>
      <c r="C306" s="12"/>
      <c r="D306" s="12"/>
      <c r="E306" s="12"/>
      <c r="F306" s="12"/>
      <c r="G306" s="29" t="str">
        <f>IF(LEN($F306)&gt;0,IFERROR(INDEX('90_SEMA'!$G$7:$H$102,MATCH($F306,'90_SEMA'!$B$7:$B$102,0),NYELV_IDX),""),"")</f>
        <v/>
      </c>
      <c r="H306" s="24"/>
      <c r="I306" s="24"/>
      <c r="J306" s="12"/>
    </row>
    <row r="307" spans="2:10" x14ac:dyDescent="0.3">
      <c r="B307" s="29" t="str">
        <f t="shared" si="4"/>
        <v/>
      </c>
      <c r="C307" s="12"/>
      <c r="D307" s="12"/>
      <c r="E307" s="12"/>
      <c r="F307" s="12"/>
      <c r="G307" s="29" t="str">
        <f>IF(LEN($F307)&gt;0,IFERROR(INDEX('90_SEMA'!$G$7:$H$102,MATCH($F307,'90_SEMA'!$B$7:$B$102,0),NYELV_IDX),""),"")</f>
        <v/>
      </c>
      <c r="H307" s="24"/>
      <c r="I307" s="24"/>
      <c r="J307" s="12"/>
    </row>
    <row r="308" spans="2:10" x14ac:dyDescent="0.3">
      <c r="B308" s="29" t="str">
        <f t="shared" si="4"/>
        <v/>
      </c>
      <c r="C308" s="12"/>
      <c r="D308" s="12"/>
      <c r="E308" s="12"/>
      <c r="F308" s="12"/>
      <c r="G308" s="29" t="str">
        <f>IF(LEN($F308)&gt;0,IFERROR(INDEX('90_SEMA'!$G$7:$H$102,MATCH($F308,'90_SEMA'!$B$7:$B$102,0),NYELV_IDX),""),"")</f>
        <v/>
      </c>
      <c r="H308" s="24"/>
      <c r="I308" s="24"/>
      <c r="J308" s="12"/>
    </row>
    <row r="309" spans="2:10" x14ac:dyDescent="0.3">
      <c r="B309" s="29" t="str">
        <f t="shared" si="4"/>
        <v/>
      </c>
      <c r="C309" s="12"/>
      <c r="D309" s="12"/>
      <c r="E309" s="12"/>
      <c r="F309" s="12"/>
      <c r="G309" s="29" t="str">
        <f>IF(LEN($F309)&gt;0,IFERROR(INDEX('90_SEMA'!$G$7:$H$102,MATCH($F309,'90_SEMA'!$B$7:$B$102,0),NYELV_IDX),""),"")</f>
        <v/>
      </c>
      <c r="H309" s="24"/>
      <c r="I309" s="24"/>
      <c r="J309" s="12"/>
    </row>
    <row r="310" spans="2:10" x14ac:dyDescent="0.3">
      <c r="B310" s="29" t="str">
        <f t="shared" si="4"/>
        <v/>
      </c>
      <c r="C310" s="12"/>
      <c r="D310" s="12"/>
      <c r="E310" s="12"/>
      <c r="F310" s="12"/>
      <c r="G310" s="29" t="str">
        <f>IF(LEN($F310)&gt;0,IFERROR(INDEX('90_SEMA'!$G$7:$H$102,MATCH($F310,'90_SEMA'!$B$7:$B$102,0),NYELV_IDX),""),"")</f>
        <v/>
      </c>
      <c r="H310" s="24"/>
      <c r="I310" s="24"/>
      <c r="J310" s="12"/>
    </row>
    <row r="311" spans="2:10" x14ac:dyDescent="0.3">
      <c r="B311" s="29" t="str">
        <f t="shared" si="4"/>
        <v/>
      </c>
      <c r="C311" s="12"/>
      <c r="D311" s="12"/>
      <c r="E311" s="12"/>
      <c r="F311" s="12"/>
      <c r="G311" s="29" t="str">
        <f>IF(LEN($F311)&gt;0,IFERROR(INDEX('90_SEMA'!$G$7:$H$102,MATCH($F311,'90_SEMA'!$B$7:$B$102,0),NYELV_IDX),""),"")</f>
        <v/>
      </c>
      <c r="H311" s="24"/>
      <c r="I311" s="24"/>
      <c r="J311" s="12"/>
    </row>
    <row r="312" spans="2:10" x14ac:dyDescent="0.3">
      <c r="B312" s="29" t="str">
        <f t="shared" si="4"/>
        <v/>
      </c>
      <c r="C312" s="12"/>
      <c r="D312" s="12"/>
      <c r="E312" s="12"/>
      <c r="F312" s="12"/>
      <c r="G312" s="29" t="str">
        <f>IF(LEN($F312)&gt;0,IFERROR(INDEX('90_SEMA'!$G$7:$H$102,MATCH($F312,'90_SEMA'!$B$7:$B$102,0),NYELV_IDX),""),"")</f>
        <v/>
      </c>
      <c r="H312" s="24"/>
      <c r="I312" s="24"/>
      <c r="J312" s="12"/>
    </row>
    <row r="313" spans="2:10" x14ac:dyDescent="0.3">
      <c r="B313" s="29" t="str">
        <f t="shared" si="4"/>
        <v/>
      </c>
      <c r="C313" s="12"/>
      <c r="D313" s="12"/>
      <c r="E313" s="12"/>
      <c r="F313" s="12"/>
      <c r="G313" s="29" t="str">
        <f>IF(LEN($F313)&gt;0,IFERROR(INDEX('90_SEMA'!$G$7:$H$102,MATCH($F313,'90_SEMA'!$B$7:$B$102,0),NYELV_IDX),""),"")</f>
        <v/>
      </c>
      <c r="H313" s="24"/>
      <c r="I313" s="24"/>
      <c r="J313" s="12"/>
    </row>
    <row r="314" spans="2:10" x14ac:dyDescent="0.3">
      <c r="B314" s="29" t="str">
        <f t="shared" si="4"/>
        <v/>
      </c>
      <c r="C314" s="12"/>
      <c r="D314" s="12"/>
      <c r="E314" s="12"/>
      <c r="F314" s="12"/>
      <c r="G314" s="29" t="str">
        <f>IF(LEN($F314)&gt;0,IFERROR(INDEX('90_SEMA'!$G$7:$H$102,MATCH($F314,'90_SEMA'!$B$7:$B$102,0),NYELV_IDX),""),"")</f>
        <v/>
      </c>
      <c r="H314" s="24"/>
      <c r="I314" s="24"/>
      <c r="J314" s="12"/>
    </row>
    <row r="315" spans="2:10" x14ac:dyDescent="0.3">
      <c r="B315" s="29" t="str">
        <f t="shared" si="4"/>
        <v/>
      </c>
      <c r="C315" s="12"/>
      <c r="D315" s="12"/>
      <c r="E315" s="12"/>
      <c r="F315" s="12"/>
      <c r="G315" s="29" t="str">
        <f>IF(LEN($F315)&gt;0,IFERROR(INDEX('90_SEMA'!$G$7:$H$102,MATCH($F315,'90_SEMA'!$B$7:$B$102,0),NYELV_IDX),""),"")</f>
        <v/>
      </c>
      <c r="H315" s="24"/>
      <c r="I315" s="24"/>
      <c r="J315" s="12"/>
    </row>
    <row r="316" spans="2:10" x14ac:dyDescent="0.3">
      <c r="B316" s="29" t="str">
        <f t="shared" si="4"/>
        <v/>
      </c>
      <c r="C316" s="12"/>
      <c r="D316" s="12"/>
      <c r="E316" s="12"/>
      <c r="F316" s="12"/>
      <c r="G316" s="29" t="str">
        <f>IF(LEN($F316)&gt;0,IFERROR(INDEX('90_SEMA'!$G$7:$H$102,MATCH($F316,'90_SEMA'!$B$7:$B$102,0),NYELV_IDX),""),"")</f>
        <v/>
      </c>
      <c r="H316" s="24"/>
      <c r="I316" s="24"/>
      <c r="J316" s="12"/>
    </row>
    <row r="317" spans="2:10" x14ac:dyDescent="0.3">
      <c r="B317" s="29" t="str">
        <f t="shared" si="4"/>
        <v/>
      </c>
      <c r="C317" s="12"/>
      <c r="D317" s="12"/>
      <c r="E317" s="12"/>
      <c r="F317" s="12"/>
      <c r="G317" s="29" t="str">
        <f>IF(LEN($F317)&gt;0,IFERROR(INDEX('90_SEMA'!$G$7:$H$102,MATCH($F317,'90_SEMA'!$B$7:$B$102,0),NYELV_IDX),""),"")</f>
        <v/>
      </c>
      <c r="H317" s="24"/>
      <c r="I317" s="24"/>
      <c r="J317" s="12"/>
    </row>
    <row r="318" spans="2:10" x14ac:dyDescent="0.3">
      <c r="B318" s="29" t="str">
        <f t="shared" si="4"/>
        <v/>
      </c>
      <c r="C318" s="12"/>
      <c r="D318" s="12"/>
      <c r="E318" s="12"/>
      <c r="F318" s="12"/>
      <c r="G318" s="29" t="str">
        <f>IF(LEN($F318)&gt;0,IFERROR(INDEX('90_SEMA'!$G$7:$H$102,MATCH($F318,'90_SEMA'!$B$7:$B$102,0),NYELV_IDX),""),"")</f>
        <v/>
      </c>
      <c r="H318" s="24"/>
      <c r="I318" s="24"/>
      <c r="J318" s="12"/>
    </row>
    <row r="319" spans="2:10" x14ac:dyDescent="0.3">
      <c r="B319" s="29" t="str">
        <f t="shared" si="4"/>
        <v/>
      </c>
      <c r="C319" s="12"/>
      <c r="D319" s="12"/>
      <c r="E319" s="12"/>
      <c r="F319" s="12"/>
      <c r="G319" s="29" t="str">
        <f>IF(LEN($F319)&gt;0,IFERROR(INDEX('90_SEMA'!$G$7:$H$102,MATCH($F319,'90_SEMA'!$B$7:$B$102,0),NYELV_IDX),""),"")</f>
        <v/>
      </c>
      <c r="H319" s="24"/>
      <c r="I319" s="24"/>
      <c r="J319" s="12"/>
    </row>
    <row r="320" spans="2:10" x14ac:dyDescent="0.3">
      <c r="B320" s="29" t="str">
        <f t="shared" si="4"/>
        <v/>
      </c>
      <c r="C320" s="12"/>
      <c r="D320" s="12"/>
      <c r="E320" s="12"/>
      <c r="F320" s="12"/>
      <c r="G320" s="29" t="str">
        <f>IF(LEN($F320)&gt;0,IFERROR(INDEX('90_SEMA'!$G$7:$H$102,MATCH($F320,'90_SEMA'!$B$7:$B$102,0),NYELV_IDX),""),"")</f>
        <v/>
      </c>
      <c r="H320" s="24"/>
      <c r="I320" s="24"/>
      <c r="J320" s="12"/>
    </row>
    <row r="321" spans="2:10" x14ac:dyDescent="0.3">
      <c r="B321" s="29" t="str">
        <f t="shared" si="4"/>
        <v/>
      </c>
      <c r="C321" s="12"/>
      <c r="D321" s="12"/>
      <c r="E321" s="12"/>
      <c r="F321" s="12"/>
      <c r="G321" s="29" t="str">
        <f>IF(LEN($F321)&gt;0,IFERROR(INDEX('90_SEMA'!$G$7:$H$102,MATCH($F321,'90_SEMA'!$B$7:$B$102,0),NYELV_IDX),""),"")</f>
        <v/>
      </c>
      <c r="H321" s="24"/>
      <c r="I321" s="24"/>
      <c r="J321" s="12"/>
    </row>
    <row r="322" spans="2:10" x14ac:dyDescent="0.3">
      <c r="B322" s="29" t="str">
        <f t="shared" si="4"/>
        <v/>
      </c>
      <c r="C322" s="12"/>
      <c r="D322" s="12"/>
      <c r="E322" s="12"/>
      <c r="F322" s="12"/>
      <c r="G322" s="29" t="str">
        <f>IF(LEN($F322)&gt;0,IFERROR(INDEX('90_SEMA'!$G$7:$H$102,MATCH($F322,'90_SEMA'!$B$7:$B$102,0),NYELV_IDX),""),"")</f>
        <v/>
      </c>
      <c r="H322" s="24"/>
      <c r="I322" s="24"/>
      <c r="J322" s="12"/>
    </row>
    <row r="323" spans="2:10" x14ac:dyDescent="0.3">
      <c r="B323" s="29" t="str">
        <f t="shared" si="4"/>
        <v/>
      </c>
      <c r="C323" s="12"/>
      <c r="D323" s="12"/>
      <c r="E323" s="12"/>
      <c r="F323" s="12"/>
      <c r="G323" s="29" t="str">
        <f>IF(LEN($F323)&gt;0,IFERROR(INDEX('90_SEMA'!$G$7:$H$102,MATCH($F323,'90_SEMA'!$B$7:$B$102,0),NYELV_IDX),""),"")</f>
        <v/>
      </c>
      <c r="H323" s="24"/>
      <c r="I323" s="24"/>
      <c r="J323" s="12"/>
    </row>
    <row r="324" spans="2:10" x14ac:dyDescent="0.3">
      <c r="B324" s="29" t="str">
        <f t="shared" si="4"/>
        <v/>
      </c>
      <c r="C324" s="12"/>
      <c r="D324" s="12"/>
      <c r="E324" s="12"/>
      <c r="F324" s="12"/>
      <c r="G324" s="29" t="str">
        <f>IF(LEN($F324)&gt;0,IFERROR(INDEX('90_SEMA'!$G$7:$H$102,MATCH($F324,'90_SEMA'!$B$7:$B$102,0),NYELV_IDX),""),"")</f>
        <v/>
      </c>
      <c r="H324" s="24"/>
      <c r="I324" s="24"/>
      <c r="J324" s="12"/>
    </row>
    <row r="325" spans="2:10" x14ac:dyDescent="0.3">
      <c r="B325" s="29" t="str">
        <f t="shared" si="4"/>
        <v/>
      </c>
      <c r="C325" s="12"/>
      <c r="D325" s="12"/>
      <c r="E325" s="12"/>
      <c r="F325" s="12"/>
      <c r="G325" s="29" t="str">
        <f>IF(LEN($F325)&gt;0,IFERROR(INDEX('90_SEMA'!$G$7:$H$102,MATCH($F325,'90_SEMA'!$B$7:$B$102,0),NYELV_IDX),""),"")</f>
        <v/>
      </c>
      <c r="H325" s="24"/>
      <c r="I325" s="24"/>
      <c r="J325" s="12"/>
    </row>
    <row r="326" spans="2:10" x14ac:dyDescent="0.3">
      <c r="B326" s="29" t="str">
        <f t="shared" si="4"/>
        <v/>
      </c>
      <c r="C326" s="12"/>
      <c r="D326" s="12"/>
      <c r="E326" s="12"/>
      <c r="F326" s="12"/>
      <c r="G326" s="29" t="str">
        <f>IF(LEN($F326)&gt;0,IFERROR(INDEX('90_SEMA'!$G$7:$H$102,MATCH($F326,'90_SEMA'!$B$7:$B$102,0),NYELV_IDX),""),"")</f>
        <v/>
      </c>
      <c r="H326" s="24"/>
      <c r="I326" s="24"/>
      <c r="J326" s="12"/>
    </row>
    <row r="327" spans="2:10" x14ac:dyDescent="0.3">
      <c r="B327" s="29" t="str">
        <f t="shared" ref="B327:B390" si="5">IF(LEN($F327)&gt;0,ROW()-6,"")</f>
        <v/>
      </c>
      <c r="C327" s="12"/>
      <c r="D327" s="12"/>
      <c r="E327" s="12"/>
      <c r="F327" s="12"/>
      <c r="G327" s="29" t="str">
        <f>IF(LEN($F327)&gt;0,IFERROR(INDEX('90_SEMA'!$G$7:$H$102,MATCH($F327,'90_SEMA'!$B$7:$B$102,0),NYELV_IDX),""),"")</f>
        <v/>
      </c>
      <c r="H327" s="24"/>
      <c r="I327" s="24"/>
      <c r="J327" s="12"/>
    </row>
    <row r="328" spans="2:10" x14ac:dyDescent="0.3">
      <c r="B328" s="29" t="str">
        <f t="shared" si="5"/>
        <v/>
      </c>
      <c r="C328" s="12"/>
      <c r="D328" s="12"/>
      <c r="E328" s="12"/>
      <c r="F328" s="12"/>
      <c r="G328" s="29" t="str">
        <f>IF(LEN($F328)&gt;0,IFERROR(INDEX('90_SEMA'!$G$7:$H$102,MATCH($F328,'90_SEMA'!$B$7:$B$102,0),NYELV_IDX),""),"")</f>
        <v/>
      </c>
      <c r="H328" s="24"/>
      <c r="I328" s="24"/>
      <c r="J328" s="12"/>
    </row>
    <row r="329" spans="2:10" x14ac:dyDescent="0.3">
      <c r="B329" s="29" t="str">
        <f t="shared" si="5"/>
        <v/>
      </c>
      <c r="C329" s="12"/>
      <c r="D329" s="12"/>
      <c r="E329" s="12"/>
      <c r="F329" s="12"/>
      <c r="G329" s="29" t="str">
        <f>IF(LEN($F329)&gt;0,IFERROR(INDEX('90_SEMA'!$G$7:$H$102,MATCH($F329,'90_SEMA'!$B$7:$B$102,0),NYELV_IDX),""),"")</f>
        <v/>
      </c>
      <c r="H329" s="24"/>
      <c r="I329" s="24"/>
      <c r="J329" s="12"/>
    </row>
    <row r="330" spans="2:10" x14ac:dyDescent="0.3">
      <c r="B330" s="29" t="str">
        <f t="shared" si="5"/>
        <v/>
      </c>
      <c r="C330" s="12"/>
      <c r="D330" s="12"/>
      <c r="E330" s="12"/>
      <c r="F330" s="12"/>
      <c r="G330" s="29" t="str">
        <f>IF(LEN($F330)&gt;0,IFERROR(INDEX('90_SEMA'!$G$7:$H$102,MATCH($F330,'90_SEMA'!$B$7:$B$102,0),NYELV_IDX),""),"")</f>
        <v/>
      </c>
      <c r="H330" s="24"/>
      <c r="I330" s="24"/>
      <c r="J330" s="12"/>
    </row>
    <row r="331" spans="2:10" x14ac:dyDescent="0.3">
      <c r="B331" s="29" t="str">
        <f t="shared" si="5"/>
        <v/>
      </c>
      <c r="C331" s="12"/>
      <c r="D331" s="12"/>
      <c r="E331" s="12"/>
      <c r="F331" s="12"/>
      <c r="G331" s="29" t="str">
        <f>IF(LEN($F331)&gt;0,IFERROR(INDEX('90_SEMA'!$G$7:$H$102,MATCH($F331,'90_SEMA'!$B$7:$B$102,0),NYELV_IDX),""),"")</f>
        <v/>
      </c>
      <c r="H331" s="24"/>
      <c r="I331" s="24"/>
      <c r="J331" s="12"/>
    </row>
    <row r="332" spans="2:10" x14ac:dyDescent="0.3">
      <c r="B332" s="29" t="str">
        <f t="shared" si="5"/>
        <v/>
      </c>
      <c r="C332" s="12"/>
      <c r="D332" s="12"/>
      <c r="E332" s="12"/>
      <c r="F332" s="12"/>
      <c r="G332" s="29" t="str">
        <f>IF(LEN($F332)&gt;0,IFERROR(INDEX('90_SEMA'!$G$7:$H$102,MATCH($F332,'90_SEMA'!$B$7:$B$102,0),NYELV_IDX),""),"")</f>
        <v/>
      </c>
      <c r="H332" s="24"/>
      <c r="I332" s="24"/>
      <c r="J332" s="12"/>
    </row>
    <row r="333" spans="2:10" x14ac:dyDescent="0.3">
      <c r="B333" s="29" t="str">
        <f t="shared" si="5"/>
        <v/>
      </c>
      <c r="C333" s="12"/>
      <c r="D333" s="12"/>
      <c r="E333" s="12"/>
      <c r="F333" s="12"/>
      <c r="G333" s="29" t="str">
        <f>IF(LEN($F333)&gt;0,IFERROR(INDEX('90_SEMA'!$G$7:$H$102,MATCH($F333,'90_SEMA'!$B$7:$B$102,0),NYELV_IDX),""),"")</f>
        <v/>
      </c>
      <c r="H333" s="24"/>
      <c r="I333" s="24"/>
      <c r="J333" s="12"/>
    </row>
    <row r="334" spans="2:10" x14ac:dyDescent="0.3">
      <c r="B334" s="29" t="str">
        <f t="shared" si="5"/>
        <v/>
      </c>
      <c r="C334" s="12"/>
      <c r="D334" s="12"/>
      <c r="E334" s="12"/>
      <c r="F334" s="12"/>
      <c r="G334" s="29" t="str">
        <f>IF(LEN($F334)&gt;0,IFERROR(INDEX('90_SEMA'!$G$7:$H$102,MATCH($F334,'90_SEMA'!$B$7:$B$102,0),NYELV_IDX),""),"")</f>
        <v/>
      </c>
      <c r="H334" s="24"/>
      <c r="I334" s="24"/>
      <c r="J334" s="12"/>
    </row>
    <row r="335" spans="2:10" x14ac:dyDescent="0.3">
      <c r="B335" s="29" t="str">
        <f t="shared" si="5"/>
        <v/>
      </c>
      <c r="C335" s="12"/>
      <c r="D335" s="12"/>
      <c r="E335" s="12"/>
      <c r="F335" s="12"/>
      <c r="G335" s="29" t="str">
        <f>IF(LEN($F335)&gt;0,IFERROR(INDEX('90_SEMA'!$G$7:$H$102,MATCH($F335,'90_SEMA'!$B$7:$B$102,0),NYELV_IDX),""),"")</f>
        <v/>
      </c>
      <c r="H335" s="24"/>
      <c r="I335" s="24"/>
      <c r="J335" s="12"/>
    </row>
    <row r="336" spans="2:10" x14ac:dyDescent="0.3">
      <c r="B336" s="29" t="str">
        <f t="shared" si="5"/>
        <v/>
      </c>
      <c r="C336" s="12"/>
      <c r="D336" s="12"/>
      <c r="E336" s="12"/>
      <c r="F336" s="12"/>
      <c r="G336" s="29" t="str">
        <f>IF(LEN($F336)&gt;0,IFERROR(INDEX('90_SEMA'!$G$7:$H$102,MATCH($F336,'90_SEMA'!$B$7:$B$102,0),NYELV_IDX),""),"")</f>
        <v/>
      </c>
      <c r="H336" s="24"/>
      <c r="I336" s="24"/>
      <c r="J336" s="12"/>
    </row>
    <row r="337" spans="2:10" x14ac:dyDescent="0.3">
      <c r="B337" s="29" t="str">
        <f t="shared" si="5"/>
        <v/>
      </c>
      <c r="C337" s="12"/>
      <c r="D337" s="12"/>
      <c r="E337" s="12"/>
      <c r="F337" s="12"/>
      <c r="G337" s="29" t="str">
        <f>IF(LEN($F337)&gt;0,IFERROR(INDEX('90_SEMA'!$G$7:$H$102,MATCH($F337,'90_SEMA'!$B$7:$B$102,0),NYELV_IDX),""),"")</f>
        <v/>
      </c>
      <c r="H337" s="24"/>
      <c r="I337" s="24"/>
      <c r="J337" s="12"/>
    </row>
    <row r="338" spans="2:10" x14ac:dyDescent="0.3">
      <c r="B338" s="29" t="str">
        <f t="shared" si="5"/>
        <v/>
      </c>
      <c r="C338" s="12"/>
      <c r="D338" s="12"/>
      <c r="E338" s="12"/>
      <c r="F338" s="12"/>
      <c r="G338" s="29" t="str">
        <f>IF(LEN($F338)&gt;0,IFERROR(INDEX('90_SEMA'!$G$7:$H$102,MATCH($F338,'90_SEMA'!$B$7:$B$102,0),NYELV_IDX),""),"")</f>
        <v/>
      </c>
      <c r="H338" s="24"/>
      <c r="I338" s="24"/>
      <c r="J338" s="12"/>
    </row>
    <row r="339" spans="2:10" x14ac:dyDescent="0.3">
      <c r="B339" s="29" t="str">
        <f t="shared" si="5"/>
        <v/>
      </c>
      <c r="C339" s="12"/>
      <c r="D339" s="12"/>
      <c r="E339" s="12"/>
      <c r="F339" s="12"/>
      <c r="G339" s="29" t="str">
        <f>IF(LEN($F339)&gt;0,IFERROR(INDEX('90_SEMA'!$G$7:$H$102,MATCH($F339,'90_SEMA'!$B$7:$B$102,0),NYELV_IDX),""),"")</f>
        <v/>
      </c>
      <c r="H339" s="24"/>
      <c r="I339" s="24"/>
      <c r="J339" s="12"/>
    </row>
    <row r="340" spans="2:10" x14ac:dyDescent="0.3">
      <c r="B340" s="29" t="str">
        <f t="shared" si="5"/>
        <v/>
      </c>
      <c r="C340" s="12"/>
      <c r="D340" s="12"/>
      <c r="E340" s="12"/>
      <c r="F340" s="12"/>
      <c r="G340" s="29" t="str">
        <f>IF(LEN($F340)&gt;0,IFERROR(INDEX('90_SEMA'!$G$7:$H$102,MATCH($F340,'90_SEMA'!$B$7:$B$102,0),NYELV_IDX),""),"")</f>
        <v/>
      </c>
      <c r="H340" s="24"/>
      <c r="I340" s="24"/>
      <c r="J340" s="12"/>
    </row>
    <row r="341" spans="2:10" x14ac:dyDescent="0.3">
      <c r="B341" s="29" t="str">
        <f t="shared" si="5"/>
        <v/>
      </c>
      <c r="C341" s="12"/>
      <c r="D341" s="12"/>
      <c r="E341" s="12"/>
      <c r="F341" s="12"/>
      <c r="G341" s="29" t="str">
        <f>IF(LEN($F341)&gt;0,IFERROR(INDEX('90_SEMA'!$G$7:$H$102,MATCH($F341,'90_SEMA'!$B$7:$B$102,0),NYELV_IDX),""),"")</f>
        <v/>
      </c>
      <c r="H341" s="24"/>
      <c r="I341" s="24"/>
      <c r="J341" s="12"/>
    </row>
    <row r="342" spans="2:10" x14ac:dyDescent="0.3">
      <c r="B342" s="29" t="str">
        <f t="shared" si="5"/>
        <v/>
      </c>
      <c r="C342" s="12"/>
      <c r="D342" s="12"/>
      <c r="E342" s="12"/>
      <c r="F342" s="12"/>
      <c r="G342" s="29" t="str">
        <f>IF(LEN($F342)&gt;0,IFERROR(INDEX('90_SEMA'!$G$7:$H$102,MATCH($F342,'90_SEMA'!$B$7:$B$102,0),NYELV_IDX),""),"")</f>
        <v/>
      </c>
      <c r="H342" s="24"/>
      <c r="I342" s="24"/>
      <c r="J342" s="12"/>
    </row>
    <row r="343" spans="2:10" x14ac:dyDescent="0.3">
      <c r="B343" s="29" t="str">
        <f t="shared" si="5"/>
        <v/>
      </c>
      <c r="C343" s="12"/>
      <c r="D343" s="12"/>
      <c r="E343" s="12"/>
      <c r="F343" s="12"/>
      <c r="G343" s="29" t="str">
        <f>IF(LEN($F343)&gt;0,IFERROR(INDEX('90_SEMA'!$G$7:$H$102,MATCH($F343,'90_SEMA'!$B$7:$B$102,0),NYELV_IDX),""),"")</f>
        <v/>
      </c>
      <c r="H343" s="24"/>
      <c r="I343" s="24"/>
      <c r="J343" s="12"/>
    </row>
    <row r="344" spans="2:10" x14ac:dyDescent="0.3">
      <c r="B344" s="29" t="str">
        <f t="shared" si="5"/>
        <v/>
      </c>
      <c r="C344" s="12"/>
      <c r="D344" s="12"/>
      <c r="E344" s="12"/>
      <c r="F344" s="12"/>
      <c r="G344" s="29" t="str">
        <f>IF(LEN($F344)&gt;0,IFERROR(INDEX('90_SEMA'!$G$7:$H$102,MATCH($F344,'90_SEMA'!$B$7:$B$102,0),NYELV_IDX),""),"")</f>
        <v/>
      </c>
      <c r="H344" s="24"/>
      <c r="I344" s="24"/>
      <c r="J344" s="12"/>
    </row>
    <row r="345" spans="2:10" x14ac:dyDescent="0.3">
      <c r="B345" s="29" t="str">
        <f t="shared" si="5"/>
        <v/>
      </c>
      <c r="C345" s="12"/>
      <c r="D345" s="12"/>
      <c r="E345" s="12"/>
      <c r="F345" s="12"/>
      <c r="G345" s="29" t="str">
        <f>IF(LEN($F345)&gt;0,IFERROR(INDEX('90_SEMA'!$G$7:$H$102,MATCH($F345,'90_SEMA'!$B$7:$B$102,0),NYELV_IDX),""),"")</f>
        <v/>
      </c>
      <c r="H345" s="24"/>
      <c r="I345" s="24"/>
      <c r="J345" s="12"/>
    </row>
    <row r="346" spans="2:10" x14ac:dyDescent="0.3">
      <c r="B346" s="29" t="str">
        <f t="shared" si="5"/>
        <v/>
      </c>
      <c r="C346" s="12"/>
      <c r="D346" s="12"/>
      <c r="E346" s="12"/>
      <c r="F346" s="12"/>
      <c r="G346" s="29" t="str">
        <f>IF(LEN($F346)&gt;0,IFERROR(INDEX('90_SEMA'!$G$7:$H$102,MATCH($F346,'90_SEMA'!$B$7:$B$102,0),NYELV_IDX),""),"")</f>
        <v/>
      </c>
      <c r="H346" s="24"/>
      <c r="I346" s="24"/>
      <c r="J346" s="12"/>
    </row>
    <row r="347" spans="2:10" x14ac:dyDescent="0.3">
      <c r="B347" s="29" t="str">
        <f t="shared" si="5"/>
        <v/>
      </c>
      <c r="C347" s="12"/>
      <c r="D347" s="12"/>
      <c r="E347" s="12"/>
      <c r="F347" s="12"/>
      <c r="G347" s="29" t="str">
        <f>IF(LEN($F347)&gt;0,IFERROR(INDEX('90_SEMA'!$G$7:$H$102,MATCH($F347,'90_SEMA'!$B$7:$B$102,0),NYELV_IDX),""),"")</f>
        <v/>
      </c>
      <c r="H347" s="24"/>
      <c r="I347" s="24"/>
      <c r="J347" s="12"/>
    </row>
    <row r="348" spans="2:10" x14ac:dyDescent="0.3">
      <c r="B348" s="29" t="str">
        <f t="shared" si="5"/>
        <v/>
      </c>
      <c r="C348" s="12"/>
      <c r="D348" s="12"/>
      <c r="E348" s="12"/>
      <c r="F348" s="12"/>
      <c r="G348" s="29" t="str">
        <f>IF(LEN($F348)&gt;0,IFERROR(INDEX('90_SEMA'!$G$7:$H$102,MATCH($F348,'90_SEMA'!$B$7:$B$102,0),NYELV_IDX),""),"")</f>
        <v/>
      </c>
      <c r="H348" s="24"/>
      <c r="I348" s="24"/>
      <c r="J348" s="12"/>
    </row>
    <row r="349" spans="2:10" x14ac:dyDescent="0.3">
      <c r="B349" s="29" t="str">
        <f t="shared" si="5"/>
        <v/>
      </c>
      <c r="C349" s="12"/>
      <c r="D349" s="12"/>
      <c r="E349" s="12"/>
      <c r="F349" s="12"/>
      <c r="G349" s="29" t="str">
        <f>IF(LEN($F349)&gt;0,IFERROR(INDEX('90_SEMA'!$G$7:$H$102,MATCH($F349,'90_SEMA'!$B$7:$B$102,0),NYELV_IDX),""),"")</f>
        <v/>
      </c>
      <c r="H349" s="24"/>
      <c r="I349" s="24"/>
      <c r="J349" s="12"/>
    </row>
    <row r="350" spans="2:10" x14ac:dyDescent="0.3">
      <c r="B350" s="29" t="str">
        <f t="shared" si="5"/>
        <v/>
      </c>
      <c r="C350" s="12"/>
      <c r="D350" s="12"/>
      <c r="E350" s="12"/>
      <c r="F350" s="12"/>
      <c r="G350" s="29" t="str">
        <f>IF(LEN($F350)&gt;0,IFERROR(INDEX('90_SEMA'!$G$7:$H$102,MATCH($F350,'90_SEMA'!$B$7:$B$102,0),NYELV_IDX),""),"")</f>
        <v/>
      </c>
      <c r="H350" s="24"/>
      <c r="I350" s="24"/>
      <c r="J350" s="12"/>
    </row>
    <row r="351" spans="2:10" x14ac:dyDescent="0.3">
      <c r="B351" s="29" t="str">
        <f t="shared" si="5"/>
        <v/>
      </c>
      <c r="C351" s="12"/>
      <c r="D351" s="12"/>
      <c r="E351" s="12"/>
      <c r="F351" s="12"/>
      <c r="G351" s="29" t="str">
        <f>IF(LEN($F351)&gt;0,IFERROR(INDEX('90_SEMA'!$G$7:$H$102,MATCH($F351,'90_SEMA'!$B$7:$B$102,0),NYELV_IDX),""),"")</f>
        <v/>
      </c>
      <c r="H351" s="24"/>
      <c r="I351" s="24"/>
      <c r="J351" s="12"/>
    </row>
    <row r="352" spans="2:10" x14ac:dyDescent="0.3">
      <c r="B352" s="29" t="str">
        <f t="shared" si="5"/>
        <v/>
      </c>
      <c r="C352" s="12"/>
      <c r="D352" s="12"/>
      <c r="E352" s="12"/>
      <c r="F352" s="12"/>
      <c r="G352" s="29" t="str">
        <f>IF(LEN($F352)&gt;0,IFERROR(INDEX('90_SEMA'!$G$7:$H$102,MATCH($F352,'90_SEMA'!$B$7:$B$102,0),NYELV_IDX),""),"")</f>
        <v/>
      </c>
      <c r="H352" s="24"/>
      <c r="I352" s="24"/>
      <c r="J352" s="12"/>
    </row>
    <row r="353" spans="2:10" x14ac:dyDescent="0.3">
      <c r="B353" s="29" t="str">
        <f t="shared" si="5"/>
        <v/>
      </c>
      <c r="C353" s="12"/>
      <c r="D353" s="12"/>
      <c r="E353" s="12"/>
      <c r="F353" s="12"/>
      <c r="G353" s="29" t="str">
        <f>IF(LEN($F353)&gt;0,IFERROR(INDEX('90_SEMA'!$G$7:$H$102,MATCH($F353,'90_SEMA'!$B$7:$B$102,0),NYELV_IDX),""),"")</f>
        <v/>
      </c>
      <c r="H353" s="24"/>
      <c r="I353" s="24"/>
      <c r="J353" s="12"/>
    </row>
    <row r="354" spans="2:10" x14ac:dyDescent="0.3">
      <c r="B354" s="29" t="str">
        <f t="shared" si="5"/>
        <v/>
      </c>
      <c r="C354" s="12"/>
      <c r="D354" s="12"/>
      <c r="E354" s="12"/>
      <c r="F354" s="12"/>
      <c r="G354" s="29" t="str">
        <f>IF(LEN($F354)&gt;0,IFERROR(INDEX('90_SEMA'!$G$7:$H$102,MATCH($F354,'90_SEMA'!$B$7:$B$102,0),NYELV_IDX),""),"")</f>
        <v/>
      </c>
      <c r="H354" s="24"/>
      <c r="I354" s="24"/>
      <c r="J354" s="12"/>
    </row>
    <row r="355" spans="2:10" x14ac:dyDescent="0.3">
      <c r="B355" s="29" t="str">
        <f t="shared" si="5"/>
        <v/>
      </c>
      <c r="C355" s="12"/>
      <c r="D355" s="12"/>
      <c r="E355" s="12"/>
      <c r="F355" s="12"/>
      <c r="G355" s="29" t="str">
        <f>IF(LEN($F355)&gt;0,IFERROR(INDEX('90_SEMA'!$G$7:$H$102,MATCH($F355,'90_SEMA'!$B$7:$B$102,0),NYELV_IDX),""),"")</f>
        <v/>
      </c>
      <c r="H355" s="24"/>
      <c r="I355" s="24"/>
      <c r="J355" s="12"/>
    </row>
    <row r="356" spans="2:10" x14ac:dyDescent="0.3">
      <c r="B356" s="29" t="str">
        <f t="shared" si="5"/>
        <v/>
      </c>
      <c r="C356" s="12"/>
      <c r="D356" s="12"/>
      <c r="E356" s="12"/>
      <c r="F356" s="12"/>
      <c r="G356" s="29" t="str">
        <f>IF(LEN($F356)&gt;0,IFERROR(INDEX('90_SEMA'!$G$7:$H$102,MATCH($F356,'90_SEMA'!$B$7:$B$102,0),NYELV_IDX),""),"")</f>
        <v/>
      </c>
      <c r="H356" s="24"/>
      <c r="I356" s="24"/>
      <c r="J356" s="12"/>
    </row>
    <row r="357" spans="2:10" x14ac:dyDescent="0.3">
      <c r="B357" s="29" t="str">
        <f t="shared" si="5"/>
        <v/>
      </c>
      <c r="C357" s="12"/>
      <c r="D357" s="12"/>
      <c r="E357" s="12"/>
      <c r="F357" s="12"/>
      <c r="G357" s="29" t="str">
        <f>IF(LEN($F357)&gt;0,IFERROR(INDEX('90_SEMA'!$G$7:$H$102,MATCH($F357,'90_SEMA'!$B$7:$B$102,0),NYELV_IDX),""),"")</f>
        <v/>
      </c>
      <c r="H357" s="24"/>
      <c r="I357" s="24"/>
      <c r="J357" s="12"/>
    </row>
    <row r="358" spans="2:10" x14ac:dyDescent="0.3">
      <c r="B358" s="29" t="str">
        <f t="shared" si="5"/>
        <v/>
      </c>
      <c r="C358" s="12"/>
      <c r="D358" s="12"/>
      <c r="E358" s="12"/>
      <c r="F358" s="12"/>
      <c r="G358" s="29" t="str">
        <f>IF(LEN($F358)&gt;0,IFERROR(INDEX('90_SEMA'!$G$7:$H$102,MATCH($F358,'90_SEMA'!$B$7:$B$102,0),NYELV_IDX),""),"")</f>
        <v/>
      </c>
      <c r="H358" s="24"/>
      <c r="I358" s="24"/>
      <c r="J358" s="12"/>
    </row>
    <row r="359" spans="2:10" x14ac:dyDescent="0.3">
      <c r="B359" s="29" t="str">
        <f t="shared" si="5"/>
        <v/>
      </c>
      <c r="C359" s="12"/>
      <c r="D359" s="12"/>
      <c r="E359" s="12"/>
      <c r="F359" s="12"/>
      <c r="G359" s="29" t="str">
        <f>IF(LEN($F359)&gt;0,IFERROR(INDEX('90_SEMA'!$G$7:$H$102,MATCH($F359,'90_SEMA'!$B$7:$B$102,0),NYELV_IDX),""),"")</f>
        <v/>
      </c>
      <c r="H359" s="24"/>
      <c r="I359" s="24"/>
      <c r="J359" s="12"/>
    </row>
    <row r="360" spans="2:10" x14ac:dyDescent="0.3">
      <c r="B360" s="29" t="str">
        <f t="shared" si="5"/>
        <v/>
      </c>
      <c r="C360" s="12"/>
      <c r="D360" s="12"/>
      <c r="E360" s="12"/>
      <c r="F360" s="12"/>
      <c r="G360" s="29" t="str">
        <f>IF(LEN($F360)&gt;0,IFERROR(INDEX('90_SEMA'!$G$7:$H$102,MATCH($F360,'90_SEMA'!$B$7:$B$102,0),NYELV_IDX),""),"")</f>
        <v/>
      </c>
      <c r="H360" s="24"/>
      <c r="I360" s="24"/>
      <c r="J360" s="12"/>
    </row>
    <row r="361" spans="2:10" x14ac:dyDescent="0.3">
      <c r="B361" s="29" t="str">
        <f t="shared" si="5"/>
        <v/>
      </c>
      <c r="C361" s="12"/>
      <c r="D361" s="12"/>
      <c r="E361" s="12"/>
      <c r="F361" s="12"/>
      <c r="G361" s="29" t="str">
        <f>IF(LEN($F361)&gt;0,IFERROR(INDEX('90_SEMA'!$G$7:$H$102,MATCH($F361,'90_SEMA'!$B$7:$B$102,0),NYELV_IDX),""),"")</f>
        <v/>
      </c>
      <c r="H361" s="24"/>
      <c r="I361" s="24"/>
      <c r="J361" s="12"/>
    </row>
    <row r="362" spans="2:10" x14ac:dyDescent="0.3">
      <c r="B362" s="29" t="str">
        <f t="shared" si="5"/>
        <v/>
      </c>
      <c r="C362" s="12"/>
      <c r="D362" s="12"/>
      <c r="E362" s="12"/>
      <c r="F362" s="12"/>
      <c r="G362" s="29" t="str">
        <f>IF(LEN($F362)&gt;0,IFERROR(INDEX('90_SEMA'!$G$7:$H$102,MATCH($F362,'90_SEMA'!$B$7:$B$102,0),NYELV_IDX),""),"")</f>
        <v/>
      </c>
      <c r="H362" s="24"/>
      <c r="I362" s="24"/>
      <c r="J362" s="12"/>
    </row>
    <row r="363" spans="2:10" x14ac:dyDescent="0.3">
      <c r="B363" s="29" t="str">
        <f t="shared" si="5"/>
        <v/>
      </c>
      <c r="C363" s="12"/>
      <c r="D363" s="12"/>
      <c r="E363" s="12"/>
      <c r="F363" s="12"/>
      <c r="G363" s="29" t="str">
        <f>IF(LEN($F363)&gt;0,IFERROR(INDEX('90_SEMA'!$G$7:$H$102,MATCH($F363,'90_SEMA'!$B$7:$B$102,0),NYELV_IDX),""),"")</f>
        <v/>
      </c>
      <c r="H363" s="24"/>
      <c r="I363" s="24"/>
      <c r="J363" s="12"/>
    </row>
    <row r="364" spans="2:10" x14ac:dyDescent="0.3">
      <c r="B364" s="29" t="str">
        <f t="shared" si="5"/>
        <v/>
      </c>
      <c r="C364" s="12"/>
      <c r="D364" s="12"/>
      <c r="E364" s="12"/>
      <c r="F364" s="12"/>
      <c r="G364" s="29" t="str">
        <f>IF(LEN($F364)&gt;0,IFERROR(INDEX('90_SEMA'!$G$7:$H$102,MATCH($F364,'90_SEMA'!$B$7:$B$102,0),NYELV_IDX),""),"")</f>
        <v/>
      </c>
      <c r="H364" s="24"/>
      <c r="I364" s="24"/>
      <c r="J364" s="12"/>
    </row>
    <row r="365" spans="2:10" x14ac:dyDescent="0.3">
      <c r="B365" s="29" t="str">
        <f t="shared" si="5"/>
        <v/>
      </c>
      <c r="C365" s="12"/>
      <c r="D365" s="12"/>
      <c r="E365" s="12"/>
      <c r="F365" s="12"/>
      <c r="G365" s="29" t="str">
        <f>IF(LEN($F365)&gt;0,IFERROR(INDEX('90_SEMA'!$G$7:$H$102,MATCH($F365,'90_SEMA'!$B$7:$B$102,0),NYELV_IDX),""),"")</f>
        <v/>
      </c>
      <c r="H365" s="24"/>
      <c r="I365" s="24"/>
      <c r="J365" s="12"/>
    </row>
    <row r="366" spans="2:10" x14ac:dyDescent="0.3">
      <c r="B366" s="29" t="str">
        <f t="shared" si="5"/>
        <v/>
      </c>
      <c r="C366" s="12"/>
      <c r="D366" s="12"/>
      <c r="E366" s="12"/>
      <c r="F366" s="12"/>
      <c r="G366" s="29" t="str">
        <f>IF(LEN($F366)&gt;0,IFERROR(INDEX('90_SEMA'!$G$7:$H$102,MATCH($F366,'90_SEMA'!$B$7:$B$102,0),NYELV_IDX),""),"")</f>
        <v/>
      </c>
      <c r="H366" s="24"/>
      <c r="I366" s="24"/>
      <c r="J366" s="12"/>
    </row>
    <row r="367" spans="2:10" x14ac:dyDescent="0.3">
      <c r="B367" s="29" t="str">
        <f t="shared" si="5"/>
        <v/>
      </c>
      <c r="C367" s="12"/>
      <c r="D367" s="12"/>
      <c r="E367" s="12"/>
      <c r="F367" s="12"/>
      <c r="G367" s="29" t="str">
        <f>IF(LEN($F367)&gt;0,IFERROR(INDEX('90_SEMA'!$G$7:$H$102,MATCH($F367,'90_SEMA'!$B$7:$B$102,0),NYELV_IDX),""),"")</f>
        <v/>
      </c>
      <c r="H367" s="24"/>
      <c r="I367" s="24"/>
      <c r="J367" s="12"/>
    </row>
    <row r="368" spans="2:10" x14ac:dyDescent="0.3">
      <c r="B368" s="29" t="str">
        <f t="shared" si="5"/>
        <v/>
      </c>
      <c r="C368" s="12"/>
      <c r="D368" s="12"/>
      <c r="E368" s="12"/>
      <c r="F368" s="12"/>
      <c r="G368" s="29" t="str">
        <f>IF(LEN($F368)&gt;0,IFERROR(INDEX('90_SEMA'!$G$7:$H$102,MATCH($F368,'90_SEMA'!$B$7:$B$102,0),NYELV_IDX),""),"")</f>
        <v/>
      </c>
      <c r="H368" s="24"/>
      <c r="I368" s="24"/>
      <c r="J368" s="12"/>
    </row>
    <row r="369" spans="2:10" x14ac:dyDescent="0.3">
      <c r="B369" s="29" t="str">
        <f t="shared" si="5"/>
        <v/>
      </c>
      <c r="C369" s="12"/>
      <c r="D369" s="12"/>
      <c r="E369" s="12"/>
      <c r="F369" s="12"/>
      <c r="G369" s="29" t="str">
        <f>IF(LEN($F369)&gt;0,IFERROR(INDEX('90_SEMA'!$G$7:$H$102,MATCH($F369,'90_SEMA'!$B$7:$B$102,0),NYELV_IDX),""),"")</f>
        <v/>
      </c>
      <c r="H369" s="24"/>
      <c r="I369" s="24"/>
      <c r="J369" s="12"/>
    </row>
    <row r="370" spans="2:10" x14ac:dyDescent="0.3">
      <c r="B370" s="29" t="str">
        <f t="shared" si="5"/>
        <v/>
      </c>
      <c r="C370" s="12"/>
      <c r="D370" s="12"/>
      <c r="E370" s="12"/>
      <c r="F370" s="12"/>
      <c r="G370" s="29" t="str">
        <f>IF(LEN($F370)&gt;0,IFERROR(INDEX('90_SEMA'!$G$7:$H$102,MATCH($F370,'90_SEMA'!$B$7:$B$102,0),NYELV_IDX),""),"")</f>
        <v/>
      </c>
      <c r="H370" s="24"/>
      <c r="I370" s="24"/>
      <c r="J370" s="12"/>
    </row>
    <row r="371" spans="2:10" x14ac:dyDescent="0.3">
      <c r="B371" s="29" t="str">
        <f t="shared" si="5"/>
        <v/>
      </c>
      <c r="C371" s="12"/>
      <c r="D371" s="12"/>
      <c r="E371" s="12"/>
      <c r="F371" s="12"/>
      <c r="G371" s="29" t="str">
        <f>IF(LEN($F371)&gt;0,IFERROR(INDEX('90_SEMA'!$G$7:$H$102,MATCH($F371,'90_SEMA'!$B$7:$B$102,0),NYELV_IDX),""),"")</f>
        <v/>
      </c>
      <c r="H371" s="24"/>
      <c r="I371" s="24"/>
      <c r="J371" s="12"/>
    </row>
    <row r="372" spans="2:10" x14ac:dyDescent="0.3">
      <c r="B372" s="29" t="str">
        <f t="shared" si="5"/>
        <v/>
      </c>
      <c r="C372" s="12"/>
      <c r="D372" s="12"/>
      <c r="E372" s="12"/>
      <c r="F372" s="12"/>
      <c r="G372" s="29" t="str">
        <f>IF(LEN($F372)&gt;0,IFERROR(INDEX('90_SEMA'!$G$7:$H$102,MATCH($F372,'90_SEMA'!$B$7:$B$102,0),NYELV_IDX),""),"")</f>
        <v/>
      </c>
      <c r="H372" s="24"/>
      <c r="I372" s="24"/>
      <c r="J372" s="12"/>
    </row>
    <row r="373" spans="2:10" x14ac:dyDescent="0.3">
      <c r="B373" s="29" t="str">
        <f t="shared" si="5"/>
        <v/>
      </c>
      <c r="C373" s="12"/>
      <c r="D373" s="12"/>
      <c r="E373" s="12"/>
      <c r="F373" s="12"/>
      <c r="G373" s="29" t="str">
        <f>IF(LEN($F373)&gt;0,IFERROR(INDEX('90_SEMA'!$G$7:$H$102,MATCH($F373,'90_SEMA'!$B$7:$B$102,0),NYELV_IDX),""),"")</f>
        <v/>
      </c>
      <c r="H373" s="24"/>
      <c r="I373" s="24"/>
      <c r="J373" s="12"/>
    </row>
    <row r="374" spans="2:10" x14ac:dyDescent="0.3">
      <c r="B374" s="29" t="str">
        <f t="shared" si="5"/>
        <v/>
      </c>
      <c r="C374" s="12"/>
      <c r="D374" s="12"/>
      <c r="E374" s="12"/>
      <c r="F374" s="12"/>
      <c r="G374" s="29" t="str">
        <f>IF(LEN($F374)&gt;0,IFERROR(INDEX('90_SEMA'!$G$7:$H$102,MATCH($F374,'90_SEMA'!$B$7:$B$102,0),NYELV_IDX),""),"")</f>
        <v/>
      </c>
      <c r="H374" s="24"/>
      <c r="I374" s="24"/>
      <c r="J374" s="12"/>
    </row>
    <row r="375" spans="2:10" x14ac:dyDescent="0.3">
      <c r="B375" s="29" t="str">
        <f t="shared" si="5"/>
        <v/>
      </c>
      <c r="C375" s="12"/>
      <c r="D375" s="12"/>
      <c r="E375" s="12"/>
      <c r="F375" s="12"/>
      <c r="G375" s="29" t="str">
        <f>IF(LEN($F375)&gt;0,IFERROR(INDEX('90_SEMA'!$G$7:$H$102,MATCH($F375,'90_SEMA'!$B$7:$B$102,0),NYELV_IDX),""),"")</f>
        <v/>
      </c>
      <c r="H375" s="24"/>
      <c r="I375" s="24"/>
      <c r="J375" s="12"/>
    </row>
    <row r="376" spans="2:10" x14ac:dyDescent="0.3">
      <c r="B376" s="29" t="str">
        <f t="shared" si="5"/>
        <v/>
      </c>
      <c r="C376" s="12"/>
      <c r="D376" s="12"/>
      <c r="E376" s="12"/>
      <c r="F376" s="12"/>
      <c r="G376" s="29" t="str">
        <f>IF(LEN($F376)&gt;0,IFERROR(INDEX('90_SEMA'!$G$7:$H$102,MATCH($F376,'90_SEMA'!$B$7:$B$102,0),NYELV_IDX),""),"")</f>
        <v/>
      </c>
      <c r="H376" s="24"/>
      <c r="I376" s="24"/>
      <c r="J376" s="12"/>
    </row>
    <row r="377" spans="2:10" x14ac:dyDescent="0.3">
      <c r="B377" s="29" t="str">
        <f t="shared" si="5"/>
        <v/>
      </c>
      <c r="C377" s="12"/>
      <c r="D377" s="12"/>
      <c r="E377" s="12"/>
      <c r="F377" s="12"/>
      <c r="G377" s="29" t="str">
        <f>IF(LEN($F377)&gt;0,IFERROR(INDEX('90_SEMA'!$G$7:$H$102,MATCH($F377,'90_SEMA'!$B$7:$B$102,0),NYELV_IDX),""),"")</f>
        <v/>
      </c>
      <c r="H377" s="24"/>
      <c r="I377" s="24"/>
      <c r="J377" s="12"/>
    </row>
    <row r="378" spans="2:10" x14ac:dyDescent="0.3">
      <c r="B378" s="29" t="str">
        <f t="shared" si="5"/>
        <v/>
      </c>
      <c r="C378" s="12"/>
      <c r="D378" s="12"/>
      <c r="E378" s="12"/>
      <c r="F378" s="12"/>
      <c r="G378" s="29" t="str">
        <f>IF(LEN($F378)&gt;0,IFERROR(INDEX('90_SEMA'!$G$7:$H$102,MATCH($F378,'90_SEMA'!$B$7:$B$102,0),NYELV_IDX),""),"")</f>
        <v/>
      </c>
      <c r="H378" s="24"/>
      <c r="I378" s="24"/>
      <c r="J378" s="12"/>
    </row>
    <row r="379" spans="2:10" x14ac:dyDescent="0.3">
      <c r="B379" s="29" t="str">
        <f t="shared" si="5"/>
        <v/>
      </c>
      <c r="C379" s="12"/>
      <c r="D379" s="12"/>
      <c r="E379" s="12"/>
      <c r="F379" s="12"/>
      <c r="G379" s="29" t="str">
        <f>IF(LEN($F379)&gt;0,IFERROR(INDEX('90_SEMA'!$G$7:$H$102,MATCH($F379,'90_SEMA'!$B$7:$B$102,0),NYELV_IDX),""),"")</f>
        <v/>
      </c>
      <c r="H379" s="24"/>
      <c r="I379" s="24"/>
      <c r="J379" s="12"/>
    </row>
    <row r="380" spans="2:10" x14ac:dyDescent="0.3">
      <c r="B380" s="29" t="str">
        <f t="shared" si="5"/>
        <v/>
      </c>
      <c r="C380" s="12"/>
      <c r="D380" s="12"/>
      <c r="E380" s="12"/>
      <c r="F380" s="12"/>
      <c r="G380" s="29" t="str">
        <f>IF(LEN($F380)&gt;0,IFERROR(INDEX('90_SEMA'!$G$7:$H$102,MATCH($F380,'90_SEMA'!$B$7:$B$102,0),NYELV_IDX),""),"")</f>
        <v/>
      </c>
      <c r="H380" s="24"/>
      <c r="I380" s="24"/>
      <c r="J380" s="12"/>
    </row>
    <row r="381" spans="2:10" x14ac:dyDescent="0.3">
      <c r="B381" s="29" t="str">
        <f t="shared" si="5"/>
        <v/>
      </c>
      <c r="C381" s="12"/>
      <c r="D381" s="12"/>
      <c r="E381" s="12"/>
      <c r="F381" s="12"/>
      <c r="G381" s="29" t="str">
        <f>IF(LEN($F381)&gt;0,IFERROR(INDEX('90_SEMA'!$G$7:$H$102,MATCH($F381,'90_SEMA'!$B$7:$B$102,0),NYELV_IDX),""),"")</f>
        <v/>
      </c>
      <c r="H381" s="24"/>
      <c r="I381" s="24"/>
      <c r="J381" s="12"/>
    </row>
    <row r="382" spans="2:10" x14ac:dyDescent="0.3">
      <c r="B382" s="29" t="str">
        <f t="shared" si="5"/>
        <v/>
      </c>
      <c r="C382" s="12"/>
      <c r="D382" s="12"/>
      <c r="E382" s="12"/>
      <c r="F382" s="12"/>
      <c r="G382" s="29" t="str">
        <f>IF(LEN($F382)&gt;0,IFERROR(INDEX('90_SEMA'!$G$7:$H$102,MATCH($F382,'90_SEMA'!$B$7:$B$102,0),NYELV_IDX),""),"")</f>
        <v/>
      </c>
      <c r="H382" s="24"/>
      <c r="I382" s="24"/>
      <c r="J382" s="12"/>
    </row>
    <row r="383" spans="2:10" x14ac:dyDescent="0.3">
      <c r="B383" s="29" t="str">
        <f t="shared" si="5"/>
        <v/>
      </c>
      <c r="C383" s="12"/>
      <c r="D383" s="12"/>
      <c r="E383" s="12"/>
      <c r="F383" s="12"/>
      <c r="G383" s="29" t="str">
        <f>IF(LEN($F383)&gt;0,IFERROR(INDEX('90_SEMA'!$G$7:$H$102,MATCH($F383,'90_SEMA'!$B$7:$B$102,0),NYELV_IDX),""),"")</f>
        <v/>
      </c>
      <c r="H383" s="24"/>
      <c r="I383" s="24"/>
      <c r="J383" s="12"/>
    </row>
    <row r="384" spans="2:10" x14ac:dyDescent="0.3">
      <c r="B384" s="29" t="str">
        <f t="shared" si="5"/>
        <v/>
      </c>
      <c r="C384" s="12"/>
      <c r="D384" s="12"/>
      <c r="E384" s="12"/>
      <c r="F384" s="12"/>
      <c r="G384" s="29" t="str">
        <f>IF(LEN($F384)&gt;0,IFERROR(INDEX('90_SEMA'!$G$7:$H$102,MATCH($F384,'90_SEMA'!$B$7:$B$102,0),NYELV_IDX),""),"")</f>
        <v/>
      </c>
      <c r="H384" s="24"/>
      <c r="I384" s="24"/>
      <c r="J384" s="12"/>
    </row>
    <row r="385" spans="2:10" x14ac:dyDescent="0.3">
      <c r="B385" s="29" t="str">
        <f t="shared" si="5"/>
        <v/>
      </c>
      <c r="C385" s="12"/>
      <c r="D385" s="12"/>
      <c r="E385" s="12"/>
      <c r="F385" s="12"/>
      <c r="G385" s="29" t="str">
        <f>IF(LEN($F385)&gt;0,IFERROR(INDEX('90_SEMA'!$G$7:$H$102,MATCH($F385,'90_SEMA'!$B$7:$B$102,0),NYELV_IDX),""),"")</f>
        <v/>
      </c>
      <c r="H385" s="24"/>
      <c r="I385" s="24"/>
      <c r="J385" s="12"/>
    </row>
    <row r="386" spans="2:10" x14ac:dyDescent="0.3">
      <c r="B386" s="29" t="str">
        <f t="shared" si="5"/>
        <v/>
      </c>
      <c r="C386" s="12"/>
      <c r="D386" s="12"/>
      <c r="E386" s="12"/>
      <c r="F386" s="12"/>
      <c r="G386" s="29" t="str">
        <f>IF(LEN($F386)&gt;0,IFERROR(INDEX('90_SEMA'!$G$7:$H$102,MATCH($F386,'90_SEMA'!$B$7:$B$102,0),NYELV_IDX),""),"")</f>
        <v/>
      </c>
      <c r="H386" s="24"/>
      <c r="I386" s="24"/>
      <c r="J386" s="12"/>
    </row>
    <row r="387" spans="2:10" x14ac:dyDescent="0.3">
      <c r="B387" s="29" t="str">
        <f t="shared" si="5"/>
        <v/>
      </c>
      <c r="C387" s="12"/>
      <c r="D387" s="12"/>
      <c r="E387" s="12"/>
      <c r="F387" s="12"/>
      <c r="G387" s="29" t="str">
        <f>IF(LEN($F387)&gt;0,IFERROR(INDEX('90_SEMA'!$G$7:$H$102,MATCH($F387,'90_SEMA'!$B$7:$B$102,0),NYELV_IDX),""),"")</f>
        <v/>
      </c>
      <c r="H387" s="24"/>
      <c r="I387" s="24"/>
      <c r="J387" s="12"/>
    </row>
    <row r="388" spans="2:10" x14ac:dyDescent="0.3">
      <c r="B388" s="29" t="str">
        <f t="shared" si="5"/>
        <v/>
      </c>
      <c r="C388" s="12"/>
      <c r="D388" s="12"/>
      <c r="E388" s="12"/>
      <c r="F388" s="12"/>
      <c r="G388" s="29" t="str">
        <f>IF(LEN($F388)&gt;0,IFERROR(INDEX('90_SEMA'!$G$7:$H$102,MATCH($F388,'90_SEMA'!$B$7:$B$102,0),NYELV_IDX),""),"")</f>
        <v/>
      </c>
      <c r="H388" s="24"/>
      <c r="I388" s="24"/>
      <c r="J388" s="12"/>
    </row>
    <row r="389" spans="2:10" x14ac:dyDescent="0.3">
      <c r="B389" s="29" t="str">
        <f t="shared" si="5"/>
        <v/>
      </c>
      <c r="C389" s="12"/>
      <c r="D389" s="12"/>
      <c r="E389" s="12"/>
      <c r="F389" s="12"/>
      <c r="G389" s="29" t="str">
        <f>IF(LEN($F389)&gt;0,IFERROR(INDEX('90_SEMA'!$G$7:$H$102,MATCH($F389,'90_SEMA'!$B$7:$B$102,0),NYELV_IDX),""),"")</f>
        <v/>
      </c>
      <c r="H389" s="24"/>
      <c r="I389" s="24"/>
      <c r="J389" s="12"/>
    </row>
    <row r="390" spans="2:10" x14ac:dyDescent="0.3">
      <c r="B390" s="29" t="str">
        <f t="shared" si="5"/>
        <v/>
      </c>
      <c r="C390" s="12"/>
      <c r="D390" s="12"/>
      <c r="E390" s="12"/>
      <c r="F390" s="12"/>
      <c r="G390" s="29" t="str">
        <f>IF(LEN($F390)&gt;0,IFERROR(INDEX('90_SEMA'!$G$7:$H$102,MATCH($F390,'90_SEMA'!$B$7:$B$102,0),NYELV_IDX),""),"")</f>
        <v/>
      </c>
      <c r="H390" s="24"/>
      <c r="I390" s="24"/>
      <c r="J390" s="12"/>
    </row>
    <row r="391" spans="2:10" x14ac:dyDescent="0.3">
      <c r="B391" s="29" t="str">
        <f t="shared" ref="B391:B454" si="6">IF(LEN($F391)&gt;0,ROW()-6,"")</f>
        <v/>
      </c>
      <c r="C391" s="12"/>
      <c r="D391" s="12"/>
      <c r="E391" s="12"/>
      <c r="F391" s="12"/>
      <c r="G391" s="29" t="str">
        <f>IF(LEN($F391)&gt;0,IFERROR(INDEX('90_SEMA'!$G$7:$H$102,MATCH($F391,'90_SEMA'!$B$7:$B$102,0),NYELV_IDX),""),"")</f>
        <v/>
      </c>
      <c r="H391" s="24"/>
      <c r="I391" s="24"/>
      <c r="J391" s="12"/>
    </row>
    <row r="392" spans="2:10" x14ac:dyDescent="0.3">
      <c r="B392" s="29" t="str">
        <f t="shared" si="6"/>
        <v/>
      </c>
      <c r="C392" s="12"/>
      <c r="D392" s="12"/>
      <c r="E392" s="12"/>
      <c r="F392" s="12"/>
      <c r="G392" s="29" t="str">
        <f>IF(LEN($F392)&gt;0,IFERROR(INDEX('90_SEMA'!$G$7:$H$102,MATCH($F392,'90_SEMA'!$B$7:$B$102,0),NYELV_IDX),""),"")</f>
        <v/>
      </c>
      <c r="H392" s="24"/>
      <c r="I392" s="24"/>
      <c r="J392" s="12"/>
    </row>
    <row r="393" spans="2:10" x14ac:dyDescent="0.3">
      <c r="B393" s="29" t="str">
        <f t="shared" si="6"/>
        <v/>
      </c>
      <c r="C393" s="12"/>
      <c r="D393" s="12"/>
      <c r="E393" s="12"/>
      <c r="F393" s="12"/>
      <c r="G393" s="29" t="str">
        <f>IF(LEN($F393)&gt;0,IFERROR(INDEX('90_SEMA'!$G$7:$H$102,MATCH($F393,'90_SEMA'!$B$7:$B$102,0),NYELV_IDX),""),"")</f>
        <v/>
      </c>
      <c r="H393" s="24"/>
      <c r="I393" s="24"/>
      <c r="J393" s="12"/>
    </row>
    <row r="394" spans="2:10" x14ac:dyDescent="0.3">
      <c r="B394" s="29" t="str">
        <f t="shared" si="6"/>
        <v/>
      </c>
      <c r="C394" s="12"/>
      <c r="D394" s="12"/>
      <c r="E394" s="12"/>
      <c r="F394" s="12"/>
      <c r="G394" s="29" t="str">
        <f>IF(LEN($F394)&gt;0,IFERROR(INDEX('90_SEMA'!$G$7:$H$102,MATCH($F394,'90_SEMA'!$B$7:$B$102,0),NYELV_IDX),""),"")</f>
        <v/>
      </c>
      <c r="H394" s="24"/>
      <c r="I394" s="24"/>
      <c r="J394" s="12"/>
    </row>
    <row r="395" spans="2:10" x14ac:dyDescent="0.3">
      <c r="B395" s="29" t="str">
        <f t="shared" si="6"/>
        <v/>
      </c>
      <c r="C395" s="12"/>
      <c r="D395" s="12"/>
      <c r="E395" s="12"/>
      <c r="F395" s="12"/>
      <c r="G395" s="29" t="str">
        <f>IF(LEN($F395)&gt;0,IFERROR(INDEX('90_SEMA'!$G$7:$H$102,MATCH($F395,'90_SEMA'!$B$7:$B$102,0),NYELV_IDX),""),"")</f>
        <v/>
      </c>
      <c r="H395" s="24"/>
      <c r="I395" s="24"/>
      <c r="J395" s="12"/>
    </row>
    <row r="396" spans="2:10" x14ac:dyDescent="0.3">
      <c r="B396" s="29" t="str">
        <f t="shared" si="6"/>
        <v/>
      </c>
      <c r="C396" s="12"/>
      <c r="D396" s="12"/>
      <c r="E396" s="12"/>
      <c r="F396" s="12"/>
      <c r="G396" s="29" t="str">
        <f>IF(LEN($F396)&gt;0,IFERROR(INDEX('90_SEMA'!$G$7:$H$102,MATCH($F396,'90_SEMA'!$B$7:$B$102,0),NYELV_IDX),""),"")</f>
        <v/>
      </c>
      <c r="H396" s="24"/>
      <c r="I396" s="24"/>
      <c r="J396" s="12"/>
    </row>
    <row r="397" spans="2:10" x14ac:dyDescent="0.3">
      <c r="B397" s="29" t="str">
        <f t="shared" si="6"/>
        <v/>
      </c>
      <c r="C397" s="12"/>
      <c r="D397" s="12"/>
      <c r="E397" s="12"/>
      <c r="F397" s="12"/>
      <c r="G397" s="29" t="str">
        <f>IF(LEN($F397)&gt;0,IFERROR(INDEX('90_SEMA'!$G$7:$H$102,MATCH($F397,'90_SEMA'!$B$7:$B$102,0),NYELV_IDX),""),"")</f>
        <v/>
      </c>
      <c r="H397" s="24"/>
      <c r="I397" s="24"/>
      <c r="J397" s="12"/>
    </row>
    <row r="398" spans="2:10" x14ac:dyDescent="0.3">
      <c r="B398" s="29" t="str">
        <f t="shared" si="6"/>
        <v/>
      </c>
      <c r="C398" s="12"/>
      <c r="D398" s="12"/>
      <c r="E398" s="12"/>
      <c r="F398" s="12"/>
      <c r="G398" s="29" t="str">
        <f>IF(LEN($F398)&gt;0,IFERROR(INDEX('90_SEMA'!$G$7:$H$102,MATCH($F398,'90_SEMA'!$B$7:$B$102,0),NYELV_IDX),""),"")</f>
        <v/>
      </c>
      <c r="H398" s="24"/>
      <c r="I398" s="24"/>
      <c r="J398" s="12"/>
    </row>
    <row r="399" spans="2:10" x14ac:dyDescent="0.3">
      <c r="B399" s="29" t="str">
        <f t="shared" si="6"/>
        <v/>
      </c>
      <c r="C399" s="12"/>
      <c r="D399" s="12"/>
      <c r="E399" s="12"/>
      <c r="F399" s="12"/>
      <c r="G399" s="29" t="str">
        <f>IF(LEN($F399)&gt;0,IFERROR(INDEX('90_SEMA'!$G$7:$H$102,MATCH($F399,'90_SEMA'!$B$7:$B$102,0),NYELV_IDX),""),"")</f>
        <v/>
      </c>
      <c r="H399" s="24"/>
      <c r="I399" s="24"/>
      <c r="J399" s="12"/>
    </row>
    <row r="400" spans="2:10" x14ac:dyDescent="0.3">
      <c r="B400" s="29" t="str">
        <f t="shared" si="6"/>
        <v/>
      </c>
      <c r="C400" s="12"/>
      <c r="D400" s="12"/>
      <c r="E400" s="12"/>
      <c r="F400" s="12"/>
      <c r="G400" s="29" t="str">
        <f>IF(LEN($F400)&gt;0,IFERROR(INDEX('90_SEMA'!$G$7:$H$102,MATCH($F400,'90_SEMA'!$B$7:$B$102,0),NYELV_IDX),""),"")</f>
        <v/>
      </c>
      <c r="H400" s="24"/>
      <c r="I400" s="24"/>
      <c r="J400" s="12"/>
    </row>
    <row r="401" spans="2:10" x14ac:dyDescent="0.3">
      <c r="B401" s="29" t="str">
        <f t="shared" si="6"/>
        <v/>
      </c>
      <c r="C401" s="12"/>
      <c r="D401" s="12"/>
      <c r="E401" s="12"/>
      <c r="F401" s="12"/>
      <c r="G401" s="29" t="str">
        <f>IF(LEN($F401)&gt;0,IFERROR(INDEX('90_SEMA'!$G$7:$H$102,MATCH($F401,'90_SEMA'!$B$7:$B$102,0),NYELV_IDX),""),"")</f>
        <v/>
      </c>
      <c r="H401" s="24"/>
      <c r="I401" s="24"/>
      <c r="J401" s="12"/>
    </row>
    <row r="402" spans="2:10" x14ac:dyDescent="0.3">
      <c r="B402" s="29" t="str">
        <f t="shared" si="6"/>
        <v/>
      </c>
      <c r="C402" s="12"/>
      <c r="D402" s="12"/>
      <c r="E402" s="12"/>
      <c r="F402" s="12"/>
      <c r="G402" s="29" t="str">
        <f>IF(LEN($F402)&gt;0,IFERROR(INDEX('90_SEMA'!$G$7:$H$102,MATCH($F402,'90_SEMA'!$B$7:$B$102,0),NYELV_IDX),""),"")</f>
        <v/>
      </c>
      <c r="H402" s="24"/>
      <c r="I402" s="24"/>
      <c r="J402" s="12"/>
    </row>
    <row r="403" spans="2:10" x14ac:dyDescent="0.3">
      <c r="B403" s="29" t="str">
        <f t="shared" si="6"/>
        <v/>
      </c>
      <c r="C403" s="12"/>
      <c r="D403" s="12"/>
      <c r="E403" s="12"/>
      <c r="F403" s="12"/>
      <c r="G403" s="29" t="str">
        <f>IF(LEN($F403)&gt;0,IFERROR(INDEX('90_SEMA'!$G$7:$H$102,MATCH($F403,'90_SEMA'!$B$7:$B$102,0),NYELV_IDX),""),"")</f>
        <v/>
      </c>
      <c r="H403" s="24"/>
      <c r="I403" s="24"/>
      <c r="J403" s="12"/>
    </row>
    <row r="404" spans="2:10" x14ac:dyDescent="0.3">
      <c r="B404" s="29" t="str">
        <f t="shared" si="6"/>
        <v/>
      </c>
      <c r="C404" s="12"/>
      <c r="D404" s="12"/>
      <c r="E404" s="12"/>
      <c r="F404" s="12"/>
      <c r="G404" s="29" t="str">
        <f>IF(LEN($F404)&gt;0,IFERROR(INDEX('90_SEMA'!$G$7:$H$102,MATCH($F404,'90_SEMA'!$B$7:$B$102,0),NYELV_IDX),""),"")</f>
        <v/>
      </c>
      <c r="H404" s="24"/>
      <c r="I404" s="24"/>
      <c r="J404" s="12"/>
    </row>
    <row r="405" spans="2:10" x14ac:dyDescent="0.3">
      <c r="B405" s="29" t="str">
        <f t="shared" si="6"/>
        <v/>
      </c>
      <c r="C405" s="12"/>
      <c r="D405" s="12"/>
      <c r="E405" s="12"/>
      <c r="F405" s="12"/>
      <c r="G405" s="29" t="str">
        <f>IF(LEN($F405)&gt;0,IFERROR(INDEX('90_SEMA'!$G$7:$H$102,MATCH($F405,'90_SEMA'!$B$7:$B$102,0),NYELV_IDX),""),"")</f>
        <v/>
      </c>
      <c r="H405" s="24"/>
      <c r="I405" s="24"/>
      <c r="J405" s="12"/>
    </row>
    <row r="406" spans="2:10" x14ac:dyDescent="0.3">
      <c r="B406" s="29" t="str">
        <f t="shared" si="6"/>
        <v/>
      </c>
      <c r="C406" s="12"/>
      <c r="D406" s="12"/>
      <c r="E406" s="12"/>
      <c r="F406" s="12"/>
      <c r="G406" s="29" t="str">
        <f>IF(LEN($F406)&gt;0,IFERROR(INDEX('90_SEMA'!$G$7:$H$102,MATCH($F406,'90_SEMA'!$B$7:$B$102,0),NYELV_IDX),""),"")</f>
        <v/>
      </c>
      <c r="H406" s="24"/>
      <c r="I406" s="24"/>
      <c r="J406" s="12"/>
    </row>
    <row r="407" spans="2:10" x14ac:dyDescent="0.3">
      <c r="B407" s="29" t="str">
        <f t="shared" si="6"/>
        <v/>
      </c>
      <c r="C407" s="12"/>
      <c r="D407" s="12"/>
      <c r="E407" s="12"/>
      <c r="F407" s="12"/>
      <c r="G407" s="29" t="str">
        <f>IF(LEN($F407)&gt;0,IFERROR(INDEX('90_SEMA'!$G$7:$H$102,MATCH($F407,'90_SEMA'!$B$7:$B$102,0),NYELV_IDX),""),"")</f>
        <v/>
      </c>
      <c r="H407" s="24"/>
      <c r="I407" s="24"/>
      <c r="J407" s="12"/>
    </row>
    <row r="408" spans="2:10" x14ac:dyDescent="0.3">
      <c r="B408" s="29" t="str">
        <f t="shared" si="6"/>
        <v/>
      </c>
      <c r="C408" s="12"/>
      <c r="D408" s="12"/>
      <c r="E408" s="12"/>
      <c r="F408" s="12"/>
      <c r="G408" s="29" t="str">
        <f>IF(LEN($F408)&gt;0,IFERROR(INDEX('90_SEMA'!$G$7:$H$102,MATCH($F408,'90_SEMA'!$B$7:$B$102,0),NYELV_IDX),""),"")</f>
        <v/>
      </c>
      <c r="H408" s="24"/>
      <c r="I408" s="24"/>
      <c r="J408" s="12"/>
    </row>
    <row r="409" spans="2:10" x14ac:dyDescent="0.3">
      <c r="B409" s="29" t="str">
        <f t="shared" si="6"/>
        <v/>
      </c>
      <c r="C409" s="12"/>
      <c r="D409" s="12"/>
      <c r="E409" s="12"/>
      <c r="F409" s="12"/>
      <c r="G409" s="29" t="str">
        <f>IF(LEN($F409)&gt;0,IFERROR(INDEX('90_SEMA'!$G$7:$H$102,MATCH($F409,'90_SEMA'!$B$7:$B$102,0),NYELV_IDX),""),"")</f>
        <v/>
      </c>
      <c r="H409" s="24"/>
      <c r="I409" s="24"/>
      <c r="J409" s="12"/>
    </row>
    <row r="410" spans="2:10" x14ac:dyDescent="0.3">
      <c r="B410" s="29" t="str">
        <f t="shared" si="6"/>
        <v/>
      </c>
      <c r="C410" s="12"/>
      <c r="D410" s="12"/>
      <c r="E410" s="12"/>
      <c r="F410" s="12"/>
      <c r="G410" s="29" t="str">
        <f>IF(LEN($F410)&gt;0,IFERROR(INDEX('90_SEMA'!$G$7:$H$102,MATCH($F410,'90_SEMA'!$B$7:$B$102,0),NYELV_IDX),""),"")</f>
        <v/>
      </c>
      <c r="H410" s="24"/>
      <c r="I410" s="24"/>
      <c r="J410" s="12"/>
    </row>
    <row r="411" spans="2:10" x14ac:dyDescent="0.3">
      <c r="B411" s="29" t="str">
        <f t="shared" si="6"/>
        <v/>
      </c>
      <c r="C411" s="12"/>
      <c r="D411" s="12"/>
      <c r="E411" s="12"/>
      <c r="F411" s="12"/>
      <c r="G411" s="29" t="str">
        <f>IF(LEN($F411)&gt;0,IFERROR(INDEX('90_SEMA'!$G$7:$H$102,MATCH($F411,'90_SEMA'!$B$7:$B$102,0),NYELV_IDX),""),"")</f>
        <v/>
      </c>
      <c r="H411" s="24"/>
      <c r="I411" s="24"/>
      <c r="J411" s="12"/>
    </row>
    <row r="412" spans="2:10" x14ac:dyDescent="0.3">
      <c r="B412" s="29" t="str">
        <f t="shared" si="6"/>
        <v/>
      </c>
      <c r="C412" s="12"/>
      <c r="D412" s="12"/>
      <c r="E412" s="12"/>
      <c r="F412" s="12"/>
      <c r="G412" s="29" t="str">
        <f>IF(LEN($F412)&gt;0,IFERROR(INDEX('90_SEMA'!$G$7:$H$102,MATCH($F412,'90_SEMA'!$B$7:$B$102,0),NYELV_IDX),""),"")</f>
        <v/>
      </c>
      <c r="H412" s="24"/>
      <c r="I412" s="24"/>
      <c r="J412" s="12"/>
    </row>
    <row r="413" spans="2:10" x14ac:dyDescent="0.3">
      <c r="B413" s="29" t="str">
        <f t="shared" si="6"/>
        <v/>
      </c>
      <c r="C413" s="12"/>
      <c r="D413" s="12"/>
      <c r="E413" s="12"/>
      <c r="F413" s="12"/>
      <c r="G413" s="29" t="str">
        <f>IF(LEN($F413)&gt;0,IFERROR(INDEX('90_SEMA'!$G$7:$H$102,MATCH($F413,'90_SEMA'!$B$7:$B$102,0),NYELV_IDX),""),"")</f>
        <v/>
      </c>
      <c r="H413" s="24"/>
      <c r="I413" s="24"/>
      <c r="J413" s="12"/>
    </row>
    <row r="414" spans="2:10" x14ac:dyDescent="0.3">
      <c r="B414" s="29" t="str">
        <f t="shared" si="6"/>
        <v/>
      </c>
      <c r="C414" s="12"/>
      <c r="D414" s="12"/>
      <c r="E414" s="12"/>
      <c r="F414" s="12"/>
      <c r="G414" s="29" t="str">
        <f>IF(LEN($F414)&gt;0,IFERROR(INDEX('90_SEMA'!$G$7:$H$102,MATCH($F414,'90_SEMA'!$B$7:$B$102,0),NYELV_IDX),""),"")</f>
        <v/>
      </c>
      <c r="H414" s="24"/>
      <c r="I414" s="24"/>
      <c r="J414" s="12"/>
    </row>
    <row r="415" spans="2:10" x14ac:dyDescent="0.3">
      <c r="B415" s="29" t="str">
        <f t="shared" si="6"/>
        <v/>
      </c>
      <c r="C415" s="12"/>
      <c r="D415" s="12"/>
      <c r="E415" s="12"/>
      <c r="F415" s="12"/>
      <c r="G415" s="29" t="str">
        <f>IF(LEN($F415)&gt;0,IFERROR(INDEX('90_SEMA'!$G$7:$H$102,MATCH($F415,'90_SEMA'!$B$7:$B$102,0),NYELV_IDX),""),"")</f>
        <v/>
      </c>
      <c r="H415" s="24"/>
      <c r="I415" s="24"/>
      <c r="J415" s="12"/>
    </row>
    <row r="416" spans="2:10" x14ac:dyDescent="0.3">
      <c r="B416" s="29" t="str">
        <f t="shared" si="6"/>
        <v/>
      </c>
      <c r="C416" s="12"/>
      <c r="D416" s="12"/>
      <c r="E416" s="12"/>
      <c r="F416" s="12"/>
      <c r="G416" s="29" t="str">
        <f>IF(LEN($F416)&gt;0,IFERROR(INDEX('90_SEMA'!$G$7:$H$102,MATCH($F416,'90_SEMA'!$B$7:$B$102,0),NYELV_IDX),""),"")</f>
        <v/>
      </c>
      <c r="H416" s="24"/>
      <c r="I416" s="24"/>
      <c r="J416" s="12"/>
    </row>
    <row r="417" spans="2:10" x14ac:dyDescent="0.3">
      <c r="B417" s="29" t="str">
        <f t="shared" si="6"/>
        <v/>
      </c>
      <c r="C417" s="12"/>
      <c r="D417" s="12"/>
      <c r="E417" s="12"/>
      <c r="F417" s="12"/>
      <c r="G417" s="29" t="str">
        <f>IF(LEN($F417)&gt;0,IFERROR(INDEX('90_SEMA'!$G$7:$H$102,MATCH($F417,'90_SEMA'!$B$7:$B$102,0),NYELV_IDX),""),"")</f>
        <v/>
      </c>
      <c r="H417" s="24"/>
      <c r="I417" s="24"/>
      <c r="J417" s="12"/>
    </row>
    <row r="418" spans="2:10" x14ac:dyDescent="0.3">
      <c r="B418" s="29" t="str">
        <f t="shared" si="6"/>
        <v/>
      </c>
      <c r="C418" s="12"/>
      <c r="D418" s="12"/>
      <c r="E418" s="12"/>
      <c r="F418" s="12"/>
      <c r="G418" s="29" t="str">
        <f>IF(LEN($F418)&gt;0,IFERROR(INDEX('90_SEMA'!$G$7:$H$102,MATCH($F418,'90_SEMA'!$B$7:$B$102,0),NYELV_IDX),""),"")</f>
        <v/>
      </c>
      <c r="H418" s="24"/>
      <c r="I418" s="24"/>
      <c r="J418" s="12"/>
    </row>
    <row r="419" spans="2:10" x14ac:dyDescent="0.3">
      <c r="B419" s="29" t="str">
        <f t="shared" si="6"/>
        <v/>
      </c>
      <c r="C419" s="12"/>
      <c r="D419" s="12"/>
      <c r="E419" s="12"/>
      <c r="F419" s="12"/>
      <c r="G419" s="29" t="str">
        <f>IF(LEN($F419)&gt;0,IFERROR(INDEX('90_SEMA'!$G$7:$H$102,MATCH($F419,'90_SEMA'!$B$7:$B$102,0),NYELV_IDX),""),"")</f>
        <v/>
      </c>
      <c r="H419" s="24"/>
      <c r="I419" s="24"/>
      <c r="J419" s="12"/>
    </row>
    <row r="420" spans="2:10" x14ac:dyDescent="0.3">
      <c r="B420" s="29" t="str">
        <f t="shared" si="6"/>
        <v/>
      </c>
      <c r="C420" s="12"/>
      <c r="D420" s="12"/>
      <c r="E420" s="12"/>
      <c r="F420" s="12"/>
      <c r="G420" s="29" t="str">
        <f>IF(LEN($F420)&gt;0,IFERROR(INDEX('90_SEMA'!$G$7:$H$102,MATCH($F420,'90_SEMA'!$B$7:$B$102,0),NYELV_IDX),""),"")</f>
        <v/>
      </c>
      <c r="H420" s="24"/>
      <c r="I420" s="24"/>
      <c r="J420" s="12"/>
    </row>
    <row r="421" spans="2:10" x14ac:dyDescent="0.3">
      <c r="B421" s="29" t="str">
        <f t="shared" si="6"/>
        <v/>
      </c>
      <c r="C421" s="12"/>
      <c r="D421" s="12"/>
      <c r="E421" s="12"/>
      <c r="F421" s="12"/>
      <c r="G421" s="29" t="str">
        <f>IF(LEN($F421)&gt;0,IFERROR(INDEX('90_SEMA'!$G$7:$H$102,MATCH($F421,'90_SEMA'!$B$7:$B$102,0),NYELV_IDX),""),"")</f>
        <v/>
      </c>
      <c r="H421" s="24"/>
      <c r="I421" s="24"/>
      <c r="J421" s="12"/>
    </row>
    <row r="422" spans="2:10" x14ac:dyDescent="0.3">
      <c r="B422" s="29" t="str">
        <f t="shared" si="6"/>
        <v/>
      </c>
      <c r="C422" s="12"/>
      <c r="D422" s="12"/>
      <c r="E422" s="12"/>
      <c r="F422" s="12"/>
      <c r="G422" s="29" t="str">
        <f>IF(LEN($F422)&gt;0,IFERROR(INDEX('90_SEMA'!$G$7:$H$102,MATCH($F422,'90_SEMA'!$B$7:$B$102,0),NYELV_IDX),""),"")</f>
        <v/>
      </c>
      <c r="H422" s="24"/>
      <c r="I422" s="24"/>
      <c r="J422" s="12"/>
    </row>
    <row r="423" spans="2:10" x14ac:dyDescent="0.3">
      <c r="B423" s="29" t="str">
        <f t="shared" si="6"/>
        <v/>
      </c>
      <c r="C423" s="12"/>
      <c r="D423" s="12"/>
      <c r="E423" s="12"/>
      <c r="F423" s="12"/>
      <c r="G423" s="29" t="str">
        <f>IF(LEN($F423)&gt;0,IFERROR(INDEX('90_SEMA'!$G$7:$H$102,MATCH($F423,'90_SEMA'!$B$7:$B$102,0),NYELV_IDX),""),"")</f>
        <v/>
      </c>
      <c r="H423" s="24"/>
      <c r="I423" s="24"/>
      <c r="J423" s="12"/>
    </row>
    <row r="424" spans="2:10" x14ac:dyDescent="0.3">
      <c r="B424" s="29" t="str">
        <f t="shared" si="6"/>
        <v/>
      </c>
      <c r="C424" s="12"/>
      <c r="D424" s="12"/>
      <c r="E424" s="12"/>
      <c r="F424" s="12"/>
      <c r="G424" s="29" t="str">
        <f>IF(LEN($F424)&gt;0,IFERROR(INDEX('90_SEMA'!$G$7:$H$102,MATCH($F424,'90_SEMA'!$B$7:$B$102,0),NYELV_IDX),""),"")</f>
        <v/>
      </c>
      <c r="H424" s="24"/>
      <c r="I424" s="24"/>
      <c r="J424" s="12"/>
    </row>
    <row r="425" spans="2:10" x14ac:dyDescent="0.3">
      <c r="B425" s="29" t="str">
        <f t="shared" si="6"/>
        <v/>
      </c>
      <c r="C425" s="12"/>
      <c r="D425" s="12"/>
      <c r="E425" s="12"/>
      <c r="F425" s="12"/>
      <c r="G425" s="29" t="str">
        <f>IF(LEN($F425)&gt;0,IFERROR(INDEX('90_SEMA'!$G$7:$H$102,MATCH($F425,'90_SEMA'!$B$7:$B$102,0),NYELV_IDX),""),"")</f>
        <v/>
      </c>
      <c r="H425" s="24"/>
      <c r="I425" s="24"/>
      <c r="J425" s="12"/>
    </row>
    <row r="426" spans="2:10" x14ac:dyDescent="0.3">
      <c r="B426" s="29" t="str">
        <f t="shared" si="6"/>
        <v/>
      </c>
      <c r="C426" s="12"/>
      <c r="D426" s="12"/>
      <c r="E426" s="12"/>
      <c r="F426" s="12"/>
      <c r="G426" s="29" t="str">
        <f>IF(LEN($F426)&gt;0,IFERROR(INDEX('90_SEMA'!$G$7:$H$102,MATCH($F426,'90_SEMA'!$B$7:$B$102,0),NYELV_IDX),""),"")</f>
        <v/>
      </c>
      <c r="H426" s="24"/>
      <c r="I426" s="24"/>
      <c r="J426" s="12"/>
    </row>
    <row r="427" spans="2:10" x14ac:dyDescent="0.3">
      <c r="B427" s="29" t="str">
        <f t="shared" si="6"/>
        <v/>
      </c>
      <c r="C427" s="12"/>
      <c r="D427" s="12"/>
      <c r="E427" s="12"/>
      <c r="F427" s="12"/>
      <c r="G427" s="29" t="str">
        <f>IF(LEN($F427)&gt;0,IFERROR(INDEX('90_SEMA'!$G$7:$H$102,MATCH($F427,'90_SEMA'!$B$7:$B$102,0),NYELV_IDX),""),"")</f>
        <v/>
      </c>
      <c r="H427" s="24"/>
      <c r="I427" s="24"/>
      <c r="J427" s="12"/>
    </row>
    <row r="428" spans="2:10" x14ac:dyDescent="0.3">
      <c r="B428" s="29" t="str">
        <f t="shared" si="6"/>
        <v/>
      </c>
      <c r="C428" s="12"/>
      <c r="D428" s="12"/>
      <c r="E428" s="12"/>
      <c r="F428" s="12"/>
      <c r="G428" s="29" t="str">
        <f>IF(LEN($F428)&gt;0,IFERROR(INDEX('90_SEMA'!$G$7:$H$102,MATCH($F428,'90_SEMA'!$B$7:$B$102,0),NYELV_IDX),""),"")</f>
        <v/>
      </c>
      <c r="H428" s="24"/>
      <c r="I428" s="24"/>
      <c r="J428" s="12"/>
    </row>
    <row r="429" spans="2:10" x14ac:dyDescent="0.3">
      <c r="B429" s="29" t="str">
        <f t="shared" si="6"/>
        <v/>
      </c>
      <c r="C429" s="12"/>
      <c r="D429" s="12"/>
      <c r="E429" s="12"/>
      <c r="F429" s="12"/>
      <c r="G429" s="29" t="str">
        <f>IF(LEN($F429)&gt;0,IFERROR(INDEX('90_SEMA'!$G$7:$H$102,MATCH($F429,'90_SEMA'!$B$7:$B$102,0),NYELV_IDX),""),"")</f>
        <v/>
      </c>
      <c r="H429" s="24"/>
      <c r="I429" s="24"/>
      <c r="J429" s="12"/>
    </row>
    <row r="430" spans="2:10" x14ac:dyDescent="0.3">
      <c r="B430" s="29" t="str">
        <f t="shared" si="6"/>
        <v/>
      </c>
      <c r="C430" s="12"/>
      <c r="D430" s="12"/>
      <c r="E430" s="12"/>
      <c r="F430" s="12"/>
      <c r="G430" s="29" t="str">
        <f>IF(LEN($F430)&gt;0,IFERROR(INDEX('90_SEMA'!$G$7:$H$102,MATCH($F430,'90_SEMA'!$B$7:$B$102,0),NYELV_IDX),""),"")</f>
        <v/>
      </c>
      <c r="H430" s="24"/>
      <c r="I430" s="24"/>
      <c r="J430" s="12"/>
    </row>
    <row r="431" spans="2:10" x14ac:dyDescent="0.3">
      <c r="B431" s="29" t="str">
        <f t="shared" si="6"/>
        <v/>
      </c>
      <c r="C431" s="12"/>
      <c r="D431" s="12"/>
      <c r="E431" s="12"/>
      <c r="F431" s="12"/>
      <c r="G431" s="29" t="str">
        <f>IF(LEN($F431)&gt;0,IFERROR(INDEX('90_SEMA'!$G$7:$H$102,MATCH($F431,'90_SEMA'!$B$7:$B$102,0),NYELV_IDX),""),"")</f>
        <v/>
      </c>
      <c r="H431" s="24"/>
      <c r="I431" s="24"/>
      <c r="J431" s="12"/>
    </row>
    <row r="432" spans="2:10" x14ac:dyDescent="0.3">
      <c r="B432" s="29" t="str">
        <f t="shared" si="6"/>
        <v/>
      </c>
      <c r="C432" s="12"/>
      <c r="D432" s="12"/>
      <c r="E432" s="12"/>
      <c r="F432" s="12"/>
      <c r="G432" s="29" t="str">
        <f>IF(LEN($F432)&gt;0,IFERROR(INDEX('90_SEMA'!$G$7:$H$102,MATCH($F432,'90_SEMA'!$B$7:$B$102,0),NYELV_IDX),""),"")</f>
        <v/>
      </c>
      <c r="H432" s="24"/>
      <c r="I432" s="24"/>
      <c r="J432" s="12"/>
    </row>
    <row r="433" spans="2:10" x14ac:dyDescent="0.3">
      <c r="B433" s="29" t="str">
        <f t="shared" si="6"/>
        <v/>
      </c>
      <c r="C433" s="12"/>
      <c r="D433" s="12"/>
      <c r="E433" s="12"/>
      <c r="F433" s="12"/>
      <c r="G433" s="29" t="str">
        <f>IF(LEN($F433)&gt;0,IFERROR(INDEX('90_SEMA'!$G$7:$H$102,MATCH($F433,'90_SEMA'!$B$7:$B$102,0),NYELV_IDX),""),"")</f>
        <v/>
      </c>
      <c r="H433" s="24"/>
      <c r="I433" s="24"/>
      <c r="J433" s="12"/>
    </row>
    <row r="434" spans="2:10" x14ac:dyDescent="0.3">
      <c r="B434" s="29" t="str">
        <f t="shared" si="6"/>
        <v/>
      </c>
      <c r="C434" s="12"/>
      <c r="D434" s="12"/>
      <c r="E434" s="12"/>
      <c r="F434" s="12"/>
      <c r="G434" s="29" t="str">
        <f>IF(LEN($F434)&gt;0,IFERROR(INDEX('90_SEMA'!$G$7:$H$102,MATCH($F434,'90_SEMA'!$B$7:$B$102,0),NYELV_IDX),""),"")</f>
        <v/>
      </c>
      <c r="H434" s="24"/>
      <c r="I434" s="24"/>
      <c r="J434" s="12"/>
    </row>
    <row r="435" spans="2:10" x14ac:dyDescent="0.3">
      <c r="B435" s="29" t="str">
        <f t="shared" si="6"/>
        <v/>
      </c>
      <c r="C435" s="12"/>
      <c r="D435" s="12"/>
      <c r="E435" s="12"/>
      <c r="F435" s="12"/>
      <c r="G435" s="29" t="str">
        <f>IF(LEN($F435)&gt;0,IFERROR(INDEX('90_SEMA'!$G$7:$H$102,MATCH($F435,'90_SEMA'!$B$7:$B$102,0),NYELV_IDX),""),"")</f>
        <v/>
      </c>
      <c r="H435" s="24"/>
      <c r="I435" s="24"/>
      <c r="J435" s="12"/>
    </row>
    <row r="436" spans="2:10" x14ac:dyDescent="0.3">
      <c r="B436" s="29" t="str">
        <f t="shared" si="6"/>
        <v/>
      </c>
      <c r="C436" s="12"/>
      <c r="D436" s="12"/>
      <c r="E436" s="12"/>
      <c r="F436" s="12"/>
      <c r="G436" s="29" t="str">
        <f>IF(LEN($F436)&gt;0,IFERROR(INDEX('90_SEMA'!$G$7:$H$102,MATCH($F436,'90_SEMA'!$B$7:$B$102,0),NYELV_IDX),""),"")</f>
        <v/>
      </c>
      <c r="H436" s="24"/>
      <c r="I436" s="24"/>
      <c r="J436" s="12"/>
    </row>
    <row r="437" spans="2:10" x14ac:dyDescent="0.3">
      <c r="B437" s="29" t="str">
        <f t="shared" si="6"/>
        <v/>
      </c>
      <c r="C437" s="12"/>
      <c r="D437" s="12"/>
      <c r="E437" s="12"/>
      <c r="F437" s="12"/>
      <c r="G437" s="29" t="str">
        <f>IF(LEN($F437)&gt;0,IFERROR(INDEX('90_SEMA'!$G$7:$H$102,MATCH($F437,'90_SEMA'!$B$7:$B$102,0),NYELV_IDX),""),"")</f>
        <v/>
      </c>
      <c r="H437" s="24"/>
      <c r="I437" s="24"/>
      <c r="J437" s="12"/>
    </row>
    <row r="438" spans="2:10" x14ac:dyDescent="0.3">
      <c r="B438" s="29" t="str">
        <f t="shared" si="6"/>
        <v/>
      </c>
      <c r="C438" s="12"/>
      <c r="D438" s="12"/>
      <c r="E438" s="12"/>
      <c r="F438" s="12"/>
      <c r="G438" s="29" t="str">
        <f>IF(LEN($F438)&gt;0,IFERROR(INDEX('90_SEMA'!$G$7:$H$102,MATCH($F438,'90_SEMA'!$B$7:$B$102,0),NYELV_IDX),""),"")</f>
        <v/>
      </c>
      <c r="H438" s="24"/>
      <c r="I438" s="24"/>
      <c r="J438" s="12"/>
    </row>
    <row r="439" spans="2:10" x14ac:dyDescent="0.3">
      <c r="B439" s="29" t="str">
        <f t="shared" si="6"/>
        <v/>
      </c>
      <c r="C439" s="12"/>
      <c r="D439" s="12"/>
      <c r="E439" s="12"/>
      <c r="F439" s="12"/>
      <c r="G439" s="29" t="str">
        <f>IF(LEN($F439)&gt;0,IFERROR(INDEX('90_SEMA'!$G$7:$H$102,MATCH($F439,'90_SEMA'!$B$7:$B$102,0),NYELV_IDX),""),"")</f>
        <v/>
      </c>
      <c r="H439" s="24"/>
      <c r="I439" s="24"/>
      <c r="J439" s="12"/>
    </row>
    <row r="440" spans="2:10" x14ac:dyDescent="0.3">
      <c r="B440" s="29" t="str">
        <f t="shared" si="6"/>
        <v/>
      </c>
      <c r="C440" s="12"/>
      <c r="D440" s="12"/>
      <c r="E440" s="12"/>
      <c r="F440" s="12"/>
      <c r="G440" s="29" t="str">
        <f>IF(LEN($F440)&gt;0,IFERROR(INDEX('90_SEMA'!$G$7:$H$102,MATCH($F440,'90_SEMA'!$B$7:$B$102,0),NYELV_IDX),""),"")</f>
        <v/>
      </c>
      <c r="H440" s="24"/>
      <c r="I440" s="24"/>
      <c r="J440" s="12"/>
    </row>
    <row r="441" spans="2:10" x14ac:dyDescent="0.3">
      <c r="B441" s="29" t="str">
        <f t="shared" si="6"/>
        <v/>
      </c>
      <c r="C441" s="12"/>
      <c r="D441" s="12"/>
      <c r="E441" s="12"/>
      <c r="F441" s="12"/>
      <c r="G441" s="29" t="str">
        <f>IF(LEN($F441)&gt;0,IFERROR(INDEX('90_SEMA'!$G$7:$H$102,MATCH($F441,'90_SEMA'!$B$7:$B$102,0),NYELV_IDX),""),"")</f>
        <v/>
      </c>
      <c r="H441" s="24"/>
      <c r="I441" s="24"/>
      <c r="J441" s="12"/>
    </row>
    <row r="442" spans="2:10" x14ac:dyDescent="0.3">
      <c r="B442" s="29" t="str">
        <f t="shared" si="6"/>
        <v/>
      </c>
      <c r="C442" s="12"/>
      <c r="D442" s="12"/>
      <c r="E442" s="12"/>
      <c r="F442" s="12"/>
      <c r="G442" s="29" t="str">
        <f>IF(LEN($F442)&gt;0,IFERROR(INDEX('90_SEMA'!$G$7:$H$102,MATCH($F442,'90_SEMA'!$B$7:$B$102,0),NYELV_IDX),""),"")</f>
        <v/>
      </c>
      <c r="H442" s="24"/>
      <c r="I442" s="24"/>
      <c r="J442" s="12"/>
    </row>
    <row r="443" spans="2:10" x14ac:dyDescent="0.3">
      <c r="B443" s="29" t="str">
        <f t="shared" si="6"/>
        <v/>
      </c>
      <c r="C443" s="12"/>
      <c r="D443" s="12"/>
      <c r="E443" s="12"/>
      <c r="F443" s="12"/>
      <c r="G443" s="29" t="str">
        <f>IF(LEN($F443)&gt;0,IFERROR(INDEX('90_SEMA'!$G$7:$H$102,MATCH($F443,'90_SEMA'!$B$7:$B$102,0),NYELV_IDX),""),"")</f>
        <v/>
      </c>
      <c r="H443" s="24"/>
      <c r="I443" s="24"/>
      <c r="J443" s="12"/>
    </row>
    <row r="444" spans="2:10" x14ac:dyDescent="0.3">
      <c r="B444" s="29" t="str">
        <f t="shared" si="6"/>
        <v/>
      </c>
      <c r="C444" s="12"/>
      <c r="D444" s="12"/>
      <c r="E444" s="12"/>
      <c r="F444" s="12"/>
      <c r="G444" s="29" t="str">
        <f>IF(LEN($F444)&gt;0,IFERROR(INDEX('90_SEMA'!$G$7:$H$102,MATCH($F444,'90_SEMA'!$B$7:$B$102,0),NYELV_IDX),""),"")</f>
        <v/>
      </c>
      <c r="H444" s="24"/>
      <c r="I444" s="24"/>
      <c r="J444" s="12"/>
    </row>
    <row r="445" spans="2:10" x14ac:dyDescent="0.3">
      <c r="B445" s="29" t="str">
        <f t="shared" si="6"/>
        <v/>
      </c>
      <c r="C445" s="12"/>
      <c r="D445" s="12"/>
      <c r="E445" s="12"/>
      <c r="F445" s="12"/>
      <c r="G445" s="29" t="str">
        <f>IF(LEN($F445)&gt;0,IFERROR(INDEX('90_SEMA'!$G$7:$H$102,MATCH($F445,'90_SEMA'!$B$7:$B$102,0),NYELV_IDX),""),"")</f>
        <v/>
      </c>
      <c r="H445" s="24"/>
      <c r="I445" s="24"/>
      <c r="J445" s="12"/>
    </row>
    <row r="446" spans="2:10" x14ac:dyDescent="0.3">
      <c r="B446" s="29" t="str">
        <f t="shared" si="6"/>
        <v/>
      </c>
      <c r="C446" s="12"/>
      <c r="D446" s="12"/>
      <c r="E446" s="12"/>
      <c r="F446" s="12"/>
      <c r="G446" s="29" t="str">
        <f>IF(LEN($F446)&gt;0,IFERROR(INDEX('90_SEMA'!$G$7:$H$102,MATCH($F446,'90_SEMA'!$B$7:$B$102,0),NYELV_IDX),""),"")</f>
        <v/>
      </c>
      <c r="H446" s="24"/>
      <c r="I446" s="24"/>
      <c r="J446" s="12"/>
    </row>
    <row r="447" spans="2:10" x14ac:dyDescent="0.3">
      <c r="B447" s="29" t="str">
        <f t="shared" si="6"/>
        <v/>
      </c>
      <c r="C447" s="12"/>
      <c r="D447" s="12"/>
      <c r="E447" s="12"/>
      <c r="F447" s="12"/>
      <c r="G447" s="29" t="str">
        <f>IF(LEN($F447)&gt;0,IFERROR(INDEX('90_SEMA'!$G$7:$H$102,MATCH($F447,'90_SEMA'!$B$7:$B$102,0),NYELV_IDX),""),"")</f>
        <v/>
      </c>
      <c r="H447" s="24"/>
      <c r="I447" s="24"/>
      <c r="J447" s="12"/>
    </row>
    <row r="448" spans="2:10" x14ac:dyDescent="0.3">
      <c r="B448" s="29" t="str">
        <f t="shared" si="6"/>
        <v/>
      </c>
      <c r="C448" s="12"/>
      <c r="D448" s="12"/>
      <c r="E448" s="12"/>
      <c r="F448" s="12"/>
      <c r="G448" s="29" t="str">
        <f>IF(LEN($F448)&gt;0,IFERROR(INDEX('90_SEMA'!$G$7:$H$102,MATCH($F448,'90_SEMA'!$B$7:$B$102,0),NYELV_IDX),""),"")</f>
        <v/>
      </c>
      <c r="H448" s="24"/>
      <c r="I448" s="24"/>
      <c r="J448" s="12"/>
    </row>
    <row r="449" spans="2:10" x14ac:dyDescent="0.3">
      <c r="B449" s="29" t="str">
        <f t="shared" si="6"/>
        <v/>
      </c>
      <c r="C449" s="12"/>
      <c r="D449" s="12"/>
      <c r="E449" s="12"/>
      <c r="F449" s="12"/>
      <c r="G449" s="29" t="str">
        <f>IF(LEN($F449)&gt;0,IFERROR(INDEX('90_SEMA'!$G$7:$H$102,MATCH($F449,'90_SEMA'!$B$7:$B$102,0),NYELV_IDX),""),"")</f>
        <v/>
      </c>
      <c r="H449" s="24"/>
      <c r="I449" s="24"/>
      <c r="J449" s="12"/>
    </row>
    <row r="450" spans="2:10" x14ac:dyDescent="0.3">
      <c r="B450" s="29" t="str">
        <f t="shared" si="6"/>
        <v/>
      </c>
      <c r="C450" s="12"/>
      <c r="D450" s="12"/>
      <c r="E450" s="12"/>
      <c r="F450" s="12"/>
      <c r="G450" s="29" t="str">
        <f>IF(LEN($F450)&gt;0,IFERROR(INDEX('90_SEMA'!$G$7:$H$102,MATCH($F450,'90_SEMA'!$B$7:$B$102,0),NYELV_IDX),""),"")</f>
        <v/>
      </c>
      <c r="H450" s="24"/>
      <c r="I450" s="24"/>
      <c r="J450" s="12"/>
    </row>
    <row r="451" spans="2:10" x14ac:dyDescent="0.3">
      <c r="B451" s="29" t="str">
        <f t="shared" si="6"/>
        <v/>
      </c>
      <c r="C451" s="12"/>
      <c r="D451" s="12"/>
      <c r="E451" s="12"/>
      <c r="F451" s="12"/>
      <c r="G451" s="29" t="str">
        <f>IF(LEN($F451)&gt;0,IFERROR(INDEX('90_SEMA'!$G$7:$H$102,MATCH($F451,'90_SEMA'!$B$7:$B$102,0),NYELV_IDX),""),"")</f>
        <v/>
      </c>
      <c r="H451" s="24"/>
      <c r="I451" s="24"/>
      <c r="J451" s="12"/>
    </row>
    <row r="452" spans="2:10" x14ac:dyDescent="0.3">
      <c r="B452" s="29" t="str">
        <f t="shared" si="6"/>
        <v/>
      </c>
      <c r="C452" s="12"/>
      <c r="D452" s="12"/>
      <c r="E452" s="12"/>
      <c r="F452" s="12"/>
      <c r="G452" s="29" t="str">
        <f>IF(LEN($F452)&gt;0,IFERROR(INDEX('90_SEMA'!$G$7:$H$102,MATCH($F452,'90_SEMA'!$B$7:$B$102,0),NYELV_IDX),""),"")</f>
        <v/>
      </c>
      <c r="H452" s="24"/>
      <c r="I452" s="24"/>
      <c r="J452" s="12"/>
    </row>
    <row r="453" spans="2:10" x14ac:dyDescent="0.3">
      <c r="B453" s="29" t="str">
        <f t="shared" si="6"/>
        <v/>
      </c>
      <c r="C453" s="12"/>
      <c r="D453" s="12"/>
      <c r="E453" s="12"/>
      <c r="F453" s="12"/>
      <c r="G453" s="29" t="str">
        <f>IF(LEN($F453)&gt;0,IFERROR(INDEX('90_SEMA'!$G$7:$H$102,MATCH($F453,'90_SEMA'!$B$7:$B$102,0),NYELV_IDX),""),"")</f>
        <v/>
      </c>
      <c r="H453" s="24"/>
      <c r="I453" s="24"/>
      <c r="J453" s="12"/>
    </row>
    <row r="454" spans="2:10" x14ac:dyDescent="0.3">
      <c r="B454" s="29" t="str">
        <f t="shared" si="6"/>
        <v/>
      </c>
      <c r="C454" s="12"/>
      <c r="D454" s="12"/>
      <c r="E454" s="12"/>
      <c r="F454" s="12"/>
      <c r="G454" s="29" t="str">
        <f>IF(LEN($F454)&gt;0,IFERROR(INDEX('90_SEMA'!$G$7:$H$102,MATCH($F454,'90_SEMA'!$B$7:$B$102,0),NYELV_IDX),""),"")</f>
        <v/>
      </c>
      <c r="H454" s="24"/>
      <c r="I454" s="24"/>
      <c r="J454" s="12"/>
    </row>
    <row r="455" spans="2:10" x14ac:dyDescent="0.3">
      <c r="B455" s="29" t="str">
        <f t="shared" ref="B455:B518" si="7">IF(LEN($F455)&gt;0,ROW()-6,"")</f>
        <v/>
      </c>
      <c r="C455" s="12"/>
      <c r="D455" s="12"/>
      <c r="E455" s="12"/>
      <c r="F455" s="12"/>
      <c r="G455" s="29" t="str">
        <f>IF(LEN($F455)&gt;0,IFERROR(INDEX('90_SEMA'!$G$7:$H$102,MATCH($F455,'90_SEMA'!$B$7:$B$102,0),NYELV_IDX),""),"")</f>
        <v/>
      </c>
      <c r="H455" s="24"/>
      <c r="I455" s="24"/>
      <c r="J455" s="12"/>
    </row>
    <row r="456" spans="2:10" x14ac:dyDescent="0.3">
      <c r="B456" s="29" t="str">
        <f t="shared" si="7"/>
        <v/>
      </c>
      <c r="C456" s="12"/>
      <c r="D456" s="12"/>
      <c r="E456" s="12"/>
      <c r="F456" s="12"/>
      <c r="G456" s="29" t="str">
        <f>IF(LEN($F456)&gt;0,IFERROR(INDEX('90_SEMA'!$G$7:$H$102,MATCH($F456,'90_SEMA'!$B$7:$B$102,0),NYELV_IDX),""),"")</f>
        <v/>
      </c>
      <c r="H456" s="24"/>
      <c r="I456" s="24"/>
      <c r="J456" s="12"/>
    </row>
    <row r="457" spans="2:10" x14ac:dyDescent="0.3">
      <c r="B457" s="29" t="str">
        <f t="shared" si="7"/>
        <v/>
      </c>
      <c r="C457" s="12"/>
      <c r="D457" s="12"/>
      <c r="E457" s="12"/>
      <c r="F457" s="12"/>
      <c r="G457" s="29" t="str">
        <f>IF(LEN($F457)&gt;0,IFERROR(INDEX('90_SEMA'!$G$7:$H$102,MATCH($F457,'90_SEMA'!$B$7:$B$102,0),NYELV_IDX),""),"")</f>
        <v/>
      </c>
      <c r="H457" s="24"/>
      <c r="I457" s="24"/>
      <c r="J457" s="12"/>
    </row>
    <row r="458" spans="2:10" x14ac:dyDescent="0.3">
      <c r="B458" s="29" t="str">
        <f t="shared" si="7"/>
        <v/>
      </c>
      <c r="C458" s="12"/>
      <c r="D458" s="12"/>
      <c r="E458" s="12"/>
      <c r="F458" s="12"/>
      <c r="G458" s="29" t="str">
        <f>IF(LEN($F458)&gt;0,IFERROR(INDEX('90_SEMA'!$G$7:$H$102,MATCH($F458,'90_SEMA'!$B$7:$B$102,0),NYELV_IDX),""),"")</f>
        <v/>
      </c>
      <c r="H458" s="24"/>
      <c r="I458" s="24"/>
      <c r="J458" s="12"/>
    </row>
    <row r="459" spans="2:10" x14ac:dyDescent="0.3">
      <c r="B459" s="29" t="str">
        <f t="shared" si="7"/>
        <v/>
      </c>
      <c r="C459" s="12"/>
      <c r="D459" s="12"/>
      <c r="E459" s="12"/>
      <c r="F459" s="12"/>
      <c r="G459" s="29" t="str">
        <f>IF(LEN($F459)&gt;0,IFERROR(INDEX('90_SEMA'!$G$7:$H$102,MATCH($F459,'90_SEMA'!$B$7:$B$102,0),NYELV_IDX),""),"")</f>
        <v/>
      </c>
      <c r="H459" s="24"/>
      <c r="I459" s="24"/>
      <c r="J459" s="12"/>
    </row>
    <row r="460" spans="2:10" x14ac:dyDescent="0.3">
      <c r="B460" s="29" t="str">
        <f t="shared" si="7"/>
        <v/>
      </c>
      <c r="C460" s="12"/>
      <c r="D460" s="12"/>
      <c r="E460" s="12"/>
      <c r="F460" s="12"/>
      <c r="G460" s="29" t="str">
        <f>IF(LEN($F460)&gt;0,IFERROR(INDEX('90_SEMA'!$G$7:$H$102,MATCH($F460,'90_SEMA'!$B$7:$B$102,0),NYELV_IDX),""),"")</f>
        <v/>
      </c>
      <c r="H460" s="24"/>
      <c r="I460" s="24"/>
      <c r="J460" s="12"/>
    </row>
    <row r="461" spans="2:10" x14ac:dyDescent="0.3">
      <c r="B461" s="29" t="str">
        <f t="shared" si="7"/>
        <v/>
      </c>
      <c r="C461" s="12"/>
      <c r="D461" s="12"/>
      <c r="E461" s="12"/>
      <c r="F461" s="12"/>
      <c r="G461" s="29" t="str">
        <f>IF(LEN($F461)&gt;0,IFERROR(INDEX('90_SEMA'!$G$7:$H$102,MATCH($F461,'90_SEMA'!$B$7:$B$102,0),NYELV_IDX),""),"")</f>
        <v/>
      </c>
      <c r="H461" s="24"/>
      <c r="I461" s="24"/>
      <c r="J461" s="12"/>
    </row>
    <row r="462" spans="2:10" x14ac:dyDescent="0.3">
      <c r="B462" s="29" t="str">
        <f t="shared" si="7"/>
        <v/>
      </c>
      <c r="C462" s="12"/>
      <c r="D462" s="12"/>
      <c r="E462" s="12"/>
      <c r="F462" s="12"/>
      <c r="G462" s="29" t="str">
        <f>IF(LEN($F462)&gt;0,IFERROR(INDEX('90_SEMA'!$G$7:$H$102,MATCH($F462,'90_SEMA'!$B$7:$B$102,0),NYELV_IDX),""),"")</f>
        <v/>
      </c>
      <c r="H462" s="24"/>
      <c r="I462" s="24"/>
      <c r="J462" s="12"/>
    </row>
    <row r="463" spans="2:10" x14ac:dyDescent="0.3">
      <c r="B463" s="29" t="str">
        <f t="shared" si="7"/>
        <v/>
      </c>
      <c r="C463" s="12"/>
      <c r="D463" s="12"/>
      <c r="E463" s="12"/>
      <c r="F463" s="12"/>
      <c r="G463" s="29" t="str">
        <f>IF(LEN($F463)&gt;0,IFERROR(INDEX('90_SEMA'!$G$7:$H$102,MATCH($F463,'90_SEMA'!$B$7:$B$102,0),NYELV_IDX),""),"")</f>
        <v/>
      </c>
      <c r="H463" s="24"/>
      <c r="I463" s="24"/>
      <c r="J463" s="12"/>
    </row>
    <row r="464" spans="2:10" x14ac:dyDescent="0.3">
      <c r="B464" s="29" t="str">
        <f t="shared" si="7"/>
        <v/>
      </c>
      <c r="C464" s="12"/>
      <c r="D464" s="12"/>
      <c r="E464" s="12"/>
      <c r="F464" s="12"/>
      <c r="G464" s="29" t="str">
        <f>IF(LEN($F464)&gt;0,IFERROR(INDEX('90_SEMA'!$G$7:$H$102,MATCH($F464,'90_SEMA'!$B$7:$B$102,0),NYELV_IDX),""),"")</f>
        <v/>
      </c>
      <c r="H464" s="24"/>
      <c r="I464" s="24"/>
      <c r="J464" s="12"/>
    </row>
    <row r="465" spans="2:10" x14ac:dyDescent="0.3">
      <c r="B465" s="29" t="str">
        <f t="shared" si="7"/>
        <v/>
      </c>
      <c r="C465" s="12"/>
      <c r="D465" s="12"/>
      <c r="E465" s="12"/>
      <c r="F465" s="12"/>
      <c r="G465" s="29" t="str">
        <f>IF(LEN($F465)&gt;0,IFERROR(INDEX('90_SEMA'!$G$7:$H$102,MATCH($F465,'90_SEMA'!$B$7:$B$102,0),NYELV_IDX),""),"")</f>
        <v/>
      </c>
      <c r="H465" s="24"/>
      <c r="I465" s="24"/>
      <c r="J465" s="12"/>
    </row>
    <row r="466" spans="2:10" x14ac:dyDescent="0.3">
      <c r="B466" s="29" t="str">
        <f t="shared" si="7"/>
        <v/>
      </c>
      <c r="C466" s="12"/>
      <c r="D466" s="12"/>
      <c r="E466" s="12"/>
      <c r="F466" s="12"/>
      <c r="G466" s="29" t="str">
        <f>IF(LEN($F466)&gt;0,IFERROR(INDEX('90_SEMA'!$G$7:$H$102,MATCH($F466,'90_SEMA'!$B$7:$B$102,0),NYELV_IDX),""),"")</f>
        <v/>
      </c>
      <c r="H466" s="24"/>
      <c r="I466" s="24"/>
      <c r="J466" s="12"/>
    </row>
    <row r="467" spans="2:10" x14ac:dyDescent="0.3">
      <c r="B467" s="29" t="str">
        <f t="shared" si="7"/>
        <v/>
      </c>
      <c r="C467" s="12"/>
      <c r="D467" s="12"/>
      <c r="E467" s="12"/>
      <c r="F467" s="12"/>
      <c r="G467" s="29" t="str">
        <f>IF(LEN($F467)&gt;0,IFERROR(INDEX('90_SEMA'!$G$7:$H$102,MATCH($F467,'90_SEMA'!$B$7:$B$102,0),NYELV_IDX),""),"")</f>
        <v/>
      </c>
      <c r="H467" s="24"/>
      <c r="I467" s="24"/>
      <c r="J467" s="12"/>
    </row>
    <row r="468" spans="2:10" x14ac:dyDescent="0.3">
      <c r="B468" s="29" t="str">
        <f t="shared" si="7"/>
        <v/>
      </c>
      <c r="C468" s="12"/>
      <c r="D468" s="12"/>
      <c r="E468" s="12"/>
      <c r="F468" s="12"/>
      <c r="G468" s="29" t="str">
        <f>IF(LEN($F468)&gt;0,IFERROR(INDEX('90_SEMA'!$G$7:$H$102,MATCH($F468,'90_SEMA'!$B$7:$B$102,0),NYELV_IDX),""),"")</f>
        <v/>
      </c>
      <c r="H468" s="24"/>
      <c r="I468" s="24"/>
      <c r="J468" s="12"/>
    </row>
    <row r="469" spans="2:10" x14ac:dyDescent="0.3">
      <c r="B469" s="29" t="str">
        <f t="shared" si="7"/>
        <v/>
      </c>
      <c r="C469" s="12"/>
      <c r="D469" s="12"/>
      <c r="E469" s="12"/>
      <c r="F469" s="12"/>
      <c r="G469" s="29" t="str">
        <f>IF(LEN($F469)&gt;0,IFERROR(INDEX('90_SEMA'!$G$7:$H$102,MATCH($F469,'90_SEMA'!$B$7:$B$102,0),NYELV_IDX),""),"")</f>
        <v/>
      </c>
      <c r="H469" s="24"/>
      <c r="I469" s="24"/>
      <c r="J469" s="12"/>
    </row>
    <row r="470" spans="2:10" x14ac:dyDescent="0.3">
      <c r="B470" s="29" t="str">
        <f t="shared" si="7"/>
        <v/>
      </c>
      <c r="C470" s="12"/>
      <c r="D470" s="12"/>
      <c r="E470" s="12"/>
      <c r="F470" s="12"/>
      <c r="G470" s="29" t="str">
        <f>IF(LEN($F470)&gt;0,IFERROR(INDEX('90_SEMA'!$G$7:$H$102,MATCH($F470,'90_SEMA'!$B$7:$B$102,0),NYELV_IDX),""),"")</f>
        <v/>
      </c>
      <c r="H470" s="24"/>
      <c r="I470" s="24"/>
      <c r="J470" s="12"/>
    </row>
    <row r="471" spans="2:10" x14ac:dyDescent="0.3">
      <c r="B471" s="29" t="str">
        <f t="shared" si="7"/>
        <v/>
      </c>
      <c r="C471" s="12"/>
      <c r="D471" s="12"/>
      <c r="E471" s="12"/>
      <c r="F471" s="12"/>
      <c r="G471" s="29" t="str">
        <f>IF(LEN($F471)&gt;0,IFERROR(INDEX('90_SEMA'!$G$7:$H$102,MATCH($F471,'90_SEMA'!$B$7:$B$102,0),NYELV_IDX),""),"")</f>
        <v/>
      </c>
      <c r="H471" s="24"/>
      <c r="I471" s="24"/>
      <c r="J471" s="12"/>
    </row>
    <row r="472" spans="2:10" x14ac:dyDescent="0.3">
      <c r="B472" s="29" t="str">
        <f t="shared" si="7"/>
        <v/>
      </c>
      <c r="C472" s="12"/>
      <c r="D472" s="12"/>
      <c r="E472" s="12"/>
      <c r="F472" s="12"/>
      <c r="G472" s="29" t="str">
        <f>IF(LEN($F472)&gt;0,IFERROR(INDEX('90_SEMA'!$G$7:$H$102,MATCH($F472,'90_SEMA'!$B$7:$B$102,0),NYELV_IDX),""),"")</f>
        <v/>
      </c>
      <c r="H472" s="24"/>
      <c r="I472" s="24"/>
      <c r="J472" s="12"/>
    </row>
    <row r="473" spans="2:10" x14ac:dyDescent="0.3">
      <c r="B473" s="29" t="str">
        <f t="shared" si="7"/>
        <v/>
      </c>
      <c r="C473" s="12"/>
      <c r="D473" s="12"/>
      <c r="E473" s="12"/>
      <c r="F473" s="12"/>
      <c r="G473" s="29" t="str">
        <f>IF(LEN($F473)&gt;0,IFERROR(INDEX('90_SEMA'!$G$7:$H$102,MATCH($F473,'90_SEMA'!$B$7:$B$102,0),NYELV_IDX),""),"")</f>
        <v/>
      </c>
      <c r="H473" s="24"/>
      <c r="I473" s="24"/>
      <c r="J473" s="12"/>
    </row>
    <row r="474" spans="2:10" x14ac:dyDescent="0.3">
      <c r="B474" s="29" t="str">
        <f t="shared" si="7"/>
        <v/>
      </c>
      <c r="C474" s="12"/>
      <c r="D474" s="12"/>
      <c r="E474" s="12"/>
      <c r="F474" s="12"/>
      <c r="G474" s="29" t="str">
        <f>IF(LEN($F474)&gt;0,IFERROR(INDEX('90_SEMA'!$G$7:$H$102,MATCH($F474,'90_SEMA'!$B$7:$B$102,0),NYELV_IDX),""),"")</f>
        <v/>
      </c>
      <c r="H474" s="24"/>
      <c r="I474" s="24"/>
      <c r="J474" s="12"/>
    </row>
    <row r="475" spans="2:10" x14ac:dyDescent="0.3">
      <c r="B475" s="29" t="str">
        <f t="shared" si="7"/>
        <v/>
      </c>
      <c r="C475" s="12"/>
      <c r="D475" s="12"/>
      <c r="E475" s="12"/>
      <c r="F475" s="12"/>
      <c r="G475" s="29" t="str">
        <f>IF(LEN($F475)&gt;0,IFERROR(INDEX('90_SEMA'!$G$7:$H$102,MATCH($F475,'90_SEMA'!$B$7:$B$102,0),NYELV_IDX),""),"")</f>
        <v/>
      </c>
      <c r="H475" s="24"/>
      <c r="I475" s="24"/>
      <c r="J475" s="12"/>
    </row>
    <row r="476" spans="2:10" x14ac:dyDescent="0.3">
      <c r="B476" s="29" t="str">
        <f t="shared" si="7"/>
        <v/>
      </c>
      <c r="C476" s="12"/>
      <c r="D476" s="12"/>
      <c r="E476" s="12"/>
      <c r="F476" s="12"/>
      <c r="G476" s="29" t="str">
        <f>IF(LEN($F476)&gt;0,IFERROR(INDEX('90_SEMA'!$G$7:$H$102,MATCH($F476,'90_SEMA'!$B$7:$B$102,0),NYELV_IDX),""),"")</f>
        <v/>
      </c>
      <c r="H476" s="24"/>
      <c r="I476" s="24"/>
      <c r="J476" s="12"/>
    </row>
    <row r="477" spans="2:10" x14ac:dyDescent="0.3">
      <c r="B477" s="29" t="str">
        <f t="shared" si="7"/>
        <v/>
      </c>
      <c r="C477" s="12"/>
      <c r="D477" s="12"/>
      <c r="E477" s="12"/>
      <c r="F477" s="12"/>
      <c r="G477" s="29" t="str">
        <f>IF(LEN($F477)&gt;0,IFERROR(INDEX('90_SEMA'!$G$7:$H$102,MATCH($F477,'90_SEMA'!$B$7:$B$102,0),NYELV_IDX),""),"")</f>
        <v/>
      </c>
      <c r="H477" s="24"/>
      <c r="I477" s="24"/>
      <c r="J477" s="12"/>
    </row>
    <row r="478" spans="2:10" x14ac:dyDescent="0.3">
      <c r="B478" s="29" t="str">
        <f t="shared" si="7"/>
        <v/>
      </c>
      <c r="C478" s="12"/>
      <c r="D478" s="12"/>
      <c r="E478" s="12"/>
      <c r="F478" s="12"/>
      <c r="G478" s="29" t="str">
        <f>IF(LEN($F478)&gt;0,IFERROR(INDEX('90_SEMA'!$G$7:$H$102,MATCH($F478,'90_SEMA'!$B$7:$B$102,0),NYELV_IDX),""),"")</f>
        <v/>
      </c>
      <c r="H478" s="24"/>
      <c r="I478" s="24"/>
      <c r="J478" s="12"/>
    </row>
    <row r="479" spans="2:10" x14ac:dyDescent="0.3">
      <c r="B479" s="29" t="str">
        <f t="shared" si="7"/>
        <v/>
      </c>
      <c r="C479" s="12"/>
      <c r="D479" s="12"/>
      <c r="E479" s="12"/>
      <c r="F479" s="12"/>
      <c r="G479" s="29" t="str">
        <f>IF(LEN($F479)&gt;0,IFERROR(INDEX('90_SEMA'!$G$7:$H$102,MATCH($F479,'90_SEMA'!$B$7:$B$102,0),NYELV_IDX),""),"")</f>
        <v/>
      </c>
      <c r="H479" s="24"/>
      <c r="I479" s="24"/>
      <c r="J479" s="12"/>
    </row>
    <row r="480" spans="2:10" x14ac:dyDescent="0.3">
      <c r="B480" s="29" t="str">
        <f t="shared" si="7"/>
        <v/>
      </c>
      <c r="C480" s="12"/>
      <c r="D480" s="12"/>
      <c r="E480" s="12"/>
      <c r="F480" s="12"/>
      <c r="G480" s="29" t="str">
        <f>IF(LEN($F480)&gt;0,IFERROR(INDEX('90_SEMA'!$G$7:$H$102,MATCH($F480,'90_SEMA'!$B$7:$B$102,0),NYELV_IDX),""),"")</f>
        <v/>
      </c>
      <c r="H480" s="24"/>
      <c r="I480" s="24"/>
      <c r="J480" s="12"/>
    </row>
    <row r="481" spans="2:10" x14ac:dyDescent="0.3">
      <c r="B481" s="29" t="str">
        <f t="shared" si="7"/>
        <v/>
      </c>
      <c r="C481" s="12"/>
      <c r="D481" s="12"/>
      <c r="E481" s="12"/>
      <c r="F481" s="12"/>
      <c r="G481" s="29" t="str">
        <f>IF(LEN($F481)&gt;0,IFERROR(INDEX('90_SEMA'!$G$7:$H$102,MATCH($F481,'90_SEMA'!$B$7:$B$102,0),NYELV_IDX),""),"")</f>
        <v/>
      </c>
      <c r="H481" s="24"/>
      <c r="I481" s="24"/>
      <c r="J481" s="12"/>
    </row>
    <row r="482" spans="2:10" x14ac:dyDescent="0.3">
      <c r="B482" s="29" t="str">
        <f t="shared" si="7"/>
        <v/>
      </c>
      <c r="C482" s="12"/>
      <c r="D482" s="12"/>
      <c r="E482" s="12"/>
      <c r="F482" s="12"/>
      <c r="G482" s="29" t="str">
        <f>IF(LEN($F482)&gt;0,IFERROR(INDEX('90_SEMA'!$G$7:$H$102,MATCH($F482,'90_SEMA'!$B$7:$B$102,0),NYELV_IDX),""),"")</f>
        <v/>
      </c>
      <c r="H482" s="24"/>
      <c r="I482" s="24"/>
      <c r="J482" s="12"/>
    </row>
    <row r="483" spans="2:10" x14ac:dyDescent="0.3">
      <c r="B483" s="29" t="str">
        <f t="shared" si="7"/>
        <v/>
      </c>
      <c r="C483" s="12"/>
      <c r="D483" s="12"/>
      <c r="E483" s="12"/>
      <c r="F483" s="12"/>
      <c r="G483" s="29" t="str">
        <f>IF(LEN($F483)&gt;0,IFERROR(INDEX('90_SEMA'!$G$7:$H$102,MATCH($F483,'90_SEMA'!$B$7:$B$102,0),NYELV_IDX),""),"")</f>
        <v/>
      </c>
      <c r="H483" s="24"/>
      <c r="I483" s="24"/>
      <c r="J483" s="12"/>
    </row>
    <row r="484" spans="2:10" x14ac:dyDescent="0.3">
      <c r="B484" s="29" t="str">
        <f t="shared" si="7"/>
        <v/>
      </c>
      <c r="C484" s="12"/>
      <c r="D484" s="12"/>
      <c r="E484" s="12"/>
      <c r="F484" s="12"/>
      <c r="G484" s="29" t="str">
        <f>IF(LEN($F484)&gt;0,IFERROR(INDEX('90_SEMA'!$G$7:$H$102,MATCH($F484,'90_SEMA'!$B$7:$B$102,0),NYELV_IDX),""),"")</f>
        <v/>
      </c>
      <c r="H484" s="24"/>
      <c r="I484" s="24"/>
      <c r="J484" s="12"/>
    </row>
    <row r="485" spans="2:10" x14ac:dyDescent="0.3">
      <c r="B485" s="29" t="str">
        <f t="shared" si="7"/>
        <v/>
      </c>
      <c r="C485" s="12"/>
      <c r="D485" s="12"/>
      <c r="E485" s="12"/>
      <c r="F485" s="12"/>
      <c r="G485" s="29" t="str">
        <f>IF(LEN($F485)&gt;0,IFERROR(INDEX('90_SEMA'!$G$7:$H$102,MATCH($F485,'90_SEMA'!$B$7:$B$102,0),NYELV_IDX),""),"")</f>
        <v/>
      </c>
      <c r="H485" s="24"/>
      <c r="I485" s="24"/>
      <c r="J485" s="12"/>
    </row>
    <row r="486" spans="2:10" x14ac:dyDescent="0.3">
      <c r="B486" s="29" t="str">
        <f t="shared" si="7"/>
        <v/>
      </c>
      <c r="C486" s="12"/>
      <c r="D486" s="12"/>
      <c r="E486" s="12"/>
      <c r="F486" s="12"/>
      <c r="G486" s="29" t="str">
        <f>IF(LEN($F486)&gt;0,IFERROR(INDEX('90_SEMA'!$G$7:$H$102,MATCH($F486,'90_SEMA'!$B$7:$B$102,0),NYELV_IDX),""),"")</f>
        <v/>
      </c>
      <c r="H486" s="24"/>
      <c r="I486" s="24"/>
      <c r="J486" s="12"/>
    </row>
    <row r="487" spans="2:10" x14ac:dyDescent="0.3">
      <c r="B487" s="29" t="str">
        <f t="shared" si="7"/>
        <v/>
      </c>
      <c r="C487" s="12"/>
      <c r="D487" s="12"/>
      <c r="E487" s="12"/>
      <c r="F487" s="12"/>
      <c r="G487" s="29" t="str">
        <f>IF(LEN($F487)&gt;0,IFERROR(INDEX('90_SEMA'!$G$7:$H$102,MATCH($F487,'90_SEMA'!$B$7:$B$102,0),NYELV_IDX),""),"")</f>
        <v/>
      </c>
      <c r="H487" s="24"/>
      <c r="I487" s="24"/>
      <c r="J487" s="12"/>
    </row>
    <row r="488" spans="2:10" x14ac:dyDescent="0.3">
      <c r="B488" s="29" t="str">
        <f t="shared" si="7"/>
        <v/>
      </c>
      <c r="C488" s="12"/>
      <c r="D488" s="12"/>
      <c r="E488" s="12"/>
      <c r="F488" s="12"/>
      <c r="G488" s="29" t="str">
        <f>IF(LEN($F488)&gt;0,IFERROR(INDEX('90_SEMA'!$G$7:$H$102,MATCH($F488,'90_SEMA'!$B$7:$B$102,0),NYELV_IDX),""),"")</f>
        <v/>
      </c>
      <c r="H488" s="24"/>
      <c r="I488" s="24"/>
      <c r="J488" s="12"/>
    </row>
    <row r="489" spans="2:10" x14ac:dyDescent="0.3">
      <c r="B489" s="29" t="str">
        <f t="shared" si="7"/>
        <v/>
      </c>
      <c r="C489" s="12"/>
      <c r="D489" s="12"/>
      <c r="E489" s="12"/>
      <c r="F489" s="12"/>
      <c r="G489" s="29" t="str">
        <f>IF(LEN($F489)&gt;0,IFERROR(INDEX('90_SEMA'!$G$7:$H$102,MATCH($F489,'90_SEMA'!$B$7:$B$102,0),NYELV_IDX),""),"")</f>
        <v/>
      </c>
      <c r="H489" s="24"/>
      <c r="I489" s="24"/>
      <c r="J489" s="12"/>
    </row>
    <row r="490" spans="2:10" x14ac:dyDescent="0.3">
      <c r="B490" s="29" t="str">
        <f t="shared" si="7"/>
        <v/>
      </c>
      <c r="C490" s="12"/>
      <c r="D490" s="12"/>
      <c r="E490" s="12"/>
      <c r="F490" s="12"/>
      <c r="G490" s="29" t="str">
        <f>IF(LEN($F490)&gt;0,IFERROR(INDEX('90_SEMA'!$G$7:$H$102,MATCH($F490,'90_SEMA'!$B$7:$B$102,0),NYELV_IDX),""),"")</f>
        <v/>
      </c>
      <c r="H490" s="24"/>
      <c r="I490" s="24"/>
      <c r="J490" s="12"/>
    </row>
    <row r="491" spans="2:10" x14ac:dyDescent="0.3">
      <c r="B491" s="29" t="str">
        <f t="shared" si="7"/>
        <v/>
      </c>
      <c r="C491" s="12"/>
      <c r="D491" s="12"/>
      <c r="E491" s="12"/>
      <c r="F491" s="12"/>
      <c r="G491" s="29" t="str">
        <f>IF(LEN($F491)&gt;0,IFERROR(INDEX('90_SEMA'!$G$7:$H$102,MATCH($F491,'90_SEMA'!$B$7:$B$102,0),NYELV_IDX),""),"")</f>
        <v/>
      </c>
      <c r="H491" s="24"/>
      <c r="I491" s="24"/>
      <c r="J491" s="12"/>
    </row>
    <row r="492" spans="2:10" x14ac:dyDescent="0.3">
      <c r="B492" s="29" t="str">
        <f t="shared" si="7"/>
        <v/>
      </c>
      <c r="C492" s="12"/>
      <c r="D492" s="12"/>
      <c r="E492" s="12"/>
      <c r="F492" s="12"/>
      <c r="G492" s="29" t="str">
        <f>IF(LEN($F492)&gt;0,IFERROR(INDEX('90_SEMA'!$G$7:$H$102,MATCH($F492,'90_SEMA'!$B$7:$B$102,0),NYELV_IDX),""),"")</f>
        <v/>
      </c>
      <c r="H492" s="24"/>
      <c r="I492" s="24"/>
      <c r="J492" s="12"/>
    </row>
    <row r="493" spans="2:10" x14ac:dyDescent="0.3">
      <c r="B493" s="29" t="str">
        <f t="shared" si="7"/>
        <v/>
      </c>
      <c r="C493" s="12"/>
      <c r="D493" s="12"/>
      <c r="E493" s="12"/>
      <c r="F493" s="12"/>
      <c r="G493" s="29" t="str">
        <f>IF(LEN($F493)&gt;0,IFERROR(INDEX('90_SEMA'!$G$7:$H$102,MATCH($F493,'90_SEMA'!$B$7:$B$102,0),NYELV_IDX),""),"")</f>
        <v/>
      </c>
      <c r="H493" s="24"/>
      <c r="I493" s="24"/>
      <c r="J493" s="12"/>
    </row>
    <row r="494" spans="2:10" x14ac:dyDescent="0.3">
      <c r="B494" s="29" t="str">
        <f t="shared" si="7"/>
        <v/>
      </c>
      <c r="C494" s="12"/>
      <c r="D494" s="12"/>
      <c r="E494" s="12"/>
      <c r="F494" s="12"/>
      <c r="G494" s="29" t="str">
        <f>IF(LEN($F494)&gt;0,IFERROR(INDEX('90_SEMA'!$G$7:$H$102,MATCH($F494,'90_SEMA'!$B$7:$B$102,0),NYELV_IDX),""),"")</f>
        <v/>
      </c>
      <c r="H494" s="24"/>
      <c r="I494" s="24"/>
      <c r="J494" s="12"/>
    </row>
    <row r="495" spans="2:10" x14ac:dyDescent="0.3">
      <c r="B495" s="29" t="str">
        <f t="shared" si="7"/>
        <v/>
      </c>
      <c r="C495" s="12"/>
      <c r="D495" s="12"/>
      <c r="E495" s="12"/>
      <c r="F495" s="12"/>
      <c r="G495" s="29" t="str">
        <f>IF(LEN($F495)&gt;0,IFERROR(INDEX('90_SEMA'!$G$7:$H$102,MATCH($F495,'90_SEMA'!$B$7:$B$102,0),NYELV_IDX),""),"")</f>
        <v/>
      </c>
      <c r="H495" s="24"/>
      <c r="I495" s="24"/>
      <c r="J495" s="12"/>
    </row>
    <row r="496" spans="2:10" x14ac:dyDescent="0.3">
      <c r="B496" s="29" t="str">
        <f t="shared" si="7"/>
        <v/>
      </c>
      <c r="C496" s="12"/>
      <c r="D496" s="12"/>
      <c r="E496" s="12"/>
      <c r="F496" s="12"/>
      <c r="G496" s="29" t="str">
        <f>IF(LEN($F496)&gt;0,IFERROR(INDEX('90_SEMA'!$G$7:$H$102,MATCH($F496,'90_SEMA'!$B$7:$B$102,0),NYELV_IDX),""),"")</f>
        <v/>
      </c>
      <c r="H496" s="24"/>
      <c r="I496" s="24"/>
      <c r="J496" s="12"/>
    </row>
    <row r="497" spans="2:10" x14ac:dyDescent="0.3">
      <c r="B497" s="29" t="str">
        <f t="shared" si="7"/>
        <v/>
      </c>
      <c r="C497" s="12"/>
      <c r="D497" s="12"/>
      <c r="E497" s="12"/>
      <c r="F497" s="12"/>
      <c r="G497" s="29" t="str">
        <f>IF(LEN($F497)&gt;0,IFERROR(INDEX('90_SEMA'!$G$7:$H$102,MATCH($F497,'90_SEMA'!$B$7:$B$102,0),NYELV_IDX),""),"")</f>
        <v/>
      </c>
      <c r="H497" s="24"/>
      <c r="I497" s="24"/>
      <c r="J497" s="12"/>
    </row>
    <row r="498" spans="2:10" x14ac:dyDescent="0.3">
      <c r="B498" s="29" t="str">
        <f t="shared" si="7"/>
        <v/>
      </c>
      <c r="C498" s="12"/>
      <c r="D498" s="12"/>
      <c r="E498" s="12"/>
      <c r="F498" s="12"/>
      <c r="G498" s="29" t="str">
        <f>IF(LEN($F498)&gt;0,IFERROR(INDEX('90_SEMA'!$G$7:$H$102,MATCH($F498,'90_SEMA'!$B$7:$B$102,0),NYELV_IDX),""),"")</f>
        <v/>
      </c>
      <c r="H498" s="24"/>
      <c r="I498" s="24"/>
      <c r="J498" s="12"/>
    </row>
    <row r="499" spans="2:10" x14ac:dyDescent="0.3">
      <c r="B499" s="29" t="str">
        <f t="shared" si="7"/>
        <v/>
      </c>
      <c r="C499" s="12"/>
      <c r="D499" s="12"/>
      <c r="E499" s="12"/>
      <c r="F499" s="12"/>
      <c r="G499" s="29" t="str">
        <f>IF(LEN($F499)&gt;0,IFERROR(INDEX('90_SEMA'!$G$7:$H$102,MATCH($F499,'90_SEMA'!$B$7:$B$102,0),NYELV_IDX),""),"")</f>
        <v/>
      </c>
      <c r="H499" s="24"/>
      <c r="I499" s="24"/>
      <c r="J499" s="12"/>
    </row>
    <row r="500" spans="2:10" x14ac:dyDescent="0.3">
      <c r="B500" s="29" t="str">
        <f t="shared" si="7"/>
        <v/>
      </c>
      <c r="C500" s="12"/>
      <c r="D500" s="12"/>
      <c r="E500" s="12"/>
      <c r="F500" s="12"/>
      <c r="G500" s="29" t="str">
        <f>IF(LEN($F500)&gt;0,IFERROR(INDEX('90_SEMA'!$G$7:$H$102,MATCH($F500,'90_SEMA'!$B$7:$B$102,0),NYELV_IDX),""),"")</f>
        <v/>
      </c>
      <c r="H500" s="24"/>
      <c r="I500" s="24"/>
      <c r="J500" s="12"/>
    </row>
    <row r="501" spans="2:10" x14ac:dyDescent="0.3">
      <c r="B501" s="29" t="str">
        <f t="shared" si="7"/>
        <v/>
      </c>
      <c r="C501" s="12"/>
      <c r="D501" s="12"/>
      <c r="E501" s="12"/>
      <c r="F501" s="12"/>
      <c r="G501" s="29" t="str">
        <f>IF(LEN($F501)&gt;0,IFERROR(INDEX('90_SEMA'!$G$7:$H$102,MATCH($F501,'90_SEMA'!$B$7:$B$102,0),NYELV_IDX),""),"")</f>
        <v/>
      </c>
      <c r="H501" s="24"/>
      <c r="I501" s="24"/>
      <c r="J501" s="12"/>
    </row>
    <row r="502" spans="2:10" x14ac:dyDescent="0.3">
      <c r="B502" s="29" t="str">
        <f t="shared" si="7"/>
        <v/>
      </c>
      <c r="C502" s="12"/>
      <c r="D502" s="12"/>
      <c r="E502" s="12"/>
      <c r="F502" s="12"/>
      <c r="G502" s="29" t="str">
        <f>IF(LEN($F502)&gt;0,IFERROR(INDEX('90_SEMA'!$G$7:$H$102,MATCH($F502,'90_SEMA'!$B$7:$B$102,0),NYELV_IDX),""),"")</f>
        <v/>
      </c>
      <c r="H502" s="24"/>
      <c r="I502" s="24"/>
      <c r="J502" s="12"/>
    </row>
    <row r="503" spans="2:10" x14ac:dyDescent="0.3">
      <c r="B503" s="29" t="str">
        <f t="shared" si="7"/>
        <v/>
      </c>
      <c r="C503" s="12"/>
      <c r="D503" s="12"/>
      <c r="E503" s="12"/>
      <c r="F503" s="12"/>
      <c r="G503" s="29" t="str">
        <f>IF(LEN($F503)&gt;0,IFERROR(INDEX('90_SEMA'!$G$7:$H$102,MATCH($F503,'90_SEMA'!$B$7:$B$102,0),NYELV_IDX),""),"")</f>
        <v/>
      </c>
      <c r="H503" s="24"/>
      <c r="I503" s="24"/>
      <c r="J503" s="12"/>
    </row>
    <row r="504" spans="2:10" x14ac:dyDescent="0.3">
      <c r="B504" s="29" t="str">
        <f t="shared" si="7"/>
        <v/>
      </c>
      <c r="C504" s="12"/>
      <c r="D504" s="12"/>
      <c r="E504" s="12"/>
      <c r="F504" s="12"/>
      <c r="G504" s="29" t="str">
        <f>IF(LEN($F504)&gt;0,IFERROR(INDEX('90_SEMA'!$G$7:$H$102,MATCH($F504,'90_SEMA'!$B$7:$B$102,0),NYELV_IDX),""),"")</f>
        <v/>
      </c>
      <c r="H504" s="24"/>
      <c r="I504" s="24"/>
      <c r="J504" s="12"/>
    </row>
    <row r="505" spans="2:10" x14ac:dyDescent="0.3">
      <c r="B505" s="29" t="str">
        <f t="shared" si="7"/>
        <v/>
      </c>
      <c r="C505" s="12"/>
      <c r="D505" s="12"/>
      <c r="E505" s="12"/>
      <c r="F505" s="12"/>
      <c r="G505" s="29" t="str">
        <f>IF(LEN($F505)&gt;0,IFERROR(INDEX('90_SEMA'!$G$7:$H$102,MATCH($F505,'90_SEMA'!$B$7:$B$102,0),NYELV_IDX),""),"")</f>
        <v/>
      </c>
      <c r="H505" s="24"/>
      <c r="I505" s="24"/>
      <c r="J505" s="12"/>
    </row>
    <row r="506" spans="2:10" x14ac:dyDescent="0.3">
      <c r="B506" s="29" t="str">
        <f t="shared" si="7"/>
        <v/>
      </c>
      <c r="C506" s="12"/>
      <c r="D506" s="12"/>
      <c r="E506" s="12"/>
      <c r="F506" s="12"/>
      <c r="G506" s="29" t="str">
        <f>IF(LEN($F506)&gt;0,IFERROR(INDEX('90_SEMA'!$G$7:$H$102,MATCH($F506,'90_SEMA'!$B$7:$B$102,0),NYELV_IDX),""),"")</f>
        <v/>
      </c>
      <c r="H506" s="24"/>
      <c r="I506" s="24"/>
      <c r="J506" s="12"/>
    </row>
    <row r="507" spans="2:10" x14ac:dyDescent="0.3">
      <c r="B507" s="29" t="str">
        <f t="shared" si="7"/>
        <v/>
      </c>
      <c r="C507" s="12"/>
      <c r="D507" s="12"/>
      <c r="E507" s="12"/>
      <c r="F507" s="12"/>
      <c r="G507" s="29" t="str">
        <f>IF(LEN($F507)&gt;0,IFERROR(INDEX('90_SEMA'!$G$7:$H$102,MATCH($F507,'90_SEMA'!$B$7:$B$102,0),NYELV_IDX),""),"")</f>
        <v/>
      </c>
      <c r="H507" s="24"/>
      <c r="I507" s="24"/>
      <c r="J507" s="12"/>
    </row>
    <row r="508" spans="2:10" x14ac:dyDescent="0.3">
      <c r="B508" s="29" t="str">
        <f t="shared" si="7"/>
        <v/>
      </c>
      <c r="C508" s="12"/>
      <c r="D508" s="12"/>
      <c r="E508" s="12"/>
      <c r="F508" s="12"/>
      <c r="G508" s="29" t="str">
        <f>IF(LEN($F508)&gt;0,IFERROR(INDEX('90_SEMA'!$G$7:$H$102,MATCH($F508,'90_SEMA'!$B$7:$B$102,0),NYELV_IDX),""),"")</f>
        <v/>
      </c>
      <c r="H508" s="24"/>
      <c r="I508" s="24"/>
      <c r="J508" s="12"/>
    </row>
    <row r="509" spans="2:10" x14ac:dyDescent="0.3">
      <c r="B509" s="29" t="str">
        <f t="shared" si="7"/>
        <v/>
      </c>
      <c r="C509" s="12"/>
      <c r="D509" s="12"/>
      <c r="E509" s="12"/>
      <c r="F509" s="12"/>
      <c r="G509" s="29" t="str">
        <f>IF(LEN($F509)&gt;0,IFERROR(INDEX('90_SEMA'!$G$7:$H$102,MATCH($F509,'90_SEMA'!$B$7:$B$102,0),NYELV_IDX),""),"")</f>
        <v/>
      </c>
      <c r="H509" s="24"/>
      <c r="I509" s="24"/>
      <c r="J509" s="12"/>
    </row>
    <row r="510" spans="2:10" x14ac:dyDescent="0.3">
      <c r="B510" s="29" t="str">
        <f t="shared" si="7"/>
        <v/>
      </c>
      <c r="C510" s="12"/>
      <c r="D510" s="12"/>
      <c r="E510" s="12"/>
      <c r="F510" s="12"/>
      <c r="G510" s="29" t="str">
        <f>IF(LEN($F510)&gt;0,IFERROR(INDEX('90_SEMA'!$G$7:$H$102,MATCH($F510,'90_SEMA'!$B$7:$B$102,0),NYELV_IDX),""),"")</f>
        <v/>
      </c>
      <c r="H510" s="24"/>
      <c r="I510" s="24"/>
      <c r="J510" s="12"/>
    </row>
    <row r="511" spans="2:10" x14ac:dyDescent="0.3">
      <c r="B511" s="29" t="str">
        <f t="shared" si="7"/>
        <v/>
      </c>
      <c r="C511" s="12"/>
      <c r="D511" s="12"/>
      <c r="E511" s="12"/>
      <c r="F511" s="12"/>
      <c r="G511" s="29" t="str">
        <f>IF(LEN($F511)&gt;0,IFERROR(INDEX('90_SEMA'!$G$7:$H$102,MATCH($F511,'90_SEMA'!$B$7:$B$102,0),NYELV_IDX),""),"")</f>
        <v/>
      </c>
      <c r="H511" s="24"/>
      <c r="I511" s="24"/>
      <c r="J511" s="12"/>
    </row>
    <row r="512" spans="2:10" x14ac:dyDescent="0.3">
      <c r="B512" s="29" t="str">
        <f t="shared" si="7"/>
        <v/>
      </c>
      <c r="C512" s="12"/>
      <c r="D512" s="12"/>
      <c r="E512" s="12"/>
      <c r="F512" s="12"/>
      <c r="G512" s="29" t="str">
        <f>IF(LEN($F512)&gt;0,IFERROR(INDEX('90_SEMA'!$G$7:$H$102,MATCH($F512,'90_SEMA'!$B$7:$B$102,0),NYELV_IDX),""),"")</f>
        <v/>
      </c>
      <c r="H512" s="24"/>
      <c r="I512" s="24"/>
      <c r="J512" s="12"/>
    </row>
    <row r="513" spans="2:10" x14ac:dyDescent="0.3">
      <c r="B513" s="29" t="str">
        <f t="shared" si="7"/>
        <v/>
      </c>
      <c r="C513" s="12"/>
      <c r="D513" s="12"/>
      <c r="E513" s="12"/>
      <c r="F513" s="12"/>
      <c r="G513" s="29" t="str">
        <f>IF(LEN($F513)&gt;0,IFERROR(INDEX('90_SEMA'!$G$7:$H$102,MATCH($F513,'90_SEMA'!$B$7:$B$102,0),NYELV_IDX),""),"")</f>
        <v/>
      </c>
      <c r="H513" s="24"/>
      <c r="I513" s="24"/>
      <c r="J513" s="12"/>
    </row>
    <row r="514" spans="2:10" x14ac:dyDescent="0.3">
      <c r="B514" s="29" t="str">
        <f t="shared" si="7"/>
        <v/>
      </c>
      <c r="C514" s="12"/>
      <c r="D514" s="12"/>
      <c r="E514" s="12"/>
      <c r="F514" s="12"/>
      <c r="G514" s="29" t="str">
        <f>IF(LEN($F514)&gt;0,IFERROR(INDEX('90_SEMA'!$G$7:$H$102,MATCH($F514,'90_SEMA'!$B$7:$B$102,0),NYELV_IDX),""),"")</f>
        <v/>
      </c>
      <c r="H514" s="24"/>
      <c r="I514" s="24"/>
      <c r="J514" s="12"/>
    </row>
    <row r="515" spans="2:10" x14ac:dyDescent="0.3">
      <c r="B515" s="29" t="str">
        <f t="shared" si="7"/>
        <v/>
      </c>
      <c r="C515" s="12"/>
      <c r="D515" s="12"/>
      <c r="E515" s="12"/>
      <c r="F515" s="12"/>
      <c r="G515" s="29" t="str">
        <f>IF(LEN($F515)&gt;0,IFERROR(INDEX('90_SEMA'!$G$7:$H$102,MATCH($F515,'90_SEMA'!$B$7:$B$102,0),NYELV_IDX),""),"")</f>
        <v/>
      </c>
      <c r="H515" s="24"/>
      <c r="I515" s="24"/>
      <c r="J515" s="12"/>
    </row>
    <row r="516" spans="2:10" x14ac:dyDescent="0.3">
      <c r="B516" s="29" t="str">
        <f t="shared" si="7"/>
        <v/>
      </c>
      <c r="C516" s="12"/>
      <c r="D516" s="12"/>
      <c r="E516" s="12"/>
      <c r="F516" s="12"/>
      <c r="G516" s="29" t="str">
        <f>IF(LEN($F516)&gt;0,IFERROR(INDEX('90_SEMA'!$G$7:$H$102,MATCH($F516,'90_SEMA'!$B$7:$B$102,0),NYELV_IDX),""),"")</f>
        <v/>
      </c>
      <c r="H516" s="24"/>
      <c r="I516" s="24"/>
      <c r="J516" s="12"/>
    </row>
    <row r="517" spans="2:10" x14ac:dyDescent="0.3">
      <c r="B517" s="29" t="str">
        <f t="shared" si="7"/>
        <v/>
      </c>
      <c r="C517" s="12"/>
      <c r="D517" s="12"/>
      <c r="E517" s="12"/>
      <c r="F517" s="12"/>
      <c r="G517" s="29" t="str">
        <f>IF(LEN($F517)&gt;0,IFERROR(INDEX('90_SEMA'!$G$7:$H$102,MATCH($F517,'90_SEMA'!$B$7:$B$102,0),NYELV_IDX),""),"")</f>
        <v/>
      </c>
      <c r="H517" s="24"/>
      <c r="I517" s="24"/>
      <c r="J517" s="12"/>
    </row>
    <row r="518" spans="2:10" x14ac:dyDescent="0.3">
      <c r="B518" s="29" t="str">
        <f t="shared" si="7"/>
        <v/>
      </c>
      <c r="C518" s="12"/>
      <c r="D518" s="12"/>
      <c r="E518" s="12"/>
      <c r="F518" s="12"/>
      <c r="G518" s="29" t="str">
        <f>IF(LEN($F518)&gt;0,IFERROR(INDEX('90_SEMA'!$G$7:$H$102,MATCH($F518,'90_SEMA'!$B$7:$B$102,0),NYELV_IDX),""),"")</f>
        <v/>
      </c>
      <c r="H518" s="24"/>
      <c r="I518" s="24"/>
      <c r="J518" s="12"/>
    </row>
    <row r="519" spans="2:10" x14ac:dyDescent="0.3">
      <c r="B519" s="29" t="str">
        <f t="shared" ref="B519:B582" si="8">IF(LEN($F519)&gt;0,ROW()-6,"")</f>
        <v/>
      </c>
      <c r="C519" s="12"/>
      <c r="D519" s="12"/>
      <c r="E519" s="12"/>
      <c r="F519" s="12"/>
      <c r="G519" s="29" t="str">
        <f>IF(LEN($F519)&gt;0,IFERROR(INDEX('90_SEMA'!$G$7:$H$102,MATCH($F519,'90_SEMA'!$B$7:$B$102,0),NYELV_IDX),""),"")</f>
        <v/>
      </c>
      <c r="H519" s="24"/>
      <c r="I519" s="24"/>
      <c r="J519" s="12"/>
    </row>
    <row r="520" spans="2:10" x14ac:dyDescent="0.3">
      <c r="B520" s="29" t="str">
        <f t="shared" si="8"/>
        <v/>
      </c>
      <c r="C520" s="12"/>
      <c r="D520" s="12"/>
      <c r="E520" s="12"/>
      <c r="F520" s="12"/>
      <c r="G520" s="29" t="str">
        <f>IF(LEN($F520)&gt;0,IFERROR(INDEX('90_SEMA'!$G$7:$H$102,MATCH($F520,'90_SEMA'!$B$7:$B$102,0),NYELV_IDX),""),"")</f>
        <v/>
      </c>
      <c r="H520" s="24"/>
      <c r="I520" s="24"/>
      <c r="J520" s="12"/>
    </row>
    <row r="521" spans="2:10" x14ac:dyDescent="0.3">
      <c r="B521" s="29" t="str">
        <f t="shared" si="8"/>
        <v/>
      </c>
      <c r="C521" s="12"/>
      <c r="D521" s="12"/>
      <c r="E521" s="12"/>
      <c r="F521" s="12"/>
      <c r="G521" s="29" t="str">
        <f>IF(LEN($F521)&gt;0,IFERROR(INDEX('90_SEMA'!$G$7:$H$102,MATCH($F521,'90_SEMA'!$B$7:$B$102,0),NYELV_IDX),""),"")</f>
        <v/>
      </c>
      <c r="H521" s="24"/>
      <c r="I521" s="24"/>
      <c r="J521" s="12"/>
    </row>
    <row r="522" spans="2:10" x14ac:dyDescent="0.3">
      <c r="B522" s="29" t="str">
        <f t="shared" si="8"/>
        <v/>
      </c>
      <c r="C522" s="12"/>
      <c r="D522" s="12"/>
      <c r="E522" s="12"/>
      <c r="F522" s="12"/>
      <c r="G522" s="29" t="str">
        <f>IF(LEN($F522)&gt;0,IFERROR(INDEX('90_SEMA'!$G$7:$H$102,MATCH($F522,'90_SEMA'!$B$7:$B$102,0),NYELV_IDX),""),"")</f>
        <v/>
      </c>
      <c r="H522" s="24"/>
      <c r="I522" s="24"/>
      <c r="J522" s="12"/>
    </row>
    <row r="523" spans="2:10" x14ac:dyDescent="0.3">
      <c r="B523" s="29" t="str">
        <f t="shared" si="8"/>
        <v/>
      </c>
      <c r="C523" s="12"/>
      <c r="D523" s="12"/>
      <c r="E523" s="12"/>
      <c r="F523" s="12"/>
      <c r="G523" s="29" t="str">
        <f>IF(LEN($F523)&gt;0,IFERROR(INDEX('90_SEMA'!$G$7:$H$102,MATCH($F523,'90_SEMA'!$B$7:$B$102,0),NYELV_IDX),""),"")</f>
        <v/>
      </c>
      <c r="H523" s="24"/>
      <c r="I523" s="24"/>
      <c r="J523" s="12"/>
    </row>
    <row r="524" spans="2:10" x14ac:dyDescent="0.3">
      <c r="B524" s="29" t="str">
        <f t="shared" si="8"/>
        <v/>
      </c>
      <c r="C524" s="12"/>
      <c r="D524" s="12"/>
      <c r="E524" s="12"/>
      <c r="F524" s="12"/>
      <c r="G524" s="29" t="str">
        <f>IF(LEN($F524)&gt;0,IFERROR(INDEX('90_SEMA'!$G$7:$H$102,MATCH($F524,'90_SEMA'!$B$7:$B$102,0),NYELV_IDX),""),"")</f>
        <v/>
      </c>
      <c r="H524" s="24"/>
      <c r="I524" s="24"/>
      <c r="J524" s="12"/>
    </row>
    <row r="525" spans="2:10" x14ac:dyDescent="0.3">
      <c r="B525" s="29" t="str">
        <f t="shared" si="8"/>
        <v/>
      </c>
      <c r="C525" s="12"/>
      <c r="D525" s="12"/>
      <c r="E525" s="12"/>
      <c r="F525" s="12"/>
      <c r="G525" s="29" t="str">
        <f>IF(LEN($F525)&gt;0,IFERROR(INDEX('90_SEMA'!$G$7:$H$102,MATCH($F525,'90_SEMA'!$B$7:$B$102,0),NYELV_IDX),""),"")</f>
        <v/>
      </c>
      <c r="H525" s="24"/>
      <c r="I525" s="24"/>
      <c r="J525" s="12"/>
    </row>
    <row r="526" spans="2:10" x14ac:dyDescent="0.3">
      <c r="B526" s="29" t="str">
        <f t="shared" si="8"/>
        <v/>
      </c>
      <c r="C526" s="12"/>
      <c r="D526" s="12"/>
      <c r="E526" s="12"/>
      <c r="F526" s="12"/>
      <c r="G526" s="29" t="str">
        <f>IF(LEN($F526)&gt;0,IFERROR(INDEX('90_SEMA'!$G$7:$H$102,MATCH($F526,'90_SEMA'!$B$7:$B$102,0),NYELV_IDX),""),"")</f>
        <v/>
      </c>
      <c r="H526" s="24"/>
      <c r="I526" s="24"/>
      <c r="J526" s="12"/>
    </row>
    <row r="527" spans="2:10" x14ac:dyDescent="0.3">
      <c r="B527" s="29" t="str">
        <f t="shared" si="8"/>
        <v/>
      </c>
      <c r="C527" s="12"/>
      <c r="D527" s="12"/>
      <c r="E527" s="12"/>
      <c r="F527" s="12"/>
      <c r="G527" s="29" t="str">
        <f>IF(LEN($F527)&gt;0,IFERROR(INDEX('90_SEMA'!$G$7:$H$102,MATCH($F527,'90_SEMA'!$B$7:$B$102,0),NYELV_IDX),""),"")</f>
        <v/>
      </c>
      <c r="H527" s="24"/>
      <c r="I527" s="24"/>
      <c r="J527" s="12"/>
    </row>
    <row r="528" spans="2:10" x14ac:dyDescent="0.3">
      <c r="B528" s="29" t="str">
        <f t="shared" si="8"/>
        <v/>
      </c>
      <c r="C528" s="12"/>
      <c r="D528" s="12"/>
      <c r="E528" s="12"/>
      <c r="F528" s="12"/>
      <c r="G528" s="29" t="str">
        <f>IF(LEN($F528)&gt;0,IFERROR(INDEX('90_SEMA'!$G$7:$H$102,MATCH($F528,'90_SEMA'!$B$7:$B$102,0),NYELV_IDX),""),"")</f>
        <v/>
      </c>
      <c r="H528" s="24"/>
      <c r="I528" s="24"/>
      <c r="J528" s="12"/>
    </row>
    <row r="529" spans="2:10" x14ac:dyDescent="0.3">
      <c r="B529" s="29" t="str">
        <f t="shared" si="8"/>
        <v/>
      </c>
      <c r="C529" s="12"/>
      <c r="D529" s="12"/>
      <c r="E529" s="12"/>
      <c r="F529" s="12"/>
      <c r="G529" s="29" t="str">
        <f>IF(LEN($F529)&gt;0,IFERROR(INDEX('90_SEMA'!$G$7:$H$102,MATCH($F529,'90_SEMA'!$B$7:$B$102,0),NYELV_IDX),""),"")</f>
        <v/>
      </c>
      <c r="H529" s="24"/>
      <c r="I529" s="24"/>
      <c r="J529" s="12"/>
    </row>
    <row r="530" spans="2:10" x14ac:dyDescent="0.3">
      <c r="B530" s="29" t="str">
        <f t="shared" si="8"/>
        <v/>
      </c>
      <c r="C530" s="12"/>
      <c r="D530" s="12"/>
      <c r="E530" s="12"/>
      <c r="F530" s="12"/>
      <c r="G530" s="29" t="str">
        <f>IF(LEN($F530)&gt;0,IFERROR(INDEX('90_SEMA'!$G$7:$H$102,MATCH($F530,'90_SEMA'!$B$7:$B$102,0),NYELV_IDX),""),"")</f>
        <v/>
      </c>
      <c r="H530" s="24"/>
      <c r="I530" s="24"/>
      <c r="J530" s="12"/>
    </row>
    <row r="531" spans="2:10" x14ac:dyDescent="0.3">
      <c r="B531" s="29" t="str">
        <f t="shared" si="8"/>
        <v/>
      </c>
      <c r="C531" s="12"/>
      <c r="D531" s="12"/>
      <c r="E531" s="12"/>
      <c r="F531" s="12"/>
      <c r="G531" s="29" t="str">
        <f>IF(LEN($F531)&gt;0,IFERROR(INDEX('90_SEMA'!$G$7:$H$102,MATCH($F531,'90_SEMA'!$B$7:$B$102,0),NYELV_IDX),""),"")</f>
        <v/>
      </c>
      <c r="H531" s="24"/>
      <c r="I531" s="24"/>
      <c r="J531" s="12"/>
    </row>
    <row r="532" spans="2:10" x14ac:dyDescent="0.3">
      <c r="B532" s="29" t="str">
        <f t="shared" si="8"/>
        <v/>
      </c>
      <c r="C532" s="12"/>
      <c r="D532" s="12"/>
      <c r="E532" s="12"/>
      <c r="F532" s="12"/>
      <c r="G532" s="29" t="str">
        <f>IF(LEN($F532)&gt;0,IFERROR(INDEX('90_SEMA'!$G$7:$H$102,MATCH($F532,'90_SEMA'!$B$7:$B$102,0),NYELV_IDX),""),"")</f>
        <v/>
      </c>
      <c r="H532" s="24"/>
      <c r="I532" s="24"/>
      <c r="J532" s="12"/>
    </row>
    <row r="533" spans="2:10" x14ac:dyDescent="0.3">
      <c r="B533" s="29" t="str">
        <f t="shared" si="8"/>
        <v/>
      </c>
      <c r="C533" s="12"/>
      <c r="D533" s="12"/>
      <c r="E533" s="12"/>
      <c r="F533" s="12"/>
      <c r="G533" s="29" t="str">
        <f>IF(LEN($F533)&gt;0,IFERROR(INDEX('90_SEMA'!$G$7:$H$102,MATCH($F533,'90_SEMA'!$B$7:$B$102,0),NYELV_IDX),""),"")</f>
        <v/>
      </c>
      <c r="H533" s="24"/>
      <c r="I533" s="24"/>
      <c r="J533" s="12"/>
    </row>
    <row r="534" spans="2:10" x14ac:dyDescent="0.3">
      <c r="B534" s="29" t="str">
        <f t="shared" si="8"/>
        <v/>
      </c>
      <c r="C534" s="12"/>
      <c r="D534" s="12"/>
      <c r="E534" s="12"/>
      <c r="F534" s="12"/>
      <c r="G534" s="29" t="str">
        <f>IF(LEN($F534)&gt;0,IFERROR(INDEX('90_SEMA'!$G$7:$H$102,MATCH($F534,'90_SEMA'!$B$7:$B$102,0),NYELV_IDX),""),"")</f>
        <v/>
      </c>
      <c r="H534" s="24"/>
      <c r="I534" s="24"/>
      <c r="J534" s="12"/>
    </row>
    <row r="535" spans="2:10" x14ac:dyDescent="0.3">
      <c r="B535" s="29" t="str">
        <f t="shared" si="8"/>
        <v/>
      </c>
      <c r="C535" s="12"/>
      <c r="D535" s="12"/>
      <c r="E535" s="12"/>
      <c r="F535" s="12"/>
      <c r="G535" s="29" t="str">
        <f>IF(LEN($F535)&gt;0,IFERROR(INDEX('90_SEMA'!$G$7:$H$102,MATCH($F535,'90_SEMA'!$B$7:$B$102,0),NYELV_IDX),""),"")</f>
        <v/>
      </c>
      <c r="H535" s="24"/>
      <c r="I535" s="24"/>
      <c r="J535" s="12"/>
    </row>
    <row r="536" spans="2:10" x14ac:dyDescent="0.3">
      <c r="B536" s="29" t="str">
        <f t="shared" si="8"/>
        <v/>
      </c>
      <c r="C536" s="12"/>
      <c r="D536" s="12"/>
      <c r="E536" s="12"/>
      <c r="F536" s="12"/>
      <c r="G536" s="29" t="str">
        <f>IF(LEN($F536)&gt;0,IFERROR(INDEX('90_SEMA'!$G$7:$H$102,MATCH($F536,'90_SEMA'!$B$7:$B$102,0),NYELV_IDX),""),"")</f>
        <v/>
      </c>
      <c r="H536" s="24"/>
      <c r="I536" s="24"/>
      <c r="J536" s="12"/>
    </row>
    <row r="537" spans="2:10" x14ac:dyDescent="0.3">
      <c r="B537" s="29" t="str">
        <f t="shared" si="8"/>
        <v/>
      </c>
      <c r="C537" s="12"/>
      <c r="D537" s="12"/>
      <c r="E537" s="12"/>
      <c r="F537" s="12"/>
      <c r="G537" s="29" t="str">
        <f>IF(LEN($F537)&gt;0,IFERROR(INDEX('90_SEMA'!$G$7:$H$102,MATCH($F537,'90_SEMA'!$B$7:$B$102,0),NYELV_IDX),""),"")</f>
        <v/>
      </c>
      <c r="H537" s="24"/>
      <c r="I537" s="24"/>
      <c r="J537" s="12"/>
    </row>
    <row r="538" spans="2:10" x14ac:dyDescent="0.3">
      <c r="B538" s="29" t="str">
        <f t="shared" si="8"/>
        <v/>
      </c>
      <c r="C538" s="12"/>
      <c r="D538" s="12"/>
      <c r="E538" s="12"/>
      <c r="F538" s="12"/>
      <c r="G538" s="29" t="str">
        <f>IF(LEN($F538)&gt;0,IFERROR(INDEX('90_SEMA'!$G$7:$H$102,MATCH($F538,'90_SEMA'!$B$7:$B$102,0),NYELV_IDX),""),"")</f>
        <v/>
      </c>
      <c r="H538" s="24"/>
      <c r="I538" s="24"/>
      <c r="J538" s="12"/>
    </row>
    <row r="539" spans="2:10" x14ac:dyDescent="0.3">
      <c r="B539" s="29" t="str">
        <f t="shared" si="8"/>
        <v/>
      </c>
      <c r="C539" s="12"/>
      <c r="D539" s="12"/>
      <c r="E539" s="12"/>
      <c r="F539" s="12"/>
      <c r="G539" s="29" t="str">
        <f>IF(LEN($F539)&gt;0,IFERROR(INDEX('90_SEMA'!$G$7:$H$102,MATCH($F539,'90_SEMA'!$B$7:$B$102,0),NYELV_IDX),""),"")</f>
        <v/>
      </c>
      <c r="H539" s="24"/>
      <c r="I539" s="24"/>
      <c r="J539" s="12"/>
    </row>
    <row r="540" spans="2:10" x14ac:dyDescent="0.3">
      <c r="B540" s="29" t="str">
        <f t="shared" si="8"/>
        <v/>
      </c>
      <c r="C540" s="12"/>
      <c r="D540" s="12"/>
      <c r="E540" s="12"/>
      <c r="F540" s="12"/>
      <c r="G540" s="29" t="str">
        <f>IF(LEN($F540)&gt;0,IFERROR(INDEX('90_SEMA'!$G$7:$H$102,MATCH($F540,'90_SEMA'!$B$7:$B$102,0),NYELV_IDX),""),"")</f>
        <v/>
      </c>
      <c r="H540" s="24"/>
      <c r="I540" s="24"/>
      <c r="J540" s="12"/>
    </row>
    <row r="541" spans="2:10" x14ac:dyDescent="0.3">
      <c r="B541" s="29" t="str">
        <f t="shared" si="8"/>
        <v/>
      </c>
      <c r="C541" s="12"/>
      <c r="D541" s="12"/>
      <c r="E541" s="12"/>
      <c r="F541" s="12"/>
      <c r="G541" s="29" t="str">
        <f>IF(LEN($F541)&gt;0,IFERROR(INDEX('90_SEMA'!$G$7:$H$102,MATCH($F541,'90_SEMA'!$B$7:$B$102,0),NYELV_IDX),""),"")</f>
        <v/>
      </c>
      <c r="H541" s="24"/>
      <c r="I541" s="24"/>
      <c r="J541" s="12"/>
    </row>
    <row r="542" spans="2:10" x14ac:dyDescent="0.3">
      <c r="B542" s="29" t="str">
        <f t="shared" si="8"/>
        <v/>
      </c>
      <c r="C542" s="12"/>
      <c r="D542" s="12"/>
      <c r="E542" s="12"/>
      <c r="F542" s="12"/>
      <c r="G542" s="29" t="str">
        <f>IF(LEN($F542)&gt;0,IFERROR(INDEX('90_SEMA'!$G$7:$H$102,MATCH($F542,'90_SEMA'!$B$7:$B$102,0),NYELV_IDX),""),"")</f>
        <v/>
      </c>
      <c r="H542" s="24"/>
      <c r="I542" s="24"/>
      <c r="J542" s="12"/>
    </row>
    <row r="543" spans="2:10" x14ac:dyDescent="0.3">
      <c r="B543" s="29" t="str">
        <f t="shared" si="8"/>
        <v/>
      </c>
      <c r="C543" s="12"/>
      <c r="D543" s="12"/>
      <c r="E543" s="12"/>
      <c r="F543" s="12"/>
      <c r="G543" s="29" t="str">
        <f>IF(LEN($F543)&gt;0,IFERROR(INDEX('90_SEMA'!$G$7:$H$102,MATCH($F543,'90_SEMA'!$B$7:$B$102,0),NYELV_IDX),""),"")</f>
        <v/>
      </c>
      <c r="H543" s="24"/>
      <c r="I543" s="24"/>
      <c r="J543" s="12"/>
    </row>
    <row r="544" spans="2:10" x14ac:dyDescent="0.3">
      <c r="B544" s="29" t="str">
        <f t="shared" si="8"/>
        <v/>
      </c>
      <c r="C544" s="12"/>
      <c r="D544" s="12"/>
      <c r="E544" s="12"/>
      <c r="F544" s="12"/>
      <c r="G544" s="29" t="str">
        <f>IF(LEN($F544)&gt;0,IFERROR(INDEX('90_SEMA'!$G$7:$H$102,MATCH($F544,'90_SEMA'!$B$7:$B$102,0),NYELV_IDX),""),"")</f>
        <v/>
      </c>
      <c r="H544" s="24"/>
      <c r="I544" s="24"/>
      <c r="J544" s="12"/>
    </row>
    <row r="545" spans="2:10" x14ac:dyDescent="0.3">
      <c r="B545" s="29" t="str">
        <f t="shared" si="8"/>
        <v/>
      </c>
      <c r="C545" s="12"/>
      <c r="D545" s="12"/>
      <c r="E545" s="12"/>
      <c r="F545" s="12"/>
      <c r="G545" s="29" t="str">
        <f>IF(LEN($F545)&gt;0,IFERROR(INDEX('90_SEMA'!$G$7:$H$102,MATCH($F545,'90_SEMA'!$B$7:$B$102,0),NYELV_IDX),""),"")</f>
        <v/>
      </c>
      <c r="H545" s="24"/>
      <c r="I545" s="24"/>
      <c r="J545" s="12"/>
    </row>
    <row r="546" spans="2:10" x14ac:dyDescent="0.3">
      <c r="B546" s="29" t="str">
        <f t="shared" si="8"/>
        <v/>
      </c>
      <c r="C546" s="12"/>
      <c r="D546" s="12"/>
      <c r="E546" s="12"/>
      <c r="F546" s="12"/>
      <c r="G546" s="29" t="str">
        <f>IF(LEN($F546)&gt;0,IFERROR(INDEX('90_SEMA'!$G$7:$H$102,MATCH($F546,'90_SEMA'!$B$7:$B$102,0),NYELV_IDX),""),"")</f>
        <v/>
      </c>
      <c r="H546" s="24"/>
      <c r="I546" s="24"/>
      <c r="J546" s="12"/>
    </row>
    <row r="547" spans="2:10" x14ac:dyDescent="0.3">
      <c r="B547" s="29" t="str">
        <f t="shared" si="8"/>
        <v/>
      </c>
      <c r="C547" s="12"/>
      <c r="D547" s="12"/>
      <c r="E547" s="12"/>
      <c r="F547" s="12"/>
      <c r="G547" s="29" t="str">
        <f>IF(LEN($F547)&gt;0,IFERROR(INDEX('90_SEMA'!$G$7:$H$102,MATCH($F547,'90_SEMA'!$B$7:$B$102,0),NYELV_IDX),""),"")</f>
        <v/>
      </c>
      <c r="H547" s="24"/>
      <c r="I547" s="24"/>
      <c r="J547" s="12"/>
    </row>
    <row r="548" spans="2:10" x14ac:dyDescent="0.3">
      <c r="B548" s="29" t="str">
        <f t="shared" si="8"/>
        <v/>
      </c>
      <c r="C548" s="12"/>
      <c r="D548" s="12"/>
      <c r="E548" s="12"/>
      <c r="F548" s="12"/>
      <c r="G548" s="29" t="str">
        <f>IF(LEN($F548)&gt;0,IFERROR(INDEX('90_SEMA'!$G$7:$H$102,MATCH($F548,'90_SEMA'!$B$7:$B$102,0),NYELV_IDX),""),"")</f>
        <v/>
      </c>
      <c r="H548" s="24"/>
      <c r="I548" s="24"/>
      <c r="J548" s="12"/>
    </row>
    <row r="549" spans="2:10" x14ac:dyDescent="0.3">
      <c r="B549" s="29" t="str">
        <f t="shared" si="8"/>
        <v/>
      </c>
      <c r="C549" s="12"/>
      <c r="D549" s="12"/>
      <c r="E549" s="12"/>
      <c r="F549" s="12"/>
      <c r="G549" s="29" t="str">
        <f>IF(LEN($F549)&gt;0,IFERROR(INDEX('90_SEMA'!$G$7:$H$102,MATCH($F549,'90_SEMA'!$B$7:$B$102,0),NYELV_IDX),""),"")</f>
        <v/>
      </c>
      <c r="H549" s="24"/>
      <c r="I549" s="24"/>
      <c r="J549" s="12"/>
    </row>
    <row r="550" spans="2:10" x14ac:dyDescent="0.3">
      <c r="B550" s="29" t="str">
        <f t="shared" si="8"/>
        <v/>
      </c>
      <c r="C550" s="12"/>
      <c r="D550" s="12"/>
      <c r="E550" s="12"/>
      <c r="F550" s="12"/>
      <c r="G550" s="29" t="str">
        <f>IF(LEN($F550)&gt;0,IFERROR(INDEX('90_SEMA'!$G$7:$H$102,MATCH($F550,'90_SEMA'!$B$7:$B$102,0),NYELV_IDX),""),"")</f>
        <v/>
      </c>
      <c r="H550" s="24"/>
      <c r="I550" s="24"/>
      <c r="J550" s="12"/>
    </row>
    <row r="551" spans="2:10" x14ac:dyDescent="0.3">
      <c r="B551" s="29" t="str">
        <f t="shared" si="8"/>
        <v/>
      </c>
      <c r="C551" s="12"/>
      <c r="D551" s="12"/>
      <c r="E551" s="12"/>
      <c r="F551" s="12"/>
      <c r="G551" s="29" t="str">
        <f>IF(LEN($F551)&gt;0,IFERROR(INDEX('90_SEMA'!$G$7:$H$102,MATCH($F551,'90_SEMA'!$B$7:$B$102,0),NYELV_IDX),""),"")</f>
        <v/>
      </c>
      <c r="H551" s="24"/>
      <c r="I551" s="24"/>
      <c r="J551" s="12"/>
    </row>
    <row r="552" spans="2:10" x14ac:dyDescent="0.3">
      <c r="B552" s="29" t="str">
        <f t="shared" si="8"/>
        <v/>
      </c>
      <c r="C552" s="12"/>
      <c r="D552" s="12"/>
      <c r="E552" s="12"/>
      <c r="F552" s="12"/>
      <c r="G552" s="29" t="str">
        <f>IF(LEN($F552)&gt;0,IFERROR(INDEX('90_SEMA'!$G$7:$H$102,MATCH($F552,'90_SEMA'!$B$7:$B$102,0),NYELV_IDX),""),"")</f>
        <v/>
      </c>
      <c r="H552" s="24"/>
      <c r="I552" s="24"/>
      <c r="J552" s="12"/>
    </row>
    <row r="553" spans="2:10" x14ac:dyDescent="0.3">
      <c r="B553" s="29" t="str">
        <f t="shared" si="8"/>
        <v/>
      </c>
      <c r="C553" s="12"/>
      <c r="D553" s="12"/>
      <c r="E553" s="12"/>
      <c r="F553" s="12"/>
      <c r="G553" s="29" t="str">
        <f>IF(LEN($F553)&gt;0,IFERROR(INDEX('90_SEMA'!$G$7:$H$102,MATCH($F553,'90_SEMA'!$B$7:$B$102,0),NYELV_IDX),""),"")</f>
        <v/>
      </c>
      <c r="H553" s="24"/>
      <c r="I553" s="24"/>
      <c r="J553" s="12"/>
    </row>
    <row r="554" spans="2:10" x14ac:dyDescent="0.3">
      <c r="B554" s="29" t="str">
        <f t="shared" si="8"/>
        <v/>
      </c>
      <c r="C554" s="12"/>
      <c r="D554" s="12"/>
      <c r="E554" s="12"/>
      <c r="F554" s="12"/>
      <c r="G554" s="29" t="str">
        <f>IF(LEN($F554)&gt;0,IFERROR(INDEX('90_SEMA'!$G$7:$H$102,MATCH($F554,'90_SEMA'!$B$7:$B$102,0),NYELV_IDX),""),"")</f>
        <v/>
      </c>
      <c r="H554" s="24"/>
      <c r="I554" s="24"/>
      <c r="J554" s="12"/>
    </row>
    <row r="555" spans="2:10" x14ac:dyDescent="0.3">
      <c r="B555" s="29" t="str">
        <f t="shared" si="8"/>
        <v/>
      </c>
      <c r="C555" s="12"/>
      <c r="D555" s="12"/>
      <c r="E555" s="12"/>
      <c r="F555" s="12"/>
      <c r="G555" s="29" t="str">
        <f>IF(LEN($F555)&gt;0,IFERROR(INDEX('90_SEMA'!$G$7:$H$102,MATCH($F555,'90_SEMA'!$B$7:$B$102,0),NYELV_IDX),""),"")</f>
        <v/>
      </c>
      <c r="H555" s="24"/>
      <c r="I555" s="24"/>
      <c r="J555" s="12"/>
    </row>
    <row r="556" spans="2:10" x14ac:dyDescent="0.3">
      <c r="B556" s="29" t="str">
        <f t="shared" si="8"/>
        <v/>
      </c>
      <c r="C556" s="12"/>
      <c r="D556" s="12"/>
      <c r="E556" s="12"/>
      <c r="F556" s="12"/>
      <c r="G556" s="29" t="str">
        <f>IF(LEN($F556)&gt;0,IFERROR(INDEX('90_SEMA'!$G$7:$H$102,MATCH($F556,'90_SEMA'!$B$7:$B$102,0),NYELV_IDX),""),"")</f>
        <v/>
      </c>
      <c r="H556" s="24"/>
      <c r="I556" s="24"/>
      <c r="J556" s="12"/>
    </row>
    <row r="557" spans="2:10" x14ac:dyDescent="0.3">
      <c r="B557" s="29" t="str">
        <f t="shared" si="8"/>
        <v/>
      </c>
      <c r="C557" s="12"/>
      <c r="D557" s="12"/>
      <c r="E557" s="12"/>
      <c r="F557" s="12"/>
      <c r="G557" s="29" t="str">
        <f>IF(LEN($F557)&gt;0,IFERROR(INDEX('90_SEMA'!$G$7:$H$102,MATCH($F557,'90_SEMA'!$B$7:$B$102,0),NYELV_IDX),""),"")</f>
        <v/>
      </c>
      <c r="H557" s="24"/>
      <c r="I557" s="24"/>
      <c r="J557" s="12"/>
    </row>
    <row r="558" spans="2:10" x14ac:dyDescent="0.3">
      <c r="B558" s="29" t="str">
        <f t="shared" si="8"/>
        <v/>
      </c>
      <c r="C558" s="12"/>
      <c r="D558" s="12"/>
      <c r="E558" s="12"/>
      <c r="F558" s="12"/>
      <c r="G558" s="29" t="str">
        <f>IF(LEN($F558)&gt;0,IFERROR(INDEX('90_SEMA'!$G$7:$H$102,MATCH($F558,'90_SEMA'!$B$7:$B$102,0),NYELV_IDX),""),"")</f>
        <v/>
      </c>
      <c r="H558" s="24"/>
      <c r="I558" s="24"/>
      <c r="J558" s="12"/>
    </row>
    <row r="559" spans="2:10" x14ac:dyDescent="0.3">
      <c r="B559" s="29" t="str">
        <f t="shared" si="8"/>
        <v/>
      </c>
      <c r="C559" s="12"/>
      <c r="D559" s="12"/>
      <c r="E559" s="12"/>
      <c r="F559" s="12"/>
      <c r="G559" s="29" t="str">
        <f>IF(LEN($F559)&gt;0,IFERROR(INDEX('90_SEMA'!$G$7:$H$102,MATCH($F559,'90_SEMA'!$B$7:$B$102,0),NYELV_IDX),""),"")</f>
        <v/>
      </c>
      <c r="H559" s="24"/>
      <c r="I559" s="24"/>
      <c r="J559" s="12"/>
    </row>
    <row r="560" spans="2:10" x14ac:dyDescent="0.3">
      <c r="B560" s="29" t="str">
        <f t="shared" si="8"/>
        <v/>
      </c>
      <c r="C560" s="12"/>
      <c r="D560" s="12"/>
      <c r="E560" s="12"/>
      <c r="F560" s="12"/>
      <c r="G560" s="29" t="str">
        <f>IF(LEN($F560)&gt;0,IFERROR(INDEX('90_SEMA'!$G$7:$H$102,MATCH($F560,'90_SEMA'!$B$7:$B$102,0),NYELV_IDX),""),"")</f>
        <v/>
      </c>
      <c r="H560" s="24"/>
      <c r="I560" s="24"/>
      <c r="J560" s="12"/>
    </row>
    <row r="561" spans="2:10" x14ac:dyDescent="0.3">
      <c r="B561" s="29" t="str">
        <f t="shared" si="8"/>
        <v/>
      </c>
      <c r="C561" s="12"/>
      <c r="D561" s="12"/>
      <c r="E561" s="12"/>
      <c r="F561" s="12"/>
      <c r="G561" s="29" t="str">
        <f>IF(LEN($F561)&gt;0,IFERROR(INDEX('90_SEMA'!$G$7:$H$102,MATCH($F561,'90_SEMA'!$B$7:$B$102,0),NYELV_IDX),""),"")</f>
        <v/>
      </c>
      <c r="H561" s="24"/>
      <c r="I561" s="24"/>
      <c r="J561" s="12"/>
    </row>
    <row r="562" spans="2:10" x14ac:dyDescent="0.3">
      <c r="B562" s="29" t="str">
        <f t="shared" si="8"/>
        <v/>
      </c>
      <c r="C562" s="12"/>
      <c r="D562" s="12"/>
      <c r="E562" s="12"/>
      <c r="F562" s="12"/>
      <c r="G562" s="29" t="str">
        <f>IF(LEN($F562)&gt;0,IFERROR(INDEX('90_SEMA'!$G$7:$H$102,MATCH($F562,'90_SEMA'!$B$7:$B$102,0),NYELV_IDX),""),"")</f>
        <v/>
      </c>
      <c r="H562" s="24"/>
      <c r="I562" s="24"/>
      <c r="J562" s="12"/>
    </row>
    <row r="563" spans="2:10" x14ac:dyDescent="0.3">
      <c r="B563" s="29" t="str">
        <f t="shared" si="8"/>
        <v/>
      </c>
      <c r="C563" s="12"/>
      <c r="D563" s="12"/>
      <c r="E563" s="12"/>
      <c r="F563" s="12"/>
      <c r="G563" s="29" t="str">
        <f>IF(LEN($F563)&gt;0,IFERROR(INDEX('90_SEMA'!$G$7:$H$102,MATCH($F563,'90_SEMA'!$B$7:$B$102,0),NYELV_IDX),""),"")</f>
        <v/>
      </c>
      <c r="H563" s="24"/>
      <c r="I563" s="24"/>
      <c r="J563" s="12"/>
    </row>
    <row r="564" spans="2:10" x14ac:dyDescent="0.3">
      <c r="B564" s="29" t="str">
        <f t="shared" si="8"/>
        <v/>
      </c>
      <c r="C564" s="12"/>
      <c r="D564" s="12"/>
      <c r="E564" s="12"/>
      <c r="F564" s="12"/>
      <c r="G564" s="29" t="str">
        <f>IF(LEN($F564)&gt;0,IFERROR(INDEX('90_SEMA'!$G$7:$H$102,MATCH($F564,'90_SEMA'!$B$7:$B$102,0),NYELV_IDX),""),"")</f>
        <v/>
      </c>
      <c r="H564" s="24"/>
      <c r="I564" s="24"/>
      <c r="J564" s="12"/>
    </row>
    <row r="565" spans="2:10" x14ac:dyDescent="0.3">
      <c r="B565" s="29" t="str">
        <f t="shared" si="8"/>
        <v/>
      </c>
      <c r="C565" s="12"/>
      <c r="D565" s="12"/>
      <c r="E565" s="12"/>
      <c r="F565" s="12"/>
      <c r="G565" s="29" t="str">
        <f>IF(LEN($F565)&gt;0,IFERROR(INDEX('90_SEMA'!$G$7:$H$102,MATCH($F565,'90_SEMA'!$B$7:$B$102,0),NYELV_IDX),""),"")</f>
        <v/>
      </c>
      <c r="H565" s="24"/>
      <c r="I565" s="24"/>
      <c r="J565" s="12"/>
    </row>
    <row r="566" spans="2:10" x14ac:dyDescent="0.3">
      <c r="B566" s="29" t="str">
        <f t="shared" si="8"/>
        <v/>
      </c>
      <c r="C566" s="12"/>
      <c r="D566" s="12"/>
      <c r="E566" s="12"/>
      <c r="F566" s="12"/>
      <c r="G566" s="29" t="str">
        <f>IF(LEN($F566)&gt;0,IFERROR(INDEX('90_SEMA'!$G$7:$H$102,MATCH($F566,'90_SEMA'!$B$7:$B$102,0),NYELV_IDX),""),"")</f>
        <v/>
      </c>
      <c r="H566" s="24"/>
      <c r="I566" s="24"/>
      <c r="J566" s="12"/>
    </row>
    <row r="567" spans="2:10" x14ac:dyDescent="0.3">
      <c r="B567" s="29" t="str">
        <f t="shared" si="8"/>
        <v/>
      </c>
      <c r="C567" s="12"/>
      <c r="D567" s="12"/>
      <c r="E567" s="12"/>
      <c r="F567" s="12"/>
      <c r="G567" s="29" t="str">
        <f>IF(LEN($F567)&gt;0,IFERROR(INDEX('90_SEMA'!$G$7:$H$102,MATCH($F567,'90_SEMA'!$B$7:$B$102,0),NYELV_IDX),""),"")</f>
        <v/>
      </c>
      <c r="H567" s="24"/>
      <c r="I567" s="24"/>
      <c r="J567" s="12"/>
    </row>
    <row r="568" spans="2:10" x14ac:dyDescent="0.3">
      <c r="B568" s="29" t="str">
        <f t="shared" si="8"/>
        <v/>
      </c>
      <c r="C568" s="12"/>
      <c r="D568" s="12"/>
      <c r="E568" s="12"/>
      <c r="F568" s="12"/>
      <c r="G568" s="29" t="str">
        <f>IF(LEN($F568)&gt;0,IFERROR(INDEX('90_SEMA'!$G$7:$H$102,MATCH($F568,'90_SEMA'!$B$7:$B$102,0),NYELV_IDX),""),"")</f>
        <v/>
      </c>
      <c r="H568" s="24"/>
      <c r="I568" s="24"/>
      <c r="J568" s="12"/>
    </row>
    <row r="569" spans="2:10" x14ac:dyDescent="0.3">
      <c r="B569" s="29" t="str">
        <f t="shared" si="8"/>
        <v/>
      </c>
      <c r="C569" s="12"/>
      <c r="D569" s="12"/>
      <c r="E569" s="12"/>
      <c r="F569" s="12"/>
      <c r="G569" s="29" t="str">
        <f>IF(LEN($F569)&gt;0,IFERROR(INDEX('90_SEMA'!$G$7:$H$102,MATCH($F569,'90_SEMA'!$B$7:$B$102,0),NYELV_IDX),""),"")</f>
        <v/>
      </c>
      <c r="H569" s="24"/>
      <c r="I569" s="24"/>
      <c r="J569" s="12"/>
    </row>
    <row r="570" spans="2:10" x14ac:dyDescent="0.3">
      <c r="B570" s="29" t="str">
        <f t="shared" si="8"/>
        <v/>
      </c>
      <c r="C570" s="12"/>
      <c r="D570" s="12"/>
      <c r="E570" s="12"/>
      <c r="F570" s="12"/>
      <c r="G570" s="29" t="str">
        <f>IF(LEN($F570)&gt;0,IFERROR(INDEX('90_SEMA'!$G$7:$H$102,MATCH($F570,'90_SEMA'!$B$7:$B$102,0),NYELV_IDX),""),"")</f>
        <v/>
      </c>
      <c r="H570" s="24"/>
      <c r="I570" s="24"/>
      <c r="J570" s="12"/>
    </row>
    <row r="571" spans="2:10" x14ac:dyDescent="0.3">
      <c r="B571" s="29" t="str">
        <f t="shared" si="8"/>
        <v/>
      </c>
      <c r="C571" s="12"/>
      <c r="D571" s="12"/>
      <c r="E571" s="12"/>
      <c r="F571" s="12"/>
      <c r="G571" s="29" t="str">
        <f>IF(LEN($F571)&gt;0,IFERROR(INDEX('90_SEMA'!$G$7:$H$102,MATCH($F571,'90_SEMA'!$B$7:$B$102,0),NYELV_IDX),""),"")</f>
        <v/>
      </c>
      <c r="H571" s="24"/>
      <c r="I571" s="24"/>
      <c r="J571" s="12"/>
    </row>
    <row r="572" spans="2:10" x14ac:dyDescent="0.3">
      <c r="B572" s="29" t="str">
        <f t="shared" si="8"/>
        <v/>
      </c>
      <c r="C572" s="12"/>
      <c r="D572" s="12"/>
      <c r="E572" s="12"/>
      <c r="F572" s="12"/>
      <c r="G572" s="29" t="str">
        <f>IF(LEN($F572)&gt;0,IFERROR(INDEX('90_SEMA'!$G$7:$H$102,MATCH($F572,'90_SEMA'!$B$7:$B$102,0),NYELV_IDX),""),"")</f>
        <v/>
      </c>
      <c r="H572" s="24"/>
      <c r="I572" s="24"/>
      <c r="J572" s="12"/>
    </row>
    <row r="573" spans="2:10" x14ac:dyDescent="0.3">
      <c r="B573" s="29" t="str">
        <f t="shared" si="8"/>
        <v/>
      </c>
      <c r="C573" s="12"/>
      <c r="D573" s="12"/>
      <c r="E573" s="12"/>
      <c r="F573" s="12"/>
      <c r="G573" s="29" t="str">
        <f>IF(LEN($F573)&gt;0,IFERROR(INDEX('90_SEMA'!$G$7:$H$102,MATCH($F573,'90_SEMA'!$B$7:$B$102,0),NYELV_IDX),""),"")</f>
        <v/>
      </c>
      <c r="H573" s="24"/>
      <c r="I573" s="24"/>
      <c r="J573" s="12"/>
    </row>
    <row r="574" spans="2:10" x14ac:dyDescent="0.3">
      <c r="B574" s="29" t="str">
        <f t="shared" si="8"/>
        <v/>
      </c>
      <c r="C574" s="12"/>
      <c r="D574" s="12"/>
      <c r="E574" s="12"/>
      <c r="F574" s="12"/>
      <c r="G574" s="29" t="str">
        <f>IF(LEN($F574)&gt;0,IFERROR(INDEX('90_SEMA'!$G$7:$H$102,MATCH($F574,'90_SEMA'!$B$7:$B$102,0),NYELV_IDX),""),"")</f>
        <v/>
      </c>
      <c r="H574" s="24"/>
      <c r="I574" s="24"/>
      <c r="J574" s="12"/>
    </row>
    <row r="575" spans="2:10" x14ac:dyDescent="0.3">
      <c r="B575" s="29" t="str">
        <f t="shared" si="8"/>
        <v/>
      </c>
      <c r="C575" s="12"/>
      <c r="D575" s="12"/>
      <c r="E575" s="12"/>
      <c r="F575" s="12"/>
      <c r="G575" s="29" t="str">
        <f>IF(LEN($F575)&gt;0,IFERROR(INDEX('90_SEMA'!$G$7:$H$102,MATCH($F575,'90_SEMA'!$B$7:$B$102,0),NYELV_IDX),""),"")</f>
        <v/>
      </c>
      <c r="H575" s="24"/>
      <c r="I575" s="24"/>
      <c r="J575" s="12"/>
    </row>
    <row r="576" spans="2:10" x14ac:dyDescent="0.3">
      <c r="B576" s="29" t="str">
        <f t="shared" si="8"/>
        <v/>
      </c>
      <c r="C576" s="12"/>
      <c r="D576" s="12"/>
      <c r="E576" s="12"/>
      <c r="F576" s="12"/>
      <c r="G576" s="29" t="str">
        <f>IF(LEN($F576)&gt;0,IFERROR(INDEX('90_SEMA'!$G$7:$H$102,MATCH($F576,'90_SEMA'!$B$7:$B$102,0),NYELV_IDX),""),"")</f>
        <v/>
      </c>
      <c r="H576" s="24"/>
      <c r="I576" s="24"/>
      <c r="J576" s="12"/>
    </row>
    <row r="577" spans="2:10" x14ac:dyDescent="0.3">
      <c r="B577" s="29" t="str">
        <f t="shared" si="8"/>
        <v/>
      </c>
      <c r="C577" s="12"/>
      <c r="D577" s="12"/>
      <c r="E577" s="12"/>
      <c r="F577" s="12"/>
      <c r="G577" s="29" t="str">
        <f>IF(LEN($F577)&gt;0,IFERROR(INDEX('90_SEMA'!$G$7:$H$102,MATCH($F577,'90_SEMA'!$B$7:$B$102,0),NYELV_IDX),""),"")</f>
        <v/>
      </c>
      <c r="H577" s="24"/>
      <c r="I577" s="24"/>
      <c r="J577" s="12"/>
    </row>
    <row r="578" spans="2:10" x14ac:dyDescent="0.3">
      <c r="B578" s="29" t="str">
        <f t="shared" si="8"/>
        <v/>
      </c>
      <c r="C578" s="12"/>
      <c r="D578" s="12"/>
      <c r="E578" s="12"/>
      <c r="F578" s="12"/>
      <c r="G578" s="29" t="str">
        <f>IF(LEN($F578)&gt;0,IFERROR(INDEX('90_SEMA'!$G$7:$H$102,MATCH($F578,'90_SEMA'!$B$7:$B$102,0),NYELV_IDX),""),"")</f>
        <v/>
      </c>
      <c r="H578" s="24"/>
      <c r="I578" s="24"/>
      <c r="J578" s="12"/>
    </row>
    <row r="579" spans="2:10" x14ac:dyDescent="0.3">
      <c r="B579" s="29" t="str">
        <f t="shared" si="8"/>
        <v/>
      </c>
      <c r="C579" s="12"/>
      <c r="D579" s="12"/>
      <c r="E579" s="12"/>
      <c r="F579" s="12"/>
      <c r="G579" s="29" t="str">
        <f>IF(LEN($F579)&gt;0,IFERROR(INDEX('90_SEMA'!$G$7:$H$102,MATCH($F579,'90_SEMA'!$B$7:$B$102,0),NYELV_IDX),""),"")</f>
        <v/>
      </c>
      <c r="H579" s="24"/>
      <c r="I579" s="24"/>
      <c r="J579" s="12"/>
    </row>
    <row r="580" spans="2:10" x14ac:dyDescent="0.3">
      <c r="B580" s="29" t="str">
        <f t="shared" si="8"/>
        <v/>
      </c>
      <c r="C580" s="12"/>
      <c r="D580" s="12"/>
      <c r="E580" s="12"/>
      <c r="F580" s="12"/>
      <c r="G580" s="29" t="str">
        <f>IF(LEN($F580)&gt;0,IFERROR(INDEX('90_SEMA'!$G$7:$H$102,MATCH($F580,'90_SEMA'!$B$7:$B$102,0),NYELV_IDX),""),"")</f>
        <v/>
      </c>
      <c r="H580" s="24"/>
      <c r="I580" s="24"/>
      <c r="J580" s="12"/>
    </row>
    <row r="581" spans="2:10" x14ac:dyDescent="0.3">
      <c r="B581" s="29" t="str">
        <f t="shared" si="8"/>
        <v/>
      </c>
      <c r="C581" s="12"/>
      <c r="D581" s="12"/>
      <c r="E581" s="12"/>
      <c r="F581" s="12"/>
      <c r="G581" s="29" t="str">
        <f>IF(LEN($F581)&gt;0,IFERROR(INDEX('90_SEMA'!$G$7:$H$102,MATCH($F581,'90_SEMA'!$B$7:$B$102,0),NYELV_IDX),""),"")</f>
        <v/>
      </c>
      <c r="H581" s="24"/>
      <c r="I581" s="24"/>
      <c r="J581" s="12"/>
    </row>
    <row r="582" spans="2:10" x14ac:dyDescent="0.3">
      <c r="B582" s="29" t="str">
        <f t="shared" si="8"/>
        <v/>
      </c>
      <c r="C582" s="12"/>
      <c r="D582" s="12"/>
      <c r="E582" s="12"/>
      <c r="F582" s="12"/>
      <c r="G582" s="29" t="str">
        <f>IF(LEN($F582)&gt;0,IFERROR(INDEX('90_SEMA'!$G$7:$H$102,MATCH($F582,'90_SEMA'!$B$7:$B$102,0),NYELV_IDX),""),"")</f>
        <v/>
      </c>
      <c r="H582" s="24"/>
      <c r="I582" s="24"/>
      <c r="J582" s="12"/>
    </row>
    <row r="583" spans="2:10" x14ac:dyDescent="0.3">
      <c r="B583" s="29" t="str">
        <f t="shared" ref="B583:B646" si="9">IF(LEN($F583)&gt;0,ROW()-6,"")</f>
        <v/>
      </c>
      <c r="C583" s="12"/>
      <c r="D583" s="12"/>
      <c r="E583" s="12"/>
      <c r="F583" s="12"/>
      <c r="G583" s="29" t="str">
        <f>IF(LEN($F583)&gt;0,IFERROR(INDEX('90_SEMA'!$G$7:$H$102,MATCH($F583,'90_SEMA'!$B$7:$B$102,0),NYELV_IDX),""),"")</f>
        <v/>
      </c>
      <c r="H583" s="24"/>
      <c r="I583" s="24"/>
      <c r="J583" s="12"/>
    </row>
    <row r="584" spans="2:10" x14ac:dyDescent="0.3">
      <c r="B584" s="29" t="str">
        <f t="shared" si="9"/>
        <v/>
      </c>
      <c r="C584" s="12"/>
      <c r="D584" s="12"/>
      <c r="E584" s="12"/>
      <c r="F584" s="12"/>
      <c r="G584" s="29" t="str">
        <f>IF(LEN($F584)&gt;0,IFERROR(INDEX('90_SEMA'!$G$7:$H$102,MATCH($F584,'90_SEMA'!$B$7:$B$102,0),NYELV_IDX),""),"")</f>
        <v/>
      </c>
      <c r="H584" s="24"/>
      <c r="I584" s="24"/>
      <c r="J584" s="12"/>
    </row>
    <row r="585" spans="2:10" x14ac:dyDescent="0.3">
      <c r="B585" s="29" t="str">
        <f t="shared" si="9"/>
        <v/>
      </c>
      <c r="C585" s="12"/>
      <c r="D585" s="12"/>
      <c r="E585" s="12"/>
      <c r="F585" s="12"/>
      <c r="G585" s="29" t="str">
        <f>IF(LEN($F585)&gt;0,IFERROR(INDEX('90_SEMA'!$G$7:$H$102,MATCH($F585,'90_SEMA'!$B$7:$B$102,0),NYELV_IDX),""),"")</f>
        <v/>
      </c>
      <c r="H585" s="24"/>
      <c r="I585" s="24"/>
      <c r="J585" s="12"/>
    </row>
    <row r="586" spans="2:10" x14ac:dyDescent="0.3">
      <c r="B586" s="29" t="str">
        <f t="shared" si="9"/>
        <v/>
      </c>
      <c r="C586" s="12"/>
      <c r="D586" s="12"/>
      <c r="E586" s="12"/>
      <c r="F586" s="12"/>
      <c r="G586" s="29" t="str">
        <f>IF(LEN($F586)&gt;0,IFERROR(INDEX('90_SEMA'!$G$7:$H$102,MATCH($F586,'90_SEMA'!$B$7:$B$102,0),NYELV_IDX),""),"")</f>
        <v/>
      </c>
      <c r="H586" s="24"/>
      <c r="I586" s="24"/>
      <c r="J586" s="12"/>
    </row>
    <row r="587" spans="2:10" x14ac:dyDescent="0.3">
      <c r="B587" s="29" t="str">
        <f t="shared" si="9"/>
        <v/>
      </c>
      <c r="C587" s="12"/>
      <c r="D587" s="12"/>
      <c r="E587" s="12"/>
      <c r="F587" s="12"/>
      <c r="G587" s="29" t="str">
        <f>IF(LEN($F587)&gt;0,IFERROR(INDEX('90_SEMA'!$G$7:$H$102,MATCH($F587,'90_SEMA'!$B$7:$B$102,0),NYELV_IDX),""),"")</f>
        <v/>
      </c>
      <c r="H587" s="24"/>
      <c r="I587" s="24"/>
      <c r="J587" s="12"/>
    </row>
    <row r="588" spans="2:10" x14ac:dyDescent="0.3">
      <c r="B588" s="29" t="str">
        <f t="shared" si="9"/>
        <v/>
      </c>
      <c r="C588" s="12"/>
      <c r="D588" s="12"/>
      <c r="E588" s="12"/>
      <c r="F588" s="12"/>
      <c r="G588" s="29" t="str">
        <f>IF(LEN($F588)&gt;0,IFERROR(INDEX('90_SEMA'!$G$7:$H$102,MATCH($F588,'90_SEMA'!$B$7:$B$102,0),NYELV_IDX),""),"")</f>
        <v/>
      </c>
      <c r="H588" s="24"/>
      <c r="I588" s="24"/>
      <c r="J588" s="12"/>
    </row>
    <row r="589" spans="2:10" x14ac:dyDescent="0.3">
      <c r="B589" s="29" t="str">
        <f t="shared" si="9"/>
        <v/>
      </c>
      <c r="C589" s="12"/>
      <c r="D589" s="12"/>
      <c r="E589" s="12"/>
      <c r="F589" s="12"/>
      <c r="G589" s="29" t="str">
        <f>IF(LEN($F589)&gt;0,IFERROR(INDEX('90_SEMA'!$G$7:$H$102,MATCH($F589,'90_SEMA'!$B$7:$B$102,0),NYELV_IDX),""),"")</f>
        <v/>
      </c>
      <c r="H589" s="24"/>
      <c r="I589" s="24"/>
      <c r="J589" s="12"/>
    </row>
    <row r="590" spans="2:10" x14ac:dyDescent="0.3">
      <c r="B590" s="29" t="str">
        <f t="shared" si="9"/>
        <v/>
      </c>
      <c r="C590" s="12"/>
      <c r="D590" s="12"/>
      <c r="E590" s="12"/>
      <c r="F590" s="12"/>
      <c r="G590" s="29" t="str">
        <f>IF(LEN($F590)&gt;0,IFERROR(INDEX('90_SEMA'!$G$7:$H$102,MATCH($F590,'90_SEMA'!$B$7:$B$102,0),NYELV_IDX),""),"")</f>
        <v/>
      </c>
      <c r="H590" s="24"/>
      <c r="I590" s="24"/>
      <c r="J590" s="12"/>
    </row>
    <row r="591" spans="2:10" x14ac:dyDescent="0.3">
      <c r="B591" s="29" t="str">
        <f t="shared" si="9"/>
        <v/>
      </c>
      <c r="C591" s="12"/>
      <c r="D591" s="12"/>
      <c r="E591" s="12"/>
      <c r="F591" s="12"/>
      <c r="G591" s="29" t="str">
        <f>IF(LEN($F591)&gt;0,IFERROR(INDEX('90_SEMA'!$G$7:$H$102,MATCH($F591,'90_SEMA'!$B$7:$B$102,0),NYELV_IDX),""),"")</f>
        <v/>
      </c>
      <c r="H591" s="24"/>
      <c r="I591" s="24"/>
      <c r="J591" s="12"/>
    </row>
    <row r="592" spans="2:10" x14ac:dyDescent="0.3">
      <c r="B592" s="29" t="str">
        <f t="shared" si="9"/>
        <v/>
      </c>
      <c r="C592" s="12"/>
      <c r="D592" s="12"/>
      <c r="E592" s="12"/>
      <c r="F592" s="12"/>
      <c r="G592" s="29" t="str">
        <f>IF(LEN($F592)&gt;0,IFERROR(INDEX('90_SEMA'!$G$7:$H$102,MATCH($F592,'90_SEMA'!$B$7:$B$102,0),NYELV_IDX),""),"")</f>
        <v/>
      </c>
      <c r="H592" s="24"/>
      <c r="I592" s="24"/>
      <c r="J592" s="12"/>
    </row>
    <row r="593" spans="2:10" x14ac:dyDescent="0.3">
      <c r="B593" s="29" t="str">
        <f t="shared" si="9"/>
        <v/>
      </c>
      <c r="C593" s="12"/>
      <c r="D593" s="12"/>
      <c r="E593" s="12"/>
      <c r="F593" s="12"/>
      <c r="G593" s="29" t="str">
        <f>IF(LEN($F593)&gt;0,IFERROR(INDEX('90_SEMA'!$G$7:$H$102,MATCH($F593,'90_SEMA'!$B$7:$B$102,0),NYELV_IDX),""),"")</f>
        <v/>
      </c>
      <c r="H593" s="24"/>
      <c r="I593" s="24"/>
      <c r="J593" s="12"/>
    </row>
    <row r="594" spans="2:10" x14ac:dyDescent="0.3">
      <c r="B594" s="29" t="str">
        <f t="shared" si="9"/>
        <v/>
      </c>
      <c r="C594" s="12"/>
      <c r="D594" s="12"/>
      <c r="E594" s="12"/>
      <c r="F594" s="12"/>
      <c r="G594" s="29" t="str">
        <f>IF(LEN($F594)&gt;0,IFERROR(INDEX('90_SEMA'!$G$7:$H$102,MATCH($F594,'90_SEMA'!$B$7:$B$102,0),NYELV_IDX),""),"")</f>
        <v/>
      </c>
      <c r="H594" s="24"/>
      <c r="I594" s="24"/>
      <c r="J594" s="12"/>
    </row>
    <row r="595" spans="2:10" x14ac:dyDescent="0.3">
      <c r="B595" s="29" t="str">
        <f t="shared" si="9"/>
        <v/>
      </c>
      <c r="C595" s="12"/>
      <c r="D595" s="12"/>
      <c r="E595" s="12"/>
      <c r="F595" s="12"/>
      <c r="G595" s="29" t="str">
        <f>IF(LEN($F595)&gt;0,IFERROR(INDEX('90_SEMA'!$G$7:$H$102,MATCH($F595,'90_SEMA'!$B$7:$B$102,0),NYELV_IDX),""),"")</f>
        <v/>
      </c>
      <c r="H595" s="24"/>
      <c r="I595" s="24"/>
      <c r="J595" s="12"/>
    </row>
    <row r="596" spans="2:10" x14ac:dyDescent="0.3">
      <c r="B596" s="29" t="str">
        <f t="shared" si="9"/>
        <v/>
      </c>
      <c r="C596" s="12"/>
      <c r="D596" s="12"/>
      <c r="E596" s="12"/>
      <c r="F596" s="12"/>
      <c r="G596" s="29" t="str">
        <f>IF(LEN($F596)&gt;0,IFERROR(INDEX('90_SEMA'!$G$7:$H$102,MATCH($F596,'90_SEMA'!$B$7:$B$102,0),NYELV_IDX),""),"")</f>
        <v/>
      </c>
      <c r="H596" s="24"/>
      <c r="I596" s="24"/>
      <c r="J596" s="12"/>
    </row>
    <row r="597" spans="2:10" x14ac:dyDescent="0.3">
      <c r="B597" s="29" t="str">
        <f t="shared" si="9"/>
        <v/>
      </c>
      <c r="C597" s="12"/>
      <c r="D597" s="12"/>
      <c r="E597" s="12"/>
      <c r="F597" s="12"/>
      <c r="G597" s="29" t="str">
        <f>IF(LEN($F597)&gt;0,IFERROR(INDEX('90_SEMA'!$G$7:$H$102,MATCH($F597,'90_SEMA'!$B$7:$B$102,0),NYELV_IDX),""),"")</f>
        <v/>
      </c>
      <c r="H597" s="24"/>
      <c r="I597" s="24"/>
      <c r="J597" s="12"/>
    </row>
    <row r="598" spans="2:10" x14ac:dyDescent="0.3">
      <c r="B598" s="29" t="str">
        <f t="shared" si="9"/>
        <v/>
      </c>
      <c r="C598" s="12"/>
      <c r="D598" s="12"/>
      <c r="E598" s="12"/>
      <c r="F598" s="12"/>
      <c r="G598" s="29" t="str">
        <f>IF(LEN($F598)&gt;0,IFERROR(INDEX('90_SEMA'!$G$7:$H$102,MATCH($F598,'90_SEMA'!$B$7:$B$102,0),NYELV_IDX),""),"")</f>
        <v/>
      </c>
      <c r="H598" s="24"/>
      <c r="I598" s="24"/>
      <c r="J598" s="12"/>
    </row>
    <row r="599" spans="2:10" x14ac:dyDescent="0.3">
      <c r="B599" s="29" t="str">
        <f t="shared" si="9"/>
        <v/>
      </c>
      <c r="C599" s="12"/>
      <c r="D599" s="12"/>
      <c r="E599" s="12"/>
      <c r="F599" s="12"/>
      <c r="G599" s="29" t="str">
        <f>IF(LEN($F599)&gt;0,IFERROR(INDEX('90_SEMA'!$G$7:$H$102,MATCH($F599,'90_SEMA'!$B$7:$B$102,0),NYELV_IDX),""),"")</f>
        <v/>
      </c>
      <c r="H599" s="24"/>
      <c r="I599" s="24"/>
      <c r="J599" s="12"/>
    </row>
    <row r="600" spans="2:10" x14ac:dyDescent="0.3">
      <c r="B600" s="29" t="str">
        <f t="shared" si="9"/>
        <v/>
      </c>
      <c r="C600" s="12"/>
      <c r="D600" s="12"/>
      <c r="E600" s="12"/>
      <c r="F600" s="12"/>
      <c r="G600" s="29" t="str">
        <f>IF(LEN($F600)&gt;0,IFERROR(INDEX('90_SEMA'!$G$7:$H$102,MATCH($F600,'90_SEMA'!$B$7:$B$102,0),NYELV_IDX),""),"")</f>
        <v/>
      </c>
      <c r="H600" s="24"/>
      <c r="I600" s="24"/>
      <c r="J600" s="12"/>
    </row>
    <row r="601" spans="2:10" x14ac:dyDescent="0.3">
      <c r="B601" s="29" t="str">
        <f t="shared" si="9"/>
        <v/>
      </c>
      <c r="C601" s="12"/>
      <c r="D601" s="12"/>
      <c r="E601" s="12"/>
      <c r="F601" s="12"/>
      <c r="G601" s="29" t="str">
        <f>IF(LEN($F601)&gt;0,IFERROR(INDEX('90_SEMA'!$G$7:$H$102,MATCH($F601,'90_SEMA'!$B$7:$B$102,0),NYELV_IDX),""),"")</f>
        <v/>
      </c>
      <c r="H601" s="24"/>
      <c r="I601" s="24"/>
      <c r="J601" s="12"/>
    </row>
    <row r="602" spans="2:10" x14ac:dyDescent="0.3">
      <c r="B602" s="29" t="str">
        <f t="shared" si="9"/>
        <v/>
      </c>
      <c r="C602" s="12"/>
      <c r="D602" s="12"/>
      <c r="E602" s="12"/>
      <c r="F602" s="12"/>
      <c r="G602" s="29" t="str">
        <f>IF(LEN($F602)&gt;0,IFERROR(INDEX('90_SEMA'!$G$7:$H$102,MATCH($F602,'90_SEMA'!$B$7:$B$102,0),NYELV_IDX),""),"")</f>
        <v/>
      </c>
      <c r="H602" s="24"/>
      <c r="I602" s="24"/>
      <c r="J602" s="12"/>
    </row>
    <row r="603" spans="2:10" x14ac:dyDescent="0.3">
      <c r="B603" s="29" t="str">
        <f t="shared" si="9"/>
        <v/>
      </c>
      <c r="C603" s="12"/>
      <c r="D603" s="12"/>
      <c r="E603" s="12"/>
      <c r="F603" s="12"/>
      <c r="G603" s="29" t="str">
        <f>IF(LEN($F603)&gt;0,IFERROR(INDEX('90_SEMA'!$G$7:$H$102,MATCH($F603,'90_SEMA'!$B$7:$B$102,0),NYELV_IDX),""),"")</f>
        <v/>
      </c>
      <c r="H603" s="24"/>
      <c r="I603" s="24"/>
      <c r="J603" s="12"/>
    </row>
    <row r="604" spans="2:10" x14ac:dyDescent="0.3">
      <c r="B604" s="29" t="str">
        <f t="shared" si="9"/>
        <v/>
      </c>
      <c r="C604" s="12"/>
      <c r="D604" s="12"/>
      <c r="E604" s="12"/>
      <c r="F604" s="12"/>
      <c r="G604" s="29" t="str">
        <f>IF(LEN($F604)&gt;0,IFERROR(INDEX('90_SEMA'!$G$7:$H$102,MATCH($F604,'90_SEMA'!$B$7:$B$102,0),NYELV_IDX),""),"")</f>
        <v/>
      </c>
      <c r="H604" s="24"/>
      <c r="I604" s="24"/>
      <c r="J604" s="12"/>
    </row>
    <row r="605" spans="2:10" x14ac:dyDescent="0.3">
      <c r="B605" s="29" t="str">
        <f t="shared" si="9"/>
        <v/>
      </c>
      <c r="C605" s="12"/>
      <c r="D605" s="12"/>
      <c r="E605" s="12"/>
      <c r="F605" s="12"/>
      <c r="G605" s="29" t="str">
        <f>IF(LEN($F605)&gt;0,IFERROR(INDEX('90_SEMA'!$G$7:$H$102,MATCH($F605,'90_SEMA'!$B$7:$B$102,0),NYELV_IDX),""),"")</f>
        <v/>
      </c>
      <c r="H605" s="24"/>
      <c r="I605" s="24"/>
      <c r="J605" s="12"/>
    </row>
    <row r="606" spans="2:10" x14ac:dyDescent="0.3">
      <c r="B606" s="29" t="str">
        <f t="shared" si="9"/>
        <v/>
      </c>
      <c r="C606" s="12"/>
      <c r="D606" s="12"/>
      <c r="E606" s="12"/>
      <c r="F606" s="12"/>
      <c r="G606" s="29" t="str">
        <f>IF(LEN($F606)&gt;0,IFERROR(INDEX('90_SEMA'!$G$7:$H$102,MATCH($F606,'90_SEMA'!$B$7:$B$102,0),NYELV_IDX),""),"")</f>
        <v/>
      </c>
      <c r="H606" s="24"/>
      <c r="I606" s="24"/>
      <c r="J606" s="12"/>
    </row>
    <row r="607" spans="2:10" x14ac:dyDescent="0.3">
      <c r="B607" s="29" t="str">
        <f t="shared" si="9"/>
        <v/>
      </c>
      <c r="C607" s="12"/>
      <c r="D607" s="12"/>
      <c r="E607" s="12"/>
      <c r="F607" s="12"/>
      <c r="G607" s="29" t="str">
        <f>IF(LEN($F607)&gt;0,IFERROR(INDEX('90_SEMA'!$G$7:$H$102,MATCH($F607,'90_SEMA'!$B$7:$B$102,0),NYELV_IDX),""),"")</f>
        <v/>
      </c>
      <c r="H607" s="24"/>
      <c r="I607" s="24"/>
      <c r="J607" s="12"/>
    </row>
    <row r="608" spans="2:10" x14ac:dyDescent="0.3">
      <c r="B608" s="29" t="str">
        <f t="shared" si="9"/>
        <v/>
      </c>
      <c r="C608" s="12"/>
      <c r="D608" s="12"/>
      <c r="E608" s="12"/>
      <c r="F608" s="12"/>
      <c r="G608" s="29" t="str">
        <f>IF(LEN($F608)&gt;0,IFERROR(INDEX('90_SEMA'!$G$7:$H$102,MATCH($F608,'90_SEMA'!$B$7:$B$102,0),NYELV_IDX),""),"")</f>
        <v/>
      </c>
      <c r="H608" s="24"/>
      <c r="I608" s="24"/>
      <c r="J608" s="12"/>
    </row>
    <row r="609" spans="2:10" x14ac:dyDescent="0.3">
      <c r="B609" s="29" t="str">
        <f t="shared" si="9"/>
        <v/>
      </c>
      <c r="C609" s="12"/>
      <c r="D609" s="12"/>
      <c r="E609" s="12"/>
      <c r="F609" s="12"/>
      <c r="G609" s="29" t="str">
        <f>IF(LEN($F609)&gt;0,IFERROR(INDEX('90_SEMA'!$G$7:$H$102,MATCH($F609,'90_SEMA'!$B$7:$B$102,0),NYELV_IDX),""),"")</f>
        <v/>
      </c>
      <c r="H609" s="24"/>
      <c r="I609" s="24"/>
      <c r="J609" s="12"/>
    </row>
    <row r="610" spans="2:10" x14ac:dyDescent="0.3">
      <c r="B610" s="29" t="str">
        <f t="shared" si="9"/>
        <v/>
      </c>
      <c r="C610" s="12"/>
      <c r="D610" s="12"/>
      <c r="E610" s="12"/>
      <c r="F610" s="12"/>
      <c r="G610" s="29" t="str">
        <f>IF(LEN($F610)&gt;0,IFERROR(INDEX('90_SEMA'!$G$7:$H$102,MATCH($F610,'90_SEMA'!$B$7:$B$102,0),NYELV_IDX),""),"")</f>
        <v/>
      </c>
      <c r="H610" s="24"/>
      <c r="I610" s="24"/>
      <c r="J610" s="12"/>
    </row>
    <row r="611" spans="2:10" x14ac:dyDescent="0.3">
      <c r="B611" s="29" t="str">
        <f t="shared" si="9"/>
        <v/>
      </c>
      <c r="C611" s="12"/>
      <c r="D611" s="12"/>
      <c r="E611" s="12"/>
      <c r="F611" s="12"/>
      <c r="G611" s="29" t="str">
        <f>IF(LEN($F611)&gt;0,IFERROR(INDEX('90_SEMA'!$G$7:$H$102,MATCH($F611,'90_SEMA'!$B$7:$B$102,0),NYELV_IDX),""),"")</f>
        <v/>
      </c>
      <c r="H611" s="24"/>
      <c r="I611" s="24"/>
      <c r="J611" s="12"/>
    </row>
    <row r="612" spans="2:10" x14ac:dyDescent="0.3">
      <c r="B612" s="29" t="str">
        <f t="shared" si="9"/>
        <v/>
      </c>
      <c r="C612" s="12"/>
      <c r="D612" s="12"/>
      <c r="E612" s="12"/>
      <c r="F612" s="12"/>
      <c r="G612" s="29" t="str">
        <f>IF(LEN($F612)&gt;0,IFERROR(INDEX('90_SEMA'!$G$7:$H$102,MATCH($F612,'90_SEMA'!$B$7:$B$102,0),NYELV_IDX),""),"")</f>
        <v/>
      </c>
      <c r="H612" s="24"/>
      <c r="I612" s="24"/>
      <c r="J612" s="12"/>
    </row>
    <row r="613" spans="2:10" x14ac:dyDescent="0.3">
      <c r="B613" s="29" t="str">
        <f t="shared" si="9"/>
        <v/>
      </c>
      <c r="C613" s="12"/>
      <c r="D613" s="12"/>
      <c r="E613" s="12"/>
      <c r="F613" s="12"/>
      <c r="G613" s="29" t="str">
        <f>IF(LEN($F613)&gt;0,IFERROR(INDEX('90_SEMA'!$G$7:$H$102,MATCH($F613,'90_SEMA'!$B$7:$B$102,0),NYELV_IDX),""),"")</f>
        <v/>
      </c>
      <c r="H613" s="24"/>
      <c r="I613" s="24"/>
      <c r="J613" s="12"/>
    </row>
    <row r="614" spans="2:10" x14ac:dyDescent="0.3">
      <c r="B614" s="29" t="str">
        <f t="shared" si="9"/>
        <v/>
      </c>
      <c r="C614" s="12"/>
      <c r="D614" s="12"/>
      <c r="E614" s="12"/>
      <c r="F614" s="12"/>
      <c r="G614" s="29" t="str">
        <f>IF(LEN($F614)&gt;0,IFERROR(INDEX('90_SEMA'!$G$7:$H$102,MATCH($F614,'90_SEMA'!$B$7:$B$102,0),NYELV_IDX),""),"")</f>
        <v/>
      </c>
      <c r="H614" s="24"/>
      <c r="I614" s="24"/>
      <c r="J614" s="12"/>
    </row>
    <row r="615" spans="2:10" x14ac:dyDescent="0.3">
      <c r="B615" s="29" t="str">
        <f t="shared" si="9"/>
        <v/>
      </c>
      <c r="C615" s="12"/>
      <c r="D615" s="12"/>
      <c r="E615" s="12"/>
      <c r="F615" s="12"/>
      <c r="G615" s="29" t="str">
        <f>IF(LEN($F615)&gt;0,IFERROR(INDEX('90_SEMA'!$G$7:$H$102,MATCH($F615,'90_SEMA'!$B$7:$B$102,0),NYELV_IDX),""),"")</f>
        <v/>
      </c>
      <c r="H615" s="24"/>
      <c r="I615" s="24"/>
      <c r="J615" s="12"/>
    </row>
    <row r="616" spans="2:10" x14ac:dyDescent="0.3">
      <c r="B616" s="29" t="str">
        <f t="shared" si="9"/>
        <v/>
      </c>
      <c r="C616" s="12"/>
      <c r="D616" s="12"/>
      <c r="E616" s="12"/>
      <c r="F616" s="12"/>
      <c r="G616" s="29" t="str">
        <f>IF(LEN($F616)&gt;0,IFERROR(INDEX('90_SEMA'!$G$7:$H$102,MATCH($F616,'90_SEMA'!$B$7:$B$102,0),NYELV_IDX),""),"")</f>
        <v/>
      </c>
      <c r="H616" s="24"/>
      <c r="I616" s="24"/>
      <c r="J616" s="12"/>
    </row>
    <row r="617" spans="2:10" x14ac:dyDescent="0.3">
      <c r="B617" s="29" t="str">
        <f t="shared" si="9"/>
        <v/>
      </c>
      <c r="C617" s="12"/>
      <c r="D617" s="12"/>
      <c r="E617" s="12"/>
      <c r="F617" s="12"/>
      <c r="G617" s="29" t="str">
        <f>IF(LEN($F617)&gt;0,IFERROR(INDEX('90_SEMA'!$G$7:$H$102,MATCH($F617,'90_SEMA'!$B$7:$B$102,0),NYELV_IDX),""),"")</f>
        <v/>
      </c>
      <c r="H617" s="24"/>
      <c r="I617" s="24"/>
      <c r="J617" s="12"/>
    </row>
    <row r="618" spans="2:10" x14ac:dyDescent="0.3">
      <c r="B618" s="29" t="str">
        <f t="shared" si="9"/>
        <v/>
      </c>
      <c r="C618" s="12"/>
      <c r="D618" s="12"/>
      <c r="E618" s="12"/>
      <c r="F618" s="12"/>
      <c r="G618" s="29" t="str">
        <f>IF(LEN($F618)&gt;0,IFERROR(INDEX('90_SEMA'!$G$7:$H$102,MATCH($F618,'90_SEMA'!$B$7:$B$102,0),NYELV_IDX),""),"")</f>
        <v/>
      </c>
      <c r="H618" s="24"/>
      <c r="I618" s="24"/>
      <c r="J618" s="12"/>
    </row>
    <row r="619" spans="2:10" x14ac:dyDescent="0.3">
      <c r="B619" s="29" t="str">
        <f t="shared" si="9"/>
        <v/>
      </c>
      <c r="C619" s="12"/>
      <c r="D619" s="12"/>
      <c r="E619" s="12"/>
      <c r="F619" s="12"/>
      <c r="G619" s="29" t="str">
        <f>IF(LEN($F619)&gt;0,IFERROR(INDEX('90_SEMA'!$G$7:$H$102,MATCH($F619,'90_SEMA'!$B$7:$B$102,0),NYELV_IDX),""),"")</f>
        <v/>
      </c>
      <c r="H619" s="24"/>
      <c r="I619" s="24"/>
      <c r="J619" s="12"/>
    </row>
    <row r="620" spans="2:10" x14ac:dyDescent="0.3">
      <c r="B620" s="29" t="str">
        <f t="shared" si="9"/>
        <v/>
      </c>
      <c r="C620" s="12"/>
      <c r="D620" s="12"/>
      <c r="E620" s="12"/>
      <c r="F620" s="12"/>
      <c r="G620" s="29" t="str">
        <f>IF(LEN($F620)&gt;0,IFERROR(INDEX('90_SEMA'!$G$7:$H$102,MATCH($F620,'90_SEMA'!$B$7:$B$102,0),NYELV_IDX),""),"")</f>
        <v/>
      </c>
      <c r="H620" s="24"/>
      <c r="I620" s="24"/>
      <c r="J620" s="12"/>
    </row>
    <row r="621" spans="2:10" x14ac:dyDescent="0.3">
      <c r="B621" s="29" t="str">
        <f t="shared" si="9"/>
        <v/>
      </c>
      <c r="C621" s="12"/>
      <c r="D621" s="12"/>
      <c r="E621" s="12"/>
      <c r="F621" s="12"/>
      <c r="G621" s="29" t="str">
        <f>IF(LEN($F621)&gt;0,IFERROR(INDEX('90_SEMA'!$G$7:$H$102,MATCH($F621,'90_SEMA'!$B$7:$B$102,0),NYELV_IDX),""),"")</f>
        <v/>
      </c>
      <c r="H621" s="24"/>
      <c r="I621" s="24"/>
      <c r="J621" s="12"/>
    </row>
    <row r="622" spans="2:10" x14ac:dyDescent="0.3">
      <c r="B622" s="29" t="str">
        <f t="shared" si="9"/>
        <v/>
      </c>
      <c r="C622" s="12"/>
      <c r="D622" s="12"/>
      <c r="E622" s="12"/>
      <c r="F622" s="12"/>
      <c r="G622" s="29" t="str">
        <f>IF(LEN($F622)&gt;0,IFERROR(INDEX('90_SEMA'!$G$7:$H$102,MATCH($F622,'90_SEMA'!$B$7:$B$102,0),NYELV_IDX),""),"")</f>
        <v/>
      </c>
      <c r="H622" s="24"/>
      <c r="I622" s="24"/>
      <c r="J622" s="12"/>
    </row>
    <row r="623" spans="2:10" x14ac:dyDescent="0.3">
      <c r="B623" s="29" t="str">
        <f t="shared" si="9"/>
        <v/>
      </c>
      <c r="C623" s="12"/>
      <c r="D623" s="12"/>
      <c r="E623" s="12"/>
      <c r="F623" s="12"/>
      <c r="G623" s="29" t="str">
        <f>IF(LEN($F623)&gt;0,IFERROR(INDEX('90_SEMA'!$G$7:$H$102,MATCH($F623,'90_SEMA'!$B$7:$B$102,0),NYELV_IDX),""),"")</f>
        <v/>
      </c>
      <c r="H623" s="24"/>
      <c r="I623" s="24"/>
      <c r="J623" s="12"/>
    </row>
    <row r="624" spans="2:10" x14ac:dyDescent="0.3">
      <c r="B624" s="29" t="str">
        <f t="shared" si="9"/>
        <v/>
      </c>
      <c r="C624" s="12"/>
      <c r="D624" s="12"/>
      <c r="E624" s="12"/>
      <c r="F624" s="12"/>
      <c r="G624" s="29" t="str">
        <f>IF(LEN($F624)&gt;0,IFERROR(INDEX('90_SEMA'!$G$7:$H$102,MATCH($F624,'90_SEMA'!$B$7:$B$102,0),NYELV_IDX),""),"")</f>
        <v/>
      </c>
      <c r="H624" s="24"/>
      <c r="I624" s="24"/>
      <c r="J624" s="12"/>
    </row>
    <row r="625" spans="2:10" x14ac:dyDescent="0.3">
      <c r="B625" s="29" t="str">
        <f t="shared" si="9"/>
        <v/>
      </c>
      <c r="C625" s="12"/>
      <c r="D625" s="12"/>
      <c r="E625" s="12"/>
      <c r="F625" s="12"/>
      <c r="G625" s="29" t="str">
        <f>IF(LEN($F625)&gt;0,IFERROR(INDEX('90_SEMA'!$G$7:$H$102,MATCH($F625,'90_SEMA'!$B$7:$B$102,0),NYELV_IDX),""),"")</f>
        <v/>
      </c>
      <c r="H625" s="24"/>
      <c r="I625" s="24"/>
      <c r="J625" s="12"/>
    </row>
    <row r="626" spans="2:10" x14ac:dyDescent="0.3">
      <c r="B626" s="29" t="str">
        <f t="shared" si="9"/>
        <v/>
      </c>
      <c r="C626" s="12"/>
      <c r="D626" s="12"/>
      <c r="E626" s="12"/>
      <c r="F626" s="12"/>
      <c r="G626" s="29" t="str">
        <f>IF(LEN($F626)&gt;0,IFERROR(INDEX('90_SEMA'!$G$7:$H$102,MATCH($F626,'90_SEMA'!$B$7:$B$102,0),NYELV_IDX),""),"")</f>
        <v/>
      </c>
      <c r="H626" s="24"/>
      <c r="I626" s="24"/>
      <c r="J626" s="12"/>
    </row>
    <row r="627" spans="2:10" x14ac:dyDescent="0.3">
      <c r="B627" s="29" t="str">
        <f t="shared" si="9"/>
        <v/>
      </c>
      <c r="C627" s="12"/>
      <c r="D627" s="12"/>
      <c r="E627" s="12"/>
      <c r="F627" s="12"/>
      <c r="G627" s="29" t="str">
        <f>IF(LEN($F627)&gt;0,IFERROR(INDEX('90_SEMA'!$G$7:$H$102,MATCH($F627,'90_SEMA'!$B$7:$B$102,0),NYELV_IDX),""),"")</f>
        <v/>
      </c>
      <c r="H627" s="24"/>
      <c r="I627" s="24"/>
      <c r="J627" s="12"/>
    </row>
    <row r="628" spans="2:10" x14ac:dyDescent="0.3">
      <c r="B628" s="29" t="str">
        <f t="shared" si="9"/>
        <v/>
      </c>
      <c r="C628" s="12"/>
      <c r="D628" s="12"/>
      <c r="E628" s="12"/>
      <c r="F628" s="12"/>
      <c r="G628" s="29" t="str">
        <f>IF(LEN($F628)&gt;0,IFERROR(INDEX('90_SEMA'!$G$7:$H$102,MATCH($F628,'90_SEMA'!$B$7:$B$102,0),NYELV_IDX),""),"")</f>
        <v/>
      </c>
      <c r="H628" s="24"/>
      <c r="I628" s="24"/>
      <c r="J628" s="12"/>
    </row>
    <row r="629" spans="2:10" x14ac:dyDescent="0.3">
      <c r="B629" s="29" t="str">
        <f t="shared" si="9"/>
        <v/>
      </c>
      <c r="C629" s="12"/>
      <c r="D629" s="12"/>
      <c r="E629" s="12"/>
      <c r="F629" s="12"/>
      <c r="G629" s="29" t="str">
        <f>IF(LEN($F629)&gt;0,IFERROR(INDEX('90_SEMA'!$G$7:$H$102,MATCH($F629,'90_SEMA'!$B$7:$B$102,0),NYELV_IDX),""),"")</f>
        <v/>
      </c>
      <c r="H629" s="24"/>
      <c r="I629" s="24"/>
      <c r="J629" s="12"/>
    </row>
    <row r="630" spans="2:10" x14ac:dyDescent="0.3">
      <c r="B630" s="29" t="str">
        <f t="shared" si="9"/>
        <v/>
      </c>
      <c r="C630" s="12"/>
      <c r="D630" s="12"/>
      <c r="E630" s="12"/>
      <c r="F630" s="12"/>
      <c r="G630" s="29" t="str">
        <f>IF(LEN($F630)&gt;0,IFERROR(INDEX('90_SEMA'!$G$7:$H$102,MATCH($F630,'90_SEMA'!$B$7:$B$102,0),NYELV_IDX),""),"")</f>
        <v/>
      </c>
      <c r="H630" s="24"/>
      <c r="I630" s="24"/>
      <c r="J630" s="12"/>
    </row>
    <row r="631" spans="2:10" x14ac:dyDescent="0.3">
      <c r="B631" s="29" t="str">
        <f t="shared" si="9"/>
        <v/>
      </c>
      <c r="C631" s="12"/>
      <c r="D631" s="12"/>
      <c r="E631" s="12"/>
      <c r="F631" s="12"/>
      <c r="G631" s="29" t="str">
        <f>IF(LEN($F631)&gt;0,IFERROR(INDEX('90_SEMA'!$G$7:$H$102,MATCH($F631,'90_SEMA'!$B$7:$B$102,0),NYELV_IDX),""),"")</f>
        <v/>
      </c>
      <c r="H631" s="24"/>
      <c r="I631" s="24"/>
      <c r="J631" s="12"/>
    </row>
    <row r="632" spans="2:10" x14ac:dyDescent="0.3">
      <c r="B632" s="29" t="str">
        <f t="shared" si="9"/>
        <v/>
      </c>
      <c r="C632" s="12"/>
      <c r="D632" s="12"/>
      <c r="E632" s="12"/>
      <c r="F632" s="12"/>
      <c r="G632" s="29" t="str">
        <f>IF(LEN($F632)&gt;0,IFERROR(INDEX('90_SEMA'!$G$7:$H$102,MATCH($F632,'90_SEMA'!$B$7:$B$102,0),NYELV_IDX),""),"")</f>
        <v/>
      </c>
      <c r="H632" s="24"/>
      <c r="I632" s="24"/>
      <c r="J632" s="12"/>
    </row>
    <row r="633" spans="2:10" x14ac:dyDescent="0.3">
      <c r="B633" s="29" t="str">
        <f t="shared" si="9"/>
        <v/>
      </c>
      <c r="C633" s="12"/>
      <c r="D633" s="12"/>
      <c r="E633" s="12"/>
      <c r="F633" s="12"/>
      <c r="G633" s="29" t="str">
        <f>IF(LEN($F633)&gt;0,IFERROR(INDEX('90_SEMA'!$G$7:$H$102,MATCH($F633,'90_SEMA'!$B$7:$B$102,0),NYELV_IDX),""),"")</f>
        <v/>
      </c>
      <c r="H633" s="24"/>
      <c r="I633" s="24"/>
      <c r="J633" s="12"/>
    </row>
    <row r="634" spans="2:10" x14ac:dyDescent="0.3">
      <c r="B634" s="29" t="str">
        <f t="shared" si="9"/>
        <v/>
      </c>
      <c r="C634" s="12"/>
      <c r="D634" s="12"/>
      <c r="E634" s="12"/>
      <c r="F634" s="12"/>
      <c r="G634" s="29" t="str">
        <f>IF(LEN($F634)&gt;0,IFERROR(INDEX('90_SEMA'!$G$7:$H$102,MATCH($F634,'90_SEMA'!$B$7:$B$102,0),NYELV_IDX),""),"")</f>
        <v/>
      </c>
      <c r="H634" s="24"/>
      <c r="I634" s="24"/>
      <c r="J634" s="12"/>
    </row>
    <row r="635" spans="2:10" x14ac:dyDescent="0.3">
      <c r="B635" s="29" t="str">
        <f t="shared" si="9"/>
        <v/>
      </c>
      <c r="C635" s="12"/>
      <c r="D635" s="12"/>
      <c r="E635" s="12"/>
      <c r="F635" s="12"/>
      <c r="G635" s="29" t="str">
        <f>IF(LEN($F635)&gt;0,IFERROR(INDEX('90_SEMA'!$G$7:$H$102,MATCH($F635,'90_SEMA'!$B$7:$B$102,0),NYELV_IDX),""),"")</f>
        <v/>
      </c>
      <c r="H635" s="24"/>
      <c r="I635" s="24"/>
      <c r="J635" s="12"/>
    </row>
    <row r="636" spans="2:10" x14ac:dyDescent="0.3">
      <c r="B636" s="29" t="str">
        <f t="shared" si="9"/>
        <v/>
      </c>
      <c r="C636" s="12"/>
      <c r="D636" s="12"/>
      <c r="E636" s="12"/>
      <c r="F636" s="12"/>
      <c r="G636" s="29" t="str">
        <f>IF(LEN($F636)&gt;0,IFERROR(INDEX('90_SEMA'!$G$7:$H$102,MATCH($F636,'90_SEMA'!$B$7:$B$102,0),NYELV_IDX),""),"")</f>
        <v/>
      </c>
      <c r="H636" s="24"/>
      <c r="I636" s="24"/>
      <c r="J636" s="12"/>
    </row>
    <row r="637" spans="2:10" x14ac:dyDescent="0.3">
      <c r="B637" s="29" t="str">
        <f t="shared" si="9"/>
        <v/>
      </c>
      <c r="C637" s="12"/>
      <c r="D637" s="12"/>
      <c r="E637" s="12"/>
      <c r="F637" s="12"/>
      <c r="G637" s="29" t="str">
        <f>IF(LEN($F637)&gt;0,IFERROR(INDEX('90_SEMA'!$G$7:$H$102,MATCH($F637,'90_SEMA'!$B$7:$B$102,0),NYELV_IDX),""),"")</f>
        <v/>
      </c>
      <c r="H637" s="24"/>
      <c r="I637" s="24"/>
      <c r="J637" s="12"/>
    </row>
    <row r="638" spans="2:10" x14ac:dyDescent="0.3">
      <c r="B638" s="29" t="str">
        <f t="shared" si="9"/>
        <v/>
      </c>
      <c r="C638" s="12"/>
      <c r="D638" s="12"/>
      <c r="E638" s="12"/>
      <c r="F638" s="12"/>
      <c r="G638" s="29" t="str">
        <f>IF(LEN($F638)&gt;0,IFERROR(INDEX('90_SEMA'!$G$7:$H$102,MATCH($F638,'90_SEMA'!$B$7:$B$102,0),NYELV_IDX),""),"")</f>
        <v/>
      </c>
      <c r="H638" s="24"/>
      <c r="I638" s="24"/>
      <c r="J638" s="12"/>
    </row>
    <row r="639" spans="2:10" x14ac:dyDescent="0.3">
      <c r="B639" s="29" t="str">
        <f t="shared" si="9"/>
        <v/>
      </c>
      <c r="C639" s="12"/>
      <c r="D639" s="12"/>
      <c r="E639" s="12"/>
      <c r="F639" s="12"/>
      <c r="G639" s="29" t="str">
        <f>IF(LEN($F639)&gt;0,IFERROR(INDEX('90_SEMA'!$G$7:$H$102,MATCH($F639,'90_SEMA'!$B$7:$B$102,0),NYELV_IDX),""),"")</f>
        <v/>
      </c>
      <c r="H639" s="24"/>
      <c r="I639" s="24"/>
      <c r="J639" s="12"/>
    </row>
    <row r="640" spans="2:10" x14ac:dyDescent="0.3">
      <c r="B640" s="29" t="str">
        <f t="shared" si="9"/>
        <v/>
      </c>
      <c r="C640" s="12"/>
      <c r="D640" s="12"/>
      <c r="E640" s="12"/>
      <c r="F640" s="12"/>
      <c r="G640" s="29" t="str">
        <f>IF(LEN($F640)&gt;0,IFERROR(INDEX('90_SEMA'!$G$7:$H$102,MATCH($F640,'90_SEMA'!$B$7:$B$102,0),NYELV_IDX),""),"")</f>
        <v/>
      </c>
      <c r="H640" s="24"/>
      <c r="I640" s="24"/>
      <c r="J640" s="12"/>
    </row>
    <row r="641" spans="2:10" x14ac:dyDescent="0.3">
      <c r="B641" s="29" t="str">
        <f t="shared" si="9"/>
        <v/>
      </c>
      <c r="C641" s="12"/>
      <c r="D641" s="12"/>
      <c r="E641" s="12"/>
      <c r="F641" s="12"/>
      <c r="G641" s="29" t="str">
        <f>IF(LEN($F641)&gt;0,IFERROR(INDEX('90_SEMA'!$G$7:$H$102,MATCH($F641,'90_SEMA'!$B$7:$B$102,0),NYELV_IDX),""),"")</f>
        <v/>
      </c>
      <c r="H641" s="24"/>
      <c r="I641" s="24"/>
      <c r="J641" s="12"/>
    </row>
    <row r="642" spans="2:10" x14ac:dyDescent="0.3">
      <c r="B642" s="29" t="str">
        <f t="shared" si="9"/>
        <v/>
      </c>
      <c r="C642" s="12"/>
      <c r="D642" s="12"/>
      <c r="E642" s="12"/>
      <c r="F642" s="12"/>
      <c r="G642" s="29" t="str">
        <f>IF(LEN($F642)&gt;0,IFERROR(INDEX('90_SEMA'!$G$7:$H$102,MATCH($F642,'90_SEMA'!$B$7:$B$102,0),NYELV_IDX),""),"")</f>
        <v/>
      </c>
      <c r="H642" s="24"/>
      <c r="I642" s="24"/>
      <c r="J642" s="12"/>
    </row>
    <row r="643" spans="2:10" x14ac:dyDescent="0.3">
      <c r="B643" s="29" t="str">
        <f t="shared" si="9"/>
        <v/>
      </c>
      <c r="C643" s="12"/>
      <c r="D643" s="12"/>
      <c r="E643" s="12"/>
      <c r="F643" s="12"/>
      <c r="G643" s="29" t="str">
        <f>IF(LEN($F643)&gt;0,IFERROR(INDEX('90_SEMA'!$G$7:$H$102,MATCH($F643,'90_SEMA'!$B$7:$B$102,0),NYELV_IDX),""),"")</f>
        <v/>
      </c>
      <c r="H643" s="24"/>
      <c r="I643" s="24"/>
      <c r="J643" s="12"/>
    </row>
    <row r="644" spans="2:10" x14ac:dyDescent="0.3">
      <c r="B644" s="29" t="str">
        <f t="shared" si="9"/>
        <v/>
      </c>
      <c r="C644" s="12"/>
      <c r="D644" s="12"/>
      <c r="E644" s="12"/>
      <c r="F644" s="12"/>
      <c r="G644" s="29" t="str">
        <f>IF(LEN($F644)&gt;0,IFERROR(INDEX('90_SEMA'!$G$7:$H$102,MATCH($F644,'90_SEMA'!$B$7:$B$102,0),NYELV_IDX),""),"")</f>
        <v/>
      </c>
      <c r="H644" s="24"/>
      <c r="I644" s="24"/>
      <c r="J644" s="12"/>
    </row>
    <row r="645" spans="2:10" x14ac:dyDescent="0.3">
      <c r="B645" s="29" t="str">
        <f t="shared" si="9"/>
        <v/>
      </c>
      <c r="C645" s="12"/>
      <c r="D645" s="12"/>
      <c r="E645" s="12"/>
      <c r="F645" s="12"/>
      <c r="G645" s="29" t="str">
        <f>IF(LEN($F645)&gt;0,IFERROR(INDEX('90_SEMA'!$G$7:$H$102,MATCH($F645,'90_SEMA'!$B$7:$B$102,0),NYELV_IDX),""),"")</f>
        <v/>
      </c>
      <c r="H645" s="24"/>
      <c r="I645" s="24"/>
      <c r="J645" s="12"/>
    </row>
    <row r="646" spans="2:10" x14ac:dyDescent="0.3">
      <c r="B646" s="29" t="str">
        <f t="shared" si="9"/>
        <v/>
      </c>
      <c r="C646" s="12"/>
      <c r="D646" s="12"/>
      <c r="E646" s="12"/>
      <c r="F646" s="12"/>
      <c r="G646" s="29" t="str">
        <f>IF(LEN($F646)&gt;0,IFERROR(INDEX('90_SEMA'!$G$7:$H$102,MATCH($F646,'90_SEMA'!$B$7:$B$102,0),NYELV_IDX),""),"")</f>
        <v/>
      </c>
      <c r="H646" s="24"/>
      <c r="I646" s="24"/>
      <c r="J646" s="12"/>
    </row>
    <row r="647" spans="2:10" x14ac:dyDescent="0.3">
      <c r="B647" s="29" t="str">
        <f t="shared" ref="B647:B710" si="10">IF(LEN($F647)&gt;0,ROW()-6,"")</f>
        <v/>
      </c>
      <c r="C647" s="12"/>
      <c r="D647" s="12"/>
      <c r="E647" s="12"/>
      <c r="F647" s="12"/>
      <c r="G647" s="29" t="str">
        <f>IF(LEN($F647)&gt;0,IFERROR(INDEX('90_SEMA'!$G$7:$H$102,MATCH($F647,'90_SEMA'!$B$7:$B$102,0),NYELV_IDX),""),"")</f>
        <v/>
      </c>
      <c r="H647" s="24"/>
      <c r="I647" s="24"/>
      <c r="J647" s="12"/>
    </row>
    <row r="648" spans="2:10" x14ac:dyDescent="0.3">
      <c r="B648" s="29" t="str">
        <f t="shared" si="10"/>
        <v/>
      </c>
      <c r="C648" s="12"/>
      <c r="D648" s="12"/>
      <c r="E648" s="12"/>
      <c r="F648" s="12"/>
      <c r="G648" s="29" t="str">
        <f>IF(LEN($F648)&gt;0,IFERROR(INDEX('90_SEMA'!$G$7:$H$102,MATCH($F648,'90_SEMA'!$B$7:$B$102,0),NYELV_IDX),""),"")</f>
        <v/>
      </c>
      <c r="H648" s="24"/>
      <c r="I648" s="24"/>
      <c r="J648" s="12"/>
    </row>
    <row r="649" spans="2:10" x14ac:dyDescent="0.3">
      <c r="B649" s="29" t="str">
        <f t="shared" si="10"/>
        <v/>
      </c>
      <c r="C649" s="12"/>
      <c r="D649" s="12"/>
      <c r="E649" s="12"/>
      <c r="F649" s="12"/>
      <c r="G649" s="29" t="str">
        <f>IF(LEN($F649)&gt;0,IFERROR(INDEX('90_SEMA'!$G$7:$H$102,MATCH($F649,'90_SEMA'!$B$7:$B$102,0),NYELV_IDX),""),"")</f>
        <v/>
      </c>
      <c r="H649" s="24"/>
      <c r="I649" s="24"/>
      <c r="J649" s="12"/>
    </row>
    <row r="650" spans="2:10" x14ac:dyDescent="0.3">
      <c r="B650" s="29" t="str">
        <f t="shared" si="10"/>
        <v/>
      </c>
      <c r="C650" s="12"/>
      <c r="D650" s="12"/>
      <c r="E650" s="12"/>
      <c r="F650" s="12"/>
      <c r="G650" s="29" t="str">
        <f>IF(LEN($F650)&gt;0,IFERROR(INDEX('90_SEMA'!$G$7:$H$102,MATCH($F650,'90_SEMA'!$B$7:$B$102,0),NYELV_IDX),""),"")</f>
        <v/>
      </c>
      <c r="H650" s="24"/>
      <c r="I650" s="24"/>
      <c r="J650" s="12"/>
    </row>
    <row r="651" spans="2:10" x14ac:dyDescent="0.3">
      <c r="B651" s="29" t="str">
        <f t="shared" si="10"/>
        <v/>
      </c>
      <c r="C651" s="12"/>
      <c r="D651" s="12"/>
      <c r="E651" s="12"/>
      <c r="F651" s="12"/>
      <c r="G651" s="29" t="str">
        <f>IF(LEN($F651)&gt;0,IFERROR(INDEX('90_SEMA'!$G$7:$H$102,MATCH($F651,'90_SEMA'!$B$7:$B$102,0),NYELV_IDX),""),"")</f>
        <v/>
      </c>
      <c r="H651" s="24"/>
      <c r="I651" s="24"/>
      <c r="J651" s="12"/>
    </row>
    <row r="652" spans="2:10" x14ac:dyDescent="0.3">
      <c r="B652" s="29" t="str">
        <f t="shared" si="10"/>
        <v/>
      </c>
      <c r="C652" s="12"/>
      <c r="D652" s="12"/>
      <c r="E652" s="12"/>
      <c r="F652" s="12"/>
      <c r="G652" s="29" t="str">
        <f>IF(LEN($F652)&gt;0,IFERROR(INDEX('90_SEMA'!$G$7:$H$102,MATCH($F652,'90_SEMA'!$B$7:$B$102,0),NYELV_IDX),""),"")</f>
        <v/>
      </c>
      <c r="H652" s="24"/>
      <c r="I652" s="24"/>
      <c r="J652" s="12"/>
    </row>
    <row r="653" spans="2:10" x14ac:dyDescent="0.3">
      <c r="B653" s="29" t="str">
        <f t="shared" si="10"/>
        <v/>
      </c>
      <c r="C653" s="12"/>
      <c r="D653" s="12"/>
      <c r="E653" s="12"/>
      <c r="F653" s="12"/>
      <c r="G653" s="29" t="str">
        <f>IF(LEN($F653)&gt;0,IFERROR(INDEX('90_SEMA'!$G$7:$H$102,MATCH($F653,'90_SEMA'!$B$7:$B$102,0),NYELV_IDX),""),"")</f>
        <v/>
      </c>
      <c r="H653" s="24"/>
      <c r="I653" s="24"/>
      <c r="J653" s="12"/>
    </row>
    <row r="654" spans="2:10" x14ac:dyDescent="0.3">
      <c r="B654" s="29" t="str">
        <f t="shared" si="10"/>
        <v/>
      </c>
      <c r="C654" s="12"/>
      <c r="D654" s="12"/>
      <c r="E654" s="12"/>
      <c r="F654" s="12"/>
      <c r="G654" s="29" t="str">
        <f>IF(LEN($F654)&gt;0,IFERROR(INDEX('90_SEMA'!$G$7:$H$102,MATCH($F654,'90_SEMA'!$B$7:$B$102,0),NYELV_IDX),""),"")</f>
        <v/>
      </c>
      <c r="H654" s="24"/>
      <c r="I654" s="24"/>
      <c r="J654" s="12"/>
    </row>
    <row r="655" spans="2:10" x14ac:dyDescent="0.3">
      <c r="B655" s="29" t="str">
        <f t="shared" si="10"/>
        <v/>
      </c>
      <c r="C655" s="12"/>
      <c r="D655" s="12"/>
      <c r="E655" s="12"/>
      <c r="F655" s="12"/>
      <c r="G655" s="29" t="str">
        <f>IF(LEN($F655)&gt;0,IFERROR(INDEX('90_SEMA'!$G$7:$H$102,MATCH($F655,'90_SEMA'!$B$7:$B$102,0),NYELV_IDX),""),"")</f>
        <v/>
      </c>
      <c r="H655" s="24"/>
      <c r="I655" s="24"/>
      <c r="J655" s="12"/>
    </row>
    <row r="656" spans="2:10" x14ac:dyDescent="0.3">
      <c r="B656" s="29" t="str">
        <f t="shared" si="10"/>
        <v/>
      </c>
      <c r="C656" s="12"/>
      <c r="D656" s="12"/>
      <c r="E656" s="12"/>
      <c r="F656" s="12"/>
      <c r="G656" s="29" t="str">
        <f>IF(LEN($F656)&gt;0,IFERROR(INDEX('90_SEMA'!$G$7:$H$102,MATCH($F656,'90_SEMA'!$B$7:$B$102,0),NYELV_IDX),""),"")</f>
        <v/>
      </c>
      <c r="H656" s="24"/>
      <c r="I656" s="24"/>
      <c r="J656" s="12"/>
    </row>
    <row r="657" spans="2:10" x14ac:dyDescent="0.3">
      <c r="B657" s="29" t="str">
        <f t="shared" si="10"/>
        <v/>
      </c>
      <c r="C657" s="12"/>
      <c r="D657" s="12"/>
      <c r="E657" s="12"/>
      <c r="F657" s="12"/>
      <c r="G657" s="29" t="str">
        <f>IF(LEN($F657)&gt;0,IFERROR(INDEX('90_SEMA'!$G$7:$H$102,MATCH($F657,'90_SEMA'!$B$7:$B$102,0),NYELV_IDX),""),"")</f>
        <v/>
      </c>
      <c r="H657" s="24"/>
      <c r="I657" s="24"/>
      <c r="J657" s="12"/>
    </row>
    <row r="658" spans="2:10" x14ac:dyDescent="0.3">
      <c r="B658" s="29" t="str">
        <f t="shared" si="10"/>
        <v/>
      </c>
      <c r="C658" s="12"/>
      <c r="D658" s="12"/>
      <c r="E658" s="12"/>
      <c r="F658" s="12"/>
      <c r="G658" s="29" t="str">
        <f>IF(LEN($F658)&gt;0,IFERROR(INDEX('90_SEMA'!$G$7:$H$102,MATCH($F658,'90_SEMA'!$B$7:$B$102,0),NYELV_IDX),""),"")</f>
        <v/>
      </c>
      <c r="H658" s="24"/>
      <c r="I658" s="24"/>
      <c r="J658" s="12"/>
    </row>
    <row r="659" spans="2:10" x14ac:dyDescent="0.3">
      <c r="B659" s="29" t="str">
        <f t="shared" si="10"/>
        <v/>
      </c>
      <c r="C659" s="12"/>
      <c r="D659" s="12"/>
      <c r="E659" s="12"/>
      <c r="F659" s="12"/>
      <c r="G659" s="29" t="str">
        <f>IF(LEN($F659)&gt;0,IFERROR(INDEX('90_SEMA'!$G$7:$H$102,MATCH($F659,'90_SEMA'!$B$7:$B$102,0),NYELV_IDX),""),"")</f>
        <v/>
      </c>
      <c r="H659" s="24"/>
      <c r="I659" s="24"/>
      <c r="J659" s="12"/>
    </row>
    <row r="660" spans="2:10" x14ac:dyDescent="0.3">
      <c r="B660" s="29" t="str">
        <f t="shared" si="10"/>
        <v/>
      </c>
      <c r="C660" s="12"/>
      <c r="D660" s="12"/>
      <c r="E660" s="12"/>
      <c r="F660" s="12"/>
      <c r="G660" s="29" t="str">
        <f>IF(LEN($F660)&gt;0,IFERROR(INDEX('90_SEMA'!$G$7:$H$102,MATCH($F660,'90_SEMA'!$B$7:$B$102,0),NYELV_IDX),""),"")</f>
        <v/>
      </c>
      <c r="H660" s="24"/>
      <c r="I660" s="24"/>
      <c r="J660" s="12"/>
    </row>
    <row r="661" spans="2:10" x14ac:dyDescent="0.3">
      <c r="B661" s="29" t="str">
        <f t="shared" si="10"/>
        <v/>
      </c>
      <c r="C661" s="12"/>
      <c r="D661" s="12"/>
      <c r="E661" s="12"/>
      <c r="F661" s="12"/>
      <c r="G661" s="29" t="str">
        <f>IF(LEN($F661)&gt;0,IFERROR(INDEX('90_SEMA'!$G$7:$H$102,MATCH($F661,'90_SEMA'!$B$7:$B$102,0),NYELV_IDX),""),"")</f>
        <v/>
      </c>
      <c r="H661" s="24"/>
      <c r="I661" s="24"/>
      <c r="J661" s="12"/>
    </row>
    <row r="662" spans="2:10" x14ac:dyDescent="0.3">
      <c r="B662" s="29" t="str">
        <f t="shared" si="10"/>
        <v/>
      </c>
      <c r="C662" s="12"/>
      <c r="D662" s="12"/>
      <c r="E662" s="12"/>
      <c r="F662" s="12"/>
      <c r="G662" s="29" t="str">
        <f>IF(LEN($F662)&gt;0,IFERROR(INDEX('90_SEMA'!$G$7:$H$102,MATCH($F662,'90_SEMA'!$B$7:$B$102,0),NYELV_IDX),""),"")</f>
        <v/>
      </c>
      <c r="H662" s="24"/>
      <c r="I662" s="24"/>
      <c r="J662" s="12"/>
    </row>
    <row r="663" spans="2:10" x14ac:dyDescent="0.3">
      <c r="B663" s="29" t="str">
        <f t="shared" si="10"/>
        <v/>
      </c>
      <c r="C663" s="12"/>
      <c r="D663" s="12"/>
      <c r="E663" s="12"/>
      <c r="F663" s="12"/>
      <c r="G663" s="29" t="str">
        <f>IF(LEN($F663)&gt;0,IFERROR(INDEX('90_SEMA'!$G$7:$H$102,MATCH($F663,'90_SEMA'!$B$7:$B$102,0),NYELV_IDX),""),"")</f>
        <v/>
      </c>
      <c r="H663" s="24"/>
      <c r="I663" s="24"/>
      <c r="J663" s="12"/>
    </row>
    <row r="664" spans="2:10" x14ac:dyDescent="0.3">
      <c r="B664" s="29" t="str">
        <f t="shared" si="10"/>
        <v/>
      </c>
      <c r="C664" s="12"/>
      <c r="D664" s="12"/>
      <c r="E664" s="12"/>
      <c r="F664" s="12"/>
      <c r="G664" s="29" t="str">
        <f>IF(LEN($F664)&gt;0,IFERROR(INDEX('90_SEMA'!$G$7:$H$102,MATCH($F664,'90_SEMA'!$B$7:$B$102,0),NYELV_IDX),""),"")</f>
        <v/>
      </c>
      <c r="H664" s="24"/>
      <c r="I664" s="24"/>
      <c r="J664" s="12"/>
    </row>
    <row r="665" spans="2:10" x14ac:dyDescent="0.3">
      <c r="B665" s="29" t="str">
        <f t="shared" si="10"/>
        <v/>
      </c>
      <c r="C665" s="12"/>
      <c r="D665" s="12"/>
      <c r="E665" s="12"/>
      <c r="F665" s="12"/>
      <c r="G665" s="29" t="str">
        <f>IF(LEN($F665)&gt;0,IFERROR(INDEX('90_SEMA'!$G$7:$H$102,MATCH($F665,'90_SEMA'!$B$7:$B$102,0),NYELV_IDX),""),"")</f>
        <v/>
      </c>
      <c r="H665" s="24"/>
      <c r="I665" s="24"/>
      <c r="J665" s="12"/>
    </row>
    <row r="666" spans="2:10" x14ac:dyDescent="0.3">
      <c r="B666" s="29" t="str">
        <f t="shared" si="10"/>
        <v/>
      </c>
      <c r="C666" s="12"/>
      <c r="D666" s="12"/>
      <c r="E666" s="12"/>
      <c r="F666" s="12"/>
      <c r="G666" s="29" t="str">
        <f>IF(LEN($F666)&gt;0,IFERROR(INDEX('90_SEMA'!$G$7:$H$102,MATCH($F666,'90_SEMA'!$B$7:$B$102,0),NYELV_IDX),""),"")</f>
        <v/>
      </c>
      <c r="H666" s="24"/>
      <c r="I666" s="24"/>
      <c r="J666" s="12"/>
    </row>
    <row r="667" spans="2:10" x14ac:dyDescent="0.3">
      <c r="B667" s="29" t="str">
        <f t="shared" si="10"/>
        <v/>
      </c>
      <c r="C667" s="12"/>
      <c r="D667" s="12"/>
      <c r="E667" s="12"/>
      <c r="F667" s="12"/>
      <c r="G667" s="29" t="str">
        <f>IF(LEN($F667)&gt;0,IFERROR(INDEX('90_SEMA'!$G$7:$H$102,MATCH($F667,'90_SEMA'!$B$7:$B$102,0),NYELV_IDX),""),"")</f>
        <v/>
      </c>
      <c r="H667" s="24"/>
      <c r="I667" s="24"/>
      <c r="J667" s="12"/>
    </row>
    <row r="668" spans="2:10" x14ac:dyDescent="0.3">
      <c r="B668" s="29" t="str">
        <f t="shared" si="10"/>
        <v/>
      </c>
      <c r="C668" s="12"/>
      <c r="D668" s="12"/>
      <c r="E668" s="12"/>
      <c r="F668" s="12"/>
      <c r="G668" s="29" t="str">
        <f>IF(LEN($F668)&gt;0,IFERROR(INDEX('90_SEMA'!$G$7:$H$102,MATCH($F668,'90_SEMA'!$B$7:$B$102,0),NYELV_IDX),""),"")</f>
        <v/>
      </c>
      <c r="H668" s="24"/>
      <c r="I668" s="24"/>
      <c r="J668" s="12"/>
    </row>
    <row r="669" spans="2:10" x14ac:dyDescent="0.3">
      <c r="B669" s="29" t="str">
        <f t="shared" si="10"/>
        <v/>
      </c>
      <c r="C669" s="12"/>
      <c r="D669" s="12"/>
      <c r="E669" s="12"/>
      <c r="F669" s="12"/>
      <c r="G669" s="29" t="str">
        <f>IF(LEN($F669)&gt;0,IFERROR(INDEX('90_SEMA'!$G$7:$H$102,MATCH($F669,'90_SEMA'!$B$7:$B$102,0),NYELV_IDX),""),"")</f>
        <v/>
      </c>
      <c r="H669" s="24"/>
      <c r="I669" s="24"/>
      <c r="J669" s="12"/>
    </row>
    <row r="670" spans="2:10" x14ac:dyDescent="0.3">
      <c r="B670" s="29" t="str">
        <f t="shared" si="10"/>
        <v/>
      </c>
      <c r="C670" s="12"/>
      <c r="D670" s="12"/>
      <c r="E670" s="12"/>
      <c r="F670" s="12"/>
      <c r="G670" s="29" t="str">
        <f>IF(LEN($F670)&gt;0,IFERROR(INDEX('90_SEMA'!$G$7:$H$102,MATCH($F670,'90_SEMA'!$B$7:$B$102,0),NYELV_IDX),""),"")</f>
        <v/>
      </c>
      <c r="H670" s="24"/>
      <c r="I670" s="24"/>
      <c r="J670" s="12"/>
    </row>
    <row r="671" spans="2:10" x14ac:dyDescent="0.3">
      <c r="B671" s="29" t="str">
        <f t="shared" si="10"/>
        <v/>
      </c>
      <c r="C671" s="12"/>
      <c r="D671" s="12"/>
      <c r="E671" s="12"/>
      <c r="F671" s="12"/>
      <c r="G671" s="29" t="str">
        <f>IF(LEN($F671)&gt;0,IFERROR(INDEX('90_SEMA'!$G$7:$H$102,MATCH($F671,'90_SEMA'!$B$7:$B$102,0),NYELV_IDX),""),"")</f>
        <v/>
      </c>
      <c r="H671" s="24"/>
      <c r="I671" s="24"/>
      <c r="J671" s="12"/>
    </row>
    <row r="672" spans="2:10" x14ac:dyDescent="0.3">
      <c r="B672" s="29" t="str">
        <f t="shared" si="10"/>
        <v/>
      </c>
      <c r="C672" s="12"/>
      <c r="D672" s="12"/>
      <c r="E672" s="12"/>
      <c r="F672" s="12"/>
      <c r="G672" s="29" t="str">
        <f>IF(LEN($F672)&gt;0,IFERROR(INDEX('90_SEMA'!$G$7:$H$102,MATCH($F672,'90_SEMA'!$B$7:$B$102,0),NYELV_IDX),""),"")</f>
        <v/>
      </c>
      <c r="H672" s="24"/>
      <c r="I672" s="24"/>
      <c r="J672" s="12"/>
    </row>
    <row r="673" spans="2:10" x14ac:dyDescent="0.3">
      <c r="B673" s="29" t="str">
        <f t="shared" si="10"/>
        <v/>
      </c>
      <c r="C673" s="12"/>
      <c r="D673" s="12"/>
      <c r="E673" s="12"/>
      <c r="F673" s="12"/>
      <c r="G673" s="29" t="str">
        <f>IF(LEN($F673)&gt;0,IFERROR(INDEX('90_SEMA'!$G$7:$H$102,MATCH($F673,'90_SEMA'!$B$7:$B$102,0),NYELV_IDX),""),"")</f>
        <v/>
      </c>
      <c r="H673" s="24"/>
      <c r="I673" s="24"/>
      <c r="J673" s="12"/>
    </row>
    <row r="674" spans="2:10" x14ac:dyDescent="0.3">
      <c r="B674" s="29" t="str">
        <f t="shared" si="10"/>
        <v/>
      </c>
      <c r="C674" s="12"/>
      <c r="D674" s="12"/>
      <c r="E674" s="12"/>
      <c r="F674" s="12"/>
      <c r="G674" s="29" t="str">
        <f>IF(LEN($F674)&gt;0,IFERROR(INDEX('90_SEMA'!$G$7:$H$102,MATCH($F674,'90_SEMA'!$B$7:$B$102,0),NYELV_IDX),""),"")</f>
        <v/>
      </c>
      <c r="H674" s="24"/>
      <c r="I674" s="24"/>
      <c r="J674" s="12"/>
    </row>
    <row r="675" spans="2:10" x14ac:dyDescent="0.3">
      <c r="B675" s="29" t="str">
        <f t="shared" si="10"/>
        <v/>
      </c>
      <c r="C675" s="12"/>
      <c r="D675" s="12"/>
      <c r="E675" s="12"/>
      <c r="F675" s="12"/>
      <c r="G675" s="29" t="str">
        <f>IF(LEN($F675)&gt;0,IFERROR(INDEX('90_SEMA'!$G$7:$H$102,MATCH($F675,'90_SEMA'!$B$7:$B$102,0),NYELV_IDX),""),"")</f>
        <v/>
      </c>
      <c r="H675" s="24"/>
      <c r="I675" s="24"/>
      <c r="J675" s="12"/>
    </row>
    <row r="676" spans="2:10" x14ac:dyDescent="0.3">
      <c r="B676" s="29" t="str">
        <f t="shared" si="10"/>
        <v/>
      </c>
      <c r="C676" s="12"/>
      <c r="D676" s="12"/>
      <c r="E676" s="12"/>
      <c r="F676" s="12"/>
      <c r="G676" s="29" t="str">
        <f>IF(LEN($F676)&gt;0,IFERROR(INDEX('90_SEMA'!$G$7:$H$102,MATCH($F676,'90_SEMA'!$B$7:$B$102,0),NYELV_IDX),""),"")</f>
        <v/>
      </c>
      <c r="H676" s="24"/>
      <c r="I676" s="24"/>
      <c r="J676" s="12"/>
    </row>
    <row r="677" spans="2:10" x14ac:dyDescent="0.3">
      <c r="B677" s="29" t="str">
        <f t="shared" si="10"/>
        <v/>
      </c>
      <c r="C677" s="12"/>
      <c r="D677" s="12"/>
      <c r="E677" s="12"/>
      <c r="F677" s="12"/>
      <c r="G677" s="29" t="str">
        <f>IF(LEN($F677)&gt;0,IFERROR(INDEX('90_SEMA'!$G$7:$H$102,MATCH($F677,'90_SEMA'!$B$7:$B$102,0),NYELV_IDX),""),"")</f>
        <v/>
      </c>
      <c r="H677" s="24"/>
      <c r="I677" s="24"/>
      <c r="J677" s="12"/>
    </row>
    <row r="678" spans="2:10" x14ac:dyDescent="0.3">
      <c r="B678" s="29" t="str">
        <f t="shared" si="10"/>
        <v/>
      </c>
      <c r="C678" s="12"/>
      <c r="D678" s="12"/>
      <c r="E678" s="12"/>
      <c r="F678" s="12"/>
      <c r="G678" s="29" t="str">
        <f>IF(LEN($F678)&gt;0,IFERROR(INDEX('90_SEMA'!$G$7:$H$102,MATCH($F678,'90_SEMA'!$B$7:$B$102,0),NYELV_IDX),""),"")</f>
        <v/>
      </c>
      <c r="H678" s="24"/>
      <c r="I678" s="24"/>
      <c r="J678" s="12"/>
    </row>
    <row r="679" spans="2:10" x14ac:dyDescent="0.3">
      <c r="B679" s="29" t="str">
        <f t="shared" si="10"/>
        <v/>
      </c>
      <c r="C679" s="12"/>
      <c r="D679" s="12"/>
      <c r="E679" s="12"/>
      <c r="F679" s="12"/>
      <c r="G679" s="29" t="str">
        <f>IF(LEN($F679)&gt;0,IFERROR(INDEX('90_SEMA'!$G$7:$H$102,MATCH($F679,'90_SEMA'!$B$7:$B$102,0),NYELV_IDX),""),"")</f>
        <v/>
      </c>
      <c r="H679" s="24"/>
      <c r="I679" s="24"/>
      <c r="J679" s="12"/>
    </row>
    <row r="680" spans="2:10" x14ac:dyDescent="0.3">
      <c r="B680" s="29" t="str">
        <f t="shared" si="10"/>
        <v/>
      </c>
      <c r="C680" s="12"/>
      <c r="D680" s="12"/>
      <c r="E680" s="12"/>
      <c r="F680" s="12"/>
      <c r="G680" s="29" t="str">
        <f>IF(LEN($F680)&gt;0,IFERROR(INDEX('90_SEMA'!$G$7:$H$102,MATCH($F680,'90_SEMA'!$B$7:$B$102,0),NYELV_IDX),""),"")</f>
        <v/>
      </c>
      <c r="H680" s="24"/>
      <c r="I680" s="24"/>
      <c r="J680" s="12"/>
    </row>
    <row r="681" spans="2:10" x14ac:dyDescent="0.3">
      <c r="B681" s="29" t="str">
        <f t="shared" si="10"/>
        <v/>
      </c>
      <c r="C681" s="12"/>
      <c r="D681" s="12"/>
      <c r="E681" s="12"/>
      <c r="F681" s="12"/>
      <c r="G681" s="29" t="str">
        <f>IF(LEN($F681)&gt;0,IFERROR(INDEX('90_SEMA'!$G$7:$H$102,MATCH($F681,'90_SEMA'!$B$7:$B$102,0),NYELV_IDX),""),"")</f>
        <v/>
      </c>
      <c r="H681" s="24"/>
      <c r="I681" s="24"/>
      <c r="J681" s="12"/>
    </row>
    <row r="682" spans="2:10" x14ac:dyDescent="0.3">
      <c r="B682" s="29" t="str">
        <f t="shared" si="10"/>
        <v/>
      </c>
      <c r="C682" s="12"/>
      <c r="D682" s="12"/>
      <c r="E682" s="12"/>
      <c r="F682" s="12"/>
      <c r="G682" s="29" t="str">
        <f>IF(LEN($F682)&gt;0,IFERROR(INDEX('90_SEMA'!$G$7:$H$102,MATCH($F682,'90_SEMA'!$B$7:$B$102,0),NYELV_IDX),""),"")</f>
        <v/>
      </c>
      <c r="H682" s="24"/>
      <c r="I682" s="24"/>
      <c r="J682" s="12"/>
    </row>
    <row r="683" spans="2:10" x14ac:dyDescent="0.3">
      <c r="B683" s="29" t="str">
        <f t="shared" si="10"/>
        <v/>
      </c>
      <c r="C683" s="12"/>
      <c r="D683" s="12"/>
      <c r="E683" s="12"/>
      <c r="F683" s="12"/>
      <c r="G683" s="29" t="str">
        <f>IF(LEN($F683)&gt;0,IFERROR(INDEX('90_SEMA'!$G$7:$H$102,MATCH($F683,'90_SEMA'!$B$7:$B$102,0),NYELV_IDX),""),"")</f>
        <v/>
      </c>
      <c r="H683" s="24"/>
      <c r="I683" s="24"/>
      <c r="J683" s="12"/>
    </row>
    <row r="684" spans="2:10" x14ac:dyDescent="0.3">
      <c r="B684" s="29" t="str">
        <f t="shared" si="10"/>
        <v/>
      </c>
      <c r="C684" s="12"/>
      <c r="D684" s="12"/>
      <c r="E684" s="12"/>
      <c r="F684" s="12"/>
      <c r="G684" s="29" t="str">
        <f>IF(LEN($F684)&gt;0,IFERROR(INDEX('90_SEMA'!$G$7:$H$102,MATCH($F684,'90_SEMA'!$B$7:$B$102,0),NYELV_IDX),""),"")</f>
        <v/>
      </c>
      <c r="H684" s="24"/>
      <c r="I684" s="24"/>
      <c r="J684" s="12"/>
    </row>
    <row r="685" spans="2:10" x14ac:dyDescent="0.3">
      <c r="B685" s="29" t="str">
        <f t="shared" si="10"/>
        <v/>
      </c>
      <c r="C685" s="12"/>
      <c r="D685" s="12"/>
      <c r="E685" s="12"/>
      <c r="F685" s="12"/>
      <c r="G685" s="29" t="str">
        <f>IF(LEN($F685)&gt;0,IFERROR(INDEX('90_SEMA'!$G$7:$H$102,MATCH($F685,'90_SEMA'!$B$7:$B$102,0),NYELV_IDX),""),"")</f>
        <v/>
      </c>
      <c r="H685" s="24"/>
      <c r="I685" s="24"/>
      <c r="J685" s="12"/>
    </row>
    <row r="686" spans="2:10" x14ac:dyDescent="0.3">
      <c r="B686" s="29" t="str">
        <f t="shared" si="10"/>
        <v/>
      </c>
      <c r="C686" s="12"/>
      <c r="D686" s="12"/>
      <c r="E686" s="12"/>
      <c r="F686" s="12"/>
      <c r="G686" s="29" t="str">
        <f>IF(LEN($F686)&gt;0,IFERROR(INDEX('90_SEMA'!$G$7:$H$102,MATCH($F686,'90_SEMA'!$B$7:$B$102,0),NYELV_IDX),""),"")</f>
        <v/>
      </c>
      <c r="H686" s="24"/>
      <c r="I686" s="24"/>
      <c r="J686" s="12"/>
    </row>
    <row r="687" spans="2:10" x14ac:dyDescent="0.3">
      <c r="B687" s="29" t="str">
        <f t="shared" si="10"/>
        <v/>
      </c>
      <c r="C687" s="12"/>
      <c r="D687" s="12"/>
      <c r="E687" s="12"/>
      <c r="F687" s="12"/>
      <c r="G687" s="29" t="str">
        <f>IF(LEN($F687)&gt;0,IFERROR(INDEX('90_SEMA'!$G$7:$H$102,MATCH($F687,'90_SEMA'!$B$7:$B$102,0),NYELV_IDX),""),"")</f>
        <v/>
      </c>
      <c r="H687" s="24"/>
      <c r="I687" s="24"/>
      <c r="J687" s="12"/>
    </row>
    <row r="688" spans="2:10" x14ac:dyDescent="0.3">
      <c r="B688" s="29" t="str">
        <f t="shared" si="10"/>
        <v/>
      </c>
      <c r="C688" s="12"/>
      <c r="D688" s="12"/>
      <c r="E688" s="12"/>
      <c r="F688" s="12"/>
      <c r="G688" s="29" t="str">
        <f>IF(LEN($F688)&gt;0,IFERROR(INDEX('90_SEMA'!$G$7:$H$102,MATCH($F688,'90_SEMA'!$B$7:$B$102,0),NYELV_IDX),""),"")</f>
        <v/>
      </c>
      <c r="H688" s="24"/>
      <c r="I688" s="24"/>
      <c r="J688" s="12"/>
    </row>
    <row r="689" spans="2:10" x14ac:dyDescent="0.3">
      <c r="B689" s="29" t="str">
        <f t="shared" si="10"/>
        <v/>
      </c>
      <c r="C689" s="12"/>
      <c r="D689" s="12"/>
      <c r="E689" s="12"/>
      <c r="F689" s="12"/>
      <c r="G689" s="29" t="str">
        <f>IF(LEN($F689)&gt;0,IFERROR(INDEX('90_SEMA'!$G$7:$H$102,MATCH($F689,'90_SEMA'!$B$7:$B$102,0),NYELV_IDX),""),"")</f>
        <v/>
      </c>
      <c r="H689" s="24"/>
      <c r="I689" s="24"/>
      <c r="J689" s="12"/>
    </row>
    <row r="690" spans="2:10" x14ac:dyDescent="0.3">
      <c r="B690" s="29" t="str">
        <f t="shared" si="10"/>
        <v/>
      </c>
      <c r="C690" s="12"/>
      <c r="D690" s="12"/>
      <c r="E690" s="12"/>
      <c r="F690" s="12"/>
      <c r="G690" s="29" t="str">
        <f>IF(LEN($F690)&gt;0,IFERROR(INDEX('90_SEMA'!$G$7:$H$102,MATCH($F690,'90_SEMA'!$B$7:$B$102,0),NYELV_IDX),""),"")</f>
        <v/>
      </c>
      <c r="H690" s="24"/>
      <c r="I690" s="24"/>
      <c r="J690" s="12"/>
    </row>
    <row r="691" spans="2:10" x14ac:dyDescent="0.3">
      <c r="B691" s="29" t="str">
        <f t="shared" si="10"/>
        <v/>
      </c>
      <c r="C691" s="12"/>
      <c r="D691" s="12"/>
      <c r="E691" s="12"/>
      <c r="F691" s="12"/>
      <c r="G691" s="29" t="str">
        <f>IF(LEN($F691)&gt;0,IFERROR(INDEX('90_SEMA'!$G$7:$H$102,MATCH($F691,'90_SEMA'!$B$7:$B$102,0),NYELV_IDX),""),"")</f>
        <v/>
      </c>
      <c r="H691" s="24"/>
      <c r="I691" s="24"/>
      <c r="J691" s="12"/>
    </row>
    <row r="692" spans="2:10" x14ac:dyDescent="0.3">
      <c r="B692" s="29" t="str">
        <f t="shared" si="10"/>
        <v/>
      </c>
      <c r="C692" s="12"/>
      <c r="D692" s="12"/>
      <c r="E692" s="12"/>
      <c r="F692" s="12"/>
      <c r="G692" s="29" t="str">
        <f>IF(LEN($F692)&gt;0,IFERROR(INDEX('90_SEMA'!$G$7:$H$102,MATCH($F692,'90_SEMA'!$B$7:$B$102,0),NYELV_IDX),""),"")</f>
        <v/>
      </c>
      <c r="H692" s="24"/>
      <c r="I692" s="24"/>
      <c r="J692" s="12"/>
    </row>
    <row r="693" spans="2:10" x14ac:dyDescent="0.3">
      <c r="B693" s="29" t="str">
        <f t="shared" si="10"/>
        <v/>
      </c>
      <c r="C693" s="12"/>
      <c r="D693" s="12"/>
      <c r="E693" s="12"/>
      <c r="F693" s="12"/>
      <c r="G693" s="29" t="str">
        <f>IF(LEN($F693)&gt;0,IFERROR(INDEX('90_SEMA'!$G$7:$H$102,MATCH($F693,'90_SEMA'!$B$7:$B$102,0),NYELV_IDX),""),"")</f>
        <v/>
      </c>
      <c r="H693" s="24"/>
      <c r="I693" s="24"/>
      <c r="J693" s="12"/>
    </row>
    <row r="694" spans="2:10" x14ac:dyDescent="0.3">
      <c r="B694" s="29" t="str">
        <f t="shared" si="10"/>
        <v/>
      </c>
      <c r="C694" s="12"/>
      <c r="D694" s="12"/>
      <c r="E694" s="12"/>
      <c r="F694" s="12"/>
      <c r="G694" s="29" t="str">
        <f>IF(LEN($F694)&gt;0,IFERROR(INDEX('90_SEMA'!$G$7:$H$102,MATCH($F694,'90_SEMA'!$B$7:$B$102,0),NYELV_IDX),""),"")</f>
        <v/>
      </c>
      <c r="H694" s="24"/>
      <c r="I694" s="24"/>
      <c r="J694" s="12"/>
    </row>
    <row r="695" spans="2:10" x14ac:dyDescent="0.3">
      <c r="B695" s="29" t="str">
        <f t="shared" si="10"/>
        <v/>
      </c>
      <c r="C695" s="12"/>
      <c r="D695" s="12"/>
      <c r="E695" s="12"/>
      <c r="F695" s="12"/>
      <c r="G695" s="29" t="str">
        <f>IF(LEN($F695)&gt;0,IFERROR(INDEX('90_SEMA'!$G$7:$H$102,MATCH($F695,'90_SEMA'!$B$7:$B$102,0),NYELV_IDX),""),"")</f>
        <v/>
      </c>
      <c r="H695" s="24"/>
      <c r="I695" s="24"/>
      <c r="J695" s="12"/>
    </row>
    <row r="696" spans="2:10" x14ac:dyDescent="0.3">
      <c r="B696" s="29" t="str">
        <f t="shared" si="10"/>
        <v/>
      </c>
      <c r="C696" s="12"/>
      <c r="D696" s="12"/>
      <c r="E696" s="12"/>
      <c r="F696" s="12"/>
      <c r="G696" s="29" t="str">
        <f>IF(LEN($F696)&gt;0,IFERROR(INDEX('90_SEMA'!$G$7:$H$102,MATCH($F696,'90_SEMA'!$B$7:$B$102,0),NYELV_IDX),""),"")</f>
        <v/>
      </c>
      <c r="H696" s="24"/>
      <c r="I696" s="24"/>
      <c r="J696" s="12"/>
    </row>
    <row r="697" spans="2:10" x14ac:dyDescent="0.3">
      <c r="B697" s="29" t="str">
        <f t="shared" si="10"/>
        <v/>
      </c>
      <c r="C697" s="12"/>
      <c r="D697" s="12"/>
      <c r="E697" s="12"/>
      <c r="F697" s="12"/>
      <c r="G697" s="29" t="str">
        <f>IF(LEN($F697)&gt;0,IFERROR(INDEX('90_SEMA'!$G$7:$H$102,MATCH($F697,'90_SEMA'!$B$7:$B$102,0),NYELV_IDX),""),"")</f>
        <v/>
      </c>
      <c r="H697" s="24"/>
      <c r="I697" s="24"/>
      <c r="J697" s="12"/>
    </row>
    <row r="698" spans="2:10" x14ac:dyDescent="0.3">
      <c r="B698" s="29" t="str">
        <f t="shared" si="10"/>
        <v/>
      </c>
      <c r="C698" s="12"/>
      <c r="D698" s="12"/>
      <c r="E698" s="12"/>
      <c r="F698" s="12"/>
      <c r="G698" s="29" t="str">
        <f>IF(LEN($F698)&gt;0,IFERROR(INDEX('90_SEMA'!$G$7:$H$102,MATCH($F698,'90_SEMA'!$B$7:$B$102,0),NYELV_IDX),""),"")</f>
        <v/>
      </c>
      <c r="H698" s="24"/>
      <c r="I698" s="24"/>
      <c r="J698" s="12"/>
    </row>
    <row r="699" spans="2:10" x14ac:dyDescent="0.3">
      <c r="B699" s="29" t="str">
        <f t="shared" si="10"/>
        <v/>
      </c>
      <c r="C699" s="12"/>
      <c r="D699" s="12"/>
      <c r="E699" s="12"/>
      <c r="F699" s="12"/>
      <c r="G699" s="29" t="str">
        <f>IF(LEN($F699)&gt;0,IFERROR(INDEX('90_SEMA'!$G$7:$H$102,MATCH($F699,'90_SEMA'!$B$7:$B$102,0),NYELV_IDX),""),"")</f>
        <v/>
      </c>
      <c r="H699" s="24"/>
      <c r="I699" s="24"/>
      <c r="J699" s="12"/>
    </row>
    <row r="700" spans="2:10" x14ac:dyDescent="0.3">
      <c r="B700" s="29" t="str">
        <f t="shared" si="10"/>
        <v/>
      </c>
      <c r="C700" s="12"/>
      <c r="D700" s="12"/>
      <c r="E700" s="12"/>
      <c r="F700" s="12"/>
      <c r="G700" s="29" t="str">
        <f>IF(LEN($F700)&gt;0,IFERROR(INDEX('90_SEMA'!$G$7:$H$102,MATCH($F700,'90_SEMA'!$B$7:$B$102,0),NYELV_IDX),""),"")</f>
        <v/>
      </c>
      <c r="H700" s="24"/>
      <c r="I700" s="24"/>
      <c r="J700" s="12"/>
    </row>
    <row r="701" spans="2:10" x14ac:dyDescent="0.3">
      <c r="B701" s="29" t="str">
        <f t="shared" si="10"/>
        <v/>
      </c>
      <c r="C701" s="12"/>
      <c r="D701" s="12"/>
      <c r="E701" s="12"/>
      <c r="F701" s="12"/>
      <c r="G701" s="29" t="str">
        <f>IF(LEN($F701)&gt;0,IFERROR(INDEX('90_SEMA'!$G$7:$H$102,MATCH($F701,'90_SEMA'!$B$7:$B$102,0),NYELV_IDX),""),"")</f>
        <v/>
      </c>
      <c r="H701" s="24"/>
      <c r="I701" s="24"/>
      <c r="J701" s="12"/>
    </row>
    <row r="702" spans="2:10" x14ac:dyDescent="0.3">
      <c r="B702" s="29" t="str">
        <f t="shared" si="10"/>
        <v/>
      </c>
      <c r="C702" s="12"/>
      <c r="D702" s="12"/>
      <c r="E702" s="12"/>
      <c r="F702" s="12"/>
      <c r="G702" s="29" t="str">
        <f>IF(LEN($F702)&gt;0,IFERROR(INDEX('90_SEMA'!$G$7:$H$102,MATCH($F702,'90_SEMA'!$B$7:$B$102,0),NYELV_IDX),""),"")</f>
        <v/>
      </c>
      <c r="H702" s="24"/>
      <c r="I702" s="24"/>
      <c r="J702" s="12"/>
    </row>
    <row r="703" spans="2:10" x14ac:dyDescent="0.3">
      <c r="B703" s="29" t="str">
        <f t="shared" si="10"/>
        <v/>
      </c>
      <c r="C703" s="12"/>
      <c r="D703" s="12"/>
      <c r="E703" s="12"/>
      <c r="F703" s="12"/>
      <c r="G703" s="29" t="str">
        <f>IF(LEN($F703)&gt;0,IFERROR(INDEX('90_SEMA'!$G$7:$H$102,MATCH($F703,'90_SEMA'!$B$7:$B$102,0),NYELV_IDX),""),"")</f>
        <v/>
      </c>
      <c r="H703" s="24"/>
      <c r="I703" s="24"/>
      <c r="J703" s="12"/>
    </row>
    <row r="704" spans="2:10" x14ac:dyDescent="0.3">
      <c r="B704" s="29" t="str">
        <f t="shared" si="10"/>
        <v/>
      </c>
      <c r="C704" s="12"/>
      <c r="D704" s="12"/>
      <c r="E704" s="12"/>
      <c r="F704" s="12"/>
      <c r="G704" s="29" t="str">
        <f>IF(LEN($F704)&gt;0,IFERROR(INDEX('90_SEMA'!$G$7:$H$102,MATCH($F704,'90_SEMA'!$B$7:$B$102,0),NYELV_IDX),""),"")</f>
        <v/>
      </c>
      <c r="H704" s="24"/>
      <c r="I704" s="24"/>
      <c r="J704" s="12"/>
    </row>
    <row r="705" spans="2:10" x14ac:dyDescent="0.3">
      <c r="B705" s="29" t="str">
        <f t="shared" si="10"/>
        <v/>
      </c>
      <c r="C705" s="12"/>
      <c r="D705" s="12"/>
      <c r="E705" s="12"/>
      <c r="F705" s="12"/>
      <c r="G705" s="29" t="str">
        <f>IF(LEN($F705)&gt;0,IFERROR(INDEX('90_SEMA'!$G$7:$H$102,MATCH($F705,'90_SEMA'!$B$7:$B$102,0),NYELV_IDX),""),"")</f>
        <v/>
      </c>
      <c r="H705" s="24"/>
      <c r="I705" s="24"/>
      <c r="J705" s="12"/>
    </row>
    <row r="706" spans="2:10" x14ac:dyDescent="0.3">
      <c r="B706" s="29" t="str">
        <f t="shared" si="10"/>
        <v/>
      </c>
      <c r="C706" s="12"/>
      <c r="D706" s="12"/>
      <c r="E706" s="12"/>
      <c r="F706" s="12"/>
      <c r="G706" s="29" t="str">
        <f>IF(LEN($F706)&gt;0,IFERROR(INDEX('90_SEMA'!$G$7:$H$102,MATCH($F706,'90_SEMA'!$B$7:$B$102,0),NYELV_IDX),""),"")</f>
        <v/>
      </c>
      <c r="H706" s="24"/>
      <c r="I706" s="24"/>
      <c r="J706" s="12"/>
    </row>
    <row r="707" spans="2:10" x14ac:dyDescent="0.3">
      <c r="B707" s="29" t="str">
        <f t="shared" si="10"/>
        <v/>
      </c>
      <c r="C707" s="12"/>
      <c r="D707" s="12"/>
      <c r="E707" s="12"/>
      <c r="F707" s="12"/>
      <c r="G707" s="29" t="str">
        <f>IF(LEN($F707)&gt;0,IFERROR(INDEX('90_SEMA'!$G$7:$H$102,MATCH($F707,'90_SEMA'!$B$7:$B$102,0),NYELV_IDX),""),"")</f>
        <v/>
      </c>
      <c r="H707" s="24"/>
      <c r="I707" s="24"/>
      <c r="J707" s="12"/>
    </row>
    <row r="708" spans="2:10" x14ac:dyDescent="0.3">
      <c r="B708" s="29" t="str">
        <f t="shared" si="10"/>
        <v/>
      </c>
      <c r="C708" s="12"/>
      <c r="D708" s="12"/>
      <c r="E708" s="12"/>
      <c r="F708" s="12"/>
      <c r="G708" s="29" t="str">
        <f>IF(LEN($F708)&gt;0,IFERROR(INDEX('90_SEMA'!$G$7:$H$102,MATCH($F708,'90_SEMA'!$B$7:$B$102,0),NYELV_IDX),""),"")</f>
        <v/>
      </c>
      <c r="H708" s="24"/>
      <c r="I708" s="24"/>
      <c r="J708" s="12"/>
    </row>
    <row r="709" spans="2:10" x14ac:dyDescent="0.3">
      <c r="B709" s="29" t="str">
        <f t="shared" si="10"/>
        <v/>
      </c>
      <c r="C709" s="12"/>
      <c r="D709" s="12"/>
      <c r="E709" s="12"/>
      <c r="F709" s="12"/>
      <c r="G709" s="29" t="str">
        <f>IF(LEN($F709)&gt;0,IFERROR(INDEX('90_SEMA'!$G$7:$H$102,MATCH($F709,'90_SEMA'!$B$7:$B$102,0),NYELV_IDX),""),"")</f>
        <v/>
      </c>
      <c r="H709" s="24"/>
      <c r="I709" s="24"/>
      <c r="J709" s="12"/>
    </row>
    <row r="710" spans="2:10" x14ac:dyDescent="0.3">
      <c r="B710" s="29" t="str">
        <f t="shared" si="10"/>
        <v/>
      </c>
      <c r="C710" s="12"/>
      <c r="D710" s="12"/>
      <c r="E710" s="12"/>
      <c r="F710" s="12"/>
      <c r="G710" s="29" t="str">
        <f>IF(LEN($F710)&gt;0,IFERROR(INDEX('90_SEMA'!$G$7:$H$102,MATCH($F710,'90_SEMA'!$B$7:$B$102,0),NYELV_IDX),""),"")</f>
        <v/>
      </c>
      <c r="H710" s="24"/>
      <c r="I710" s="24"/>
      <c r="J710" s="12"/>
    </row>
    <row r="711" spans="2:10" x14ac:dyDescent="0.3">
      <c r="B711" s="29" t="str">
        <f t="shared" ref="B711:B774" si="11">IF(LEN($F711)&gt;0,ROW()-6,"")</f>
        <v/>
      </c>
      <c r="C711" s="12"/>
      <c r="D711" s="12"/>
      <c r="E711" s="12"/>
      <c r="F711" s="12"/>
      <c r="G711" s="29" t="str">
        <f>IF(LEN($F711)&gt;0,IFERROR(INDEX('90_SEMA'!$G$7:$H$102,MATCH($F711,'90_SEMA'!$B$7:$B$102,0),NYELV_IDX),""),"")</f>
        <v/>
      </c>
      <c r="H711" s="24"/>
      <c r="I711" s="24"/>
      <c r="J711" s="12"/>
    </row>
    <row r="712" spans="2:10" x14ac:dyDescent="0.3">
      <c r="B712" s="29" t="str">
        <f t="shared" si="11"/>
        <v/>
      </c>
      <c r="C712" s="12"/>
      <c r="D712" s="12"/>
      <c r="E712" s="12"/>
      <c r="F712" s="12"/>
      <c r="G712" s="29" t="str">
        <f>IF(LEN($F712)&gt;0,IFERROR(INDEX('90_SEMA'!$G$7:$H$102,MATCH($F712,'90_SEMA'!$B$7:$B$102,0),NYELV_IDX),""),"")</f>
        <v/>
      </c>
      <c r="H712" s="24"/>
      <c r="I712" s="24"/>
      <c r="J712" s="12"/>
    </row>
    <row r="713" spans="2:10" x14ac:dyDescent="0.3">
      <c r="B713" s="29" t="str">
        <f t="shared" si="11"/>
        <v/>
      </c>
      <c r="C713" s="12"/>
      <c r="D713" s="12"/>
      <c r="E713" s="12"/>
      <c r="F713" s="12"/>
      <c r="G713" s="29" t="str">
        <f>IF(LEN($F713)&gt;0,IFERROR(INDEX('90_SEMA'!$G$7:$H$102,MATCH($F713,'90_SEMA'!$B$7:$B$102,0),NYELV_IDX),""),"")</f>
        <v/>
      </c>
      <c r="H713" s="24"/>
      <c r="I713" s="24"/>
      <c r="J713" s="12"/>
    </row>
    <row r="714" spans="2:10" x14ac:dyDescent="0.3">
      <c r="B714" s="29" t="str">
        <f t="shared" si="11"/>
        <v/>
      </c>
      <c r="C714" s="12"/>
      <c r="D714" s="12"/>
      <c r="E714" s="12"/>
      <c r="F714" s="12"/>
      <c r="G714" s="29" t="str">
        <f>IF(LEN($F714)&gt;0,IFERROR(INDEX('90_SEMA'!$G$7:$H$102,MATCH($F714,'90_SEMA'!$B$7:$B$102,0),NYELV_IDX),""),"")</f>
        <v/>
      </c>
      <c r="H714" s="24"/>
      <c r="I714" s="24"/>
      <c r="J714" s="12"/>
    </row>
    <row r="715" spans="2:10" x14ac:dyDescent="0.3">
      <c r="B715" s="29" t="str">
        <f t="shared" si="11"/>
        <v/>
      </c>
      <c r="C715" s="12"/>
      <c r="D715" s="12"/>
      <c r="E715" s="12"/>
      <c r="F715" s="12"/>
      <c r="G715" s="29" t="str">
        <f>IF(LEN($F715)&gt;0,IFERROR(INDEX('90_SEMA'!$G$7:$H$102,MATCH($F715,'90_SEMA'!$B$7:$B$102,0),NYELV_IDX),""),"")</f>
        <v/>
      </c>
      <c r="H715" s="24"/>
      <c r="I715" s="24"/>
      <c r="J715" s="12"/>
    </row>
    <row r="716" spans="2:10" x14ac:dyDescent="0.3">
      <c r="B716" s="29" t="str">
        <f t="shared" si="11"/>
        <v/>
      </c>
      <c r="C716" s="12"/>
      <c r="D716" s="12"/>
      <c r="E716" s="12"/>
      <c r="F716" s="12"/>
      <c r="G716" s="29" t="str">
        <f>IF(LEN($F716)&gt;0,IFERROR(INDEX('90_SEMA'!$G$7:$H$102,MATCH($F716,'90_SEMA'!$B$7:$B$102,0),NYELV_IDX),""),"")</f>
        <v/>
      </c>
      <c r="H716" s="24"/>
      <c r="I716" s="24"/>
      <c r="J716" s="12"/>
    </row>
    <row r="717" spans="2:10" x14ac:dyDescent="0.3">
      <c r="B717" s="29" t="str">
        <f t="shared" si="11"/>
        <v/>
      </c>
      <c r="C717" s="12"/>
      <c r="D717" s="12"/>
      <c r="E717" s="12"/>
      <c r="F717" s="12"/>
      <c r="G717" s="29" t="str">
        <f>IF(LEN($F717)&gt;0,IFERROR(INDEX('90_SEMA'!$G$7:$H$102,MATCH($F717,'90_SEMA'!$B$7:$B$102,0),NYELV_IDX),""),"")</f>
        <v/>
      </c>
      <c r="H717" s="24"/>
      <c r="I717" s="24"/>
      <c r="J717" s="12"/>
    </row>
    <row r="718" spans="2:10" x14ac:dyDescent="0.3">
      <c r="B718" s="29" t="str">
        <f t="shared" si="11"/>
        <v/>
      </c>
      <c r="C718" s="12"/>
      <c r="D718" s="12"/>
      <c r="E718" s="12"/>
      <c r="F718" s="12"/>
      <c r="G718" s="29" t="str">
        <f>IF(LEN($F718)&gt;0,IFERROR(INDEX('90_SEMA'!$G$7:$H$102,MATCH($F718,'90_SEMA'!$B$7:$B$102,0),NYELV_IDX),""),"")</f>
        <v/>
      </c>
      <c r="H718" s="24"/>
      <c r="I718" s="24"/>
      <c r="J718" s="12"/>
    </row>
    <row r="719" spans="2:10" x14ac:dyDescent="0.3">
      <c r="B719" s="29" t="str">
        <f t="shared" si="11"/>
        <v/>
      </c>
      <c r="C719" s="12"/>
      <c r="D719" s="12"/>
      <c r="E719" s="12"/>
      <c r="F719" s="12"/>
      <c r="G719" s="29" t="str">
        <f>IF(LEN($F719)&gt;0,IFERROR(INDEX('90_SEMA'!$G$7:$H$102,MATCH($F719,'90_SEMA'!$B$7:$B$102,0),NYELV_IDX),""),"")</f>
        <v/>
      </c>
      <c r="H719" s="24"/>
      <c r="I719" s="24"/>
      <c r="J719" s="12"/>
    </row>
    <row r="720" spans="2:10" x14ac:dyDescent="0.3">
      <c r="B720" s="29" t="str">
        <f t="shared" si="11"/>
        <v/>
      </c>
      <c r="C720" s="12"/>
      <c r="D720" s="12"/>
      <c r="E720" s="12"/>
      <c r="F720" s="12"/>
      <c r="G720" s="29" t="str">
        <f>IF(LEN($F720)&gt;0,IFERROR(INDEX('90_SEMA'!$G$7:$H$102,MATCH($F720,'90_SEMA'!$B$7:$B$102,0),NYELV_IDX),""),"")</f>
        <v/>
      </c>
      <c r="H720" s="24"/>
      <c r="I720" s="24"/>
      <c r="J720" s="12"/>
    </row>
    <row r="721" spans="2:10" x14ac:dyDescent="0.3">
      <c r="B721" s="29" t="str">
        <f t="shared" si="11"/>
        <v/>
      </c>
      <c r="C721" s="12"/>
      <c r="D721" s="12"/>
      <c r="E721" s="12"/>
      <c r="F721" s="12"/>
      <c r="G721" s="29" t="str">
        <f>IF(LEN($F721)&gt;0,IFERROR(INDEX('90_SEMA'!$G$7:$H$102,MATCH($F721,'90_SEMA'!$B$7:$B$102,0),NYELV_IDX),""),"")</f>
        <v/>
      </c>
      <c r="H721" s="24"/>
      <c r="I721" s="24"/>
      <c r="J721" s="12"/>
    </row>
    <row r="722" spans="2:10" x14ac:dyDescent="0.3">
      <c r="B722" s="29" t="str">
        <f t="shared" si="11"/>
        <v/>
      </c>
      <c r="C722" s="12"/>
      <c r="D722" s="12"/>
      <c r="E722" s="12"/>
      <c r="F722" s="12"/>
      <c r="G722" s="29" t="str">
        <f>IF(LEN($F722)&gt;0,IFERROR(INDEX('90_SEMA'!$G$7:$H$102,MATCH($F722,'90_SEMA'!$B$7:$B$102,0),NYELV_IDX),""),"")</f>
        <v/>
      </c>
      <c r="H722" s="24"/>
      <c r="I722" s="24"/>
      <c r="J722" s="12"/>
    </row>
    <row r="723" spans="2:10" x14ac:dyDescent="0.3">
      <c r="B723" s="29" t="str">
        <f t="shared" si="11"/>
        <v/>
      </c>
      <c r="C723" s="12"/>
      <c r="D723" s="12"/>
      <c r="E723" s="12"/>
      <c r="F723" s="12"/>
      <c r="G723" s="29" t="str">
        <f>IF(LEN($F723)&gt;0,IFERROR(INDEX('90_SEMA'!$G$7:$H$102,MATCH($F723,'90_SEMA'!$B$7:$B$102,0),NYELV_IDX),""),"")</f>
        <v/>
      </c>
      <c r="H723" s="24"/>
      <c r="I723" s="24"/>
      <c r="J723" s="12"/>
    </row>
    <row r="724" spans="2:10" x14ac:dyDescent="0.3">
      <c r="B724" s="29" t="str">
        <f t="shared" si="11"/>
        <v/>
      </c>
      <c r="C724" s="12"/>
      <c r="D724" s="12"/>
      <c r="E724" s="12"/>
      <c r="F724" s="12"/>
      <c r="G724" s="29" t="str">
        <f>IF(LEN($F724)&gt;0,IFERROR(INDEX('90_SEMA'!$G$7:$H$102,MATCH($F724,'90_SEMA'!$B$7:$B$102,0),NYELV_IDX),""),"")</f>
        <v/>
      </c>
      <c r="H724" s="24"/>
      <c r="I724" s="24"/>
      <c r="J724" s="12"/>
    </row>
    <row r="725" spans="2:10" x14ac:dyDescent="0.3">
      <c r="B725" s="29" t="str">
        <f t="shared" si="11"/>
        <v/>
      </c>
      <c r="C725" s="12"/>
      <c r="D725" s="12"/>
      <c r="E725" s="12"/>
      <c r="F725" s="12"/>
      <c r="G725" s="29" t="str">
        <f>IF(LEN($F725)&gt;0,IFERROR(INDEX('90_SEMA'!$G$7:$H$102,MATCH($F725,'90_SEMA'!$B$7:$B$102,0),NYELV_IDX),""),"")</f>
        <v/>
      </c>
      <c r="H725" s="24"/>
      <c r="I725" s="24"/>
      <c r="J725" s="12"/>
    </row>
    <row r="726" spans="2:10" x14ac:dyDescent="0.3">
      <c r="B726" s="29" t="str">
        <f t="shared" si="11"/>
        <v/>
      </c>
      <c r="C726" s="12"/>
      <c r="D726" s="12"/>
      <c r="E726" s="12"/>
      <c r="F726" s="12"/>
      <c r="G726" s="29" t="str">
        <f>IF(LEN($F726)&gt;0,IFERROR(INDEX('90_SEMA'!$G$7:$H$102,MATCH($F726,'90_SEMA'!$B$7:$B$102,0),NYELV_IDX),""),"")</f>
        <v/>
      </c>
      <c r="H726" s="24"/>
      <c r="I726" s="24"/>
      <c r="J726" s="12"/>
    </row>
    <row r="727" spans="2:10" x14ac:dyDescent="0.3">
      <c r="B727" s="29" t="str">
        <f t="shared" si="11"/>
        <v/>
      </c>
      <c r="C727" s="12"/>
      <c r="D727" s="12"/>
      <c r="E727" s="12"/>
      <c r="F727" s="12"/>
      <c r="G727" s="29" t="str">
        <f>IF(LEN($F727)&gt;0,IFERROR(INDEX('90_SEMA'!$G$7:$H$102,MATCH($F727,'90_SEMA'!$B$7:$B$102,0),NYELV_IDX),""),"")</f>
        <v/>
      </c>
      <c r="H727" s="24"/>
      <c r="I727" s="24"/>
      <c r="J727" s="12"/>
    </row>
    <row r="728" spans="2:10" x14ac:dyDescent="0.3">
      <c r="B728" s="29" t="str">
        <f t="shared" si="11"/>
        <v/>
      </c>
      <c r="C728" s="12"/>
      <c r="D728" s="12"/>
      <c r="E728" s="12"/>
      <c r="F728" s="12"/>
      <c r="G728" s="29" t="str">
        <f>IF(LEN($F728)&gt;0,IFERROR(INDEX('90_SEMA'!$G$7:$H$102,MATCH($F728,'90_SEMA'!$B$7:$B$102,0),NYELV_IDX),""),"")</f>
        <v/>
      </c>
      <c r="H728" s="24"/>
      <c r="I728" s="24"/>
      <c r="J728" s="12"/>
    </row>
    <row r="729" spans="2:10" x14ac:dyDescent="0.3">
      <c r="B729" s="29" t="str">
        <f t="shared" si="11"/>
        <v/>
      </c>
      <c r="C729" s="12"/>
      <c r="D729" s="12"/>
      <c r="E729" s="12"/>
      <c r="F729" s="12"/>
      <c r="G729" s="29" t="str">
        <f>IF(LEN($F729)&gt;0,IFERROR(INDEX('90_SEMA'!$G$7:$H$102,MATCH($F729,'90_SEMA'!$B$7:$B$102,0),NYELV_IDX),""),"")</f>
        <v/>
      </c>
      <c r="H729" s="24"/>
      <c r="I729" s="24"/>
      <c r="J729" s="12"/>
    </row>
    <row r="730" spans="2:10" x14ac:dyDescent="0.3">
      <c r="B730" s="29" t="str">
        <f t="shared" si="11"/>
        <v/>
      </c>
      <c r="C730" s="12"/>
      <c r="D730" s="12"/>
      <c r="E730" s="12"/>
      <c r="F730" s="12"/>
      <c r="G730" s="29" t="str">
        <f>IF(LEN($F730)&gt;0,IFERROR(INDEX('90_SEMA'!$G$7:$H$102,MATCH($F730,'90_SEMA'!$B$7:$B$102,0),NYELV_IDX),""),"")</f>
        <v/>
      </c>
      <c r="H730" s="24"/>
      <c r="I730" s="24"/>
      <c r="J730" s="12"/>
    </row>
    <row r="731" spans="2:10" x14ac:dyDescent="0.3">
      <c r="B731" s="29" t="str">
        <f t="shared" si="11"/>
        <v/>
      </c>
      <c r="C731" s="12"/>
      <c r="D731" s="12"/>
      <c r="E731" s="12"/>
      <c r="F731" s="12"/>
      <c r="G731" s="29" t="str">
        <f>IF(LEN($F731)&gt;0,IFERROR(INDEX('90_SEMA'!$G$7:$H$102,MATCH($F731,'90_SEMA'!$B$7:$B$102,0),NYELV_IDX),""),"")</f>
        <v/>
      </c>
      <c r="H731" s="24"/>
      <c r="I731" s="24"/>
      <c r="J731" s="12"/>
    </row>
    <row r="732" spans="2:10" x14ac:dyDescent="0.3">
      <c r="B732" s="29" t="str">
        <f t="shared" si="11"/>
        <v/>
      </c>
      <c r="C732" s="12"/>
      <c r="D732" s="12"/>
      <c r="E732" s="12"/>
      <c r="F732" s="12"/>
      <c r="G732" s="29" t="str">
        <f>IF(LEN($F732)&gt;0,IFERROR(INDEX('90_SEMA'!$G$7:$H$102,MATCH($F732,'90_SEMA'!$B$7:$B$102,0),NYELV_IDX),""),"")</f>
        <v/>
      </c>
      <c r="H732" s="24"/>
      <c r="I732" s="24"/>
      <c r="J732" s="12"/>
    </row>
    <row r="733" spans="2:10" x14ac:dyDescent="0.3">
      <c r="B733" s="29" t="str">
        <f t="shared" si="11"/>
        <v/>
      </c>
      <c r="C733" s="12"/>
      <c r="D733" s="12"/>
      <c r="E733" s="12"/>
      <c r="F733" s="12"/>
      <c r="G733" s="29" t="str">
        <f>IF(LEN($F733)&gt;0,IFERROR(INDEX('90_SEMA'!$G$7:$H$102,MATCH($F733,'90_SEMA'!$B$7:$B$102,0),NYELV_IDX),""),"")</f>
        <v/>
      </c>
      <c r="H733" s="24"/>
      <c r="I733" s="24"/>
      <c r="J733" s="12"/>
    </row>
    <row r="734" spans="2:10" x14ac:dyDescent="0.3">
      <c r="B734" s="29" t="str">
        <f t="shared" si="11"/>
        <v/>
      </c>
      <c r="C734" s="12"/>
      <c r="D734" s="12"/>
      <c r="E734" s="12"/>
      <c r="F734" s="12"/>
      <c r="G734" s="29" t="str">
        <f>IF(LEN($F734)&gt;0,IFERROR(INDEX('90_SEMA'!$G$7:$H$102,MATCH($F734,'90_SEMA'!$B$7:$B$102,0),NYELV_IDX),""),"")</f>
        <v/>
      </c>
      <c r="H734" s="24"/>
      <c r="I734" s="24"/>
      <c r="J734" s="12"/>
    </row>
    <row r="735" spans="2:10" x14ac:dyDescent="0.3">
      <c r="B735" s="29" t="str">
        <f t="shared" si="11"/>
        <v/>
      </c>
      <c r="C735" s="12"/>
      <c r="D735" s="12"/>
      <c r="E735" s="12"/>
      <c r="F735" s="12"/>
      <c r="G735" s="29" t="str">
        <f>IF(LEN($F735)&gt;0,IFERROR(INDEX('90_SEMA'!$G$7:$H$102,MATCH($F735,'90_SEMA'!$B$7:$B$102,0),NYELV_IDX),""),"")</f>
        <v/>
      </c>
      <c r="H735" s="24"/>
      <c r="I735" s="24"/>
      <c r="J735" s="12"/>
    </row>
    <row r="736" spans="2:10" x14ac:dyDescent="0.3">
      <c r="B736" s="29" t="str">
        <f t="shared" si="11"/>
        <v/>
      </c>
      <c r="C736" s="12"/>
      <c r="D736" s="12"/>
      <c r="E736" s="12"/>
      <c r="F736" s="12"/>
      <c r="G736" s="29" t="str">
        <f>IF(LEN($F736)&gt;0,IFERROR(INDEX('90_SEMA'!$G$7:$H$102,MATCH($F736,'90_SEMA'!$B$7:$B$102,0),NYELV_IDX),""),"")</f>
        <v/>
      </c>
      <c r="H736" s="24"/>
      <c r="I736" s="24"/>
      <c r="J736" s="12"/>
    </row>
    <row r="737" spans="2:10" x14ac:dyDescent="0.3">
      <c r="B737" s="29" t="str">
        <f t="shared" si="11"/>
        <v/>
      </c>
      <c r="C737" s="12"/>
      <c r="D737" s="12"/>
      <c r="E737" s="12"/>
      <c r="F737" s="12"/>
      <c r="G737" s="29" t="str">
        <f>IF(LEN($F737)&gt;0,IFERROR(INDEX('90_SEMA'!$G$7:$H$102,MATCH($F737,'90_SEMA'!$B$7:$B$102,0),NYELV_IDX),""),"")</f>
        <v/>
      </c>
      <c r="H737" s="24"/>
      <c r="I737" s="24"/>
      <c r="J737" s="12"/>
    </row>
    <row r="738" spans="2:10" x14ac:dyDescent="0.3">
      <c r="B738" s="29" t="str">
        <f t="shared" si="11"/>
        <v/>
      </c>
      <c r="C738" s="12"/>
      <c r="D738" s="12"/>
      <c r="E738" s="12"/>
      <c r="F738" s="12"/>
      <c r="G738" s="29" t="str">
        <f>IF(LEN($F738)&gt;0,IFERROR(INDEX('90_SEMA'!$G$7:$H$102,MATCH($F738,'90_SEMA'!$B$7:$B$102,0),NYELV_IDX),""),"")</f>
        <v/>
      </c>
      <c r="H738" s="24"/>
      <c r="I738" s="24"/>
      <c r="J738" s="12"/>
    </row>
    <row r="739" spans="2:10" x14ac:dyDescent="0.3">
      <c r="B739" s="29" t="str">
        <f t="shared" si="11"/>
        <v/>
      </c>
      <c r="C739" s="12"/>
      <c r="D739" s="12"/>
      <c r="E739" s="12"/>
      <c r="F739" s="12"/>
      <c r="G739" s="29" t="str">
        <f>IF(LEN($F739)&gt;0,IFERROR(INDEX('90_SEMA'!$G$7:$H$102,MATCH($F739,'90_SEMA'!$B$7:$B$102,0),NYELV_IDX),""),"")</f>
        <v/>
      </c>
      <c r="H739" s="24"/>
      <c r="I739" s="24"/>
      <c r="J739" s="12"/>
    </row>
    <row r="740" spans="2:10" x14ac:dyDescent="0.3">
      <c r="B740" s="29" t="str">
        <f t="shared" si="11"/>
        <v/>
      </c>
      <c r="C740" s="12"/>
      <c r="D740" s="12"/>
      <c r="E740" s="12"/>
      <c r="F740" s="12"/>
      <c r="G740" s="29" t="str">
        <f>IF(LEN($F740)&gt;0,IFERROR(INDEX('90_SEMA'!$G$7:$H$102,MATCH($F740,'90_SEMA'!$B$7:$B$102,0),NYELV_IDX),""),"")</f>
        <v/>
      </c>
      <c r="H740" s="24"/>
      <c r="I740" s="24"/>
      <c r="J740" s="12"/>
    </row>
    <row r="741" spans="2:10" x14ac:dyDescent="0.3">
      <c r="B741" s="29" t="str">
        <f t="shared" si="11"/>
        <v/>
      </c>
      <c r="C741" s="12"/>
      <c r="D741" s="12"/>
      <c r="E741" s="12"/>
      <c r="F741" s="12"/>
      <c r="G741" s="29" t="str">
        <f>IF(LEN($F741)&gt;0,IFERROR(INDEX('90_SEMA'!$G$7:$H$102,MATCH($F741,'90_SEMA'!$B$7:$B$102,0),NYELV_IDX),""),"")</f>
        <v/>
      </c>
      <c r="H741" s="24"/>
      <c r="I741" s="24"/>
      <c r="J741" s="12"/>
    </row>
    <row r="742" spans="2:10" x14ac:dyDescent="0.3">
      <c r="B742" s="29" t="str">
        <f t="shared" si="11"/>
        <v/>
      </c>
      <c r="C742" s="12"/>
      <c r="D742" s="12"/>
      <c r="E742" s="12"/>
      <c r="F742" s="12"/>
      <c r="G742" s="29" t="str">
        <f>IF(LEN($F742)&gt;0,IFERROR(INDEX('90_SEMA'!$G$7:$H$102,MATCH($F742,'90_SEMA'!$B$7:$B$102,0),NYELV_IDX),""),"")</f>
        <v/>
      </c>
      <c r="H742" s="24"/>
      <c r="I742" s="24"/>
      <c r="J742" s="12"/>
    </row>
    <row r="743" spans="2:10" x14ac:dyDescent="0.3">
      <c r="B743" s="29" t="str">
        <f t="shared" si="11"/>
        <v/>
      </c>
      <c r="C743" s="12"/>
      <c r="D743" s="12"/>
      <c r="E743" s="12"/>
      <c r="F743" s="12"/>
      <c r="G743" s="29" t="str">
        <f>IF(LEN($F743)&gt;0,IFERROR(INDEX('90_SEMA'!$G$7:$H$102,MATCH($F743,'90_SEMA'!$B$7:$B$102,0),NYELV_IDX),""),"")</f>
        <v/>
      </c>
      <c r="H743" s="24"/>
      <c r="I743" s="24"/>
      <c r="J743" s="12"/>
    </row>
    <row r="744" spans="2:10" x14ac:dyDescent="0.3">
      <c r="B744" s="29" t="str">
        <f t="shared" si="11"/>
        <v/>
      </c>
      <c r="C744" s="12"/>
      <c r="D744" s="12"/>
      <c r="E744" s="12"/>
      <c r="F744" s="12"/>
      <c r="G744" s="29" t="str">
        <f>IF(LEN($F744)&gt;0,IFERROR(INDEX('90_SEMA'!$G$7:$H$102,MATCH($F744,'90_SEMA'!$B$7:$B$102,0),NYELV_IDX),""),"")</f>
        <v/>
      </c>
      <c r="H744" s="24"/>
      <c r="I744" s="24"/>
      <c r="J744" s="12"/>
    </row>
    <row r="745" spans="2:10" x14ac:dyDescent="0.3">
      <c r="B745" s="29" t="str">
        <f t="shared" si="11"/>
        <v/>
      </c>
      <c r="C745" s="12"/>
      <c r="D745" s="12"/>
      <c r="E745" s="12"/>
      <c r="F745" s="12"/>
      <c r="G745" s="29" t="str">
        <f>IF(LEN($F745)&gt;0,IFERROR(INDEX('90_SEMA'!$G$7:$H$102,MATCH($F745,'90_SEMA'!$B$7:$B$102,0),NYELV_IDX),""),"")</f>
        <v/>
      </c>
      <c r="H745" s="24"/>
      <c r="I745" s="24"/>
      <c r="J745" s="12"/>
    </row>
    <row r="746" spans="2:10" x14ac:dyDescent="0.3">
      <c r="B746" s="29" t="str">
        <f t="shared" si="11"/>
        <v/>
      </c>
      <c r="C746" s="12"/>
      <c r="D746" s="12"/>
      <c r="E746" s="12"/>
      <c r="F746" s="12"/>
      <c r="G746" s="29" t="str">
        <f>IF(LEN($F746)&gt;0,IFERROR(INDEX('90_SEMA'!$G$7:$H$102,MATCH($F746,'90_SEMA'!$B$7:$B$102,0),NYELV_IDX),""),"")</f>
        <v/>
      </c>
      <c r="H746" s="24"/>
      <c r="I746" s="24"/>
      <c r="J746" s="12"/>
    </row>
    <row r="747" spans="2:10" x14ac:dyDescent="0.3">
      <c r="B747" s="29" t="str">
        <f t="shared" si="11"/>
        <v/>
      </c>
      <c r="C747" s="12"/>
      <c r="D747" s="12"/>
      <c r="E747" s="12"/>
      <c r="F747" s="12"/>
      <c r="G747" s="29" t="str">
        <f>IF(LEN($F747)&gt;0,IFERROR(INDEX('90_SEMA'!$G$7:$H$102,MATCH($F747,'90_SEMA'!$B$7:$B$102,0),NYELV_IDX),""),"")</f>
        <v/>
      </c>
      <c r="H747" s="24"/>
      <c r="I747" s="24"/>
      <c r="J747" s="12"/>
    </row>
    <row r="748" spans="2:10" x14ac:dyDescent="0.3">
      <c r="B748" s="29" t="str">
        <f t="shared" si="11"/>
        <v/>
      </c>
      <c r="C748" s="12"/>
      <c r="D748" s="12"/>
      <c r="E748" s="12"/>
      <c r="F748" s="12"/>
      <c r="G748" s="29" t="str">
        <f>IF(LEN($F748)&gt;0,IFERROR(INDEX('90_SEMA'!$G$7:$H$102,MATCH($F748,'90_SEMA'!$B$7:$B$102,0),NYELV_IDX),""),"")</f>
        <v/>
      </c>
      <c r="H748" s="24"/>
      <c r="I748" s="24"/>
      <c r="J748" s="12"/>
    </row>
    <row r="749" spans="2:10" x14ac:dyDescent="0.3">
      <c r="B749" s="29" t="str">
        <f t="shared" si="11"/>
        <v/>
      </c>
      <c r="C749" s="12"/>
      <c r="D749" s="12"/>
      <c r="E749" s="12"/>
      <c r="F749" s="12"/>
      <c r="G749" s="29" t="str">
        <f>IF(LEN($F749)&gt;0,IFERROR(INDEX('90_SEMA'!$G$7:$H$102,MATCH($F749,'90_SEMA'!$B$7:$B$102,0),NYELV_IDX),""),"")</f>
        <v/>
      </c>
      <c r="H749" s="24"/>
      <c r="I749" s="24"/>
      <c r="J749" s="12"/>
    </row>
    <row r="750" spans="2:10" x14ac:dyDescent="0.3">
      <c r="B750" s="29" t="str">
        <f t="shared" si="11"/>
        <v/>
      </c>
      <c r="C750" s="12"/>
      <c r="D750" s="12"/>
      <c r="E750" s="12"/>
      <c r="F750" s="12"/>
      <c r="G750" s="29" t="str">
        <f>IF(LEN($F750)&gt;0,IFERROR(INDEX('90_SEMA'!$G$7:$H$102,MATCH($F750,'90_SEMA'!$B$7:$B$102,0),NYELV_IDX),""),"")</f>
        <v/>
      </c>
      <c r="H750" s="24"/>
      <c r="I750" s="24"/>
      <c r="J750" s="12"/>
    </row>
    <row r="751" spans="2:10" x14ac:dyDescent="0.3">
      <c r="B751" s="29" t="str">
        <f t="shared" si="11"/>
        <v/>
      </c>
      <c r="C751" s="12"/>
      <c r="D751" s="12"/>
      <c r="E751" s="12"/>
      <c r="F751" s="12"/>
      <c r="G751" s="29" t="str">
        <f>IF(LEN($F751)&gt;0,IFERROR(INDEX('90_SEMA'!$G$7:$H$102,MATCH($F751,'90_SEMA'!$B$7:$B$102,0),NYELV_IDX),""),"")</f>
        <v/>
      </c>
      <c r="H751" s="24"/>
      <c r="I751" s="24"/>
      <c r="J751" s="12"/>
    </row>
    <row r="752" spans="2:10" x14ac:dyDescent="0.3">
      <c r="B752" s="29" t="str">
        <f t="shared" si="11"/>
        <v/>
      </c>
      <c r="C752" s="12"/>
      <c r="D752" s="12"/>
      <c r="E752" s="12"/>
      <c r="F752" s="12"/>
      <c r="G752" s="29" t="str">
        <f>IF(LEN($F752)&gt;0,IFERROR(INDEX('90_SEMA'!$G$7:$H$102,MATCH($F752,'90_SEMA'!$B$7:$B$102,0),NYELV_IDX),""),"")</f>
        <v/>
      </c>
      <c r="H752" s="24"/>
      <c r="I752" s="24"/>
      <c r="J752" s="12"/>
    </row>
    <row r="753" spans="2:10" x14ac:dyDescent="0.3">
      <c r="B753" s="29" t="str">
        <f t="shared" si="11"/>
        <v/>
      </c>
      <c r="C753" s="12"/>
      <c r="D753" s="12"/>
      <c r="E753" s="12"/>
      <c r="F753" s="12"/>
      <c r="G753" s="29" t="str">
        <f>IF(LEN($F753)&gt;0,IFERROR(INDEX('90_SEMA'!$G$7:$H$102,MATCH($F753,'90_SEMA'!$B$7:$B$102,0),NYELV_IDX),""),"")</f>
        <v/>
      </c>
      <c r="H753" s="24"/>
      <c r="I753" s="24"/>
      <c r="J753" s="12"/>
    </row>
    <row r="754" spans="2:10" x14ac:dyDescent="0.3">
      <c r="B754" s="29" t="str">
        <f t="shared" si="11"/>
        <v/>
      </c>
      <c r="C754" s="12"/>
      <c r="D754" s="12"/>
      <c r="E754" s="12"/>
      <c r="F754" s="12"/>
      <c r="G754" s="29" t="str">
        <f>IF(LEN($F754)&gt;0,IFERROR(INDEX('90_SEMA'!$G$7:$H$102,MATCH($F754,'90_SEMA'!$B$7:$B$102,0),NYELV_IDX),""),"")</f>
        <v/>
      </c>
      <c r="H754" s="24"/>
      <c r="I754" s="24"/>
      <c r="J754" s="12"/>
    </row>
    <row r="755" spans="2:10" x14ac:dyDescent="0.3">
      <c r="B755" s="29" t="str">
        <f t="shared" si="11"/>
        <v/>
      </c>
      <c r="C755" s="12"/>
      <c r="D755" s="12"/>
      <c r="E755" s="12"/>
      <c r="F755" s="12"/>
      <c r="G755" s="29" t="str">
        <f>IF(LEN($F755)&gt;0,IFERROR(INDEX('90_SEMA'!$G$7:$H$102,MATCH($F755,'90_SEMA'!$B$7:$B$102,0),NYELV_IDX),""),"")</f>
        <v/>
      </c>
      <c r="H755" s="24"/>
      <c r="I755" s="24"/>
      <c r="J755" s="12"/>
    </row>
    <row r="756" spans="2:10" x14ac:dyDescent="0.3">
      <c r="B756" s="29" t="str">
        <f t="shared" si="11"/>
        <v/>
      </c>
      <c r="C756" s="12"/>
      <c r="D756" s="12"/>
      <c r="E756" s="12"/>
      <c r="F756" s="12"/>
      <c r="G756" s="29" t="str">
        <f>IF(LEN($F756)&gt;0,IFERROR(INDEX('90_SEMA'!$G$7:$H$102,MATCH($F756,'90_SEMA'!$B$7:$B$102,0),NYELV_IDX),""),"")</f>
        <v/>
      </c>
      <c r="H756" s="24"/>
      <c r="I756" s="24"/>
      <c r="J756" s="12"/>
    </row>
    <row r="757" spans="2:10" x14ac:dyDescent="0.3">
      <c r="B757" s="29" t="str">
        <f t="shared" si="11"/>
        <v/>
      </c>
      <c r="C757" s="12"/>
      <c r="D757" s="12"/>
      <c r="E757" s="12"/>
      <c r="F757" s="12"/>
      <c r="G757" s="29" t="str">
        <f>IF(LEN($F757)&gt;0,IFERROR(INDEX('90_SEMA'!$G$7:$H$102,MATCH($F757,'90_SEMA'!$B$7:$B$102,0),NYELV_IDX),""),"")</f>
        <v/>
      </c>
      <c r="H757" s="24"/>
      <c r="I757" s="24"/>
      <c r="J757" s="12"/>
    </row>
    <row r="758" spans="2:10" x14ac:dyDescent="0.3">
      <c r="B758" s="29" t="str">
        <f t="shared" si="11"/>
        <v/>
      </c>
      <c r="C758" s="12"/>
      <c r="D758" s="12"/>
      <c r="E758" s="12"/>
      <c r="F758" s="12"/>
      <c r="G758" s="29" t="str">
        <f>IF(LEN($F758)&gt;0,IFERROR(INDEX('90_SEMA'!$G$7:$H$102,MATCH($F758,'90_SEMA'!$B$7:$B$102,0),NYELV_IDX),""),"")</f>
        <v/>
      </c>
      <c r="H758" s="24"/>
      <c r="I758" s="24"/>
      <c r="J758" s="12"/>
    </row>
    <row r="759" spans="2:10" x14ac:dyDescent="0.3">
      <c r="B759" s="29" t="str">
        <f t="shared" si="11"/>
        <v/>
      </c>
      <c r="C759" s="12"/>
      <c r="D759" s="12"/>
      <c r="E759" s="12"/>
      <c r="F759" s="12"/>
      <c r="G759" s="29" t="str">
        <f>IF(LEN($F759)&gt;0,IFERROR(INDEX('90_SEMA'!$G$7:$H$102,MATCH($F759,'90_SEMA'!$B$7:$B$102,0),NYELV_IDX),""),"")</f>
        <v/>
      </c>
      <c r="H759" s="24"/>
      <c r="I759" s="24"/>
      <c r="J759" s="12"/>
    </row>
    <row r="760" spans="2:10" x14ac:dyDescent="0.3">
      <c r="B760" s="29" t="str">
        <f t="shared" si="11"/>
        <v/>
      </c>
      <c r="C760" s="12"/>
      <c r="D760" s="12"/>
      <c r="E760" s="12"/>
      <c r="F760" s="12"/>
      <c r="G760" s="29" t="str">
        <f>IF(LEN($F760)&gt;0,IFERROR(INDEX('90_SEMA'!$G$7:$H$102,MATCH($F760,'90_SEMA'!$B$7:$B$102,0),NYELV_IDX),""),"")</f>
        <v/>
      </c>
      <c r="H760" s="24"/>
      <c r="I760" s="24"/>
      <c r="J760" s="12"/>
    </row>
    <row r="761" spans="2:10" x14ac:dyDescent="0.3">
      <c r="B761" s="29" t="str">
        <f t="shared" si="11"/>
        <v/>
      </c>
      <c r="C761" s="12"/>
      <c r="D761" s="12"/>
      <c r="E761" s="12"/>
      <c r="F761" s="12"/>
      <c r="G761" s="29" t="str">
        <f>IF(LEN($F761)&gt;0,IFERROR(INDEX('90_SEMA'!$G$7:$H$102,MATCH($F761,'90_SEMA'!$B$7:$B$102,0),NYELV_IDX),""),"")</f>
        <v/>
      </c>
      <c r="H761" s="24"/>
      <c r="I761" s="24"/>
      <c r="J761" s="12"/>
    </row>
    <row r="762" spans="2:10" x14ac:dyDescent="0.3">
      <c r="B762" s="29" t="str">
        <f t="shared" si="11"/>
        <v/>
      </c>
      <c r="C762" s="12"/>
      <c r="D762" s="12"/>
      <c r="E762" s="12"/>
      <c r="F762" s="12"/>
      <c r="G762" s="29" t="str">
        <f>IF(LEN($F762)&gt;0,IFERROR(INDEX('90_SEMA'!$G$7:$H$102,MATCH($F762,'90_SEMA'!$B$7:$B$102,0),NYELV_IDX),""),"")</f>
        <v/>
      </c>
      <c r="H762" s="24"/>
      <c r="I762" s="24"/>
      <c r="J762" s="12"/>
    </row>
    <row r="763" spans="2:10" x14ac:dyDescent="0.3">
      <c r="B763" s="29" t="str">
        <f t="shared" si="11"/>
        <v/>
      </c>
      <c r="C763" s="12"/>
      <c r="D763" s="12"/>
      <c r="E763" s="12"/>
      <c r="F763" s="12"/>
      <c r="G763" s="29" t="str">
        <f>IF(LEN($F763)&gt;0,IFERROR(INDEX('90_SEMA'!$G$7:$H$102,MATCH($F763,'90_SEMA'!$B$7:$B$102,0),NYELV_IDX),""),"")</f>
        <v/>
      </c>
      <c r="H763" s="24"/>
      <c r="I763" s="24"/>
      <c r="J763" s="12"/>
    </row>
    <row r="764" spans="2:10" x14ac:dyDescent="0.3">
      <c r="B764" s="29" t="str">
        <f t="shared" si="11"/>
        <v/>
      </c>
      <c r="C764" s="12"/>
      <c r="D764" s="12"/>
      <c r="E764" s="12"/>
      <c r="F764" s="12"/>
      <c r="G764" s="29" t="str">
        <f>IF(LEN($F764)&gt;0,IFERROR(INDEX('90_SEMA'!$G$7:$H$102,MATCH($F764,'90_SEMA'!$B$7:$B$102,0),NYELV_IDX),""),"")</f>
        <v/>
      </c>
      <c r="H764" s="24"/>
      <c r="I764" s="24"/>
      <c r="J764" s="12"/>
    </row>
    <row r="765" spans="2:10" x14ac:dyDescent="0.3">
      <c r="B765" s="29" t="str">
        <f t="shared" si="11"/>
        <v/>
      </c>
      <c r="C765" s="12"/>
      <c r="D765" s="12"/>
      <c r="E765" s="12"/>
      <c r="F765" s="12"/>
      <c r="G765" s="29" t="str">
        <f>IF(LEN($F765)&gt;0,IFERROR(INDEX('90_SEMA'!$G$7:$H$102,MATCH($F765,'90_SEMA'!$B$7:$B$102,0),NYELV_IDX),""),"")</f>
        <v/>
      </c>
      <c r="H765" s="24"/>
      <c r="I765" s="24"/>
      <c r="J765" s="12"/>
    </row>
    <row r="766" spans="2:10" x14ac:dyDescent="0.3">
      <c r="B766" s="29" t="str">
        <f t="shared" si="11"/>
        <v/>
      </c>
      <c r="C766" s="12"/>
      <c r="D766" s="12"/>
      <c r="E766" s="12"/>
      <c r="F766" s="12"/>
      <c r="G766" s="29" t="str">
        <f>IF(LEN($F766)&gt;0,IFERROR(INDEX('90_SEMA'!$G$7:$H$102,MATCH($F766,'90_SEMA'!$B$7:$B$102,0),NYELV_IDX),""),"")</f>
        <v/>
      </c>
      <c r="H766" s="24"/>
      <c r="I766" s="24"/>
      <c r="J766" s="12"/>
    </row>
    <row r="767" spans="2:10" x14ac:dyDescent="0.3">
      <c r="B767" s="29" t="str">
        <f t="shared" si="11"/>
        <v/>
      </c>
      <c r="C767" s="12"/>
      <c r="D767" s="12"/>
      <c r="E767" s="12"/>
      <c r="F767" s="12"/>
      <c r="G767" s="29" t="str">
        <f>IF(LEN($F767)&gt;0,IFERROR(INDEX('90_SEMA'!$G$7:$H$102,MATCH($F767,'90_SEMA'!$B$7:$B$102,0),NYELV_IDX),""),"")</f>
        <v/>
      </c>
      <c r="H767" s="24"/>
      <c r="I767" s="24"/>
      <c r="J767" s="12"/>
    </row>
    <row r="768" spans="2:10" x14ac:dyDescent="0.3">
      <c r="B768" s="29" t="str">
        <f t="shared" si="11"/>
        <v/>
      </c>
      <c r="C768" s="12"/>
      <c r="D768" s="12"/>
      <c r="E768" s="12"/>
      <c r="F768" s="12"/>
      <c r="G768" s="29" t="str">
        <f>IF(LEN($F768)&gt;0,IFERROR(INDEX('90_SEMA'!$G$7:$H$102,MATCH($F768,'90_SEMA'!$B$7:$B$102,0),NYELV_IDX),""),"")</f>
        <v/>
      </c>
      <c r="H768" s="24"/>
      <c r="I768" s="24"/>
      <c r="J768" s="12"/>
    </row>
    <row r="769" spans="2:10" x14ac:dyDescent="0.3">
      <c r="B769" s="29" t="str">
        <f t="shared" si="11"/>
        <v/>
      </c>
      <c r="C769" s="12"/>
      <c r="D769" s="12"/>
      <c r="E769" s="12"/>
      <c r="F769" s="12"/>
      <c r="G769" s="29" t="str">
        <f>IF(LEN($F769)&gt;0,IFERROR(INDEX('90_SEMA'!$G$7:$H$102,MATCH($F769,'90_SEMA'!$B$7:$B$102,0),NYELV_IDX),""),"")</f>
        <v/>
      </c>
      <c r="H769" s="24"/>
      <c r="I769" s="24"/>
      <c r="J769" s="12"/>
    </row>
    <row r="770" spans="2:10" x14ac:dyDescent="0.3">
      <c r="B770" s="29" t="str">
        <f t="shared" si="11"/>
        <v/>
      </c>
      <c r="C770" s="12"/>
      <c r="D770" s="12"/>
      <c r="E770" s="12"/>
      <c r="F770" s="12"/>
      <c r="G770" s="29" t="str">
        <f>IF(LEN($F770)&gt;0,IFERROR(INDEX('90_SEMA'!$G$7:$H$102,MATCH($F770,'90_SEMA'!$B$7:$B$102,0),NYELV_IDX),""),"")</f>
        <v/>
      </c>
      <c r="H770" s="24"/>
      <c r="I770" s="24"/>
      <c r="J770" s="12"/>
    </row>
    <row r="771" spans="2:10" x14ac:dyDescent="0.3">
      <c r="B771" s="29" t="str">
        <f t="shared" si="11"/>
        <v/>
      </c>
      <c r="C771" s="12"/>
      <c r="D771" s="12"/>
      <c r="E771" s="12"/>
      <c r="F771" s="12"/>
      <c r="G771" s="29" t="str">
        <f>IF(LEN($F771)&gt;0,IFERROR(INDEX('90_SEMA'!$G$7:$H$102,MATCH($F771,'90_SEMA'!$B$7:$B$102,0),NYELV_IDX),""),"")</f>
        <v/>
      </c>
      <c r="H771" s="24"/>
      <c r="I771" s="24"/>
      <c r="J771" s="12"/>
    </row>
    <row r="772" spans="2:10" x14ac:dyDescent="0.3">
      <c r="B772" s="29" t="str">
        <f t="shared" si="11"/>
        <v/>
      </c>
      <c r="C772" s="12"/>
      <c r="D772" s="12"/>
      <c r="E772" s="12"/>
      <c r="F772" s="12"/>
      <c r="G772" s="29" t="str">
        <f>IF(LEN($F772)&gt;0,IFERROR(INDEX('90_SEMA'!$G$7:$H$102,MATCH($F772,'90_SEMA'!$B$7:$B$102,0),NYELV_IDX),""),"")</f>
        <v/>
      </c>
      <c r="H772" s="24"/>
      <c r="I772" s="24"/>
      <c r="J772" s="12"/>
    </row>
    <row r="773" spans="2:10" x14ac:dyDescent="0.3">
      <c r="B773" s="29" t="str">
        <f t="shared" si="11"/>
        <v/>
      </c>
      <c r="C773" s="12"/>
      <c r="D773" s="12"/>
      <c r="E773" s="12"/>
      <c r="F773" s="12"/>
      <c r="G773" s="29" t="str">
        <f>IF(LEN($F773)&gt;0,IFERROR(INDEX('90_SEMA'!$G$7:$H$102,MATCH($F773,'90_SEMA'!$B$7:$B$102,0),NYELV_IDX),""),"")</f>
        <v/>
      </c>
      <c r="H773" s="24"/>
      <c r="I773" s="24"/>
      <c r="J773" s="12"/>
    </row>
    <row r="774" spans="2:10" x14ac:dyDescent="0.3">
      <c r="B774" s="29" t="str">
        <f t="shared" si="11"/>
        <v/>
      </c>
      <c r="C774" s="12"/>
      <c r="D774" s="12"/>
      <c r="E774" s="12"/>
      <c r="F774" s="12"/>
      <c r="G774" s="29" t="str">
        <f>IF(LEN($F774)&gt;0,IFERROR(INDEX('90_SEMA'!$G$7:$H$102,MATCH($F774,'90_SEMA'!$B$7:$B$102,0),NYELV_IDX),""),"")</f>
        <v/>
      </c>
      <c r="H774" s="24"/>
      <c r="I774" s="24"/>
      <c r="J774" s="12"/>
    </row>
    <row r="775" spans="2:10" x14ac:dyDescent="0.3">
      <c r="B775" s="29" t="str">
        <f t="shared" ref="B775:B806" si="12">IF(LEN($F775)&gt;0,ROW()-6,"")</f>
        <v/>
      </c>
      <c r="C775" s="12"/>
      <c r="D775" s="12"/>
      <c r="E775" s="12"/>
      <c r="F775" s="12"/>
      <c r="G775" s="29" t="str">
        <f>IF(LEN($F775)&gt;0,IFERROR(INDEX('90_SEMA'!$G$7:$H$102,MATCH($F775,'90_SEMA'!$B$7:$B$102,0),NYELV_IDX),""),"")</f>
        <v/>
      </c>
      <c r="H775" s="24"/>
      <c r="I775" s="24"/>
      <c r="J775" s="12"/>
    </row>
    <row r="776" spans="2:10" x14ac:dyDescent="0.3">
      <c r="B776" s="29" t="str">
        <f t="shared" si="12"/>
        <v/>
      </c>
      <c r="C776" s="12"/>
      <c r="D776" s="12"/>
      <c r="E776" s="12"/>
      <c r="F776" s="12"/>
      <c r="G776" s="29" t="str">
        <f>IF(LEN($F776)&gt;0,IFERROR(INDEX('90_SEMA'!$G$7:$H$102,MATCH($F776,'90_SEMA'!$B$7:$B$102,0),NYELV_IDX),""),"")</f>
        <v/>
      </c>
      <c r="H776" s="24"/>
      <c r="I776" s="24"/>
      <c r="J776" s="12"/>
    </row>
    <row r="777" spans="2:10" x14ac:dyDescent="0.3">
      <c r="B777" s="29" t="str">
        <f t="shared" si="12"/>
        <v/>
      </c>
      <c r="C777" s="12"/>
      <c r="D777" s="12"/>
      <c r="E777" s="12"/>
      <c r="F777" s="12"/>
      <c r="G777" s="29" t="str">
        <f>IF(LEN($F777)&gt;0,IFERROR(INDEX('90_SEMA'!$G$7:$H$102,MATCH($F777,'90_SEMA'!$B$7:$B$102,0),NYELV_IDX),""),"")</f>
        <v/>
      </c>
      <c r="H777" s="24"/>
      <c r="I777" s="24"/>
      <c r="J777" s="12"/>
    </row>
    <row r="778" spans="2:10" x14ac:dyDescent="0.3">
      <c r="B778" s="29" t="str">
        <f t="shared" si="12"/>
        <v/>
      </c>
      <c r="C778" s="12"/>
      <c r="D778" s="12"/>
      <c r="E778" s="12"/>
      <c r="F778" s="12"/>
      <c r="G778" s="29" t="str">
        <f>IF(LEN($F778)&gt;0,IFERROR(INDEX('90_SEMA'!$G$7:$H$102,MATCH($F778,'90_SEMA'!$B$7:$B$102,0),NYELV_IDX),""),"")</f>
        <v/>
      </c>
      <c r="H778" s="24"/>
      <c r="I778" s="24"/>
      <c r="J778" s="12"/>
    </row>
    <row r="779" spans="2:10" x14ac:dyDescent="0.3">
      <c r="B779" s="29" t="str">
        <f t="shared" si="12"/>
        <v/>
      </c>
      <c r="C779" s="12"/>
      <c r="D779" s="12"/>
      <c r="E779" s="12"/>
      <c r="F779" s="12"/>
      <c r="G779" s="29" t="str">
        <f>IF(LEN($F779)&gt;0,IFERROR(INDEX('90_SEMA'!$G$7:$H$102,MATCH($F779,'90_SEMA'!$B$7:$B$102,0),NYELV_IDX),""),"")</f>
        <v/>
      </c>
      <c r="H779" s="24"/>
      <c r="I779" s="24"/>
      <c r="J779" s="12"/>
    </row>
    <row r="780" spans="2:10" x14ac:dyDescent="0.3">
      <c r="B780" s="29" t="str">
        <f t="shared" si="12"/>
        <v/>
      </c>
      <c r="C780" s="12"/>
      <c r="D780" s="12"/>
      <c r="E780" s="12"/>
      <c r="F780" s="12"/>
      <c r="G780" s="29" t="str">
        <f>IF(LEN($F780)&gt;0,IFERROR(INDEX('90_SEMA'!$G$7:$H$102,MATCH($F780,'90_SEMA'!$B$7:$B$102,0),NYELV_IDX),""),"")</f>
        <v/>
      </c>
      <c r="H780" s="24"/>
      <c r="I780" s="24"/>
      <c r="J780" s="12"/>
    </row>
    <row r="781" spans="2:10" x14ac:dyDescent="0.3">
      <c r="B781" s="29" t="str">
        <f t="shared" si="12"/>
        <v/>
      </c>
      <c r="C781" s="12"/>
      <c r="D781" s="12"/>
      <c r="E781" s="12"/>
      <c r="F781" s="12"/>
      <c r="G781" s="29" t="str">
        <f>IF(LEN($F781)&gt;0,IFERROR(INDEX('90_SEMA'!$G$7:$H$102,MATCH($F781,'90_SEMA'!$B$7:$B$102,0),NYELV_IDX),""),"")</f>
        <v/>
      </c>
      <c r="H781" s="24"/>
      <c r="I781" s="24"/>
      <c r="J781" s="12"/>
    </row>
    <row r="782" spans="2:10" x14ac:dyDescent="0.3">
      <c r="B782" s="29" t="str">
        <f t="shared" si="12"/>
        <v/>
      </c>
      <c r="C782" s="12"/>
      <c r="D782" s="12"/>
      <c r="E782" s="12"/>
      <c r="F782" s="12"/>
      <c r="G782" s="29" t="str">
        <f>IF(LEN($F782)&gt;0,IFERROR(INDEX('90_SEMA'!$G$7:$H$102,MATCH($F782,'90_SEMA'!$B$7:$B$102,0),NYELV_IDX),""),"")</f>
        <v/>
      </c>
      <c r="H782" s="24"/>
      <c r="I782" s="24"/>
      <c r="J782" s="12"/>
    </row>
    <row r="783" spans="2:10" x14ac:dyDescent="0.3">
      <c r="B783" s="29" t="str">
        <f t="shared" si="12"/>
        <v/>
      </c>
      <c r="C783" s="12"/>
      <c r="D783" s="12"/>
      <c r="E783" s="12"/>
      <c r="F783" s="12"/>
      <c r="G783" s="29" t="str">
        <f>IF(LEN($F783)&gt;0,IFERROR(INDEX('90_SEMA'!$G$7:$H$102,MATCH($F783,'90_SEMA'!$B$7:$B$102,0),NYELV_IDX),""),"")</f>
        <v/>
      </c>
      <c r="H783" s="24"/>
      <c r="I783" s="24"/>
      <c r="J783" s="12"/>
    </row>
    <row r="784" spans="2:10" x14ac:dyDescent="0.3">
      <c r="B784" s="29" t="str">
        <f t="shared" si="12"/>
        <v/>
      </c>
      <c r="C784" s="12"/>
      <c r="D784" s="12"/>
      <c r="E784" s="12"/>
      <c r="F784" s="12"/>
      <c r="G784" s="29" t="str">
        <f>IF(LEN($F784)&gt;0,IFERROR(INDEX('90_SEMA'!$G$7:$H$102,MATCH($F784,'90_SEMA'!$B$7:$B$102,0),NYELV_IDX),""),"")</f>
        <v/>
      </c>
      <c r="H784" s="24"/>
      <c r="I784" s="24"/>
      <c r="J784" s="12"/>
    </row>
    <row r="785" spans="2:10" x14ac:dyDescent="0.3">
      <c r="B785" s="29" t="str">
        <f t="shared" si="12"/>
        <v/>
      </c>
      <c r="C785" s="12"/>
      <c r="D785" s="12"/>
      <c r="E785" s="12"/>
      <c r="F785" s="12"/>
      <c r="G785" s="29" t="str">
        <f>IF(LEN($F785)&gt;0,IFERROR(INDEX('90_SEMA'!$G$7:$H$102,MATCH($F785,'90_SEMA'!$B$7:$B$102,0),NYELV_IDX),""),"")</f>
        <v/>
      </c>
      <c r="H785" s="24"/>
      <c r="I785" s="24"/>
      <c r="J785" s="12"/>
    </row>
    <row r="786" spans="2:10" x14ac:dyDescent="0.3">
      <c r="B786" s="29" t="str">
        <f t="shared" si="12"/>
        <v/>
      </c>
      <c r="C786" s="12"/>
      <c r="D786" s="12"/>
      <c r="E786" s="12"/>
      <c r="F786" s="12"/>
      <c r="G786" s="29" t="str">
        <f>IF(LEN($F786)&gt;0,IFERROR(INDEX('90_SEMA'!$G$7:$H$102,MATCH($F786,'90_SEMA'!$B$7:$B$102,0),NYELV_IDX),""),"")</f>
        <v/>
      </c>
      <c r="H786" s="24"/>
      <c r="I786" s="24"/>
      <c r="J786" s="12"/>
    </row>
    <row r="787" spans="2:10" x14ac:dyDescent="0.3">
      <c r="B787" s="29" t="str">
        <f t="shared" si="12"/>
        <v/>
      </c>
      <c r="C787" s="12"/>
      <c r="D787" s="12"/>
      <c r="E787" s="12"/>
      <c r="F787" s="12"/>
      <c r="G787" s="29" t="str">
        <f>IF(LEN($F787)&gt;0,IFERROR(INDEX('90_SEMA'!$G$7:$H$102,MATCH($F787,'90_SEMA'!$B$7:$B$102,0),NYELV_IDX),""),"")</f>
        <v/>
      </c>
      <c r="H787" s="24"/>
      <c r="I787" s="24"/>
      <c r="J787" s="12"/>
    </row>
    <row r="788" spans="2:10" x14ac:dyDescent="0.3">
      <c r="B788" s="29" t="str">
        <f t="shared" si="12"/>
        <v/>
      </c>
      <c r="C788" s="12"/>
      <c r="D788" s="12"/>
      <c r="E788" s="12"/>
      <c r="F788" s="12"/>
      <c r="G788" s="29" t="str">
        <f>IF(LEN($F788)&gt;0,IFERROR(INDEX('90_SEMA'!$G$7:$H$102,MATCH($F788,'90_SEMA'!$B$7:$B$102,0),NYELV_IDX),""),"")</f>
        <v/>
      </c>
      <c r="H788" s="24"/>
      <c r="I788" s="24"/>
      <c r="J788" s="12"/>
    </row>
    <row r="789" spans="2:10" x14ac:dyDescent="0.3">
      <c r="B789" s="29" t="str">
        <f t="shared" si="12"/>
        <v/>
      </c>
      <c r="C789" s="12"/>
      <c r="D789" s="12"/>
      <c r="E789" s="12"/>
      <c r="F789" s="12"/>
      <c r="G789" s="29" t="str">
        <f>IF(LEN($F789)&gt;0,IFERROR(INDEX('90_SEMA'!$G$7:$H$102,MATCH($F789,'90_SEMA'!$B$7:$B$102,0),NYELV_IDX),""),"")</f>
        <v/>
      </c>
      <c r="H789" s="24"/>
      <c r="I789" s="24"/>
      <c r="J789" s="12"/>
    </row>
    <row r="790" spans="2:10" x14ac:dyDescent="0.3">
      <c r="B790" s="29" t="str">
        <f t="shared" si="12"/>
        <v/>
      </c>
      <c r="C790" s="12"/>
      <c r="D790" s="12"/>
      <c r="E790" s="12"/>
      <c r="F790" s="12"/>
      <c r="G790" s="29" t="str">
        <f>IF(LEN($F790)&gt;0,IFERROR(INDEX('90_SEMA'!$G$7:$H$102,MATCH($F790,'90_SEMA'!$B$7:$B$102,0),NYELV_IDX),""),"")</f>
        <v/>
      </c>
      <c r="H790" s="24"/>
      <c r="I790" s="24"/>
      <c r="J790" s="12"/>
    </row>
    <row r="791" spans="2:10" x14ac:dyDescent="0.3">
      <c r="B791" s="29" t="str">
        <f t="shared" si="12"/>
        <v/>
      </c>
      <c r="C791" s="12"/>
      <c r="D791" s="12"/>
      <c r="E791" s="12"/>
      <c r="F791" s="12"/>
      <c r="G791" s="29" t="str">
        <f>IF(LEN($F791)&gt;0,IFERROR(INDEX('90_SEMA'!$G$7:$H$102,MATCH($F791,'90_SEMA'!$B$7:$B$102,0),NYELV_IDX),""),"")</f>
        <v/>
      </c>
      <c r="H791" s="24"/>
      <c r="I791" s="24"/>
      <c r="J791" s="12"/>
    </row>
    <row r="792" spans="2:10" x14ac:dyDescent="0.3">
      <c r="B792" s="29" t="str">
        <f t="shared" si="12"/>
        <v/>
      </c>
      <c r="C792" s="12"/>
      <c r="D792" s="12"/>
      <c r="E792" s="12"/>
      <c r="F792" s="12"/>
      <c r="G792" s="29" t="str">
        <f>IF(LEN($F792)&gt;0,IFERROR(INDEX('90_SEMA'!$G$7:$H$102,MATCH($F792,'90_SEMA'!$B$7:$B$102,0),NYELV_IDX),""),"")</f>
        <v/>
      </c>
      <c r="H792" s="24"/>
      <c r="I792" s="24"/>
      <c r="J792" s="12"/>
    </row>
    <row r="793" spans="2:10" x14ac:dyDescent="0.3">
      <c r="B793" s="29" t="str">
        <f t="shared" si="12"/>
        <v/>
      </c>
      <c r="C793" s="12"/>
      <c r="D793" s="12"/>
      <c r="E793" s="12"/>
      <c r="F793" s="12"/>
      <c r="G793" s="29" t="str">
        <f>IF(LEN($F793)&gt;0,IFERROR(INDEX('90_SEMA'!$G$7:$H$102,MATCH($F793,'90_SEMA'!$B$7:$B$102,0),NYELV_IDX),""),"")</f>
        <v/>
      </c>
      <c r="H793" s="24"/>
      <c r="I793" s="24"/>
      <c r="J793" s="12"/>
    </row>
    <row r="794" spans="2:10" x14ac:dyDescent="0.3">
      <c r="B794" s="29" t="str">
        <f t="shared" si="12"/>
        <v/>
      </c>
      <c r="C794" s="12"/>
      <c r="D794" s="12"/>
      <c r="E794" s="12"/>
      <c r="F794" s="12"/>
      <c r="G794" s="29" t="str">
        <f>IF(LEN($F794)&gt;0,IFERROR(INDEX('90_SEMA'!$G$7:$H$102,MATCH($F794,'90_SEMA'!$B$7:$B$102,0),NYELV_IDX),""),"")</f>
        <v/>
      </c>
      <c r="H794" s="24"/>
      <c r="I794" s="24"/>
      <c r="J794" s="12"/>
    </row>
    <row r="795" spans="2:10" x14ac:dyDescent="0.3">
      <c r="B795" s="29" t="str">
        <f t="shared" si="12"/>
        <v/>
      </c>
      <c r="C795" s="12"/>
      <c r="D795" s="12"/>
      <c r="E795" s="12"/>
      <c r="F795" s="12"/>
      <c r="G795" s="29" t="str">
        <f>IF(LEN($F795)&gt;0,IFERROR(INDEX('90_SEMA'!$G$7:$H$102,MATCH($F795,'90_SEMA'!$B$7:$B$102,0),NYELV_IDX),""),"")</f>
        <v/>
      </c>
      <c r="H795" s="24"/>
      <c r="I795" s="24"/>
      <c r="J795" s="12"/>
    </row>
    <row r="796" spans="2:10" x14ac:dyDescent="0.3">
      <c r="B796" s="29" t="str">
        <f t="shared" si="12"/>
        <v/>
      </c>
      <c r="C796" s="12"/>
      <c r="D796" s="12"/>
      <c r="E796" s="12"/>
      <c r="F796" s="12"/>
      <c r="G796" s="29" t="str">
        <f>IF(LEN($F796)&gt;0,IFERROR(INDEX('90_SEMA'!$G$7:$H$102,MATCH($F796,'90_SEMA'!$B$7:$B$102,0),NYELV_IDX),""),"")</f>
        <v/>
      </c>
      <c r="H796" s="24"/>
      <c r="I796" s="24"/>
      <c r="J796" s="12"/>
    </row>
    <row r="797" spans="2:10" x14ac:dyDescent="0.3">
      <c r="B797" s="29" t="str">
        <f t="shared" si="12"/>
        <v/>
      </c>
      <c r="C797" s="12"/>
      <c r="D797" s="12"/>
      <c r="E797" s="12"/>
      <c r="F797" s="12"/>
      <c r="G797" s="29" t="str">
        <f>IF(LEN($F797)&gt;0,IFERROR(INDEX('90_SEMA'!$G$7:$H$102,MATCH($F797,'90_SEMA'!$B$7:$B$102,0),NYELV_IDX),""),"")</f>
        <v/>
      </c>
      <c r="H797" s="24"/>
      <c r="I797" s="24"/>
      <c r="J797" s="12"/>
    </row>
    <row r="798" spans="2:10" x14ac:dyDescent="0.3">
      <c r="B798" s="29" t="str">
        <f t="shared" si="12"/>
        <v/>
      </c>
      <c r="C798" s="12"/>
      <c r="D798" s="12"/>
      <c r="E798" s="12"/>
      <c r="F798" s="12"/>
      <c r="G798" s="29" t="str">
        <f>IF(LEN($F798)&gt;0,IFERROR(INDEX('90_SEMA'!$G$7:$H$102,MATCH($F798,'90_SEMA'!$B$7:$B$102,0),NYELV_IDX),""),"")</f>
        <v/>
      </c>
      <c r="H798" s="24"/>
      <c r="I798" s="24"/>
      <c r="J798" s="12"/>
    </row>
    <row r="799" spans="2:10" x14ac:dyDescent="0.3">
      <c r="B799" s="29" t="str">
        <f t="shared" si="12"/>
        <v/>
      </c>
      <c r="C799" s="12"/>
      <c r="D799" s="12"/>
      <c r="E799" s="12"/>
      <c r="F799" s="12"/>
      <c r="G799" s="29" t="str">
        <f>IF(LEN($F799)&gt;0,IFERROR(INDEX('90_SEMA'!$G$7:$H$102,MATCH($F799,'90_SEMA'!$B$7:$B$102,0),NYELV_IDX),""),"")</f>
        <v/>
      </c>
      <c r="H799" s="24"/>
      <c r="I799" s="24"/>
      <c r="J799" s="12"/>
    </row>
    <row r="800" spans="2:10" x14ac:dyDescent="0.3">
      <c r="B800" s="29" t="str">
        <f t="shared" si="12"/>
        <v/>
      </c>
      <c r="C800" s="12"/>
      <c r="D800" s="12"/>
      <c r="E800" s="12"/>
      <c r="F800" s="12"/>
      <c r="G800" s="29" t="str">
        <f>IF(LEN($F800)&gt;0,IFERROR(INDEX('90_SEMA'!$G$7:$H$102,MATCH($F800,'90_SEMA'!$B$7:$B$102,0),NYELV_IDX),""),"")</f>
        <v/>
      </c>
      <c r="H800" s="24"/>
      <c r="I800" s="24"/>
      <c r="J800" s="12"/>
    </row>
    <row r="801" spans="2:10" x14ac:dyDescent="0.3">
      <c r="B801" s="29" t="str">
        <f t="shared" si="12"/>
        <v/>
      </c>
      <c r="C801" s="12"/>
      <c r="D801" s="12"/>
      <c r="E801" s="12"/>
      <c r="F801" s="12"/>
      <c r="G801" s="29" t="str">
        <f>IF(LEN($F801)&gt;0,IFERROR(INDEX('90_SEMA'!$G$7:$H$102,MATCH($F801,'90_SEMA'!$B$7:$B$102,0),NYELV_IDX),""),"")</f>
        <v/>
      </c>
      <c r="H801" s="24"/>
      <c r="I801" s="24"/>
      <c r="J801" s="12"/>
    </row>
    <row r="802" spans="2:10" x14ac:dyDescent="0.3">
      <c r="B802" s="29" t="str">
        <f t="shared" si="12"/>
        <v/>
      </c>
      <c r="C802" s="12"/>
      <c r="D802" s="12"/>
      <c r="E802" s="12"/>
      <c r="F802" s="12"/>
      <c r="G802" s="29" t="str">
        <f>IF(LEN($F802)&gt;0,IFERROR(INDEX('90_SEMA'!$G$7:$H$102,MATCH($F802,'90_SEMA'!$B$7:$B$102,0),NYELV_IDX),""),"")</f>
        <v/>
      </c>
      <c r="H802" s="24"/>
      <c r="I802" s="24"/>
      <c r="J802" s="12"/>
    </row>
    <row r="803" spans="2:10" x14ac:dyDescent="0.3">
      <c r="B803" s="29" t="str">
        <f t="shared" si="12"/>
        <v/>
      </c>
      <c r="C803" s="12"/>
      <c r="D803" s="12"/>
      <c r="E803" s="12"/>
      <c r="F803" s="12"/>
      <c r="G803" s="29" t="str">
        <f>IF(LEN($F803)&gt;0,IFERROR(INDEX('90_SEMA'!$G$7:$H$102,MATCH($F803,'90_SEMA'!$B$7:$B$102,0),NYELV_IDX),""),"")</f>
        <v/>
      </c>
      <c r="H803" s="24"/>
      <c r="I803" s="24"/>
      <c r="J803" s="12"/>
    </row>
    <row r="804" spans="2:10" x14ac:dyDescent="0.3">
      <c r="B804" s="29" t="str">
        <f t="shared" si="12"/>
        <v/>
      </c>
      <c r="C804" s="12"/>
      <c r="D804" s="12"/>
      <c r="E804" s="12"/>
      <c r="F804" s="12"/>
      <c r="G804" s="29" t="str">
        <f>IF(LEN($F804)&gt;0,IFERROR(INDEX('90_SEMA'!$G$7:$H$102,MATCH($F804,'90_SEMA'!$B$7:$B$102,0),NYELV_IDX),""),"")</f>
        <v/>
      </c>
      <c r="H804" s="24"/>
      <c r="I804" s="24"/>
      <c r="J804" s="12"/>
    </row>
    <row r="805" spans="2:10" x14ac:dyDescent="0.3">
      <c r="B805" s="29" t="str">
        <f t="shared" si="12"/>
        <v/>
      </c>
      <c r="C805" s="12"/>
      <c r="D805" s="12"/>
      <c r="E805" s="12"/>
      <c r="F805" s="12"/>
      <c r="G805" s="29" t="str">
        <f>IF(LEN($F805)&gt;0,IFERROR(INDEX('90_SEMA'!$G$7:$H$102,MATCH($F805,'90_SEMA'!$B$7:$B$102,0),NYELV_IDX),""),"")</f>
        <v/>
      </c>
      <c r="H805" s="24"/>
      <c r="I805" s="24"/>
      <c r="J805" s="12"/>
    </row>
    <row r="806" spans="2:10" x14ac:dyDescent="0.3">
      <c r="B806" s="29" t="str">
        <f t="shared" si="12"/>
        <v/>
      </c>
      <c r="C806" s="12"/>
      <c r="D806" s="12"/>
      <c r="E806" s="12"/>
      <c r="F806" s="12"/>
      <c r="G806" s="29" t="str">
        <f>IF(LEN($F806)&gt;0,IFERROR(INDEX('90_SEMA'!$G$7:$H$102,MATCH($F806,'90_SEMA'!$B$7:$B$102,0),NYELV_IDX),""),"")</f>
        <v/>
      </c>
      <c r="H806" s="24"/>
      <c r="I806" s="24"/>
      <c r="J806" s="12"/>
    </row>
    <row r="808" spans="2:10" x14ac:dyDescent="0.3">
      <c r="F808" s="10" t="str">
        <f>INDEX('91_NYELV'!$C$7:$D$408,14,NYELV_IDX)</f>
        <v>Összesen</v>
      </c>
      <c r="H808" s="23">
        <f>SUM($H$7:$H$806)</f>
        <v>0</v>
      </c>
      <c r="I808" s="23">
        <f>SUM($I$7:$I$806)</f>
        <v>0</v>
      </c>
    </row>
  </sheetData>
  <sheetProtection algorithmName="SHA-512" hashValue="fTPsjH1oRuvAS48/J504sQTmFWWgLlWIRWFZlHXuUn5Z2x5Z331doHu+SZ0EKtJQhnvdwaPIoY5DxhyamBLo/A==" saltValue="ghBZ06Bx9IeYQ1hJYDFqSg==" spinCount="100000" sheet="1" objects="1" scenarios="1"/>
  <pageMargins left="0.75" right="0.75" top="1" bottom="1" header="0.5" footer="0.5"/>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Munka14"/>
  <dimension ref="B1:H103"/>
  <sheetViews>
    <sheetView showGridLines="0" workbookViewId="0"/>
  </sheetViews>
  <sheetFormatPr defaultRowHeight="14.4" x14ac:dyDescent="0.3"/>
  <cols>
    <col min="2" max="2" width="14" customWidth="1"/>
    <col min="3" max="3" width="58" customWidth="1"/>
    <col min="4" max="4" width="18" customWidth="1"/>
    <col min="5" max="6" width="16" customWidth="1"/>
    <col min="7" max="7" width="18" customWidth="1"/>
    <col min="8" max="8" width="16" customWidth="1"/>
  </cols>
  <sheetData>
    <row r="1" spans="2:8" ht="73.95" customHeight="1" x14ac:dyDescent="0.3"/>
    <row r="3" spans="2:8" ht="18" x14ac:dyDescent="0.35">
      <c r="B3" s="11" t="str">
        <f>INDEX('91_NYELV'!$C$7:$D$408,143,NYELV_IDX)</f>
        <v>Konszolidációs munkatábla</v>
      </c>
    </row>
    <row r="4" spans="2:8" x14ac:dyDescent="0.3">
      <c r="B4" s="15" t="str">
        <f>INDEX('91_NYELV'!$C$7:$D$408,147,NYELV_IDX)</f>
        <v>Az eredménykimutatásra könyvelt korrekciók az Eredménytartalék, az OCI-ra könyveltek az Egyéb tartalékok sorba záródnak – így a mérleg egyensúlya minden páros tétel után megmarad.</v>
      </c>
    </row>
    <row r="7" spans="2:8" ht="24" x14ac:dyDescent="0.3">
      <c r="B7" s="16" t="str">
        <f>INDEX('91_NYELV'!$C$7:$D$408,9,NYELV_IDX)</f>
        <v>Kód</v>
      </c>
      <c r="C7" s="16" t="str">
        <f>INDEX('91_NYELV'!$C$7:$D$408,10,NYELV_IDX)</f>
        <v>Megnevezés</v>
      </c>
      <c r="D7" s="16" t="str">
        <f>INDEX('91_NYELV'!$C$7:$D$408,144,NYELV_IDX)</f>
        <v>Egyedi adatok (átszámítva)</v>
      </c>
      <c r="E7" s="16" t="str">
        <f>INDEX('91_NYELV'!$C$7:$D$408,139,NYELV_IDX)</f>
        <v>Tartozik</v>
      </c>
      <c r="F7" s="16" t="str">
        <f>INDEX('91_NYELV'!$C$7:$D$408,140,NYELV_IDX)</f>
        <v>Követel</v>
      </c>
      <c r="G7" s="16" t="str">
        <f>INDEX('91_NYELV'!$C$7:$D$408,145,NYELV_IDX)</f>
        <v>Konszolidált érték</v>
      </c>
      <c r="H7" s="16" t="str">
        <f>INDEX('91_NYELV'!$C$7:$D$408,146,NYELV_IDX)</f>
        <v>Napló hatása</v>
      </c>
    </row>
    <row r="8" spans="2:8" x14ac:dyDescent="0.3">
      <c r="B8" s="21" t="s">
        <v>18</v>
      </c>
      <c r="C8" s="22" t="str">
        <f>INDEX('91_NYELV'!$C$7:$D$408,205,NYELV_IDX)</f>
        <v>A. BEFEKTETETT ESZKÖZÖK</v>
      </c>
      <c r="D8" s="8"/>
      <c r="E8" s="8"/>
      <c r="F8" s="8"/>
      <c r="G8" s="23">
        <f>$G$9+$G$10+$G$11+$G$12+$G$13+$G$14+$G$15+$G$16+$G$17</f>
        <v>0</v>
      </c>
      <c r="H8" s="8">
        <f>$H$9+$H$10+$H$11+$H$12+$H$13+$H$14+$H$15+$H$16+$H$17</f>
        <v>0</v>
      </c>
    </row>
    <row r="9" spans="2:8" x14ac:dyDescent="0.3">
      <c r="B9" s="21" t="s">
        <v>19</v>
      </c>
      <c r="C9" s="5" t="str">
        <f>INDEX('91_NYELV'!$C$7:$D$408,206,NYELV_IDX)</f>
        <v>1. Ingatlanok, gépek és berendezések</v>
      </c>
      <c r="D9" s="8">
        <f>'03_ADATBEVITEL'!$E$9*'02_CSOPORT'!$M$7*'02_CSOPORT'!$J$7+'03_ADATBEVITEL'!$F$9*'02_CSOPORT'!$M$8*'02_CSOPORT'!$J$8+'03_ADATBEVITEL'!$G$9*'02_CSOPORT'!$M$9*'02_CSOPORT'!$J$9+'03_ADATBEVITEL'!$H$9*'02_CSOPORT'!$M$10*'02_CSOPORT'!$J$10+'03_ADATBEVITEL'!$I$9*'02_CSOPORT'!$M$11*'02_CSOPORT'!$J$11+'03_ADATBEVITEL'!$J$9*'02_CSOPORT'!$M$12*'02_CSOPORT'!$J$12</f>
        <v>0</v>
      </c>
      <c r="E9" s="8">
        <f>SUMIF('11_NAPLO'!$F$7:$F$806,$B9,'11_NAPLO'!$H$7:$H$806)</f>
        <v>0</v>
      </c>
      <c r="F9" s="8">
        <f>SUMIF('11_NAPLO'!$F$7:$F$806,$B9,'11_NAPLO'!$I$7:$I$806)</f>
        <v>0</v>
      </c>
      <c r="G9" s="30">
        <f t="shared" ref="G9:G17" si="0">$D9+($E9-$F9)</f>
        <v>0</v>
      </c>
      <c r="H9" s="8">
        <f t="shared" ref="H9:H17" si="1">($E9-$F9)</f>
        <v>0</v>
      </c>
    </row>
    <row r="10" spans="2:8" x14ac:dyDescent="0.3">
      <c r="B10" s="21" t="s">
        <v>20</v>
      </c>
      <c r="C10" s="5" t="str">
        <f>INDEX('91_NYELV'!$C$7:$D$408,207,NYELV_IDX)</f>
        <v>2. Használatijog-eszközök</v>
      </c>
      <c r="D10" s="8">
        <f>'03_ADATBEVITEL'!$E$10*'02_CSOPORT'!$M$7*'02_CSOPORT'!$J$7+'03_ADATBEVITEL'!$F$10*'02_CSOPORT'!$M$8*'02_CSOPORT'!$J$8+'03_ADATBEVITEL'!$G$10*'02_CSOPORT'!$M$9*'02_CSOPORT'!$J$9+'03_ADATBEVITEL'!$H$10*'02_CSOPORT'!$M$10*'02_CSOPORT'!$J$10+'03_ADATBEVITEL'!$I$10*'02_CSOPORT'!$M$11*'02_CSOPORT'!$J$11+'03_ADATBEVITEL'!$J$10*'02_CSOPORT'!$M$12*'02_CSOPORT'!$J$12</f>
        <v>0</v>
      </c>
      <c r="E10" s="8">
        <f>SUMIF('11_NAPLO'!$F$7:$F$806,$B10,'11_NAPLO'!$H$7:$H$806)</f>
        <v>0</v>
      </c>
      <c r="F10" s="8">
        <f>SUMIF('11_NAPLO'!$F$7:$F$806,$B10,'11_NAPLO'!$I$7:$I$806)</f>
        <v>0</v>
      </c>
      <c r="G10" s="30">
        <f t="shared" si="0"/>
        <v>0</v>
      </c>
      <c r="H10" s="8">
        <f t="shared" si="1"/>
        <v>0</v>
      </c>
    </row>
    <row r="11" spans="2:8" x14ac:dyDescent="0.3">
      <c r="B11" s="21" t="s">
        <v>21</v>
      </c>
      <c r="C11" s="5" t="str">
        <f>INDEX('91_NYELV'!$C$7:$D$408,208,NYELV_IDX)</f>
        <v>3. Befektetési célú ingatlanok</v>
      </c>
      <c r="D11" s="8">
        <f>'03_ADATBEVITEL'!$E$11*'02_CSOPORT'!$M$7*'02_CSOPORT'!$J$7+'03_ADATBEVITEL'!$F$11*'02_CSOPORT'!$M$8*'02_CSOPORT'!$J$8+'03_ADATBEVITEL'!$G$11*'02_CSOPORT'!$M$9*'02_CSOPORT'!$J$9+'03_ADATBEVITEL'!$H$11*'02_CSOPORT'!$M$10*'02_CSOPORT'!$J$10+'03_ADATBEVITEL'!$I$11*'02_CSOPORT'!$M$11*'02_CSOPORT'!$J$11+'03_ADATBEVITEL'!$J$11*'02_CSOPORT'!$M$12*'02_CSOPORT'!$J$12</f>
        <v>0</v>
      </c>
      <c r="E11" s="8">
        <f>SUMIF('11_NAPLO'!$F$7:$F$806,$B11,'11_NAPLO'!$H$7:$H$806)</f>
        <v>0</v>
      </c>
      <c r="F11" s="8">
        <f>SUMIF('11_NAPLO'!$F$7:$F$806,$B11,'11_NAPLO'!$I$7:$I$806)</f>
        <v>0</v>
      </c>
      <c r="G11" s="30">
        <f t="shared" si="0"/>
        <v>0</v>
      </c>
      <c r="H11" s="8">
        <f t="shared" si="1"/>
        <v>0</v>
      </c>
    </row>
    <row r="12" spans="2:8" x14ac:dyDescent="0.3">
      <c r="B12" s="21" t="s">
        <v>22</v>
      </c>
      <c r="C12" s="5" t="str">
        <f>INDEX('91_NYELV'!$C$7:$D$408,209,NYELV_IDX)</f>
        <v>4. Goodwill (üzleti vagy cégérték)</v>
      </c>
      <c r="D12" s="8">
        <f>'03_ADATBEVITEL'!$E$12*'02_CSOPORT'!$M$7*'02_CSOPORT'!$J$7+'03_ADATBEVITEL'!$F$12*'02_CSOPORT'!$M$8*'02_CSOPORT'!$J$8+'03_ADATBEVITEL'!$G$12*'02_CSOPORT'!$M$9*'02_CSOPORT'!$J$9+'03_ADATBEVITEL'!$H$12*'02_CSOPORT'!$M$10*'02_CSOPORT'!$J$10+'03_ADATBEVITEL'!$I$12*'02_CSOPORT'!$M$11*'02_CSOPORT'!$J$11+'03_ADATBEVITEL'!$J$12*'02_CSOPORT'!$M$12*'02_CSOPORT'!$J$12</f>
        <v>0</v>
      </c>
      <c r="E12" s="8">
        <f>SUMIF('11_NAPLO'!$F$7:$F$806,$B12,'11_NAPLO'!$H$7:$H$806)</f>
        <v>0</v>
      </c>
      <c r="F12" s="8">
        <f>SUMIF('11_NAPLO'!$F$7:$F$806,$B12,'11_NAPLO'!$I$7:$I$806)</f>
        <v>0</v>
      </c>
      <c r="G12" s="30">
        <f t="shared" si="0"/>
        <v>0</v>
      </c>
      <c r="H12" s="8">
        <f t="shared" si="1"/>
        <v>0</v>
      </c>
    </row>
    <row r="13" spans="2:8" x14ac:dyDescent="0.3">
      <c r="B13" s="21" t="s">
        <v>23</v>
      </c>
      <c r="C13" s="5" t="str">
        <f>INDEX('91_NYELV'!$C$7:$D$408,210,NYELV_IDX)</f>
        <v>5. Egyéb immateriális javak</v>
      </c>
      <c r="D13" s="8">
        <f>'03_ADATBEVITEL'!$E$13*'02_CSOPORT'!$M$7*'02_CSOPORT'!$J$7+'03_ADATBEVITEL'!$F$13*'02_CSOPORT'!$M$8*'02_CSOPORT'!$J$8+'03_ADATBEVITEL'!$G$13*'02_CSOPORT'!$M$9*'02_CSOPORT'!$J$9+'03_ADATBEVITEL'!$H$13*'02_CSOPORT'!$M$10*'02_CSOPORT'!$J$10+'03_ADATBEVITEL'!$I$13*'02_CSOPORT'!$M$11*'02_CSOPORT'!$J$11+'03_ADATBEVITEL'!$J$13*'02_CSOPORT'!$M$12*'02_CSOPORT'!$J$12</f>
        <v>0</v>
      </c>
      <c r="E13" s="8">
        <f>SUMIF('11_NAPLO'!$F$7:$F$806,$B13,'11_NAPLO'!$H$7:$H$806)</f>
        <v>0</v>
      </c>
      <c r="F13" s="8">
        <f>SUMIF('11_NAPLO'!$F$7:$F$806,$B13,'11_NAPLO'!$I$7:$I$806)</f>
        <v>0</v>
      </c>
      <c r="G13" s="30">
        <f t="shared" si="0"/>
        <v>0</v>
      </c>
      <c r="H13" s="8">
        <f t="shared" si="1"/>
        <v>0</v>
      </c>
    </row>
    <row r="14" spans="2:8" x14ac:dyDescent="0.3">
      <c r="B14" s="21" t="s">
        <v>24</v>
      </c>
      <c r="C14" s="5" t="str">
        <f>INDEX('91_NYELV'!$C$7:$D$408,211,NYELV_IDX)</f>
        <v>6. Társult és közös vezetésű vállalkozásokban lévő befektetések (equity)</v>
      </c>
      <c r="D14" s="8">
        <f>'03_ADATBEVITEL'!$E$14*'02_CSOPORT'!$M$7*'02_CSOPORT'!$J$7+'03_ADATBEVITEL'!$F$14*'02_CSOPORT'!$M$8*'02_CSOPORT'!$J$8+'03_ADATBEVITEL'!$G$14*'02_CSOPORT'!$M$9*'02_CSOPORT'!$J$9+'03_ADATBEVITEL'!$H$14*'02_CSOPORT'!$M$10*'02_CSOPORT'!$J$10+'03_ADATBEVITEL'!$I$14*'02_CSOPORT'!$M$11*'02_CSOPORT'!$J$11+'03_ADATBEVITEL'!$J$14*'02_CSOPORT'!$M$12*'02_CSOPORT'!$J$12</f>
        <v>0</v>
      </c>
      <c r="E14" s="8">
        <f>SUMIF('11_NAPLO'!$F$7:$F$806,$B14,'11_NAPLO'!$H$7:$H$806)</f>
        <v>0</v>
      </c>
      <c r="F14" s="8">
        <f>SUMIF('11_NAPLO'!$F$7:$F$806,$B14,'11_NAPLO'!$I$7:$I$806)</f>
        <v>0</v>
      </c>
      <c r="G14" s="30">
        <f t="shared" si="0"/>
        <v>0</v>
      </c>
      <c r="H14" s="8">
        <f t="shared" si="1"/>
        <v>0</v>
      </c>
    </row>
    <row r="15" spans="2:8" x14ac:dyDescent="0.3">
      <c r="B15" s="21" t="s">
        <v>25</v>
      </c>
      <c r="C15" s="5" t="str">
        <f>INDEX('91_NYELV'!$C$7:$D$408,212,NYELV_IDX)</f>
        <v>7. Egyéb pénzügyi eszközök (befektetett)</v>
      </c>
      <c r="D15" s="8">
        <f>'03_ADATBEVITEL'!$E$15*'02_CSOPORT'!$M$7*'02_CSOPORT'!$J$7+'03_ADATBEVITEL'!$F$15*'02_CSOPORT'!$M$8*'02_CSOPORT'!$J$8+'03_ADATBEVITEL'!$G$15*'02_CSOPORT'!$M$9*'02_CSOPORT'!$J$9+'03_ADATBEVITEL'!$H$15*'02_CSOPORT'!$M$10*'02_CSOPORT'!$J$10+'03_ADATBEVITEL'!$I$15*'02_CSOPORT'!$M$11*'02_CSOPORT'!$J$11+'03_ADATBEVITEL'!$J$15*'02_CSOPORT'!$M$12*'02_CSOPORT'!$J$12</f>
        <v>0</v>
      </c>
      <c r="E15" s="8">
        <f>SUMIF('11_NAPLO'!$F$7:$F$806,$B15,'11_NAPLO'!$H$7:$H$806)</f>
        <v>0</v>
      </c>
      <c r="F15" s="8">
        <f>SUMIF('11_NAPLO'!$F$7:$F$806,$B15,'11_NAPLO'!$I$7:$I$806)</f>
        <v>0</v>
      </c>
      <c r="G15" s="30">
        <f t="shared" si="0"/>
        <v>0</v>
      </c>
      <c r="H15" s="8">
        <f t="shared" si="1"/>
        <v>0</v>
      </c>
    </row>
    <row r="16" spans="2:8" x14ac:dyDescent="0.3">
      <c r="B16" s="21" t="s">
        <v>26</v>
      </c>
      <c r="C16" s="5" t="str">
        <f>INDEX('91_NYELV'!$C$7:$D$408,213,NYELV_IDX)</f>
        <v>8. Halasztott adókövetelések</v>
      </c>
      <c r="D16" s="8">
        <f>'03_ADATBEVITEL'!$E$16*'02_CSOPORT'!$M$7*'02_CSOPORT'!$J$7+'03_ADATBEVITEL'!$F$16*'02_CSOPORT'!$M$8*'02_CSOPORT'!$J$8+'03_ADATBEVITEL'!$G$16*'02_CSOPORT'!$M$9*'02_CSOPORT'!$J$9+'03_ADATBEVITEL'!$H$16*'02_CSOPORT'!$M$10*'02_CSOPORT'!$J$10+'03_ADATBEVITEL'!$I$16*'02_CSOPORT'!$M$11*'02_CSOPORT'!$J$11+'03_ADATBEVITEL'!$J$16*'02_CSOPORT'!$M$12*'02_CSOPORT'!$J$12</f>
        <v>0</v>
      </c>
      <c r="E16" s="8">
        <f>SUMIF('11_NAPLO'!$F$7:$F$806,$B16,'11_NAPLO'!$H$7:$H$806)</f>
        <v>0</v>
      </c>
      <c r="F16" s="8">
        <f>SUMIF('11_NAPLO'!$F$7:$F$806,$B16,'11_NAPLO'!$I$7:$I$806)</f>
        <v>0</v>
      </c>
      <c r="G16" s="30">
        <f t="shared" si="0"/>
        <v>0</v>
      </c>
      <c r="H16" s="8">
        <f t="shared" si="1"/>
        <v>0</v>
      </c>
    </row>
    <row r="17" spans="2:8" x14ac:dyDescent="0.3">
      <c r="B17" s="21" t="s">
        <v>27</v>
      </c>
      <c r="C17" s="5" t="str">
        <f>INDEX('91_NYELV'!$C$7:$D$408,214,NYELV_IDX)</f>
        <v>9. Egyéb befektetett eszközök</v>
      </c>
      <c r="D17" s="8">
        <f>'03_ADATBEVITEL'!$E$17*'02_CSOPORT'!$M$7*'02_CSOPORT'!$J$7+'03_ADATBEVITEL'!$F$17*'02_CSOPORT'!$M$8*'02_CSOPORT'!$J$8+'03_ADATBEVITEL'!$G$17*'02_CSOPORT'!$M$9*'02_CSOPORT'!$J$9+'03_ADATBEVITEL'!$H$17*'02_CSOPORT'!$M$10*'02_CSOPORT'!$J$10+'03_ADATBEVITEL'!$I$17*'02_CSOPORT'!$M$11*'02_CSOPORT'!$J$11+'03_ADATBEVITEL'!$J$17*'02_CSOPORT'!$M$12*'02_CSOPORT'!$J$12</f>
        <v>0</v>
      </c>
      <c r="E17" s="8">
        <f>SUMIF('11_NAPLO'!$F$7:$F$806,$B17,'11_NAPLO'!$H$7:$H$806)</f>
        <v>0</v>
      </c>
      <c r="F17" s="8">
        <f>SUMIF('11_NAPLO'!$F$7:$F$806,$B17,'11_NAPLO'!$I$7:$I$806)</f>
        <v>0</v>
      </c>
      <c r="G17" s="30">
        <f t="shared" si="0"/>
        <v>0</v>
      </c>
      <c r="H17" s="8">
        <f t="shared" si="1"/>
        <v>0</v>
      </c>
    </row>
    <row r="18" spans="2:8" x14ac:dyDescent="0.3">
      <c r="B18" s="21" t="s">
        <v>28</v>
      </c>
      <c r="C18" s="22" t="str">
        <f>INDEX('91_NYELV'!$C$7:$D$408,215,NYELV_IDX)</f>
        <v>B. FORGÓESZKÖZÖK</v>
      </c>
      <c r="D18" s="8"/>
      <c r="E18" s="8"/>
      <c r="F18" s="8"/>
      <c r="G18" s="23">
        <f>$G$19+$G$20+$G$21+$G$22+$G$23+$G$24+$G$25+$G$26</f>
        <v>0</v>
      </c>
      <c r="H18" s="8">
        <f>$H$19+$H$20+$H$21+$H$22+$H$23+$H$24+$H$25+$H$26</f>
        <v>0</v>
      </c>
    </row>
    <row r="19" spans="2:8" x14ac:dyDescent="0.3">
      <c r="B19" s="21" t="s">
        <v>29</v>
      </c>
      <c r="C19" s="5" t="str">
        <f>INDEX('91_NYELV'!$C$7:$D$408,216,NYELV_IDX)</f>
        <v>1. Készletek</v>
      </c>
      <c r="D19" s="8">
        <f>'03_ADATBEVITEL'!$E$19*'02_CSOPORT'!$M$7*'02_CSOPORT'!$J$7+'03_ADATBEVITEL'!$F$19*'02_CSOPORT'!$M$8*'02_CSOPORT'!$J$8+'03_ADATBEVITEL'!$G$19*'02_CSOPORT'!$M$9*'02_CSOPORT'!$J$9+'03_ADATBEVITEL'!$H$19*'02_CSOPORT'!$M$10*'02_CSOPORT'!$J$10+'03_ADATBEVITEL'!$I$19*'02_CSOPORT'!$M$11*'02_CSOPORT'!$J$11+'03_ADATBEVITEL'!$J$19*'02_CSOPORT'!$M$12*'02_CSOPORT'!$J$12</f>
        <v>0</v>
      </c>
      <c r="E19" s="8">
        <f>SUMIF('11_NAPLO'!$F$7:$F$806,$B19,'11_NAPLO'!$H$7:$H$806)</f>
        <v>0</v>
      </c>
      <c r="F19" s="8">
        <f>SUMIF('11_NAPLO'!$F$7:$F$806,$B19,'11_NAPLO'!$I$7:$I$806)</f>
        <v>0</v>
      </c>
      <c r="G19" s="30">
        <f t="shared" ref="G19:G26" si="2">$D19+($E19-$F19)</f>
        <v>0</v>
      </c>
      <c r="H19" s="8">
        <f t="shared" ref="H19:H26" si="3">($E19-$F19)</f>
        <v>0</v>
      </c>
    </row>
    <row r="20" spans="2:8" x14ac:dyDescent="0.3">
      <c r="B20" s="21" t="s">
        <v>30</v>
      </c>
      <c r="C20" s="5" t="str">
        <f>INDEX('91_NYELV'!$C$7:$D$408,217,NYELV_IDX)</f>
        <v>2. Vevő- és egyéb követelések</v>
      </c>
      <c r="D20" s="8">
        <f>'03_ADATBEVITEL'!$E$20*'02_CSOPORT'!$M$7*'02_CSOPORT'!$J$7+'03_ADATBEVITEL'!$F$20*'02_CSOPORT'!$M$8*'02_CSOPORT'!$J$8+'03_ADATBEVITEL'!$G$20*'02_CSOPORT'!$M$9*'02_CSOPORT'!$J$9+'03_ADATBEVITEL'!$H$20*'02_CSOPORT'!$M$10*'02_CSOPORT'!$J$10+'03_ADATBEVITEL'!$I$20*'02_CSOPORT'!$M$11*'02_CSOPORT'!$J$11+'03_ADATBEVITEL'!$J$20*'02_CSOPORT'!$M$12*'02_CSOPORT'!$J$12</f>
        <v>0</v>
      </c>
      <c r="E20" s="8">
        <f>SUMIF('11_NAPLO'!$F$7:$F$806,$B20,'11_NAPLO'!$H$7:$H$806)</f>
        <v>0</v>
      </c>
      <c r="F20" s="8">
        <f>SUMIF('11_NAPLO'!$F$7:$F$806,$B20,'11_NAPLO'!$I$7:$I$806)</f>
        <v>0</v>
      </c>
      <c r="G20" s="30">
        <f t="shared" si="2"/>
        <v>0</v>
      </c>
      <c r="H20" s="8">
        <f t="shared" si="3"/>
        <v>0</v>
      </c>
    </row>
    <row r="21" spans="2:8" x14ac:dyDescent="0.3">
      <c r="B21" s="21" t="s">
        <v>31</v>
      </c>
      <c r="C21" s="5" t="str">
        <f>INDEX('91_NYELV'!$C$7:$D$408,218,NYELV_IDX)</f>
        <v>3. Szerződéses eszközök</v>
      </c>
      <c r="D21" s="8">
        <f>'03_ADATBEVITEL'!$E$21*'02_CSOPORT'!$M$7*'02_CSOPORT'!$J$7+'03_ADATBEVITEL'!$F$21*'02_CSOPORT'!$M$8*'02_CSOPORT'!$J$8+'03_ADATBEVITEL'!$G$21*'02_CSOPORT'!$M$9*'02_CSOPORT'!$J$9+'03_ADATBEVITEL'!$H$21*'02_CSOPORT'!$M$10*'02_CSOPORT'!$J$10+'03_ADATBEVITEL'!$I$21*'02_CSOPORT'!$M$11*'02_CSOPORT'!$J$11+'03_ADATBEVITEL'!$J$21*'02_CSOPORT'!$M$12*'02_CSOPORT'!$J$12</f>
        <v>0</v>
      </c>
      <c r="E21" s="8">
        <f>SUMIF('11_NAPLO'!$F$7:$F$806,$B21,'11_NAPLO'!$H$7:$H$806)</f>
        <v>0</v>
      </c>
      <c r="F21" s="8">
        <f>SUMIF('11_NAPLO'!$F$7:$F$806,$B21,'11_NAPLO'!$I$7:$I$806)</f>
        <v>0</v>
      </c>
      <c r="G21" s="30">
        <f t="shared" si="2"/>
        <v>0</v>
      </c>
      <c r="H21" s="8">
        <f t="shared" si="3"/>
        <v>0</v>
      </c>
    </row>
    <row r="22" spans="2:8" x14ac:dyDescent="0.3">
      <c r="B22" s="21" t="s">
        <v>32</v>
      </c>
      <c r="C22" s="5" t="str">
        <f>INDEX('91_NYELV'!$C$7:$D$408,219,NYELV_IDX)</f>
        <v>4. Egyéb pénzügyi eszközök (forgó)</v>
      </c>
      <c r="D22" s="8">
        <f>'03_ADATBEVITEL'!$E$22*'02_CSOPORT'!$M$7*'02_CSOPORT'!$J$7+'03_ADATBEVITEL'!$F$22*'02_CSOPORT'!$M$8*'02_CSOPORT'!$J$8+'03_ADATBEVITEL'!$G$22*'02_CSOPORT'!$M$9*'02_CSOPORT'!$J$9+'03_ADATBEVITEL'!$H$22*'02_CSOPORT'!$M$10*'02_CSOPORT'!$J$10+'03_ADATBEVITEL'!$I$22*'02_CSOPORT'!$M$11*'02_CSOPORT'!$J$11+'03_ADATBEVITEL'!$J$22*'02_CSOPORT'!$M$12*'02_CSOPORT'!$J$12</f>
        <v>0</v>
      </c>
      <c r="E22" s="8">
        <f>SUMIF('11_NAPLO'!$F$7:$F$806,$B22,'11_NAPLO'!$H$7:$H$806)</f>
        <v>0</v>
      </c>
      <c r="F22" s="8">
        <f>SUMIF('11_NAPLO'!$F$7:$F$806,$B22,'11_NAPLO'!$I$7:$I$806)</f>
        <v>0</v>
      </c>
      <c r="G22" s="30">
        <f t="shared" si="2"/>
        <v>0</v>
      </c>
      <c r="H22" s="8">
        <f t="shared" si="3"/>
        <v>0</v>
      </c>
    </row>
    <row r="23" spans="2:8" x14ac:dyDescent="0.3">
      <c r="B23" s="21" t="s">
        <v>33</v>
      </c>
      <c r="C23" s="5" t="str">
        <f>INDEX('91_NYELV'!$C$7:$D$408,220,NYELV_IDX)</f>
        <v>5. Tényleges adókövetelések</v>
      </c>
      <c r="D23" s="8">
        <f>'03_ADATBEVITEL'!$E$23*'02_CSOPORT'!$M$7*'02_CSOPORT'!$J$7+'03_ADATBEVITEL'!$F$23*'02_CSOPORT'!$M$8*'02_CSOPORT'!$J$8+'03_ADATBEVITEL'!$G$23*'02_CSOPORT'!$M$9*'02_CSOPORT'!$J$9+'03_ADATBEVITEL'!$H$23*'02_CSOPORT'!$M$10*'02_CSOPORT'!$J$10+'03_ADATBEVITEL'!$I$23*'02_CSOPORT'!$M$11*'02_CSOPORT'!$J$11+'03_ADATBEVITEL'!$J$23*'02_CSOPORT'!$M$12*'02_CSOPORT'!$J$12</f>
        <v>0</v>
      </c>
      <c r="E23" s="8">
        <f>SUMIF('11_NAPLO'!$F$7:$F$806,$B23,'11_NAPLO'!$H$7:$H$806)</f>
        <v>0</v>
      </c>
      <c r="F23" s="8">
        <f>SUMIF('11_NAPLO'!$F$7:$F$806,$B23,'11_NAPLO'!$I$7:$I$806)</f>
        <v>0</v>
      </c>
      <c r="G23" s="30">
        <f t="shared" si="2"/>
        <v>0</v>
      </c>
      <c r="H23" s="8">
        <f t="shared" si="3"/>
        <v>0</v>
      </c>
    </row>
    <row r="24" spans="2:8" x14ac:dyDescent="0.3">
      <c r="B24" s="21" t="s">
        <v>34</v>
      </c>
      <c r="C24" s="5" t="str">
        <f>INDEX('91_NYELV'!$C$7:$D$408,221,NYELV_IDX)</f>
        <v>6. Egyéb forgóeszközök, aktív időbeli elhatárolások</v>
      </c>
      <c r="D24" s="8">
        <f>'03_ADATBEVITEL'!$E$24*'02_CSOPORT'!$M$7*'02_CSOPORT'!$J$7+'03_ADATBEVITEL'!$F$24*'02_CSOPORT'!$M$8*'02_CSOPORT'!$J$8+'03_ADATBEVITEL'!$G$24*'02_CSOPORT'!$M$9*'02_CSOPORT'!$J$9+'03_ADATBEVITEL'!$H$24*'02_CSOPORT'!$M$10*'02_CSOPORT'!$J$10+'03_ADATBEVITEL'!$I$24*'02_CSOPORT'!$M$11*'02_CSOPORT'!$J$11+'03_ADATBEVITEL'!$J$24*'02_CSOPORT'!$M$12*'02_CSOPORT'!$J$12</f>
        <v>0</v>
      </c>
      <c r="E24" s="8">
        <f>SUMIF('11_NAPLO'!$F$7:$F$806,$B24,'11_NAPLO'!$H$7:$H$806)</f>
        <v>0</v>
      </c>
      <c r="F24" s="8">
        <f>SUMIF('11_NAPLO'!$F$7:$F$806,$B24,'11_NAPLO'!$I$7:$I$806)</f>
        <v>0</v>
      </c>
      <c r="G24" s="30">
        <f t="shared" si="2"/>
        <v>0</v>
      </c>
      <c r="H24" s="8">
        <f t="shared" si="3"/>
        <v>0</v>
      </c>
    </row>
    <row r="25" spans="2:8" x14ac:dyDescent="0.3">
      <c r="B25" s="21" t="s">
        <v>35</v>
      </c>
      <c r="C25" s="5" t="str">
        <f>INDEX('91_NYELV'!$C$7:$D$408,222,NYELV_IDX)</f>
        <v>7. Pénzeszközök és pénzeszköz-egyenértékesek</v>
      </c>
      <c r="D25" s="8">
        <f>'03_ADATBEVITEL'!$E$25*'02_CSOPORT'!$M$7*'02_CSOPORT'!$J$7+'03_ADATBEVITEL'!$F$25*'02_CSOPORT'!$M$8*'02_CSOPORT'!$J$8+'03_ADATBEVITEL'!$G$25*'02_CSOPORT'!$M$9*'02_CSOPORT'!$J$9+'03_ADATBEVITEL'!$H$25*'02_CSOPORT'!$M$10*'02_CSOPORT'!$J$10+'03_ADATBEVITEL'!$I$25*'02_CSOPORT'!$M$11*'02_CSOPORT'!$J$11+'03_ADATBEVITEL'!$J$25*'02_CSOPORT'!$M$12*'02_CSOPORT'!$J$12</f>
        <v>0</v>
      </c>
      <c r="E25" s="8">
        <f>SUMIF('11_NAPLO'!$F$7:$F$806,$B25,'11_NAPLO'!$H$7:$H$806)</f>
        <v>0</v>
      </c>
      <c r="F25" s="8">
        <f>SUMIF('11_NAPLO'!$F$7:$F$806,$B25,'11_NAPLO'!$I$7:$I$806)</f>
        <v>0</v>
      </c>
      <c r="G25" s="30">
        <f t="shared" si="2"/>
        <v>0</v>
      </c>
      <c r="H25" s="8">
        <f t="shared" si="3"/>
        <v>0</v>
      </c>
    </row>
    <row r="26" spans="2:8" x14ac:dyDescent="0.3">
      <c r="B26" s="21" t="s">
        <v>36</v>
      </c>
      <c r="C26" s="5" t="str">
        <f>INDEX('91_NYELV'!$C$7:$D$408,223,NYELV_IDX)</f>
        <v>8. Értékesítésre tartott eszközök (IFRS 5)</v>
      </c>
      <c r="D26" s="8">
        <f>'03_ADATBEVITEL'!$E$26*'02_CSOPORT'!$M$7*'02_CSOPORT'!$J$7+'03_ADATBEVITEL'!$F$26*'02_CSOPORT'!$M$8*'02_CSOPORT'!$J$8+'03_ADATBEVITEL'!$G$26*'02_CSOPORT'!$M$9*'02_CSOPORT'!$J$9+'03_ADATBEVITEL'!$H$26*'02_CSOPORT'!$M$10*'02_CSOPORT'!$J$10+'03_ADATBEVITEL'!$I$26*'02_CSOPORT'!$M$11*'02_CSOPORT'!$J$11+'03_ADATBEVITEL'!$J$26*'02_CSOPORT'!$M$12*'02_CSOPORT'!$J$12</f>
        <v>0</v>
      </c>
      <c r="E26" s="8">
        <f>SUMIF('11_NAPLO'!$F$7:$F$806,$B26,'11_NAPLO'!$H$7:$H$806)</f>
        <v>0</v>
      </c>
      <c r="F26" s="8">
        <f>SUMIF('11_NAPLO'!$F$7:$F$806,$B26,'11_NAPLO'!$I$7:$I$806)</f>
        <v>0</v>
      </c>
      <c r="G26" s="30">
        <f t="shared" si="2"/>
        <v>0</v>
      </c>
      <c r="H26" s="8">
        <f t="shared" si="3"/>
        <v>0</v>
      </c>
    </row>
    <row r="27" spans="2:8" x14ac:dyDescent="0.3">
      <c r="B27" s="21" t="s">
        <v>37</v>
      </c>
      <c r="C27" s="22" t="str">
        <f>INDEX('91_NYELV'!$C$7:$D$408,224,NYELV_IDX)</f>
        <v>ESZKÖZÖK ÖSSZESEN</v>
      </c>
      <c r="D27" s="8"/>
      <c r="E27" s="8"/>
      <c r="F27" s="8"/>
      <c r="G27" s="23">
        <f>$G$8+$G$18</f>
        <v>0</v>
      </c>
      <c r="H27" s="8">
        <f>$H$8+$H$18</f>
        <v>0</v>
      </c>
    </row>
    <row r="28" spans="2:8" x14ac:dyDescent="0.3">
      <c r="B28" s="21" t="s">
        <v>38</v>
      </c>
      <c r="C28" s="22" t="str">
        <f>INDEX('91_NYELV'!$C$7:$D$408,225,NYELV_IDX)</f>
        <v>C. AZ ANYAVÁLLALAT TULAJDONOSAIRA JUTÓ SAJÁT TŐKE</v>
      </c>
      <c r="D28" s="8"/>
      <c r="E28" s="8"/>
      <c r="F28" s="8"/>
      <c r="G28" s="23">
        <f>$G$29+$G$30+$G$31+$G$32+$G$33+$G$34</f>
        <v>0</v>
      </c>
      <c r="H28" s="8">
        <f>$H$29+$H$30+$H$31+$H$32+$H$33+$H$34</f>
        <v>0</v>
      </c>
    </row>
    <row r="29" spans="2:8" x14ac:dyDescent="0.3">
      <c r="B29" s="21" t="s">
        <v>39</v>
      </c>
      <c r="C29" s="5" t="str">
        <f>INDEX('91_NYELV'!$C$7:$D$408,226,NYELV_IDX)</f>
        <v>1. Jegyzett tőke</v>
      </c>
      <c r="D29" s="8">
        <f>'03_ADATBEVITEL'!$E$29*'02_CSOPORT'!$M$7*'02_CSOPORT'!$J$7+'03_ADATBEVITEL'!$F$29*'02_CSOPORT'!$M$8*'02_CSOPORT'!$J$8+'03_ADATBEVITEL'!$G$29*'02_CSOPORT'!$M$9*'02_CSOPORT'!$J$9+'03_ADATBEVITEL'!$H$29*'02_CSOPORT'!$M$10*'02_CSOPORT'!$J$10+'03_ADATBEVITEL'!$I$29*'02_CSOPORT'!$M$11*'02_CSOPORT'!$J$11+'03_ADATBEVITEL'!$J$29*'02_CSOPORT'!$M$12*'02_CSOPORT'!$J$12</f>
        <v>0</v>
      </c>
      <c r="E29" s="8">
        <f>SUMIF('11_NAPLO'!$F$7:$F$806,$B29,'11_NAPLO'!$H$7:$H$806)</f>
        <v>0</v>
      </c>
      <c r="F29" s="8">
        <f>SUMIF('11_NAPLO'!$F$7:$F$806,$B29,'11_NAPLO'!$I$7:$I$806)</f>
        <v>0</v>
      </c>
      <c r="G29" s="30">
        <f>$D29-($E29-$F29)</f>
        <v>0</v>
      </c>
      <c r="H29" s="8">
        <f>-($E29-$F29)</f>
        <v>0</v>
      </c>
    </row>
    <row r="30" spans="2:8" x14ac:dyDescent="0.3">
      <c r="B30" s="21" t="s">
        <v>40</v>
      </c>
      <c r="C30" s="5" t="str">
        <f>INDEX('91_NYELV'!$C$7:$D$408,227,NYELV_IDX)</f>
        <v>2. Tőketartalék (ázsió)</v>
      </c>
      <c r="D30" s="8">
        <f>'03_ADATBEVITEL'!$E$30*'02_CSOPORT'!$M$7*'02_CSOPORT'!$J$7+'03_ADATBEVITEL'!$F$30*'02_CSOPORT'!$M$8*'02_CSOPORT'!$J$8+'03_ADATBEVITEL'!$G$30*'02_CSOPORT'!$M$9*'02_CSOPORT'!$J$9+'03_ADATBEVITEL'!$H$30*'02_CSOPORT'!$M$10*'02_CSOPORT'!$J$10+'03_ADATBEVITEL'!$I$30*'02_CSOPORT'!$M$11*'02_CSOPORT'!$J$11+'03_ADATBEVITEL'!$J$30*'02_CSOPORT'!$M$12*'02_CSOPORT'!$J$12</f>
        <v>0</v>
      </c>
      <c r="E30" s="8">
        <f>SUMIF('11_NAPLO'!$F$7:$F$806,$B30,'11_NAPLO'!$H$7:$H$806)</f>
        <v>0</v>
      </c>
      <c r="F30" s="8">
        <f>SUMIF('11_NAPLO'!$F$7:$F$806,$B30,'11_NAPLO'!$I$7:$I$806)</f>
        <v>0</v>
      </c>
      <c r="G30" s="30">
        <f>$D30-($E30-$F30)</f>
        <v>0</v>
      </c>
      <c r="H30" s="8">
        <f>-($E30-$F30)</f>
        <v>0</v>
      </c>
    </row>
    <row r="31" spans="2:8" x14ac:dyDescent="0.3">
      <c r="B31" s="21" t="s">
        <v>41</v>
      </c>
      <c r="C31" s="5" t="str">
        <f>INDEX('91_NYELV'!$C$7:$D$408,228,NYELV_IDX)</f>
        <v>3. Visszavásárolt saját részvények (–)</v>
      </c>
      <c r="D31" s="8">
        <f>'03_ADATBEVITEL'!$E$31*'02_CSOPORT'!$M$7*'02_CSOPORT'!$J$7+'03_ADATBEVITEL'!$F$31*'02_CSOPORT'!$M$8*'02_CSOPORT'!$J$8+'03_ADATBEVITEL'!$G$31*'02_CSOPORT'!$M$9*'02_CSOPORT'!$J$9+'03_ADATBEVITEL'!$H$31*'02_CSOPORT'!$M$10*'02_CSOPORT'!$J$10+'03_ADATBEVITEL'!$I$31*'02_CSOPORT'!$M$11*'02_CSOPORT'!$J$11+'03_ADATBEVITEL'!$J$31*'02_CSOPORT'!$M$12*'02_CSOPORT'!$J$12</f>
        <v>0</v>
      </c>
      <c r="E31" s="8">
        <f>SUMIF('11_NAPLO'!$F$7:$F$806,$B31,'11_NAPLO'!$H$7:$H$806)</f>
        <v>0</v>
      </c>
      <c r="F31" s="8">
        <f>SUMIF('11_NAPLO'!$F$7:$F$806,$B31,'11_NAPLO'!$I$7:$I$806)</f>
        <v>0</v>
      </c>
      <c r="G31" s="30">
        <f>$D31-($E31-$F31)</f>
        <v>0</v>
      </c>
      <c r="H31" s="8">
        <f>-($E31-$F31)</f>
        <v>0</v>
      </c>
    </row>
    <row r="32" spans="2:8" x14ac:dyDescent="0.3">
      <c r="B32" s="21" t="s">
        <v>42</v>
      </c>
      <c r="C32" s="5" t="str">
        <f>INDEX('91_NYELV'!$C$7:$D$408,229,NYELV_IDX)</f>
        <v>4. Eredménytartalék</v>
      </c>
      <c r="D32" s="8">
        <f>'03_ADATBEVITEL'!$E$32*'02_CSOPORT'!$M$7*'02_CSOPORT'!$J$7+'03_ADATBEVITEL'!$F$32*'02_CSOPORT'!$M$8*'02_CSOPORT'!$J$8+'03_ADATBEVITEL'!$G$32*'02_CSOPORT'!$M$9*'02_CSOPORT'!$J$9+'03_ADATBEVITEL'!$H$32*'02_CSOPORT'!$M$10*'02_CSOPORT'!$J$10+'03_ADATBEVITEL'!$I$32*'02_CSOPORT'!$M$11*'02_CSOPORT'!$J$11+'03_ADATBEVITEL'!$J$32*'02_CSOPORT'!$M$12*'02_CSOPORT'!$J$12</f>
        <v>0</v>
      </c>
      <c r="E32" s="8">
        <f>SUMIF('11_NAPLO'!$F$7:$F$806,$B32,'11_NAPLO'!$H$7:$H$806)</f>
        <v>0</v>
      </c>
      <c r="F32" s="8">
        <f>SUMIF('11_NAPLO'!$F$7:$F$806,$B32,'11_NAPLO'!$I$7:$I$806)</f>
        <v>0</v>
      </c>
      <c r="G32" s="30">
        <f>$D32-($E32-$F32)+'12_MUNKATABLA'!$H$81</f>
        <v>0</v>
      </c>
      <c r="H32" s="8">
        <f>-($E32-$F32)+'12_MUNKATABLA'!$H$81</f>
        <v>0</v>
      </c>
    </row>
    <row r="33" spans="2:8" x14ac:dyDescent="0.3">
      <c r="B33" s="21" t="s">
        <v>43</v>
      </c>
      <c r="C33" s="5" t="str">
        <f>INDEX('91_NYELV'!$C$7:$D$408,230,NYELV_IDX)</f>
        <v>5. Átszámítási különbözet (külföldi érdekeltségek)</v>
      </c>
      <c r="D33" s="8">
        <f>'03_ADATBEVITEL'!$E$33*'02_CSOPORT'!$M$7*'02_CSOPORT'!$J$7+'03_ADATBEVITEL'!$F$33*'02_CSOPORT'!$M$8*'02_CSOPORT'!$J$8+'03_ADATBEVITEL'!$G$33*'02_CSOPORT'!$M$9*'02_CSOPORT'!$J$9+'03_ADATBEVITEL'!$H$33*'02_CSOPORT'!$M$10*'02_CSOPORT'!$J$10+'03_ADATBEVITEL'!$I$33*'02_CSOPORT'!$M$11*'02_CSOPORT'!$J$11+'03_ADATBEVITEL'!$J$33*'02_CSOPORT'!$M$12*'02_CSOPORT'!$J$12</f>
        <v>0</v>
      </c>
      <c r="E33" s="8">
        <f>SUMIF('11_NAPLO'!$F$7:$F$806,$B33,'11_NAPLO'!$H$7:$H$806)</f>
        <v>0</v>
      </c>
      <c r="F33" s="8">
        <f>SUMIF('11_NAPLO'!$F$7:$F$806,$B33,'11_NAPLO'!$I$7:$I$806)</f>
        <v>0</v>
      </c>
      <c r="G33" s="30">
        <f>$D33-($E33-$F33)</f>
        <v>0</v>
      </c>
      <c r="H33" s="8">
        <f>-($E33-$F33)</f>
        <v>0</v>
      </c>
    </row>
    <row r="34" spans="2:8" x14ac:dyDescent="0.3">
      <c r="B34" s="21" t="s">
        <v>44</v>
      </c>
      <c r="C34" s="5" t="str">
        <f>INDEX('91_NYELV'!$C$7:$D$408,231,NYELV_IDX)</f>
        <v>6. Egyéb tartalékok (értékelési, fedezeti, FVOCI)</v>
      </c>
      <c r="D34" s="8">
        <f>'03_ADATBEVITEL'!$E$34*'02_CSOPORT'!$M$7*'02_CSOPORT'!$J$7+'03_ADATBEVITEL'!$F$34*'02_CSOPORT'!$M$8*'02_CSOPORT'!$J$8+'03_ADATBEVITEL'!$G$34*'02_CSOPORT'!$M$9*'02_CSOPORT'!$J$9+'03_ADATBEVITEL'!$H$34*'02_CSOPORT'!$M$10*'02_CSOPORT'!$J$10+'03_ADATBEVITEL'!$I$34*'02_CSOPORT'!$M$11*'02_CSOPORT'!$J$11+'03_ADATBEVITEL'!$J$34*'02_CSOPORT'!$M$12*'02_CSOPORT'!$J$12</f>
        <v>0</v>
      </c>
      <c r="E34" s="8">
        <f>SUMIF('11_NAPLO'!$F$7:$F$806,$B34,'11_NAPLO'!$H$7:$H$806)</f>
        <v>0</v>
      </c>
      <c r="F34" s="8">
        <f>SUMIF('11_NAPLO'!$F$7:$F$806,$B34,'11_NAPLO'!$I$7:$I$806)</f>
        <v>0</v>
      </c>
      <c r="G34" s="30">
        <f>$D34-($E34-$F34)+'12_MUNKATABLA'!$H$100</f>
        <v>0</v>
      </c>
      <c r="H34" s="8">
        <f>-($E34-$F34)+'12_MUNKATABLA'!$H$100</f>
        <v>0</v>
      </c>
    </row>
    <row r="35" spans="2:8" x14ac:dyDescent="0.3">
      <c r="B35" s="21" t="s">
        <v>45</v>
      </c>
      <c r="C35" s="22" t="str">
        <f>INDEX('91_NYELV'!$C$7:$D$408,232,NYELV_IDX)</f>
        <v>D. NEM ELLENŐRZŐ RÉSZESEDÉSEK</v>
      </c>
      <c r="D35" s="8">
        <f>'03_ADATBEVITEL'!$E$35*'02_CSOPORT'!$M$7*'02_CSOPORT'!$J$7+'03_ADATBEVITEL'!$F$35*'02_CSOPORT'!$M$8*'02_CSOPORT'!$J$8+'03_ADATBEVITEL'!$G$35*'02_CSOPORT'!$M$9*'02_CSOPORT'!$J$9+'03_ADATBEVITEL'!$H$35*'02_CSOPORT'!$M$10*'02_CSOPORT'!$J$10+'03_ADATBEVITEL'!$I$35*'02_CSOPORT'!$M$11*'02_CSOPORT'!$J$11+'03_ADATBEVITEL'!$J$35*'02_CSOPORT'!$M$12*'02_CSOPORT'!$J$12</f>
        <v>0</v>
      </c>
      <c r="E35" s="8">
        <f>SUMIF('11_NAPLO'!$F$7:$F$806,$B35,'11_NAPLO'!$H$7:$H$806)</f>
        <v>0</v>
      </c>
      <c r="F35" s="8">
        <f>SUMIF('11_NAPLO'!$F$7:$F$806,$B35,'11_NAPLO'!$I$7:$I$806)</f>
        <v>0</v>
      </c>
      <c r="G35" s="30">
        <f>$D35-($E35-$F35)</f>
        <v>0</v>
      </c>
      <c r="H35" s="8">
        <f>-($E35-$F35)</f>
        <v>0</v>
      </c>
    </row>
    <row r="36" spans="2:8" x14ac:dyDescent="0.3">
      <c r="B36" s="21" t="s">
        <v>46</v>
      </c>
      <c r="C36" s="22" t="str">
        <f>INDEX('91_NYELV'!$C$7:$D$408,233,NYELV_IDX)</f>
        <v>SAJÁT TŐKE ÖSSZESEN</v>
      </c>
      <c r="D36" s="8"/>
      <c r="E36" s="8"/>
      <c r="F36" s="8"/>
      <c r="G36" s="23">
        <f>$G$28+$G$35</f>
        <v>0</v>
      </c>
      <c r="H36" s="8">
        <f>$H$28+$H$35</f>
        <v>0</v>
      </c>
    </row>
    <row r="37" spans="2:8" x14ac:dyDescent="0.3">
      <c r="B37" s="21" t="s">
        <v>47</v>
      </c>
      <c r="C37" s="22" t="str">
        <f>INDEX('91_NYELV'!$C$7:$D$408,234,NYELV_IDX)</f>
        <v>E. HOSSZÚ LEJÁRATÚ KÖTELEZETTSÉGEK</v>
      </c>
      <c r="D37" s="8"/>
      <c r="E37" s="8"/>
      <c r="F37" s="8"/>
      <c r="G37" s="23">
        <f>$G$38+$G$39+$G$40+$G$41+$G$42+$G$43</f>
        <v>0</v>
      </c>
      <c r="H37" s="8">
        <f>$H$38+$H$39+$H$40+$H$41+$H$42+$H$43</f>
        <v>0</v>
      </c>
    </row>
    <row r="38" spans="2:8" x14ac:dyDescent="0.3">
      <c r="B38" s="21" t="s">
        <v>48</v>
      </c>
      <c r="C38" s="5" t="str">
        <f>INDEX('91_NYELV'!$C$7:$D$408,235,NYELV_IDX)</f>
        <v>1. Hitelek és kölcsönök (hosszú lejáratú)</v>
      </c>
      <c r="D38" s="8">
        <f>'03_ADATBEVITEL'!$E$38*'02_CSOPORT'!$M$7*'02_CSOPORT'!$J$7+'03_ADATBEVITEL'!$F$38*'02_CSOPORT'!$M$8*'02_CSOPORT'!$J$8+'03_ADATBEVITEL'!$G$38*'02_CSOPORT'!$M$9*'02_CSOPORT'!$J$9+'03_ADATBEVITEL'!$H$38*'02_CSOPORT'!$M$10*'02_CSOPORT'!$J$10+'03_ADATBEVITEL'!$I$38*'02_CSOPORT'!$M$11*'02_CSOPORT'!$J$11+'03_ADATBEVITEL'!$J$38*'02_CSOPORT'!$M$12*'02_CSOPORT'!$J$12</f>
        <v>0</v>
      </c>
      <c r="E38" s="8">
        <f>SUMIF('11_NAPLO'!$F$7:$F$806,$B38,'11_NAPLO'!$H$7:$H$806)</f>
        <v>0</v>
      </c>
      <c r="F38" s="8">
        <f>SUMIF('11_NAPLO'!$F$7:$F$806,$B38,'11_NAPLO'!$I$7:$I$806)</f>
        <v>0</v>
      </c>
      <c r="G38" s="30">
        <f t="shared" ref="G38:G43" si="4">$D38-($E38-$F38)</f>
        <v>0</v>
      </c>
      <c r="H38" s="8">
        <f t="shared" ref="H38:H43" si="5">-($E38-$F38)</f>
        <v>0</v>
      </c>
    </row>
    <row r="39" spans="2:8" x14ac:dyDescent="0.3">
      <c r="B39" s="21" t="s">
        <v>49</v>
      </c>
      <c r="C39" s="5" t="str">
        <f>INDEX('91_NYELV'!$C$7:$D$408,236,NYELV_IDX)</f>
        <v>2. Lízingkötelezettségek (hosszú lejáratú)</v>
      </c>
      <c r="D39" s="8">
        <f>'03_ADATBEVITEL'!$E$39*'02_CSOPORT'!$M$7*'02_CSOPORT'!$J$7+'03_ADATBEVITEL'!$F$39*'02_CSOPORT'!$M$8*'02_CSOPORT'!$J$8+'03_ADATBEVITEL'!$G$39*'02_CSOPORT'!$M$9*'02_CSOPORT'!$J$9+'03_ADATBEVITEL'!$H$39*'02_CSOPORT'!$M$10*'02_CSOPORT'!$J$10+'03_ADATBEVITEL'!$I$39*'02_CSOPORT'!$M$11*'02_CSOPORT'!$J$11+'03_ADATBEVITEL'!$J$39*'02_CSOPORT'!$M$12*'02_CSOPORT'!$J$12</f>
        <v>0</v>
      </c>
      <c r="E39" s="8">
        <f>SUMIF('11_NAPLO'!$F$7:$F$806,$B39,'11_NAPLO'!$H$7:$H$806)</f>
        <v>0</v>
      </c>
      <c r="F39" s="8">
        <f>SUMIF('11_NAPLO'!$F$7:$F$806,$B39,'11_NAPLO'!$I$7:$I$806)</f>
        <v>0</v>
      </c>
      <c r="G39" s="30">
        <f t="shared" si="4"/>
        <v>0</v>
      </c>
      <c r="H39" s="8">
        <f t="shared" si="5"/>
        <v>0</v>
      </c>
    </row>
    <row r="40" spans="2:8" x14ac:dyDescent="0.3">
      <c r="B40" s="21" t="s">
        <v>50</v>
      </c>
      <c r="C40" s="5" t="str">
        <f>INDEX('91_NYELV'!$C$7:$D$408,237,NYELV_IDX)</f>
        <v>3. Halasztott adókötelezettségek</v>
      </c>
      <c r="D40" s="8">
        <f>'03_ADATBEVITEL'!$E$40*'02_CSOPORT'!$M$7*'02_CSOPORT'!$J$7+'03_ADATBEVITEL'!$F$40*'02_CSOPORT'!$M$8*'02_CSOPORT'!$J$8+'03_ADATBEVITEL'!$G$40*'02_CSOPORT'!$M$9*'02_CSOPORT'!$J$9+'03_ADATBEVITEL'!$H$40*'02_CSOPORT'!$M$10*'02_CSOPORT'!$J$10+'03_ADATBEVITEL'!$I$40*'02_CSOPORT'!$M$11*'02_CSOPORT'!$J$11+'03_ADATBEVITEL'!$J$40*'02_CSOPORT'!$M$12*'02_CSOPORT'!$J$12</f>
        <v>0</v>
      </c>
      <c r="E40" s="8">
        <f>SUMIF('11_NAPLO'!$F$7:$F$806,$B40,'11_NAPLO'!$H$7:$H$806)</f>
        <v>0</v>
      </c>
      <c r="F40" s="8">
        <f>SUMIF('11_NAPLO'!$F$7:$F$806,$B40,'11_NAPLO'!$I$7:$I$806)</f>
        <v>0</v>
      </c>
      <c r="G40" s="30">
        <f t="shared" si="4"/>
        <v>0</v>
      </c>
      <c r="H40" s="8">
        <f t="shared" si="5"/>
        <v>0</v>
      </c>
    </row>
    <row r="41" spans="2:8" x14ac:dyDescent="0.3">
      <c r="B41" s="21" t="s">
        <v>51</v>
      </c>
      <c r="C41" s="5" t="str">
        <f>INDEX('91_NYELV'!$C$7:$D$408,238,NYELV_IDX)</f>
        <v>4. Céltartalékok (hosszú lejáratú)</v>
      </c>
      <c r="D41" s="8">
        <f>'03_ADATBEVITEL'!$E$41*'02_CSOPORT'!$M$7*'02_CSOPORT'!$J$7+'03_ADATBEVITEL'!$F$41*'02_CSOPORT'!$M$8*'02_CSOPORT'!$J$8+'03_ADATBEVITEL'!$G$41*'02_CSOPORT'!$M$9*'02_CSOPORT'!$J$9+'03_ADATBEVITEL'!$H$41*'02_CSOPORT'!$M$10*'02_CSOPORT'!$J$10+'03_ADATBEVITEL'!$I$41*'02_CSOPORT'!$M$11*'02_CSOPORT'!$J$11+'03_ADATBEVITEL'!$J$41*'02_CSOPORT'!$M$12*'02_CSOPORT'!$J$12</f>
        <v>0</v>
      </c>
      <c r="E41" s="8">
        <f>SUMIF('11_NAPLO'!$F$7:$F$806,$B41,'11_NAPLO'!$H$7:$H$806)</f>
        <v>0</v>
      </c>
      <c r="F41" s="8">
        <f>SUMIF('11_NAPLO'!$F$7:$F$806,$B41,'11_NAPLO'!$I$7:$I$806)</f>
        <v>0</v>
      </c>
      <c r="G41" s="30">
        <f t="shared" si="4"/>
        <v>0</v>
      </c>
      <c r="H41" s="8">
        <f t="shared" si="5"/>
        <v>0</v>
      </c>
    </row>
    <row r="42" spans="2:8" x14ac:dyDescent="0.3">
      <c r="B42" s="21" t="s">
        <v>52</v>
      </c>
      <c r="C42" s="5" t="str">
        <f>INDEX('91_NYELV'!$C$7:$D$408,239,NYELV_IDX)</f>
        <v>5. Munkavállalói juttatási kötelezettségek</v>
      </c>
      <c r="D42" s="8">
        <f>'03_ADATBEVITEL'!$E$42*'02_CSOPORT'!$M$7*'02_CSOPORT'!$J$7+'03_ADATBEVITEL'!$F$42*'02_CSOPORT'!$M$8*'02_CSOPORT'!$J$8+'03_ADATBEVITEL'!$G$42*'02_CSOPORT'!$M$9*'02_CSOPORT'!$J$9+'03_ADATBEVITEL'!$H$42*'02_CSOPORT'!$M$10*'02_CSOPORT'!$J$10+'03_ADATBEVITEL'!$I$42*'02_CSOPORT'!$M$11*'02_CSOPORT'!$J$11+'03_ADATBEVITEL'!$J$42*'02_CSOPORT'!$M$12*'02_CSOPORT'!$J$12</f>
        <v>0</v>
      </c>
      <c r="E42" s="8">
        <f>SUMIF('11_NAPLO'!$F$7:$F$806,$B42,'11_NAPLO'!$H$7:$H$806)</f>
        <v>0</v>
      </c>
      <c r="F42" s="8">
        <f>SUMIF('11_NAPLO'!$F$7:$F$806,$B42,'11_NAPLO'!$I$7:$I$806)</f>
        <v>0</v>
      </c>
      <c r="G42" s="30">
        <f t="shared" si="4"/>
        <v>0</v>
      </c>
      <c r="H42" s="8">
        <f t="shared" si="5"/>
        <v>0</v>
      </c>
    </row>
    <row r="43" spans="2:8" x14ac:dyDescent="0.3">
      <c r="B43" s="21" t="s">
        <v>53</v>
      </c>
      <c r="C43" s="5" t="str">
        <f>INDEX('91_NYELV'!$C$7:$D$408,240,NYELV_IDX)</f>
        <v>6. Egyéb hosszú lejáratú kötelezettségek</v>
      </c>
      <c r="D43" s="8">
        <f>'03_ADATBEVITEL'!$E$43*'02_CSOPORT'!$M$7*'02_CSOPORT'!$J$7+'03_ADATBEVITEL'!$F$43*'02_CSOPORT'!$M$8*'02_CSOPORT'!$J$8+'03_ADATBEVITEL'!$G$43*'02_CSOPORT'!$M$9*'02_CSOPORT'!$J$9+'03_ADATBEVITEL'!$H$43*'02_CSOPORT'!$M$10*'02_CSOPORT'!$J$10+'03_ADATBEVITEL'!$I$43*'02_CSOPORT'!$M$11*'02_CSOPORT'!$J$11+'03_ADATBEVITEL'!$J$43*'02_CSOPORT'!$M$12*'02_CSOPORT'!$J$12</f>
        <v>0</v>
      </c>
      <c r="E43" s="8">
        <f>SUMIF('11_NAPLO'!$F$7:$F$806,$B43,'11_NAPLO'!$H$7:$H$806)</f>
        <v>0</v>
      </c>
      <c r="F43" s="8">
        <f>SUMIF('11_NAPLO'!$F$7:$F$806,$B43,'11_NAPLO'!$I$7:$I$806)</f>
        <v>0</v>
      </c>
      <c r="G43" s="30">
        <f t="shared" si="4"/>
        <v>0</v>
      </c>
      <c r="H43" s="8">
        <f t="shared" si="5"/>
        <v>0</v>
      </c>
    </row>
    <row r="44" spans="2:8" x14ac:dyDescent="0.3">
      <c r="B44" s="21" t="s">
        <v>54</v>
      </c>
      <c r="C44" s="22" t="str">
        <f>INDEX('91_NYELV'!$C$7:$D$408,241,NYELV_IDX)</f>
        <v>F. RÖVID LEJÁRATÚ KÖTELEZETTSÉGEK</v>
      </c>
      <c r="D44" s="8"/>
      <c r="E44" s="8"/>
      <c r="F44" s="8"/>
      <c r="G44" s="23">
        <f>$G$45+$G$46+$G$47+$G$48+$G$49+$G$50+$G$51+$G$52</f>
        <v>0</v>
      </c>
      <c r="H44" s="8">
        <f>$H$45+$H$46+$H$47+$H$48+$H$49+$H$50+$H$51+$H$52</f>
        <v>0</v>
      </c>
    </row>
    <row r="45" spans="2:8" x14ac:dyDescent="0.3">
      <c r="B45" s="21" t="s">
        <v>55</v>
      </c>
      <c r="C45" s="5" t="str">
        <f>INDEX('91_NYELV'!$C$7:$D$408,242,NYELV_IDX)</f>
        <v>1. Szállítói és egyéb kötelezettségek</v>
      </c>
      <c r="D45" s="8">
        <f>'03_ADATBEVITEL'!$E$45*'02_CSOPORT'!$M$7*'02_CSOPORT'!$J$7+'03_ADATBEVITEL'!$F$45*'02_CSOPORT'!$M$8*'02_CSOPORT'!$J$8+'03_ADATBEVITEL'!$G$45*'02_CSOPORT'!$M$9*'02_CSOPORT'!$J$9+'03_ADATBEVITEL'!$H$45*'02_CSOPORT'!$M$10*'02_CSOPORT'!$J$10+'03_ADATBEVITEL'!$I$45*'02_CSOPORT'!$M$11*'02_CSOPORT'!$J$11+'03_ADATBEVITEL'!$J$45*'02_CSOPORT'!$M$12*'02_CSOPORT'!$J$12</f>
        <v>0</v>
      </c>
      <c r="E45" s="8">
        <f>SUMIF('11_NAPLO'!$F$7:$F$806,$B45,'11_NAPLO'!$H$7:$H$806)</f>
        <v>0</v>
      </c>
      <c r="F45" s="8">
        <f>SUMIF('11_NAPLO'!$F$7:$F$806,$B45,'11_NAPLO'!$I$7:$I$806)</f>
        <v>0</v>
      </c>
      <c r="G45" s="30">
        <f t="shared" ref="G45:G52" si="6">$D45-($E45-$F45)</f>
        <v>0</v>
      </c>
      <c r="H45" s="8">
        <f t="shared" ref="H45:H52" si="7">-($E45-$F45)</f>
        <v>0</v>
      </c>
    </row>
    <row r="46" spans="2:8" x14ac:dyDescent="0.3">
      <c r="B46" s="21" t="s">
        <v>56</v>
      </c>
      <c r="C46" s="5" t="str">
        <f>INDEX('91_NYELV'!$C$7:$D$408,243,NYELV_IDX)</f>
        <v>2. Szerződéses kötelezettségek</v>
      </c>
      <c r="D46" s="8">
        <f>'03_ADATBEVITEL'!$E$46*'02_CSOPORT'!$M$7*'02_CSOPORT'!$J$7+'03_ADATBEVITEL'!$F$46*'02_CSOPORT'!$M$8*'02_CSOPORT'!$J$8+'03_ADATBEVITEL'!$G$46*'02_CSOPORT'!$M$9*'02_CSOPORT'!$J$9+'03_ADATBEVITEL'!$H$46*'02_CSOPORT'!$M$10*'02_CSOPORT'!$J$10+'03_ADATBEVITEL'!$I$46*'02_CSOPORT'!$M$11*'02_CSOPORT'!$J$11+'03_ADATBEVITEL'!$J$46*'02_CSOPORT'!$M$12*'02_CSOPORT'!$J$12</f>
        <v>0</v>
      </c>
      <c r="E46" s="8">
        <f>SUMIF('11_NAPLO'!$F$7:$F$806,$B46,'11_NAPLO'!$H$7:$H$806)</f>
        <v>0</v>
      </c>
      <c r="F46" s="8">
        <f>SUMIF('11_NAPLO'!$F$7:$F$806,$B46,'11_NAPLO'!$I$7:$I$806)</f>
        <v>0</v>
      </c>
      <c r="G46" s="30">
        <f t="shared" si="6"/>
        <v>0</v>
      </c>
      <c r="H46" s="8">
        <f t="shared" si="7"/>
        <v>0</v>
      </c>
    </row>
    <row r="47" spans="2:8" x14ac:dyDescent="0.3">
      <c r="B47" s="21" t="s">
        <v>57</v>
      </c>
      <c r="C47" s="5" t="str">
        <f>INDEX('91_NYELV'!$C$7:$D$408,244,NYELV_IDX)</f>
        <v>3. Hitelek és kölcsönök (rövid lejáratú)</v>
      </c>
      <c r="D47" s="8">
        <f>'03_ADATBEVITEL'!$E$47*'02_CSOPORT'!$M$7*'02_CSOPORT'!$J$7+'03_ADATBEVITEL'!$F$47*'02_CSOPORT'!$M$8*'02_CSOPORT'!$J$8+'03_ADATBEVITEL'!$G$47*'02_CSOPORT'!$M$9*'02_CSOPORT'!$J$9+'03_ADATBEVITEL'!$H$47*'02_CSOPORT'!$M$10*'02_CSOPORT'!$J$10+'03_ADATBEVITEL'!$I$47*'02_CSOPORT'!$M$11*'02_CSOPORT'!$J$11+'03_ADATBEVITEL'!$J$47*'02_CSOPORT'!$M$12*'02_CSOPORT'!$J$12</f>
        <v>0</v>
      </c>
      <c r="E47" s="8">
        <f>SUMIF('11_NAPLO'!$F$7:$F$806,$B47,'11_NAPLO'!$H$7:$H$806)</f>
        <v>0</v>
      </c>
      <c r="F47" s="8">
        <f>SUMIF('11_NAPLO'!$F$7:$F$806,$B47,'11_NAPLO'!$I$7:$I$806)</f>
        <v>0</v>
      </c>
      <c r="G47" s="30">
        <f t="shared" si="6"/>
        <v>0</v>
      </c>
      <c r="H47" s="8">
        <f t="shared" si="7"/>
        <v>0</v>
      </c>
    </row>
    <row r="48" spans="2:8" x14ac:dyDescent="0.3">
      <c r="B48" s="21" t="s">
        <v>58</v>
      </c>
      <c r="C48" s="5" t="str">
        <f>INDEX('91_NYELV'!$C$7:$D$408,245,NYELV_IDX)</f>
        <v>4. Lízingkötelezettségek (rövid lejáratú)</v>
      </c>
      <c r="D48" s="8">
        <f>'03_ADATBEVITEL'!$E$48*'02_CSOPORT'!$M$7*'02_CSOPORT'!$J$7+'03_ADATBEVITEL'!$F$48*'02_CSOPORT'!$M$8*'02_CSOPORT'!$J$8+'03_ADATBEVITEL'!$G$48*'02_CSOPORT'!$M$9*'02_CSOPORT'!$J$9+'03_ADATBEVITEL'!$H$48*'02_CSOPORT'!$M$10*'02_CSOPORT'!$J$10+'03_ADATBEVITEL'!$I$48*'02_CSOPORT'!$M$11*'02_CSOPORT'!$J$11+'03_ADATBEVITEL'!$J$48*'02_CSOPORT'!$M$12*'02_CSOPORT'!$J$12</f>
        <v>0</v>
      </c>
      <c r="E48" s="8">
        <f>SUMIF('11_NAPLO'!$F$7:$F$806,$B48,'11_NAPLO'!$H$7:$H$806)</f>
        <v>0</v>
      </c>
      <c r="F48" s="8">
        <f>SUMIF('11_NAPLO'!$F$7:$F$806,$B48,'11_NAPLO'!$I$7:$I$806)</f>
        <v>0</v>
      </c>
      <c r="G48" s="30">
        <f t="shared" si="6"/>
        <v>0</v>
      </c>
      <c r="H48" s="8">
        <f t="shared" si="7"/>
        <v>0</v>
      </c>
    </row>
    <row r="49" spans="2:8" x14ac:dyDescent="0.3">
      <c r="B49" s="21" t="s">
        <v>59</v>
      </c>
      <c r="C49" s="5" t="str">
        <f>INDEX('91_NYELV'!$C$7:$D$408,246,NYELV_IDX)</f>
        <v>5. Tényleges adókötelezettségek</v>
      </c>
      <c r="D49" s="8">
        <f>'03_ADATBEVITEL'!$E$49*'02_CSOPORT'!$M$7*'02_CSOPORT'!$J$7+'03_ADATBEVITEL'!$F$49*'02_CSOPORT'!$M$8*'02_CSOPORT'!$J$8+'03_ADATBEVITEL'!$G$49*'02_CSOPORT'!$M$9*'02_CSOPORT'!$J$9+'03_ADATBEVITEL'!$H$49*'02_CSOPORT'!$M$10*'02_CSOPORT'!$J$10+'03_ADATBEVITEL'!$I$49*'02_CSOPORT'!$M$11*'02_CSOPORT'!$J$11+'03_ADATBEVITEL'!$J$49*'02_CSOPORT'!$M$12*'02_CSOPORT'!$J$12</f>
        <v>0</v>
      </c>
      <c r="E49" s="8">
        <f>SUMIF('11_NAPLO'!$F$7:$F$806,$B49,'11_NAPLO'!$H$7:$H$806)</f>
        <v>0</v>
      </c>
      <c r="F49" s="8">
        <f>SUMIF('11_NAPLO'!$F$7:$F$806,$B49,'11_NAPLO'!$I$7:$I$806)</f>
        <v>0</v>
      </c>
      <c r="G49" s="30">
        <f t="shared" si="6"/>
        <v>0</v>
      </c>
      <c r="H49" s="8">
        <f t="shared" si="7"/>
        <v>0</v>
      </c>
    </row>
    <row r="50" spans="2:8" x14ac:dyDescent="0.3">
      <c r="B50" s="21" t="s">
        <v>60</v>
      </c>
      <c r="C50" s="5" t="str">
        <f>INDEX('91_NYELV'!$C$7:$D$408,247,NYELV_IDX)</f>
        <v>6. Céltartalékok (rövid lejáratú)</v>
      </c>
      <c r="D50" s="8">
        <f>'03_ADATBEVITEL'!$E$50*'02_CSOPORT'!$M$7*'02_CSOPORT'!$J$7+'03_ADATBEVITEL'!$F$50*'02_CSOPORT'!$M$8*'02_CSOPORT'!$J$8+'03_ADATBEVITEL'!$G$50*'02_CSOPORT'!$M$9*'02_CSOPORT'!$J$9+'03_ADATBEVITEL'!$H$50*'02_CSOPORT'!$M$10*'02_CSOPORT'!$J$10+'03_ADATBEVITEL'!$I$50*'02_CSOPORT'!$M$11*'02_CSOPORT'!$J$11+'03_ADATBEVITEL'!$J$50*'02_CSOPORT'!$M$12*'02_CSOPORT'!$J$12</f>
        <v>0</v>
      </c>
      <c r="E50" s="8">
        <f>SUMIF('11_NAPLO'!$F$7:$F$806,$B50,'11_NAPLO'!$H$7:$H$806)</f>
        <v>0</v>
      </c>
      <c r="F50" s="8">
        <f>SUMIF('11_NAPLO'!$F$7:$F$806,$B50,'11_NAPLO'!$I$7:$I$806)</f>
        <v>0</v>
      </c>
      <c r="G50" s="30">
        <f t="shared" si="6"/>
        <v>0</v>
      </c>
      <c r="H50" s="8">
        <f t="shared" si="7"/>
        <v>0</v>
      </c>
    </row>
    <row r="51" spans="2:8" x14ac:dyDescent="0.3">
      <c r="B51" s="21" t="s">
        <v>61</v>
      </c>
      <c r="C51" s="5" t="str">
        <f>INDEX('91_NYELV'!$C$7:$D$408,248,NYELV_IDX)</f>
        <v>7. Egyéb rövid lejáratú kötelezettségek, passzív elhatárolások</v>
      </c>
      <c r="D51" s="8">
        <f>'03_ADATBEVITEL'!$E$51*'02_CSOPORT'!$M$7*'02_CSOPORT'!$J$7+'03_ADATBEVITEL'!$F$51*'02_CSOPORT'!$M$8*'02_CSOPORT'!$J$8+'03_ADATBEVITEL'!$G$51*'02_CSOPORT'!$M$9*'02_CSOPORT'!$J$9+'03_ADATBEVITEL'!$H$51*'02_CSOPORT'!$M$10*'02_CSOPORT'!$J$10+'03_ADATBEVITEL'!$I$51*'02_CSOPORT'!$M$11*'02_CSOPORT'!$J$11+'03_ADATBEVITEL'!$J$51*'02_CSOPORT'!$M$12*'02_CSOPORT'!$J$12</f>
        <v>0</v>
      </c>
      <c r="E51" s="8">
        <f>SUMIF('11_NAPLO'!$F$7:$F$806,$B51,'11_NAPLO'!$H$7:$H$806)</f>
        <v>0</v>
      </c>
      <c r="F51" s="8">
        <f>SUMIF('11_NAPLO'!$F$7:$F$806,$B51,'11_NAPLO'!$I$7:$I$806)</f>
        <v>0</v>
      </c>
      <c r="G51" s="30">
        <f t="shared" si="6"/>
        <v>0</v>
      </c>
      <c r="H51" s="8">
        <f t="shared" si="7"/>
        <v>0</v>
      </c>
    </row>
    <row r="52" spans="2:8" x14ac:dyDescent="0.3">
      <c r="B52" s="21" t="s">
        <v>62</v>
      </c>
      <c r="C52" s="5" t="str">
        <f>INDEX('91_NYELV'!$C$7:$D$408,249,NYELV_IDX)</f>
        <v>8. Értékesítésre tartott kötelezettségek (IFRS 5)</v>
      </c>
      <c r="D52" s="8">
        <f>'03_ADATBEVITEL'!$E$52*'02_CSOPORT'!$M$7*'02_CSOPORT'!$J$7+'03_ADATBEVITEL'!$F$52*'02_CSOPORT'!$M$8*'02_CSOPORT'!$J$8+'03_ADATBEVITEL'!$G$52*'02_CSOPORT'!$M$9*'02_CSOPORT'!$J$9+'03_ADATBEVITEL'!$H$52*'02_CSOPORT'!$M$10*'02_CSOPORT'!$J$10+'03_ADATBEVITEL'!$I$52*'02_CSOPORT'!$M$11*'02_CSOPORT'!$J$11+'03_ADATBEVITEL'!$J$52*'02_CSOPORT'!$M$12*'02_CSOPORT'!$J$12</f>
        <v>0</v>
      </c>
      <c r="E52" s="8">
        <f>SUMIF('11_NAPLO'!$F$7:$F$806,$B52,'11_NAPLO'!$H$7:$H$806)</f>
        <v>0</v>
      </c>
      <c r="F52" s="8">
        <f>SUMIF('11_NAPLO'!$F$7:$F$806,$B52,'11_NAPLO'!$I$7:$I$806)</f>
        <v>0</v>
      </c>
      <c r="G52" s="30">
        <f t="shared" si="6"/>
        <v>0</v>
      </c>
      <c r="H52" s="8">
        <f t="shared" si="7"/>
        <v>0</v>
      </c>
    </row>
    <row r="53" spans="2:8" x14ac:dyDescent="0.3">
      <c r="B53" s="21" t="s">
        <v>63</v>
      </c>
      <c r="C53" s="22" t="str">
        <f>INDEX('91_NYELV'!$C$7:$D$408,250,NYELV_IDX)</f>
        <v>SAJÁT TŐKE ÉS KÖTELEZETTSÉGEK ÖSSZESEN</v>
      </c>
      <c r="D53" s="8"/>
      <c r="E53" s="8"/>
      <c r="F53" s="8"/>
      <c r="G53" s="23">
        <f>$G$36+$G$37+$G$44</f>
        <v>0</v>
      </c>
      <c r="H53" s="8">
        <f>$H$36+$H$37+$H$44</f>
        <v>0</v>
      </c>
    </row>
    <row r="54" spans="2:8" x14ac:dyDescent="0.3">
      <c r="B54" s="21" t="s">
        <v>64</v>
      </c>
      <c r="C54" s="22" t="str">
        <f>INDEX('91_NYELV'!$C$7:$D$408,251,NYELV_IDX)</f>
        <v>I. ÜZEMI (MŰKÖDÉSI) KATEGÓRIA</v>
      </c>
      <c r="D54" s="8"/>
      <c r="E54" s="8"/>
      <c r="F54" s="8"/>
      <c r="G54" s="23">
        <f>$G$55-$G$56+$G$58-$G$59-$G$60-$G$61-$G$62</f>
        <v>0</v>
      </c>
      <c r="H54" s="8">
        <f>$H$55-$H$56+$H$58-$H$59-$H$60-$H$61-$H$62</f>
        <v>0</v>
      </c>
    </row>
    <row r="55" spans="2:8" x14ac:dyDescent="0.3">
      <c r="B55" s="21" t="s">
        <v>65</v>
      </c>
      <c r="C55" s="5" t="str">
        <f>INDEX('91_NYELV'!$C$7:$D$408,252,NYELV_IDX)</f>
        <v>1. Árbevétel</v>
      </c>
      <c r="D55" s="8">
        <f>'03_ADATBEVITEL'!$E$55*'02_CSOPORT'!$M$7*'02_CSOPORT'!$K$7+'03_ADATBEVITEL'!$F$55*'02_CSOPORT'!$M$8*'02_CSOPORT'!$K$8+'03_ADATBEVITEL'!$G$55*'02_CSOPORT'!$M$9*'02_CSOPORT'!$K$9+'03_ADATBEVITEL'!$H$55*'02_CSOPORT'!$M$10*'02_CSOPORT'!$K$10+'03_ADATBEVITEL'!$I$55*'02_CSOPORT'!$M$11*'02_CSOPORT'!$K$11+'03_ADATBEVITEL'!$J$55*'02_CSOPORT'!$M$12*'02_CSOPORT'!$K$12</f>
        <v>0</v>
      </c>
      <c r="E55" s="8">
        <f>SUMIF('11_NAPLO'!$F$7:$F$806,$B55,'11_NAPLO'!$H$7:$H$806)</f>
        <v>0</v>
      </c>
      <c r="F55" s="8">
        <f>SUMIF('11_NAPLO'!$F$7:$F$806,$B55,'11_NAPLO'!$I$7:$I$806)</f>
        <v>0</v>
      </c>
      <c r="G55" s="30">
        <f>$D55-($E55-$F55)</f>
        <v>0</v>
      </c>
      <c r="H55" s="8">
        <f>-($E55-$F55)</f>
        <v>0</v>
      </c>
    </row>
    <row r="56" spans="2:8" x14ac:dyDescent="0.3">
      <c r="B56" s="21" t="s">
        <v>66</v>
      </c>
      <c r="C56" s="5" t="str">
        <f>INDEX('91_NYELV'!$C$7:$D$408,253,NYELV_IDX)</f>
        <v>2. Az értékesítés önköltsége</v>
      </c>
      <c r="D56" s="8">
        <f>'03_ADATBEVITEL'!$E$56*'02_CSOPORT'!$M$7*'02_CSOPORT'!$K$7+'03_ADATBEVITEL'!$F$56*'02_CSOPORT'!$M$8*'02_CSOPORT'!$K$8+'03_ADATBEVITEL'!$G$56*'02_CSOPORT'!$M$9*'02_CSOPORT'!$K$9+'03_ADATBEVITEL'!$H$56*'02_CSOPORT'!$M$10*'02_CSOPORT'!$K$10+'03_ADATBEVITEL'!$I$56*'02_CSOPORT'!$M$11*'02_CSOPORT'!$K$11+'03_ADATBEVITEL'!$J$56*'02_CSOPORT'!$M$12*'02_CSOPORT'!$K$12</f>
        <v>0</v>
      </c>
      <c r="E56" s="8">
        <f>SUMIF('11_NAPLO'!$F$7:$F$806,$B56,'11_NAPLO'!$H$7:$H$806)</f>
        <v>0</v>
      </c>
      <c r="F56" s="8">
        <f>SUMIF('11_NAPLO'!$F$7:$F$806,$B56,'11_NAPLO'!$I$7:$I$806)</f>
        <v>0</v>
      </c>
      <c r="G56" s="30">
        <f>$D56+($E56-$F56)</f>
        <v>0</v>
      </c>
      <c r="H56" s="8">
        <f>($E56-$F56)</f>
        <v>0</v>
      </c>
    </row>
    <row r="57" spans="2:8" x14ac:dyDescent="0.3">
      <c r="B57" s="21" t="s">
        <v>67</v>
      </c>
      <c r="C57" s="5" t="str">
        <f>INDEX('91_NYELV'!$C$7:$D$408,254,NYELV_IDX)</f>
        <v>Bruttó fedezet</v>
      </c>
      <c r="D57" s="8"/>
      <c r="E57" s="8"/>
      <c r="F57" s="8"/>
      <c r="G57" s="31">
        <f>$G$55-$G$56</f>
        <v>0</v>
      </c>
      <c r="H57" s="8">
        <f>$H$55-$H$56</f>
        <v>0</v>
      </c>
    </row>
    <row r="58" spans="2:8" x14ac:dyDescent="0.3">
      <c r="B58" s="21" t="s">
        <v>68</v>
      </c>
      <c r="C58" s="5" t="str">
        <f>INDEX('91_NYELV'!$C$7:$D$408,255,NYELV_IDX)</f>
        <v>3. Egyéb működési bevételek</v>
      </c>
      <c r="D58" s="8">
        <f>'03_ADATBEVITEL'!$E$58*'02_CSOPORT'!$M$7*'02_CSOPORT'!$K$7+'03_ADATBEVITEL'!$F$58*'02_CSOPORT'!$M$8*'02_CSOPORT'!$K$8+'03_ADATBEVITEL'!$G$58*'02_CSOPORT'!$M$9*'02_CSOPORT'!$K$9+'03_ADATBEVITEL'!$H$58*'02_CSOPORT'!$M$10*'02_CSOPORT'!$K$10+'03_ADATBEVITEL'!$I$58*'02_CSOPORT'!$M$11*'02_CSOPORT'!$K$11+'03_ADATBEVITEL'!$J$58*'02_CSOPORT'!$M$12*'02_CSOPORT'!$K$12</f>
        <v>0</v>
      </c>
      <c r="E58" s="8">
        <f>SUMIF('11_NAPLO'!$F$7:$F$806,$B58,'11_NAPLO'!$H$7:$H$806)</f>
        <v>0</v>
      </c>
      <c r="F58" s="8">
        <f>SUMIF('11_NAPLO'!$F$7:$F$806,$B58,'11_NAPLO'!$I$7:$I$806)</f>
        <v>0</v>
      </c>
      <c r="G58" s="30">
        <f>$D58-($E58-$F58)</f>
        <v>0</v>
      </c>
      <c r="H58" s="8">
        <f>-($E58-$F58)</f>
        <v>0</v>
      </c>
    </row>
    <row r="59" spans="2:8" x14ac:dyDescent="0.3">
      <c r="B59" s="21" t="s">
        <v>69</v>
      </c>
      <c r="C59" s="5" t="str">
        <f>INDEX('91_NYELV'!$C$7:$D$408,256,NYELV_IDX)</f>
        <v>4. Értékesítési és forgalmazási költségek</v>
      </c>
      <c r="D59" s="8">
        <f>'03_ADATBEVITEL'!$E$59*'02_CSOPORT'!$M$7*'02_CSOPORT'!$K$7+'03_ADATBEVITEL'!$F$59*'02_CSOPORT'!$M$8*'02_CSOPORT'!$K$8+'03_ADATBEVITEL'!$G$59*'02_CSOPORT'!$M$9*'02_CSOPORT'!$K$9+'03_ADATBEVITEL'!$H$59*'02_CSOPORT'!$M$10*'02_CSOPORT'!$K$10+'03_ADATBEVITEL'!$I$59*'02_CSOPORT'!$M$11*'02_CSOPORT'!$K$11+'03_ADATBEVITEL'!$J$59*'02_CSOPORT'!$M$12*'02_CSOPORT'!$K$12</f>
        <v>0</v>
      </c>
      <c r="E59" s="8">
        <f>SUMIF('11_NAPLO'!$F$7:$F$806,$B59,'11_NAPLO'!$H$7:$H$806)</f>
        <v>0</v>
      </c>
      <c r="F59" s="8">
        <f>SUMIF('11_NAPLO'!$F$7:$F$806,$B59,'11_NAPLO'!$I$7:$I$806)</f>
        <v>0</v>
      </c>
      <c r="G59" s="30">
        <f>$D59+($E59-$F59)</f>
        <v>0</v>
      </c>
      <c r="H59" s="8">
        <f>($E59-$F59)</f>
        <v>0</v>
      </c>
    </row>
    <row r="60" spans="2:8" x14ac:dyDescent="0.3">
      <c r="B60" s="21" t="s">
        <v>70</v>
      </c>
      <c r="C60" s="5" t="str">
        <f>INDEX('91_NYELV'!$C$7:$D$408,257,NYELV_IDX)</f>
        <v>5. Igazgatási költségek</v>
      </c>
      <c r="D60" s="8">
        <f>'03_ADATBEVITEL'!$E$60*'02_CSOPORT'!$M$7*'02_CSOPORT'!$K$7+'03_ADATBEVITEL'!$F$60*'02_CSOPORT'!$M$8*'02_CSOPORT'!$K$8+'03_ADATBEVITEL'!$G$60*'02_CSOPORT'!$M$9*'02_CSOPORT'!$K$9+'03_ADATBEVITEL'!$H$60*'02_CSOPORT'!$M$10*'02_CSOPORT'!$K$10+'03_ADATBEVITEL'!$I$60*'02_CSOPORT'!$M$11*'02_CSOPORT'!$K$11+'03_ADATBEVITEL'!$J$60*'02_CSOPORT'!$M$12*'02_CSOPORT'!$K$12</f>
        <v>0</v>
      </c>
      <c r="E60" s="8">
        <f>SUMIF('11_NAPLO'!$F$7:$F$806,$B60,'11_NAPLO'!$H$7:$H$806)</f>
        <v>0</v>
      </c>
      <c r="F60" s="8">
        <f>SUMIF('11_NAPLO'!$F$7:$F$806,$B60,'11_NAPLO'!$I$7:$I$806)</f>
        <v>0</v>
      </c>
      <c r="G60" s="30">
        <f>$D60+($E60-$F60)</f>
        <v>0</v>
      </c>
      <c r="H60" s="8">
        <f>($E60-$F60)</f>
        <v>0</v>
      </c>
    </row>
    <row r="61" spans="2:8" x14ac:dyDescent="0.3">
      <c r="B61" s="21" t="s">
        <v>71</v>
      </c>
      <c r="C61" s="5" t="str">
        <f>INDEX('91_NYELV'!$C$7:$D$408,258,NYELV_IDX)</f>
        <v>6. Értékvesztés (goodwill és egyéb eszközök, IAS 36)</v>
      </c>
      <c r="D61" s="8">
        <f>'03_ADATBEVITEL'!$E$61*'02_CSOPORT'!$M$7*'02_CSOPORT'!$K$7+'03_ADATBEVITEL'!$F$61*'02_CSOPORT'!$M$8*'02_CSOPORT'!$K$8+'03_ADATBEVITEL'!$G$61*'02_CSOPORT'!$M$9*'02_CSOPORT'!$K$9+'03_ADATBEVITEL'!$H$61*'02_CSOPORT'!$M$10*'02_CSOPORT'!$K$10+'03_ADATBEVITEL'!$I$61*'02_CSOPORT'!$M$11*'02_CSOPORT'!$K$11+'03_ADATBEVITEL'!$J$61*'02_CSOPORT'!$M$12*'02_CSOPORT'!$K$12</f>
        <v>0</v>
      </c>
      <c r="E61" s="8">
        <f>SUMIF('11_NAPLO'!$F$7:$F$806,$B61,'11_NAPLO'!$H$7:$H$806)</f>
        <v>0</v>
      </c>
      <c r="F61" s="8">
        <f>SUMIF('11_NAPLO'!$F$7:$F$806,$B61,'11_NAPLO'!$I$7:$I$806)</f>
        <v>0</v>
      </c>
      <c r="G61" s="30">
        <f>$D61+($E61-$F61)</f>
        <v>0</v>
      </c>
      <c r="H61" s="8">
        <f>($E61-$F61)</f>
        <v>0</v>
      </c>
    </row>
    <row r="62" spans="2:8" x14ac:dyDescent="0.3">
      <c r="B62" s="21" t="s">
        <v>72</v>
      </c>
      <c r="C62" s="5" t="str">
        <f>INDEX('91_NYELV'!$C$7:$D$408,259,NYELV_IDX)</f>
        <v>7. Egyéb működési ráfordítások</v>
      </c>
      <c r="D62" s="8">
        <f>'03_ADATBEVITEL'!$E$62*'02_CSOPORT'!$M$7*'02_CSOPORT'!$K$7+'03_ADATBEVITEL'!$F$62*'02_CSOPORT'!$M$8*'02_CSOPORT'!$K$8+'03_ADATBEVITEL'!$G$62*'02_CSOPORT'!$M$9*'02_CSOPORT'!$K$9+'03_ADATBEVITEL'!$H$62*'02_CSOPORT'!$M$10*'02_CSOPORT'!$K$10+'03_ADATBEVITEL'!$I$62*'02_CSOPORT'!$M$11*'02_CSOPORT'!$K$11+'03_ADATBEVITEL'!$J$62*'02_CSOPORT'!$M$12*'02_CSOPORT'!$K$12</f>
        <v>0</v>
      </c>
      <c r="E62" s="8">
        <f>SUMIF('11_NAPLO'!$F$7:$F$806,$B62,'11_NAPLO'!$H$7:$H$806)</f>
        <v>0</v>
      </c>
      <c r="F62" s="8">
        <f>SUMIF('11_NAPLO'!$F$7:$F$806,$B62,'11_NAPLO'!$I$7:$I$806)</f>
        <v>0</v>
      </c>
      <c r="G62" s="30">
        <f>$D62+($E62-$F62)</f>
        <v>0</v>
      </c>
      <c r="H62" s="8">
        <f>($E62-$F62)</f>
        <v>0</v>
      </c>
    </row>
    <row r="63" spans="2:8" x14ac:dyDescent="0.3">
      <c r="B63" s="21" t="s">
        <v>73</v>
      </c>
      <c r="C63" s="22" t="str">
        <f>INDEX('91_NYELV'!$C$7:$D$408,260,NYELV_IDX)</f>
        <v>ÜZEMI EREDMÉNY [IFRS 18 kötelező részösszeg]</v>
      </c>
      <c r="D63" s="8"/>
      <c r="E63" s="8"/>
      <c r="F63" s="8"/>
      <c r="G63" s="23">
        <f>$G$54</f>
        <v>0</v>
      </c>
      <c r="H63" s="8">
        <f>$H$54</f>
        <v>0</v>
      </c>
    </row>
    <row r="64" spans="2:8" x14ac:dyDescent="0.3">
      <c r="B64" s="21" t="s">
        <v>74</v>
      </c>
      <c r="C64" s="22" t="str">
        <f>INDEX('91_NYELV'!$C$7:$D$408,261,NYELV_IDX)</f>
        <v>II. BEFEKTETÉSI KATEGÓRIA</v>
      </c>
      <c r="D64" s="8"/>
      <c r="E64" s="8"/>
      <c r="F64" s="8"/>
      <c r="G64" s="23">
        <f>$G$65+$G$66+$G$67</f>
        <v>0</v>
      </c>
      <c r="H64" s="8">
        <f>$H$65+$H$66+$H$67</f>
        <v>0</v>
      </c>
    </row>
    <row r="65" spans="2:8" x14ac:dyDescent="0.3">
      <c r="B65" s="21" t="s">
        <v>75</v>
      </c>
      <c r="C65" s="5" t="str">
        <f>INDEX('91_NYELV'!$C$7:$D$408,262,NYELV_IDX)</f>
        <v>1. Társult és közös vezetésű vállalkozások eredményéből való részesedés</v>
      </c>
      <c r="D65" s="8">
        <f>'03_ADATBEVITEL'!$E$65*'02_CSOPORT'!$M$7*'02_CSOPORT'!$K$7+'03_ADATBEVITEL'!$F$65*'02_CSOPORT'!$M$8*'02_CSOPORT'!$K$8+'03_ADATBEVITEL'!$G$65*'02_CSOPORT'!$M$9*'02_CSOPORT'!$K$9+'03_ADATBEVITEL'!$H$65*'02_CSOPORT'!$M$10*'02_CSOPORT'!$K$10+'03_ADATBEVITEL'!$I$65*'02_CSOPORT'!$M$11*'02_CSOPORT'!$K$11+'03_ADATBEVITEL'!$J$65*'02_CSOPORT'!$M$12*'02_CSOPORT'!$K$12</f>
        <v>0</v>
      </c>
      <c r="E65" s="8">
        <f>SUMIF('11_NAPLO'!$F$7:$F$806,$B65,'11_NAPLO'!$H$7:$H$806)</f>
        <v>0</v>
      </c>
      <c r="F65" s="8">
        <f>SUMIF('11_NAPLO'!$F$7:$F$806,$B65,'11_NAPLO'!$I$7:$I$806)</f>
        <v>0</v>
      </c>
      <c r="G65" s="30">
        <f>$D65-($E65-$F65)</f>
        <v>0</v>
      </c>
      <c r="H65" s="8">
        <f>-($E65-$F65)</f>
        <v>0</v>
      </c>
    </row>
    <row r="66" spans="2:8" x14ac:dyDescent="0.3">
      <c r="B66" s="21" t="s">
        <v>76</v>
      </c>
      <c r="C66" s="5" t="str">
        <f>INDEX('91_NYELV'!$C$7:$D$408,263,NYELV_IDX)</f>
        <v>2. Befektetések bevételei (osztalék, árfolyamnyereség)</v>
      </c>
      <c r="D66" s="8">
        <f>'03_ADATBEVITEL'!$E$66*'02_CSOPORT'!$M$7*'02_CSOPORT'!$K$7+'03_ADATBEVITEL'!$F$66*'02_CSOPORT'!$M$8*'02_CSOPORT'!$K$8+'03_ADATBEVITEL'!$G$66*'02_CSOPORT'!$M$9*'02_CSOPORT'!$K$9+'03_ADATBEVITEL'!$H$66*'02_CSOPORT'!$M$10*'02_CSOPORT'!$K$10+'03_ADATBEVITEL'!$I$66*'02_CSOPORT'!$M$11*'02_CSOPORT'!$K$11+'03_ADATBEVITEL'!$J$66*'02_CSOPORT'!$M$12*'02_CSOPORT'!$K$12</f>
        <v>0</v>
      </c>
      <c r="E66" s="8">
        <f>SUMIF('11_NAPLO'!$F$7:$F$806,$B66,'11_NAPLO'!$H$7:$H$806)</f>
        <v>0</v>
      </c>
      <c r="F66" s="8">
        <f>SUMIF('11_NAPLO'!$F$7:$F$806,$B66,'11_NAPLO'!$I$7:$I$806)</f>
        <v>0</v>
      </c>
      <c r="G66" s="30">
        <f>$D66-($E66-$F66)</f>
        <v>0</v>
      </c>
      <c r="H66" s="8">
        <f>-($E66-$F66)</f>
        <v>0</v>
      </c>
    </row>
    <row r="67" spans="2:8" x14ac:dyDescent="0.3">
      <c r="B67" s="21" t="s">
        <v>77</v>
      </c>
      <c r="C67" s="5" t="str">
        <f>INDEX('91_NYELV'!$C$7:$D$408,264,NYELV_IDX)</f>
        <v>3. Befektetések kamatbevétele</v>
      </c>
      <c r="D67" s="8">
        <f>'03_ADATBEVITEL'!$E$67*'02_CSOPORT'!$M$7*'02_CSOPORT'!$K$7+'03_ADATBEVITEL'!$F$67*'02_CSOPORT'!$M$8*'02_CSOPORT'!$K$8+'03_ADATBEVITEL'!$G$67*'02_CSOPORT'!$M$9*'02_CSOPORT'!$K$9+'03_ADATBEVITEL'!$H$67*'02_CSOPORT'!$M$10*'02_CSOPORT'!$K$10+'03_ADATBEVITEL'!$I$67*'02_CSOPORT'!$M$11*'02_CSOPORT'!$K$11+'03_ADATBEVITEL'!$J$67*'02_CSOPORT'!$M$12*'02_CSOPORT'!$K$12</f>
        <v>0</v>
      </c>
      <c r="E67" s="8">
        <f>SUMIF('11_NAPLO'!$F$7:$F$806,$B67,'11_NAPLO'!$H$7:$H$806)</f>
        <v>0</v>
      </c>
      <c r="F67" s="8">
        <f>SUMIF('11_NAPLO'!$F$7:$F$806,$B67,'11_NAPLO'!$I$7:$I$806)</f>
        <v>0</v>
      </c>
      <c r="G67" s="30">
        <f>$D67-($E67-$F67)</f>
        <v>0</v>
      </c>
      <c r="H67" s="8">
        <f>-($E67-$F67)</f>
        <v>0</v>
      </c>
    </row>
    <row r="68" spans="2:8" x14ac:dyDescent="0.3">
      <c r="B68" s="21" t="s">
        <v>78</v>
      </c>
      <c r="C68" s="22" t="str">
        <f>INDEX('91_NYELV'!$C$7:$D$408,265,NYELV_IDX)</f>
        <v>FINANSZÍROZÁS ÉS NYERESÉGADÓK ELŐTTI EREDMÉNY [IFRS 18 kötelező részösszeg]</v>
      </c>
      <c r="D68" s="8"/>
      <c r="E68" s="8"/>
      <c r="F68" s="8"/>
      <c r="G68" s="23">
        <f>$G$63+$G$64</f>
        <v>0</v>
      </c>
      <c r="H68" s="8">
        <f>$H$63+$H$64</f>
        <v>0</v>
      </c>
    </row>
    <row r="69" spans="2:8" x14ac:dyDescent="0.3">
      <c r="B69" s="21" t="s">
        <v>79</v>
      </c>
      <c r="C69" s="22" t="str">
        <f>INDEX('91_NYELV'!$C$7:$D$408,266,NYELV_IDX)</f>
        <v>III. FINANSZÍROZÁSI KATEGÓRIA</v>
      </c>
      <c r="D69" s="8"/>
      <c r="E69" s="8"/>
      <c r="F69" s="8"/>
      <c r="G69" s="23">
        <f>-$G$70-$G$71-$G$72+$G$73</f>
        <v>0</v>
      </c>
      <c r="H69" s="8">
        <f>-$H$70-$H$71-$H$72+$H$73</f>
        <v>0</v>
      </c>
    </row>
    <row r="70" spans="2:8" x14ac:dyDescent="0.3">
      <c r="B70" s="21" t="s">
        <v>80</v>
      </c>
      <c r="C70" s="5" t="str">
        <f>INDEX('91_NYELV'!$C$7:$D$408,267,NYELV_IDX)</f>
        <v>1. Hitelek és kölcsönök kamatráfordítása</v>
      </c>
      <c r="D70" s="8">
        <f>'03_ADATBEVITEL'!$E$70*'02_CSOPORT'!$M$7*'02_CSOPORT'!$K$7+'03_ADATBEVITEL'!$F$70*'02_CSOPORT'!$M$8*'02_CSOPORT'!$K$8+'03_ADATBEVITEL'!$G$70*'02_CSOPORT'!$M$9*'02_CSOPORT'!$K$9+'03_ADATBEVITEL'!$H$70*'02_CSOPORT'!$M$10*'02_CSOPORT'!$K$10+'03_ADATBEVITEL'!$I$70*'02_CSOPORT'!$M$11*'02_CSOPORT'!$K$11+'03_ADATBEVITEL'!$J$70*'02_CSOPORT'!$M$12*'02_CSOPORT'!$K$12</f>
        <v>0</v>
      </c>
      <c r="E70" s="8">
        <f>SUMIF('11_NAPLO'!$F$7:$F$806,$B70,'11_NAPLO'!$H$7:$H$806)</f>
        <v>0</v>
      </c>
      <c r="F70" s="8">
        <f>SUMIF('11_NAPLO'!$F$7:$F$806,$B70,'11_NAPLO'!$I$7:$I$806)</f>
        <v>0</v>
      </c>
      <c r="G70" s="30">
        <f>$D70+($E70-$F70)</f>
        <v>0</v>
      </c>
      <c r="H70" s="8">
        <f>($E70-$F70)</f>
        <v>0</v>
      </c>
    </row>
    <row r="71" spans="2:8" x14ac:dyDescent="0.3">
      <c r="B71" s="21" t="s">
        <v>81</v>
      </c>
      <c r="C71" s="5" t="str">
        <f>INDEX('91_NYELV'!$C$7:$D$408,268,NYELV_IDX)</f>
        <v>2. Lízingkötelezettségek kamatráfordítása</v>
      </c>
      <c r="D71" s="8">
        <f>'03_ADATBEVITEL'!$E$71*'02_CSOPORT'!$M$7*'02_CSOPORT'!$K$7+'03_ADATBEVITEL'!$F$71*'02_CSOPORT'!$M$8*'02_CSOPORT'!$K$8+'03_ADATBEVITEL'!$G$71*'02_CSOPORT'!$M$9*'02_CSOPORT'!$K$9+'03_ADATBEVITEL'!$H$71*'02_CSOPORT'!$M$10*'02_CSOPORT'!$K$10+'03_ADATBEVITEL'!$I$71*'02_CSOPORT'!$M$11*'02_CSOPORT'!$K$11+'03_ADATBEVITEL'!$J$71*'02_CSOPORT'!$M$12*'02_CSOPORT'!$K$12</f>
        <v>0</v>
      </c>
      <c r="E71" s="8">
        <f>SUMIF('11_NAPLO'!$F$7:$F$806,$B71,'11_NAPLO'!$H$7:$H$806)</f>
        <v>0</v>
      </c>
      <c r="F71" s="8">
        <f>SUMIF('11_NAPLO'!$F$7:$F$806,$B71,'11_NAPLO'!$I$7:$I$806)</f>
        <v>0</v>
      </c>
      <c r="G71" s="30">
        <f>$D71+($E71-$F71)</f>
        <v>0</v>
      </c>
      <c r="H71" s="8">
        <f>($E71-$F71)</f>
        <v>0</v>
      </c>
    </row>
    <row r="72" spans="2:8" x14ac:dyDescent="0.3">
      <c r="B72" s="21" t="s">
        <v>82</v>
      </c>
      <c r="C72" s="5" t="str">
        <f>INDEX('91_NYELV'!$C$7:$D$408,269,NYELV_IDX)</f>
        <v>3. Egyéb finanszírozási ráfordítások</v>
      </c>
      <c r="D72" s="8">
        <f>'03_ADATBEVITEL'!$E$72*'02_CSOPORT'!$M$7*'02_CSOPORT'!$K$7+'03_ADATBEVITEL'!$F$72*'02_CSOPORT'!$M$8*'02_CSOPORT'!$K$8+'03_ADATBEVITEL'!$G$72*'02_CSOPORT'!$M$9*'02_CSOPORT'!$K$9+'03_ADATBEVITEL'!$H$72*'02_CSOPORT'!$M$10*'02_CSOPORT'!$K$10+'03_ADATBEVITEL'!$I$72*'02_CSOPORT'!$M$11*'02_CSOPORT'!$K$11+'03_ADATBEVITEL'!$J$72*'02_CSOPORT'!$M$12*'02_CSOPORT'!$K$12</f>
        <v>0</v>
      </c>
      <c r="E72" s="8">
        <f>SUMIF('11_NAPLO'!$F$7:$F$806,$B72,'11_NAPLO'!$H$7:$H$806)</f>
        <v>0</v>
      </c>
      <c r="F72" s="8">
        <f>SUMIF('11_NAPLO'!$F$7:$F$806,$B72,'11_NAPLO'!$I$7:$I$806)</f>
        <v>0</v>
      </c>
      <c r="G72" s="30">
        <f>$D72+($E72-$F72)</f>
        <v>0</v>
      </c>
      <c r="H72" s="8">
        <f>($E72-$F72)</f>
        <v>0</v>
      </c>
    </row>
    <row r="73" spans="2:8" x14ac:dyDescent="0.3">
      <c r="B73" s="21" t="s">
        <v>83</v>
      </c>
      <c r="C73" s="5" t="str">
        <f>INDEX('91_NYELV'!$C$7:$D$408,270,NYELV_IDX)</f>
        <v>4. Finanszírozási bevételek</v>
      </c>
      <c r="D73" s="8">
        <f>'03_ADATBEVITEL'!$E$73*'02_CSOPORT'!$M$7*'02_CSOPORT'!$K$7+'03_ADATBEVITEL'!$F$73*'02_CSOPORT'!$M$8*'02_CSOPORT'!$K$8+'03_ADATBEVITEL'!$G$73*'02_CSOPORT'!$M$9*'02_CSOPORT'!$K$9+'03_ADATBEVITEL'!$H$73*'02_CSOPORT'!$M$10*'02_CSOPORT'!$K$10+'03_ADATBEVITEL'!$I$73*'02_CSOPORT'!$M$11*'02_CSOPORT'!$K$11+'03_ADATBEVITEL'!$J$73*'02_CSOPORT'!$M$12*'02_CSOPORT'!$K$12</f>
        <v>0</v>
      </c>
      <c r="E73" s="8">
        <f>SUMIF('11_NAPLO'!$F$7:$F$806,$B73,'11_NAPLO'!$H$7:$H$806)</f>
        <v>0</v>
      </c>
      <c r="F73" s="8">
        <f>SUMIF('11_NAPLO'!$F$7:$F$806,$B73,'11_NAPLO'!$I$7:$I$806)</f>
        <v>0</v>
      </c>
      <c r="G73" s="30">
        <f>$D73-($E73-$F73)</f>
        <v>0</v>
      </c>
      <c r="H73" s="8">
        <f>-($E73-$F73)</f>
        <v>0</v>
      </c>
    </row>
    <row r="74" spans="2:8" x14ac:dyDescent="0.3">
      <c r="B74" s="21" t="s">
        <v>84</v>
      </c>
      <c r="C74" s="22" t="str">
        <f>INDEX('91_NYELV'!$C$7:$D$408,271,NYELV_IDX)</f>
        <v>ADÓZÁS ELŐTTI EREDMÉNY</v>
      </c>
      <c r="D74" s="8"/>
      <c r="E74" s="8"/>
      <c r="F74" s="8"/>
      <c r="G74" s="23">
        <f>$G$68+$G$69</f>
        <v>0</v>
      </c>
      <c r="H74" s="8">
        <f>$H$68+$H$69</f>
        <v>0</v>
      </c>
    </row>
    <row r="75" spans="2:8" x14ac:dyDescent="0.3">
      <c r="B75" s="21" t="s">
        <v>85</v>
      </c>
      <c r="C75" s="22" t="str">
        <f>INDEX('91_NYELV'!$C$7:$D$408,272,NYELV_IDX)</f>
        <v>IV. NYERESÉGADÓK KATEGÓRIA</v>
      </c>
      <c r="D75" s="8"/>
      <c r="E75" s="8"/>
      <c r="F75" s="8"/>
      <c r="G75" s="23">
        <f>-$G$76-$G$77</f>
        <v>0</v>
      </c>
      <c r="H75" s="8">
        <f>-$H$76-$H$77</f>
        <v>0</v>
      </c>
    </row>
    <row r="76" spans="2:8" x14ac:dyDescent="0.3">
      <c r="B76" s="21" t="s">
        <v>86</v>
      </c>
      <c r="C76" s="5" t="str">
        <f>INDEX('91_NYELV'!$C$7:$D$408,273,NYELV_IDX)</f>
        <v>1. Nyereségadó-ráfordítás (IAS 12)</v>
      </c>
      <c r="D76" s="8">
        <f>'03_ADATBEVITEL'!$E$76*'02_CSOPORT'!$M$7*'02_CSOPORT'!$K$7+'03_ADATBEVITEL'!$F$76*'02_CSOPORT'!$M$8*'02_CSOPORT'!$K$8+'03_ADATBEVITEL'!$G$76*'02_CSOPORT'!$M$9*'02_CSOPORT'!$K$9+'03_ADATBEVITEL'!$H$76*'02_CSOPORT'!$M$10*'02_CSOPORT'!$K$10+'03_ADATBEVITEL'!$I$76*'02_CSOPORT'!$M$11*'02_CSOPORT'!$K$11+'03_ADATBEVITEL'!$J$76*'02_CSOPORT'!$M$12*'02_CSOPORT'!$K$12</f>
        <v>0</v>
      </c>
      <c r="E76" s="8">
        <f>SUMIF('11_NAPLO'!$F$7:$F$806,$B76,'11_NAPLO'!$H$7:$H$806)</f>
        <v>0</v>
      </c>
      <c r="F76" s="8">
        <f>SUMIF('11_NAPLO'!$F$7:$F$806,$B76,'11_NAPLO'!$I$7:$I$806)</f>
        <v>0</v>
      </c>
      <c r="G76" s="30">
        <f>$D76+($E76-$F76)</f>
        <v>0</v>
      </c>
      <c r="H76" s="8">
        <f>($E76-$F76)</f>
        <v>0</v>
      </c>
    </row>
    <row r="77" spans="2:8" x14ac:dyDescent="0.3">
      <c r="B77" s="21" t="s">
        <v>87</v>
      </c>
      <c r="C77" s="5" t="str">
        <f>INDEX('91_NYELV'!$C$7:$D$408,274,NYELV_IDX)</f>
        <v>2. Konszolidáció miatti halasztott adó (IAS 12)</v>
      </c>
      <c r="D77" s="8">
        <f>'03_ADATBEVITEL'!$E$77*'02_CSOPORT'!$M$7*'02_CSOPORT'!$K$7+'03_ADATBEVITEL'!$F$77*'02_CSOPORT'!$M$8*'02_CSOPORT'!$K$8+'03_ADATBEVITEL'!$G$77*'02_CSOPORT'!$M$9*'02_CSOPORT'!$K$9+'03_ADATBEVITEL'!$H$77*'02_CSOPORT'!$M$10*'02_CSOPORT'!$K$10+'03_ADATBEVITEL'!$I$77*'02_CSOPORT'!$M$11*'02_CSOPORT'!$K$11+'03_ADATBEVITEL'!$J$77*'02_CSOPORT'!$M$12*'02_CSOPORT'!$K$12</f>
        <v>0</v>
      </c>
      <c r="E77" s="8">
        <f>SUMIF('11_NAPLO'!$F$7:$F$806,$B77,'11_NAPLO'!$H$7:$H$806)</f>
        <v>0</v>
      </c>
      <c r="F77" s="8">
        <f>SUMIF('11_NAPLO'!$F$7:$F$806,$B77,'11_NAPLO'!$I$7:$I$806)</f>
        <v>0</v>
      </c>
      <c r="G77" s="30">
        <f>$D77+($E77-$F77)</f>
        <v>0</v>
      </c>
      <c r="H77" s="8">
        <f>($E77-$F77)</f>
        <v>0</v>
      </c>
    </row>
    <row r="78" spans="2:8" x14ac:dyDescent="0.3">
      <c r="B78" s="21" t="s">
        <v>88</v>
      </c>
      <c r="C78" s="22" t="str">
        <f>INDEX('91_NYELV'!$C$7:$D$408,275,NYELV_IDX)</f>
        <v>FOLYTATÓDÓ TEVÉKENYSÉG EREDMÉNYE</v>
      </c>
      <c r="D78" s="8"/>
      <c r="E78" s="8"/>
      <c r="F78" s="8"/>
      <c r="G78" s="23">
        <f>$G$74+$G$75</f>
        <v>0</v>
      </c>
      <c r="H78" s="8">
        <f>$H$74+$H$75</f>
        <v>0</v>
      </c>
    </row>
    <row r="79" spans="2:8" x14ac:dyDescent="0.3">
      <c r="B79" s="21" t="s">
        <v>89</v>
      </c>
      <c r="C79" s="22" t="str">
        <f>INDEX('91_NYELV'!$C$7:$D$408,276,NYELV_IDX)</f>
        <v>V. MEGSZŰNT TEVÉKENYSÉGEK KATEGÓRIA</v>
      </c>
      <c r="D79" s="8"/>
      <c r="E79" s="8"/>
      <c r="F79" s="8"/>
      <c r="G79" s="23">
        <f>$G$80</f>
        <v>0</v>
      </c>
      <c r="H79" s="8">
        <f>$H$80</f>
        <v>0</v>
      </c>
    </row>
    <row r="80" spans="2:8" x14ac:dyDescent="0.3">
      <c r="B80" s="21" t="s">
        <v>90</v>
      </c>
      <c r="C80" s="5" t="str">
        <f>INDEX('91_NYELV'!$C$7:$D$408,277,NYELV_IDX)</f>
        <v>1. Megszűnt tevékenységek eredménye (IFRS 5)</v>
      </c>
      <c r="D80" s="8">
        <f>'03_ADATBEVITEL'!$E$80*'02_CSOPORT'!$M$7*'02_CSOPORT'!$K$7+'03_ADATBEVITEL'!$F$80*'02_CSOPORT'!$M$8*'02_CSOPORT'!$K$8+'03_ADATBEVITEL'!$G$80*'02_CSOPORT'!$M$9*'02_CSOPORT'!$K$9+'03_ADATBEVITEL'!$H$80*'02_CSOPORT'!$M$10*'02_CSOPORT'!$K$10+'03_ADATBEVITEL'!$I$80*'02_CSOPORT'!$M$11*'02_CSOPORT'!$K$11+'03_ADATBEVITEL'!$J$80*'02_CSOPORT'!$M$12*'02_CSOPORT'!$K$12</f>
        <v>0</v>
      </c>
      <c r="E80" s="8">
        <f>SUMIF('11_NAPLO'!$F$7:$F$806,$B80,'11_NAPLO'!$H$7:$H$806)</f>
        <v>0</v>
      </c>
      <c r="F80" s="8">
        <f>SUMIF('11_NAPLO'!$F$7:$F$806,$B80,'11_NAPLO'!$I$7:$I$806)</f>
        <v>0</v>
      </c>
      <c r="G80" s="30">
        <f>$D80-($E80-$F80)</f>
        <v>0</v>
      </c>
      <c r="H80" s="8">
        <f>-($E80-$F80)</f>
        <v>0</v>
      </c>
    </row>
    <row r="81" spans="2:8" x14ac:dyDescent="0.3">
      <c r="B81" s="21" t="s">
        <v>91</v>
      </c>
      <c r="C81" s="22" t="str">
        <f>INDEX('91_NYELV'!$C$7:$D$408,278,NYELV_IDX)</f>
        <v>IDŐSZAKI EREDMÉNY</v>
      </c>
      <c r="D81" s="8"/>
      <c r="E81" s="8"/>
      <c r="F81" s="8"/>
      <c r="G81" s="23">
        <f>$G$78+$G$79</f>
        <v>0</v>
      </c>
      <c r="H81" s="8">
        <f>$H$78+$H$79</f>
        <v>0</v>
      </c>
    </row>
    <row r="82" spans="2:8" x14ac:dyDescent="0.3">
      <c r="B82" s="21" t="s">
        <v>92</v>
      </c>
      <c r="C82" s="5" t="str">
        <f>INDEX('91_NYELV'!$C$7:$D$408,279,NYELV_IDX)</f>
        <v>ebből: az anyavállalat tulajdonosaira jutó</v>
      </c>
      <c r="D82" s="8">
        <f>'12_MUNKATABLA'!$G$81</f>
        <v>0</v>
      </c>
      <c r="E82" s="8">
        <f>SUMIF('11_NAPLO'!$F$7:$F$806,$B82,'11_NAPLO'!$H$7:$H$806)</f>
        <v>0</v>
      </c>
      <c r="F82" s="8">
        <f>SUMIF('11_NAPLO'!$F$7:$F$806,$B82,'11_NAPLO'!$I$7:$I$806)</f>
        <v>0</v>
      </c>
      <c r="G82" s="30">
        <f>$D82-($E82-$F82)</f>
        <v>0</v>
      </c>
      <c r="H82" s="8">
        <f>-($E82-$F82)</f>
        <v>0</v>
      </c>
    </row>
    <row r="83" spans="2:8" x14ac:dyDescent="0.3">
      <c r="B83" s="21" t="s">
        <v>93</v>
      </c>
      <c r="C83" s="5" t="str">
        <f>INDEX('91_NYELV'!$C$7:$D$408,280,NYELV_IDX)</f>
        <v>ebből: a nem ellenőrző részesedésekre jutó</v>
      </c>
      <c r="D83" s="8">
        <f>'03_ADATBEVITEL'!$E$83*'02_CSOPORT'!$M$7*'02_CSOPORT'!$K$7+'03_ADATBEVITEL'!$F$83*'02_CSOPORT'!$M$8*'02_CSOPORT'!$K$8+'03_ADATBEVITEL'!$G$83*'02_CSOPORT'!$M$9*'02_CSOPORT'!$K$9+'03_ADATBEVITEL'!$H$83*'02_CSOPORT'!$M$10*'02_CSOPORT'!$K$10+'03_ADATBEVITEL'!$I$83*'02_CSOPORT'!$M$11*'02_CSOPORT'!$K$11+'03_ADATBEVITEL'!$J$83*'02_CSOPORT'!$M$12*'02_CSOPORT'!$K$12</f>
        <v>0</v>
      </c>
      <c r="E83" s="8">
        <f>SUMIF('11_NAPLO'!$F$7:$F$806,$B83,'11_NAPLO'!$H$7:$H$806)</f>
        <v>0</v>
      </c>
      <c r="F83" s="8">
        <f>SUMIF('11_NAPLO'!$F$7:$F$806,$B83,'11_NAPLO'!$I$7:$I$806)</f>
        <v>0</v>
      </c>
      <c r="G83" s="30">
        <f>$D83-($E83-$F83)</f>
        <v>0</v>
      </c>
      <c r="H83" s="8">
        <f>-($E83-$F83)</f>
        <v>0</v>
      </c>
    </row>
    <row r="84" spans="2:8" x14ac:dyDescent="0.3">
      <c r="B84" s="21" t="s">
        <v>94</v>
      </c>
      <c r="C84" s="5" t="str">
        <f>INDEX('91_NYELV'!$C$7:$D$408,281,NYELV_IDX)</f>
        <v>Késztermékek és befejezetlen termelés állományváltozása</v>
      </c>
      <c r="D84" s="8">
        <f>'03_ADATBEVITEL'!$E$84*'02_CSOPORT'!$M$7*'02_CSOPORT'!$K$7+'03_ADATBEVITEL'!$F$84*'02_CSOPORT'!$M$8*'02_CSOPORT'!$K$8+'03_ADATBEVITEL'!$G$84*'02_CSOPORT'!$M$9*'02_CSOPORT'!$K$9+'03_ADATBEVITEL'!$H$84*'02_CSOPORT'!$M$10*'02_CSOPORT'!$K$10+'03_ADATBEVITEL'!$I$84*'02_CSOPORT'!$M$11*'02_CSOPORT'!$K$11+'03_ADATBEVITEL'!$J$84*'02_CSOPORT'!$M$12*'02_CSOPORT'!$K$12</f>
        <v>0</v>
      </c>
      <c r="E84" s="8">
        <f>SUMIF('11_NAPLO'!$F$7:$F$806,$B84,'11_NAPLO'!$H$7:$H$806)</f>
        <v>0</v>
      </c>
      <c r="F84" s="8">
        <f>SUMIF('11_NAPLO'!$F$7:$F$806,$B84,'11_NAPLO'!$I$7:$I$806)</f>
        <v>0</v>
      </c>
      <c r="G84" s="30">
        <f>$D84-($E84-$F84)</f>
        <v>0</v>
      </c>
      <c r="H84" s="8">
        <f>-($E84-$F84)</f>
        <v>0</v>
      </c>
    </row>
    <row r="85" spans="2:8" x14ac:dyDescent="0.3">
      <c r="B85" s="21" t="s">
        <v>95</v>
      </c>
      <c r="C85" s="5" t="str">
        <f>INDEX('91_NYELV'!$C$7:$D$408,282,NYELV_IDX)</f>
        <v>Felhasznált anyagok és igénybe vett szolgáltatások</v>
      </c>
      <c r="D85" s="8">
        <f>'03_ADATBEVITEL'!$E$85*'02_CSOPORT'!$M$7*'02_CSOPORT'!$K$7+'03_ADATBEVITEL'!$F$85*'02_CSOPORT'!$M$8*'02_CSOPORT'!$K$8+'03_ADATBEVITEL'!$G$85*'02_CSOPORT'!$M$9*'02_CSOPORT'!$K$9+'03_ADATBEVITEL'!$H$85*'02_CSOPORT'!$M$10*'02_CSOPORT'!$K$10+'03_ADATBEVITEL'!$I$85*'02_CSOPORT'!$M$11*'02_CSOPORT'!$K$11+'03_ADATBEVITEL'!$J$85*'02_CSOPORT'!$M$12*'02_CSOPORT'!$K$12</f>
        <v>0</v>
      </c>
      <c r="E85" s="8">
        <f>SUMIF('11_NAPLO'!$F$7:$F$806,$B85,'11_NAPLO'!$H$7:$H$806)</f>
        <v>0</v>
      </c>
      <c r="F85" s="8">
        <f>SUMIF('11_NAPLO'!$F$7:$F$806,$B85,'11_NAPLO'!$I$7:$I$806)</f>
        <v>0</v>
      </c>
      <c r="G85" s="30">
        <f>$D85+($E85-$F85)</f>
        <v>0</v>
      </c>
      <c r="H85" s="8">
        <f>($E85-$F85)</f>
        <v>0</v>
      </c>
    </row>
    <row r="86" spans="2:8" x14ac:dyDescent="0.3">
      <c r="B86" s="21" t="s">
        <v>96</v>
      </c>
      <c r="C86" s="5" t="str">
        <f>INDEX('91_NYELV'!$C$7:$D$408,283,NYELV_IDX)</f>
        <v>Személyi jellegű ráfordítások</v>
      </c>
      <c r="D86" s="8">
        <f>'03_ADATBEVITEL'!$E$86*'02_CSOPORT'!$M$7*'02_CSOPORT'!$K$7+'03_ADATBEVITEL'!$F$86*'02_CSOPORT'!$M$8*'02_CSOPORT'!$K$8+'03_ADATBEVITEL'!$G$86*'02_CSOPORT'!$M$9*'02_CSOPORT'!$K$9+'03_ADATBEVITEL'!$H$86*'02_CSOPORT'!$M$10*'02_CSOPORT'!$K$10+'03_ADATBEVITEL'!$I$86*'02_CSOPORT'!$M$11*'02_CSOPORT'!$K$11+'03_ADATBEVITEL'!$J$86*'02_CSOPORT'!$M$12*'02_CSOPORT'!$K$12</f>
        <v>0</v>
      </c>
      <c r="E86" s="8">
        <f>SUMIF('11_NAPLO'!$F$7:$F$806,$B86,'11_NAPLO'!$H$7:$H$806)</f>
        <v>0</v>
      </c>
      <c r="F86" s="8">
        <f>SUMIF('11_NAPLO'!$F$7:$F$806,$B86,'11_NAPLO'!$I$7:$I$806)</f>
        <v>0</v>
      </c>
      <c r="G86" s="30">
        <f>$D86+($E86-$F86)</f>
        <v>0</v>
      </c>
      <c r="H86" s="8">
        <f>($E86-$F86)</f>
        <v>0</v>
      </c>
    </row>
    <row r="87" spans="2:8" x14ac:dyDescent="0.3">
      <c r="B87" s="21" t="s">
        <v>97</v>
      </c>
      <c r="C87" s="5" t="str">
        <f>INDEX('91_NYELV'!$C$7:$D$408,284,NYELV_IDX)</f>
        <v>Értékcsökkenési leírás és amortizáció</v>
      </c>
      <c r="D87" s="8">
        <f>'03_ADATBEVITEL'!$E$87*'02_CSOPORT'!$M$7*'02_CSOPORT'!$K$7+'03_ADATBEVITEL'!$F$87*'02_CSOPORT'!$M$8*'02_CSOPORT'!$K$8+'03_ADATBEVITEL'!$G$87*'02_CSOPORT'!$M$9*'02_CSOPORT'!$K$9+'03_ADATBEVITEL'!$H$87*'02_CSOPORT'!$M$10*'02_CSOPORT'!$K$10+'03_ADATBEVITEL'!$I$87*'02_CSOPORT'!$M$11*'02_CSOPORT'!$K$11+'03_ADATBEVITEL'!$J$87*'02_CSOPORT'!$M$12*'02_CSOPORT'!$K$12</f>
        <v>0</v>
      </c>
      <c r="E87" s="8">
        <f>SUMIF('11_NAPLO'!$F$7:$F$806,$B87,'11_NAPLO'!$H$7:$H$806)</f>
        <v>0</v>
      </c>
      <c r="F87" s="8">
        <f>SUMIF('11_NAPLO'!$F$7:$F$806,$B87,'11_NAPLO'!$I$7:$I$806)</f>
        <v>0</v>
      </c>
      <c r="G87" s="30">
        <f>$D87+($E87-$F87)</f>
        <v>0</v>
      </c>
      <c r="H87" s="8">
        <f>($E87-$F87)</f>
        <v>0</v>
      </c>
    </row>
    <row r="88" spans="2:8" x14ac:dyDescent="0.3">
      <c r="B88" s="21" t="s">
        <v>98</v>
      </c>
      <c r="C88" s="5" t="str">
        <f>INDEX('91_NYELV'!$C$7:$D$408,285,NYELV_IDX)</f>
        <v>Egyéb ráfordítások</v>
      </c>
      <c r="D88" s="8">
        <f>'03_ADATBEVITEL'!$E$88*'02_CSOPORT'!$M$7*'02_CSOPORT'!$K$7+'03_ADATBEVITEL'!$F$88*'02_CSOPORT'!$M$8*'02_CSOPORT'!$K$8+'03_ADATBEVITEL'!$G$88*'02_CSOPORT'!$M$9*'02_CSOPORT'!$K$9+'03_ADATBEVITEL'!$H$88*'02_CSOPORT'!$M$10*'02_CSOPORT'!$K$10+'03_ADATBEVITEL'!$I$88*'02_CSOPORT'!$M$11*'02_CSOPORT'!$K$11+'03_ADATBEVITEL'!$J$88*'02_CSOPORT'!$M$12*'02_CSOPORT'!$K$12</f>
        <v>0</v>
      </c>
      <c r="E88" s="8">
        <f>SUMIF('11_NAPLO'!$F$7:$F$806,$B88,'11_NAPLO'!$H$7:$H$806)</f>
        <v>0</v>
      </c>
      <c r="F88" s="8">
        <f>SUMIF('11_NAPLO'!$F$7:$F$806,$B88,'11_NAPLO'!$I$7:$I$806)</f>
        <v>0</v>
      </c>
      <c r="G88" s="30">
        <f>$D88+($E88-$F88)</f>
        <v>0</v>
      </c>
      <c r="H88" s="8">
        <f>($E88-$F88)</f>
        <v>0</v>
      </c>
    </row>
    <row r="89" spans="2:8" x14ac:dyDescent="0.3">
      <c r="B89" s="21" t="s">
        <v>99</v>
      </c>
      <c r="C89" s="22" t="str">
        <f>INDEX('91_NYELV'!$C$7:$D$408,286,NYELV_IDX)</f>
        <v>A. Eredménybe át NEM sorolható tételek</v>
      </c>
      <c r="D89" s="8"/>
      <c r="E89" s="8"/>
      <c r="F89" s="8"/>
      <c r="G89" s="23">
        <f>$G$90+$G$91+$G$92-$G$93</f>
        <v>0</v>
      </c>
      <c r="H89" s="8">
        <f>$H$90+$H$91+$H$92-$H$93</f>
        <v>0</v>
      </c>
    </row>
    <row r="90" spans="2:8" x14ac:dyDescent="0.3">
      <c r="B90" s="21" t="s">
        <v>100</v>
      </c>
      <c r="C90" s="5" t="str">
        <f>INDEX('91_NYELV'!$C$7:$D$408,287,NYELV_IDX)</f>
        <v>1. Ingatlanok, gépek, berendezések értékelési többlete</v>
      </c>
      <c r="D90" s="8">
        <f>'03_ADATBEVITEL'!$E$90*'02_CSOPORT'!$M$7*'02_CSOPORT'!$K$7+'03_ADATBEVITEL'!$F$90*'02_CSOPORT'!$M$8*'02_CSOPORT'!$K$8+'03_ADATBEVITEL'!$G$90*'02_CSOPORT'!$M$9*'02_CSOPORT'!$K$9+'03_ADATBEVITEL'!$H$90*'02_CSOPORT'!$M$10*'02_CSOPORT'!$K$10+'03_ADATBEVITEL'!$I$90*'02_CSOPORT'!$M$11*'02_CSOPORT'!$K$11+'03_ADATBEVITEL'!$J$90*'02_CSOPORT'!$M$12*'02_CSOPORT'!$K$12</f>
        <v>0</v>
      </c>
      <c r="E90" s="8">
        <f>SUMIF('11_NAPLO'!$F$7:$F$806,$B90,'11_NAPLO'!$H$7:$H$806)</f>
        <v>0</v>
      </c>
      <c r="F90" s="8">
        <f>SUMIF('11_NAPLO'!$F$7:$F$806,$B90,'11_NAPLO'!$I$7:$I$806)</f>
        <v>0</v>
      </c>
      <c r="G90" s="30">
        <f>$D90-($E90-$F90)</f>
        <v>0</v>
      </c>
      <c r="H90" s="8">
        <f>-($E90-$F90)</f>
        <v>0</v>
      </c>
    </row>
    <row r="91" spans="2:8" x14ac:dyDescent="0.3">
      <c r="B91" s="21" t="s">
        <v>101</v>
      </c>
      <c r="C91" s="5" t="str">
        <f>INDEX('91_NYELV'!$C$7:$D$408,288,NYELV_IDX)</f>
        <v>2. Meghatározott juttatási programok újraértékelése</v>
      </c>
      <c r="D91" s="8">
        <f>'03_ADATBEVITEL'!$E$91*'02_CSOPORT'!$M$7*'02_CSOPORT'!$K$7+'03_ADATBEVITEL'!$F$91*'02_CSOPORT'!$M$8*'02_CSOPORT'!$K$8+'03_ADATBEVITEL'!$G$91*'02_CSOPORT'!$M$9*'02_CSOPORT'!$K$9+'03_ADATBEVITEL'!$H$91*'02_CSOPORT'!$M$10*'02_CSOPORT'!$K$10+'03_ADATBEVITEL'!$I$91*'02_CSOPORT'!$M$11*'02_CSOPORT'!$K$11+'03_ADATBEVITEL'!$J$91*'02_CSOPORT'!$M$12*'02_CSOPORT'!$K$12</f>
        <v>0</v>
      </c>
      <c r="E91" s="8">
        <f>SUMIF('11_NAPLO'!$F$7:$F$806,$B91,'11_NAPLO'!$H$7:$H$806)</f>
        <v>0</v>
      </c>
      <c r="F91" s="8">
        <f>SUMIF('11_NAPLO'!$F$7:$F$806,$B91,'11_NAPLO'!$I$7:$I$806)</f>
        <v>0</v>
      </c>
      <c r="G91" s="30">
        <f>$D91-($E91-$F91)</f>
        <v>0</v>
      </c>
      <c r="H91" s="8">
        <f>-($E91-$F91)</f>
        <v>0</v>
      </c>
    </row>
    <row r="92" spans="2:8" x14ac:dyDescent="0.3">
      <c r="B92" s="21" t="s">
        <v>102</v>
      </c>
      <c r="C92" s="5" t="str">
        <f>INDEX('91_NYELV'!$C$7:$D$408,289,NYELV_IDX)</f>
        <v>3. FVOCI tőkeinstrumentumok valósérték-változása</v>
      </c>
      <c r="D92" s="8">
        <f>'03_ADATBEVITEL'!$E$92*'02_CSOPORT'!$M$7*'02_CSOPORT'!$K$7+'03_ADATBEVITEL'!$F$92*'02_CSOPORT'!$M$8*'02_CSOPORT'!$K$8+'03_ADATBEVITEL'!$G$92*'02_CSOPORT'!$M$9*'02_CSOPORT'!$K$9+'03_ADATBEVITEL'!$H$92*'02_CSOPORT'!$M$10*'02_CSOPORT'!$K$10+'03_ADATBEVITEL'!$I$92*'02_CSOPORT'!$M$11*'02_CSOPORT'!$K$11+'03_ADATBEVITEL'!$J$92*'02_CSOPORT'!$M$12*'02_CSOPORT'!$K$12</f>
        <v>0</v>
      </c>
      <c r="E92" s="8">
        <f>SUMIF('11_NAPLO'!$F$7:$F$806,$B92,'11_NAPLO'!$H$7:$H$806)</f>
        <v>0</v>
      </c>
      <c r="F92" s="8">
        <f>SUMIF('11_NAPLO'!$F$7:$F$806,$B92,'11_NAPLO'!$I$7:$I$806)</f>
        <v>0</v>
      </c>
      <c r="G92" s="30">
        <f>$D92-($E92-$F92)</f>
        <v>0</v>
      </c>
      <c r="H92" s="8">
        <f>-($E92-$F92)</f>
        <v>0</v>
      </c>
    </row>
    <row r="93" spans="2:8" x14ac:dyDescent="0.3">
      <c r="B93" s="21" t="s">
        <v>103</v>
      </c>
      <c r="C93" s="5" t="str">
        <f>INDEX('91_NYELV'!$C$7:$D$408,290,NYELV_IDX)</f>
        <v>4. A fenti tételekre jutó nyereségadó</v>
      </c>
      <c r="D93" s="8">
        <f>'03_ADATBEVITEL'!$E$93*'02_CSOPORT'!$M$7*'02_CSOPORT'!$K$7+'03_ADATBEVITEL'!$F$93*'02_CSOPORT'!$M$8*'02_CSOPORT'!$K$8+'03_ADATBEVITEL'!$G$93*'02_CSOPORT'!$M$9*'02_CSOPORT'!$K$9+'03_ADATBEVITEL'!$H$93*'02_CSOPORT'!$M$10*'02_CSOPORT'!$K$10+'03_ADATBEVITEL'!$I$93*'02_CSOPORT'!$M$11*'02_CSOPORT'!$K$11+'03_ADATBEVITEL'!$J$93*'02_CSOPORT'!$M$12*'02_CSOPORT'!$K$12</f>
        <v>0</v>
      </c>
      <c r="E93" s="8">
        <f>SUMIF('11_NAPLO'!$F$7:$F$806,$B93,'11_NAPLO'!$H$7:$H$806)</f>
        <v>0</v>
      </c>
      <c r="F93" s="8">
        <f>SUMIF('11_NAPLO'!$F$7:$F$806,$B93,'11_NAPLO'!$I$7:$I$806)</f>
        <v>0</v>
      </c>
      <c r="G93" s="30">
        <f>$D93+($E93-$F93)</f>
        <v>0</v>
      </c>
      <c r="H93" s="8">
        <f>($E93-$F93)</f>
        <v>0</v>
      </c>
    </row>
    <row r="94" spans="2:8" x14ac:dyDescent="0.3">
      <c r="B94" s="21" t="s">
        <v>104</v>
      </c>
      <c r="C94" s="22" t="str">
        <f>INDEX('91_NYELV'!$C$7:$D$408,291,NYELV_IDX)</f>
        <v>B. Eredménybe átsorolható tételek</v>
      </c>
      <c r="D94" s="8"/>
      <c r="E94" s="8"/>
      <c r="F94" s="8"/>
      <c r="G94" s="23">
        <f>$G$95+$G$96+$G$97+$G$98-$G$99</f>
        <v>0</v>
      </c>
      <c r="H94" s="8">
        <f>$H$95+$H$96+$H$97+$H$98-$H$99</f>
        <v>0</v>
      </c>
    </row>
    <row r="95" spans="2:8" x14ac:dyDescent="0.3">
      <c r="B95" s="21" t="s">
        <v>105</v>
      </c>
      <c r="C95" s="5" t="str">
        <f>INDEX('91_NYELV'!$C$7:$D$408,292,NYELV_IDX)</f>
        <v>1. Külföldi érdekeltségek átszámítási különbözete (IAS 21)</v>
      </c>
      <c r="D95" s="8">
        <f>'03_ADATBEVITEL'!$E$95*'02_CSOPORT'!$M$7*'02_CSOPORT'!$K$7+'03_ADATBEVITEL'!$F$95*'02_CSOPORT'!$M$8*'02_CSOPORT'!$K$8+'03_ADATBEVITEL'!$G$95*'02_CSOPORT'!$M$9*'02_CSOPORT'!$K$9+'03_ADATBEVITEL'!$H$95*'02_CSOPORT'!$M$10*'02_CSOPORT'!$K$10+'03_ADATBEVITEL'!$I$95*'02_CSOPORT'!$M$11*'02_CSOPORT'!$K$11+'03_ADATBEVITEL'!$J$95*'02_CSOPORT'!$M$12*'02_CSOPORT'!$K$12</f>
        <v>0</v>
      </c>
      <c r="E95" s="8">
        <f>SUMIF('11_NAPLO'!$F$7:$F$806,$B95,'11_NAPLO'!$H$7:$H$806)</f>
        <v>0</v>
      </c>
      <c r="F95" s="8">
        <f>SUMIF('11_NAPLO'!$F$7:$F$806,$B95,'11_NAPLO'!$I$7:$I$806)</f>
        <v>0</v>
      </c>
      <c r="G95" s="30">
        <f>$D95-($E95-$F95)</f>
        <v>0</v>
      </c>
      <c r="H95" s="8">
        <f>-($E95-$F95)</f>
        <v>0</v>
      </c>
    </row>
    <row r="96" spans="2:8" x14ac:dyDescent="0.3">
      <c r="B96" s="21" t="s">
        <v>106</v>
      </c>
      <c r="C96" s="5" t="str">
        <f>INDEX('91_NYELV'!$C$7:$D$408,293,NYELV_IDX)</f>
        <v>2. Cash flow fedezeti ügyletek</v>
      </c>
      <c r="D96" s="8">
        <f>'03_ADATBEVITEL'!$E$96*'02_CSOPORT'!$M$7*'02_CSOPORT'!$K$7+'03_ADATBEVITEL'!$F$96*'02_CSOPORT'!$M$8*'02_CSOPORT'!$K$8+'03_ADATBEVITEL'!$G$96*'02_CSOPORT'!$M$9*'02_CSOPORT'!$K$9+'03_ADATBEVITEL'!$H$96*'02_CSOPORT'!$M$10*'02_CSOPORT'!$K$10+'03_ADATBEVITEL'!$I$96*'02_CSOPORT'!$M$11*'02_CSOPORT'!$K$11+'03_ADATBEVITEL'!$J$96*'02_CSOPORT'!$M$12*'02_CSOPORT'!$K$12</f>
        <v>0</v>
      </c>
      <c r="E96" s="8">
        <f>SUMIF('11_NAPLO'!$F$7:$F$806,$B96,'11_NAPLO'!$H$7:$H$806)</f>
        <v>0</v>
      </c>
      <c r="F96" s="8">
        <f>SUMIF('11_NAPLO'!$F$7:$F$806,$B96,'11_NAPLO'!$I$7:$I$806)</f>
        <v>0</v>
      </c>
      <c r="G96" s="30">
        <f>$D96-($E96-$F96)</f>
        <v>0</v>
      </c>
      <c r="H96" s="8">
        <f>-($E96-$F96)</f>
        <v>0</v>
      </c>
    </row>
    <row r="97" spans="2:8" x14ac:dyDescent="0.3">
      <c r="B97" s="21" t="s">
        <v>107</v>
      </c>
      <c r="C97" s="5" t="str">
        <f>INDEX('91_NYELV'!$C$7:$D$408,294,NYELV_IDX)</f>
        <v>3. FVOCI hitelinstrumentumok valósérték-változása</v>
      </c>
      <c r="D97" s="8">
        <f>'03_ADATBEVITEL'!$E$97*'02_CSOPORT'!$M$7*'02_CSOPORT'!$K$7+'03_ADATBEVITEL'!$F$97*'02_CSOPORT'!$M$8*'02_CSOPORT'!$K$8+'03_ADATBEVITEL'!$G$97*'02_CSOPORT'!$M$9*'02_CSOPORT'!$K$9+'03_ADATBEVITEL'!$H$97*'02_CSOPORT'!$M$10*'02_CSOPORT'!$K$10+'03_ADATBEVITEL'!$I$97*'02_CSOPORT'!$M$11*'02_CSOPORT'!$K$11+'03_ADATBEVITEL'!$J$97*'02_CSOPORT'!$M$12*'02_CSOPORT'!$K$12</f>
        <v>0</v>
      </c>
      <c r="E97" s="8">
        <f>SUMIF('11_NAPLO'!$F$7:$F$806,$B97,'11_NAPLO'!$H$7:$H$806)</f>
        <v>0</v>
      </c>
      <c r="F97" s="8">
        <f>SUMIF('11_NAPLO'!$F$7:$F$806,$B97,'11_NAPLO'!$I$7:$I$806)</f>
        <v>0</v>
      </c>
      <c r="G97" s="30">
        <f>$D97-($E97-$F97)</f>
        <v>0</v>
      </c>
      <c r="H97" s="8">
        <f>-($E97-$F97)</f>
        <v>0</v>
      </c>
    </row>
    <row r="98" spans="2:8" x14ac:dyDescent="0.3">
      <c r="B98" s="21" t="s">
        <v>108</v>
      </c>
      <c r="C98" s="5" t="str">
        <f>INDEX('91_NYELV'!$C$7:$D$408,295,NYELV_IDX)</f>
        <v>4. Társult vállalkozások egyéb átfogó jövedelméből való részesedés</v>
      </c>
      <c r="D98" s="8">
        <f>'03_ADATBEVITEL'!$E$98*'02_CSOPORT'!$M$7*'02_CSOPORT'!$K$7+'03_ADATBEVITEL'!$F$98*'02_CSOPORT'!$M$8*'02_CSOPORT'!$K$8+'03_ADATBEVITEL'!$G$98*'02_CSOPORT'!$M$9*'02_CSOPORT'!$K$9+'03_ADATBEVITEL'!$H$98*'02_CSOPORT'!$M$10*'02_CSOPORT'!$K$10+'03_ADATBEVITEL'!$I$98*'02_CSOPORT'!$M$11*'02_CSOPORT'!$K$11+'03_ADATBEVITEL'!$J$98*'02_CSOPORT'!$M$12*'02_CSOPORT'!$K$12</f>
        <v>0</v>
      </c>
      <c r="E98" s="8">
        <f>SUMIF('11_NAPLO'!$F$7:$F$806,$B98,'11_NAPLO'!$H$7:$H$806)</f>
        <v>0</v>
      </c>
      <c r="F98" s="8">
        <f>SUMIF('11_NAPLO'!$F$7:$F$806,$B98,'11_NAPLO'!$I$7:$I$806)</f>
        <v>0</v>
      </c>
      <c r="G98" s="30">
        <f>$D98-($E98-$F98)</f>
        <v>0</v>
      </c>
      <c r="H98" s="8">
        <f>-($E98-$F98)</f>
        <v>0</v>
      </c>
    </row>
    <row r="99" spans="2:8" x14ac:dyDescent="0.3">
      <c r="B99" s="21" t="s">
        <v>109</v>
      </c>
      <c r="C99" s="5" t="str">
        <f>INDEX('91_NYELV'!$C$7:$D$408,296,NYELV_IDX)</f>
        <v>5. A fenti tételekre jutó nyereségadó</v>
      </c>
      <c r="D99" s="8">
        <f>'03_ADATBEVITEL'!$E$99*'02_CSOPORT'!$M$7*'02_CSOPORT'!$K$7+'03_ADATBEVITEL'!$F$99*'02_CSOPORT'!$M$8*'02_CSOPORT'!$K$8+'03_ADATBEVITEL'!$G$99*'02_CSOPORT'!$M$9*'02_CSOPORT'!$K$9+'03_ADATBEVITEL'!$H$99*'02_CSOPORT'!$M$10*'02_CSOPORT'!$K$10+'03_ADATBEVITEL'!$I$99*'02_CSOPORT'!$M$11*'02_CSOPORT'!$K$11+'03_ADATBEVITEL'!$J$99*'02_CSOPORT'!$M$12*'02_CSOPORT'!$K$12</f>
        <v>0</v>
      </c>
      <c r="E99" s="8">
        <f>SUMIF('11_NAPLO'!$F$7:$F$806,$B99,'11_NAPLO'!$H$7:$H$806)</f>
        <v>0</v>
      </c>
      <c r="F99" s="8">
        <f>SUMIF('11_NAPLO'!$F$7:$F$806,$B99,'11_NAPLO'!$I$7:$I$806)</f>
        <v>0</v>
      </c>
      <c r="G99" s="30">
        <f>$D99+($E99-$F99)</f>
        <v>0</v>
      </c>
      <c r="H99" s="8">
        <f>($E99-$F99)</f>
        <v>0</v>
      </c>
    </row>
    <row r="100" spans="2:8" x14ac:dyDescent="0.3">
      <c r="B100" s="21" t="s">
        <v>110</v>
      </c>
      <c r="C100" s="22" t="str">
        <f>INDEX('91_NYELV'!$C$7:$D$408,297,NYELV_IDX)</f>
        <v>IDŐSZAKI EGYÉB ÁTFOGÓ JÖVEDELEM ÖSSZESEN</v>
      </c>
      <c r="D100" s="8"/>
      <c r="E100" s="8"/>
      <c r="F100" s="8"/>
      <c r="G100" s="23">
        <f>$G$89+$G$94</f>
        <v>0</v>
      </c>
      <c r="H100" s="8">
        <f>$H$89+$H$94</f>
        <v>0</v>
      </c>
    </row>
    <row r="101" spans="2:8" x14ac:dyDescent="0.3">
      <c r="B101" s="21" t="s">
        <v>111</v>
      </c>
      <c r="C101" s="22" t="str">
        <f>INDEX('91_NYELV'!$C$7:$D$408,298,NYELV_IDX)</f>
        <v>IDŐSZAKI ÁTFOGÓ JÖVEDELEM ÖSSZESEN</v>
      </c>
      <c r="D101" s="8"/>
      <c r="E101" s="8"/>
      <c r="F101" s="8"/>
      <c r="G101" s="23">
        <f>$G$81+$G$100</f>
        <v>0</v>
      </c>
      <c r="H101" s="8">
        <f>$H$81+$H$100</f>
        <v>0</v>
      </c>
    </row>
    <row r="102" spans="2:8" x14ac:dyDescent="0.3">
      <c r="B102" s="21" t="s">
        <v>112</v>
      </c>
      <c r="C102" s="5" t="str">
        <f>INDEX('91_NYELV'!$C$7:$D$408,299,NYELV_IDX)</f>
        <v>ebből: az anyavállalat tulajdonosaira jutó</v>
      </c>
      <c r="D102" s="8">
        <f>'12_MUNKATABLA'!$G$100</f>
        <v>0</v>
      </c>
      <c r="E102" s="8">
        <f>SUMIF('11_NAPLO'!$F$7:$F$806,$B102,'11_NAPLO'!$H$7:$H$806)</f>
        <v>0</v>
      </c>
      <c r="F102" s="8">
        <f>SUMIF('11_NAPLO'!$F$7:$F$806,$B102,'11_NAPLO'!$I$7:$I$806)</f>
        <v>0</v>
      </c>
      <c r="G102" s="30">
        <f>$D102-($E102-$F102)</f>
        <v>0</v>
      </c>
      <c r="H102" s="8">
        <f>-($E102-$F102)</f>
        <v>0</v>
      </c>
    </row>
    <row r="103" spans="2:8" x14ac:dyDescent="0.3">
      <c r="B103" s="21" t="s">
        <v>113</v>
      </c>
      <c r="C103" s="5" t="str">
        <f>INDEX('91_NYELV'!$C$7:$D$408,300,NYELV_IDX)</f>
        <v>ebből: a nem ellenőrző részesedésekre jutó</v>
      </c>
      <c r="D103" s="8">
        <f>'03_ADATBEVITEL'!$E$103*'02_CSOPORT'!$M$7*'02_CSOPORT'!$K$7+'03_ADATBEVITEL'!$F$103*'02_CSOPORT'!$M$8*'02_CSOPORT'!$K$8+'03_ADATBEVITEL'!$G$103*'02_CSOPORT'!$M$9*'02_CSOPORT'!$K$9+'03_ADATBEVITEL'!$H$103*'02_CSOPORT'!$M$10*'02_CSOPORT'!$K$10+'03_ADATBEVITEL'!$I$103*'02_CSOPORT'!$M$11*'02_CSOPORT'!$K$11+'03_ADATBEVITEL'!$J$103*'02_CSOPORT'!$M$12*'02_CSOPORT'!$K$12</f>
        <v>0</v>
      </c>
      <c r="E103" s="8">
        <f>SUMIF('11_NAPLO'!$F$7:$F$806,$B103,'11_NAPLO'!$H$7:$H$806)</f>
        <v>0</v>
      </c>
      <c r="F103" s="8">
        <f>SUMIF('11_NAPLO'!$F$7:$F$806,$B103,'11_NAPLO'!$I$7:$I$806)</f>
        <v>0</v>
      </c>
      <c r="G103" s="30">
        <f>$D103-($E103-$F103)</f>
        <v>0</v>
      </c>
      <c r="H103" s="8">
        <f>-($E103-$F103)</f>
        <v>0</v>
      </c>
    </row>
  </sheetData>
  <sheetProtection algorithmName="SHA-512" hashValue="OTLV+NivFPqq8uG4Trc4z1Bjgf3sCTAvcrUr751BRjsNanIPQ988iGldqyiXflcqLahNA0uqSmcR+eIUUqme+Q==" saltValue="c1PNz4MijcHwu22iGHRDZw==" spinCount="100000" sheet="1" objects="1" scenarios="1"/>
  <pageMargins left="0.75" right="0.75" top="1" bottom="1" header="0.5" footer="0.5"/>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unka15"/>
  <dimension ref="B1:F52"/>
  <sheetViews>
    <sheetView showGridLines="0" workbookViewId="0"/>
  </sheetViews>
  <sheetFormatPr defaultRowHeight="14.4" x14ac:dyDescent="0.3"/>
  <cols>
    <col min="2" max="2" width="14" customWidth="1"/>
    <col min="3" max="3" width="66" customWidth="1"/>
    <col min="4" max="6" width="18" customWidth="1"/>
  </cols>
  <sheetData>
    <row r="1" spans="2:6" ht="73.95" customHeight="1" x14ac:dyDescent="0.3"/>
    <row r="3" spans="2:6" ht="18" x14ac:dyDescent="0.35">
      <c r="B3" s="11" t="str">
        <f>INDEX('91_NYELV'!$C$7:$D$408,148,NYELV_IDX)</f>
        <v>Konszolidált pénzügyi helyzet kimutatása</v>
      </c>
    </row>
    <row r="4" spans="2:6" x14ac:dyDescent="0.3">
      <c r="B4" s="15" t="str">
        <f>INDEX('91_NYELV'!$C$7:$D$408,8,NYELV_IDX)</f>
        <v>A sárga hátterű, kék betűs cellák a kitöltendő adatok. A szürke cellák képletet tartalmaznak.</v>
      </c>
    </row>
    <row r="6" spans="2:6" x14ac:dyDescent="0.3">
      <c r="B6" s="16" t="str">
        <f>INDEX('91_NYELV'!$C$7:$D$408,9,NYELV_IDX)</f>
        <v>Kód</v>
      </c>
      <c r="C6" s="16" t="str">
        <f>INDEX('91_NYELV'!$C$7:$D$408,10,NYELV_IDX)</f>
        <v>Megnevezés</v>
      </c>
      <c r="D6" s="16" t="str">
        <f>INDEX('91_NYELV'!$C$7:$D$408,11,NYELV_IDX)</f>
        <v>Tárgyév</v>
      </c>
      <c r="E6" s="16" t="str">
        <f>INDEX('91_NYELV'!$C$7:$D$408,12,NYELV_IDX)</f>
        <v>Előző év</v>
      </c>
      <c r="F6" s="16" t="str">
        <f>INDEX('91_NYELV'!$C$7:$D$408,13,NYELV_IDX)</f>
        <v>Változás</v>
      </c>
    </row>
    <row r="7" spans="2:6" x14ac:dyDescent="0.3">
      <c r="B7" s="21" t="s">
        <v>18</v>
      </c>
      <c r="C7" s="9" t="str">
        <f>INDEX('91_NYELV'!$C$7:$D$408,205,NYELV_IDX)</f>
        <v>A. BEFEKTETETT ESZKÖZÖK</v>
      </c>
      <c r="D7" s="23">
        <f>'12_MUNKATABLA'!$G$8</f>
        <v>0</v>
      </c>
      <c r="E7" s="23">
        <f>'03B_NYITO'!$D$8</f>
        <v>0</v>
      </c>
      <c r="F7" s="23">
        <f t="shared" ref="F7:F52" si="0">$D7-$E7</f>
        <v>0</v>
      </c>
    </row>
    <row r="8" spans="2:6" x14ac:dyDescent="0.3">
      <c r="B8" s="21" t="s">
        <v>19</v>
      </c>
      <c r="C8" s="32" t="str">
        <f>INDEX('91_NYELV'!$C$7:$D$408,206,NYELV_IDX)</f>
        <v>1. Ingatlanok, gépek és berendezések</v>
      </c>
      <c r="D8" s="33">
        <f>'12_MUNKATABLA'!$G$9</f>
        <v>0</v>
      </c>
      <c r="E8" s="33">
        <f>'03B_NYITO'!$D$9</f>
        <v>0</v>
      </c>
      <c r="F8" s="33">
        <f t="shared" si="0"/>
        <v>0</v>
      </c>
    </row>
    <row r="9" spans="2:6" x14ac:dyDescent="0.3">
      <c r="B9" s="21" t="s">
        <v>20</v>
      </c>
      <c r="C9" s="32" t="str">
        <f>INDEX('91_NYELV'!$C$7:$D$408,207,NYELV_IDX)</f>
        <v>2. Használatijog-eszközök</v>
      </c>
      <c r="D9" s="33">
        <f>'12_MUNKATABLA'!$G$10</f>
        <v>0</v>
      </c>
      <c r="E9" s="33">
        <f>'03B_NYITO'!$D$10</f>
        <v>0</v>
      </c>
      <c r="F9" s="33">
        <f t="shared" si="0"/>
        <v>0</v>
      </c>
    </row>
    <row r="10" spans="2:6" x14ac:dyDescent="0.3">
      <c r="B10" s="21" t="s">
        <v>21</v>
      </c>
      <c r="C10" s="32" t="str">
        <f>INDEX('91_NYELV'!$C$7:$D$408,208,NYELV_IDX)</f>
        <v>3. Befektetési célú ingatlanok</v>
      </c>
      <c r="D10" s="33">
        <f>'12_MUNKATABLA'!$G$11</f>
        <v>0</v>
      </c>
      <c r="E10" s="33">
        <f>'03B_NYITO'!$D$11</f>
        <v>0</v>
      </c>
      <c r="F10" s="33">
        <f t="shared" si="0"/>
        <v>0</v>
      </c>
    </row>
    <row r="11" spans="2:6" x14ac:dyDescent="0.3">
      <c r="B11" s="21" t="s">
        <v>22</v>
      </c>
      <c r="C11" s="32" t="str">
        <f>INDEX('91_NYELV'!$C$7:$D$408,209,NYELV_IDX)</f>
        <v>4. Goodwill (üzleti vagy cégérték)</v>
      </c>
      <c r="D11" s="33">
        <f>'12_MUNKATABLA'!$G$12</f>
        <v>0</v>
      </c>
      <c r="E11" s="33">
        <f>'03B_NYITO'!$D$12</f>
        <v>0</v>
      </c>
      <c r="F11" s="33">
        <f t="shared" si="0"/>
        <v>0</v>
      </c>
    </row>
    <row r="12" spans="2:6" x14ac:dyDescent="0.3">
      <c r="B12" s="21" t="s">
        <v>23</v>
      </c>
      <c r="C12" s="32" t="str">
        <f>INDEX('91_NYELV'!$C$7:$D$408,210,NYELV_IDX)</f>
        <v>5. Egyéb immateriális javak</v>
      </c>
      <c r="D12" s="33">
        <f>'12_MUNKATABLA'!$G$13</f>
        <v>0</v>
      </c>
      <c r="E12" s="33">
        <f>'03B_NYITO'!$D$13</f>
        <v>0</v>
      </c>
      <c r="F12" s="33">
        <f t="shared" si="0"/>
        <v>0</v>
      </c>
    </row>
    <row r="13" spans="2:6" x14ac:dyDescent="0.3">
      <c r="B13" s="21" t="s">
        <v>24</v>
      </c>
      <c r="C13" s="32" t="str">
        <f>INDEX('91_NYELV'!$C$7:$D$408,211,NYELV_IDX)</f>
        <v>6. Társult és közös vezetésű vállalkozásokban lévő befektetések (equity)</v>
      </c>
      <c r="D13" s="33">
        <f>'12_MUNKATABLA'!$G$14</f>
        <v>0</v>
      </c>
      <c r="E13" s="33">
        <f>'03B_NYITO'!$D$14</f>
        <v>0</v>
      </c>
      <c r="F13" s="33">
        <f t="shared" si="0"/>
        <v>0</v>
      </c>
    </row>
    <row r="14" spans="2:6" x14ac:dyDescent="0.3">
      <c r="B14" s="21" t="s">
        <v>25</v>
      </c>
      <c r="C14" s="32" t="str">
        <f>INDEX('91_NYELV'!$C$7:$D$408,212,NYELV_IDX)</f>
        <v>7. Egyéb pénzügyi eszközök (befektetett)</v>
      </c>
      <c r="D14" s="33">
        <f>'12_MUNKATABLA'!$G$15</f>
        <v>0</v>
      </c>
      <c r="E14" s="33">
        <f>'03B_NYITO'!$D$15</f>
        <v>0</v>
      </c>
      <c r="F14" s="33">
        <f t="shared" si="0"/>
        <v>0</v>
      </c>
    </row>
    <row r="15" spans="2:6" x14ac:dyDescent="0.3">
      <c r="B15" s="21" t="s">
        <v>26</v>
      </c>
      <c r="C15" s="32" t="str">
        <f>INDEX('91_NYELV'!$C$7:$D$408,213,NYELV_IDX)</f>
        <v>8. Halasztott adókövetelések</v>
      </c>
      <c r="D15" s="33">
        <f>'12_MUNKATABLA'!$G$16</f>
        <v>0</v>
      </c>
      <c r="E15" s="33">
        <f>'03B_NYITO'!$D$16</f>
        <v>0</v>
      </c>
      <c r="F15" s="33">
        <f t="shared" si="0"/>
        <v>0</v>
      </c>
    </row>
    <row r="16" spans="2:6" x14ac:dyDescent="0.3">
      <c r="B16" s="21" t="s">
        <v>27</v>
      </c>
      <c r="C16" s="32" t="str">
        <f>INDEX('91_NYELV'!$C$7:$D$408,214,NYELV_IDX)</f>
        <v>9. Egyéb befektetett eszközök</v>
      </c>
      <c r="D16" s="33">
        <f>'12_MUNKATABLA'!$G$17</f>
        <v>0</v>
      </c>
      <c r="E16" s="33">
        <f>'03B_NYITO'!$D$17</f>
        <v>0</v>
      </c>
      <c r="F16" s="33">
        <f t="shared" si="0"/>
        <v>0</v>
      </c>
    </row>
    <row r="17" spans="2:6" x14ac:dyDescent="0.3">
      <c r="B17" s="21" t="s">
        <v>28</v>
      </c>
      <c r="C17" s="9" t="str">
        <f>INDEX('91_NYELV'!$C$7:$D$408,215,NYELV_IDX)</f>
        <v>B. FORGÓESZKÖZÖK</v>
      </c>
      <c r="D17" s="23">
        <f>'12_MUNKATABLA'!$G$18</f>
        <v>0</v>
      </c>
      <c r="E17" s="23">
        <f>'03B_NYITO'!$D$18</f>
        <v>0</v>
      </c>
      <c r="F17" s="23">
        <f t="shared" si="0"/>
        <v>0</v>
      </c>
    </row>
    <row r="18" spans="2:6" x14ac:dyDescent="0.3">
      <c r="B18" s="21" t="s">
        <v>29</v>
      </c>
      <c r="C18" s="32" t="str">
        <f>INDEX('91_NYELV'!$C$7:$D$408,216,NYELV_IDX)</f>
        <v>1. Készletek</v>
      </c>
      <c r="D18" s="33">
        <f>'12_MUNKATABLA'!$G$19</f>
        <v>0</v>
      </c>
      <c r="E18" s="33">
        <f>'03B_NYITO'!$D$19</f>
        <v>0</v>
      </c>
      <c r="F18" s="33">
        <f t="shared" si="0"/>
        <v>0</v>
      </c>
    </row>
    <row r="19" spans="2:6" x14ac:dyDescent="0.3">
      <c r="B19" s="21" t="s">
        <v>30</v>
      </c>
      <c r="C19" s="32" t="str">
        <f>INDEX('91_NYELV'!$C$7:$D$408,217,NYELV_IDX)</f>
        <v>2. Vevő- és egyéb követelések</v>
      </c>
      <c r="D19" s="33">
        <f>'12_MUNKATABLA'!$G$20</f>
        <v>0</v>
      </c>
      <c r="E19" s="33">
        <f>'03B_NYITO'!$D$20</f>
        <v>0</v>
      </c>
      <c r="F19" s="33">
        <f t="shared" si="0"/>
        <v>0</v>
      </c>
    </row>
    <row r="20" spans="2:6" x14ac:dyDescent="0.3">
      <c r="B20" s="21" t="s">
        <v>31</v>
      </c>
      <c r="C20" s="32" t="str">
        <f>INDEX('91_NYELV'!$C$7:$D$408,218,NYELV_IDX)</f>
        <v>3. Szerződéses eszközök</v>
      </c>
      <c r="D20" s="33">
        <f>'12_MUNKATABLA'!$G$21</f>
        <v>0</v>
      </c>
      <c r="E20" s="33">
        <f>'03B_NYITO'!$D$21</f>
        <v>0</v>
      </c>
      <c r="F20" s="33">
        <f t="shared" si="0"/>
        <v>0</v>
      </c>
    </row>
    <row r="21" spans="2:6" x14ac:dyDescent="0.3">
      <c r="B21" s="21" t="s">
        <v>32</v>
      </c>
      <c r="C21" s="32" t="str">
        <f>INDEX('91_NYELV'!$C$7:$D$408,219,NYELV_IDX)</f>
        <v>4. Egyéb pénzügyi eszközök (forgó)</v>
      </c>
      <c r="D21" s="33">
        <f>'12_MUNKATABLA'!$G$22</f>
        <v>0</v>
      </c>
      <c r="E21" s="33">
        <f>'03B_NYITO'!$D$22</f>
        <v>0</v>
      </c>
      <c r="F21" s="33">
        <f t="shared" si="0"/>
        <v>0</v>
      </c>
    </row>
    <row r="22" spans="2:6" x14ac:dyDescent="0.3">
      <c r="B22" s="21" t="s">
        <v>33</v>
      </c>
      <c r="C22" s="32" t="str">
        <f>INDEX('91_NYELV'!$C$7:$D$408,220,NYELV_IDX)</f>
        <v>5. Tényleges adókövetelések</v>
      </c>
      <c r="D22" s="33">
        <f>'12_MUNKATABLA'!$G$23</f>
        <v>0</v>
      </c>
      <c r="E22" s="33">
        <f>'03B_NYITO'!$D$23</f>
        <v>0</v>
      </c>
      <c r="F22" s="33">
        <f t="shared" si="0"/>
        <v>0</v>
      </c>
    </row>
    <row r="23" spans="2:6" x14ac:dyDescent="0.3">
      <c r="B23" s="21" t="s">
        <v>34</v>
      </c>
      <c r="C23" s="32" t="str">
        <f>INDEX('91_NYELV'!$C$7:$D$408,221,NYELV_IDX)</f>
        <v>6. Egyéb forgóeszközök, aktív időbeli elhatárolások</v>
      </c>
      <c r="D23" s="33">
        <f>'12_MUNKATABLA'!$G$24</f>
        <v>0</v>
      </c>
      <c r="E23" s="33">
        <f>'03B_NYITO'!$D$24</f>
        <v>0</v>
      </c>
      <c r="F23" s="33">
        <f t="shared" si="0"/>
        <v>0</v>
      </c>
    </row>
    <row r="24" spans="2:6" x14ac:dyDescent="0.3">
      <c r="B24" s="21" t="s">
        <v>35</v>
      </c>
      <c r="C24" s="32" t="str">
        <f>INDEX('91_NYELV'!$C$7:$D$408,222,NYELV_IDX)</f>
        <v>7. Pénzeszközök és pénzeszköz-egyenértékesek</v>
      </c>
      <c r="D24" s="33">
        <f>'12_MUNKATABLA'!$G$25</f>
        <v>0</v>
      </c>
      <c r="E24" s="33">
        <f>'03B_NYITO'!$D$25</f>
        <v>0</v>
      </c>
      <c r="F24" s="33">
        <f t="shared" si="0"/>
        <v>0</v>
      </c>
    </row>
    <row r="25" spans="2:6" x14ac:dyDescent="0.3">
      <c r="B25" s="21" t="s">
        <v>36</v>
      </c>
      <c r="C25" s="32" t="str">
        <f>INDEX('91_NYELV'!$C$7:$D$408,223,NYELV_IDX)</f>
        <v>8. Értékesítésre tartott eszközök (IFRS 5)</v>
      </c>
      <c r="D25" s="33">
        <f>'12_MUNKATABLA'!$G$26</f>
        <v>0</v>
      </c>
      <c r="E25" s="33">
        <f>'03B_NYITO'!$D$26</f>
        <v>0</v>
      </c>
      <c r="F25" s="33">
        <f t="shared" si="0"/>
        <v>0</v>
      </c>
    </row>
    <row r="26" spans="2:6" x14ac:dyDescent="0.3">
      <c r="B26" s="21" t="s">
        <v>37</v>
      </c>
      <c r="C26" s="9" t="str">
        <f>INDEX('91_NYELV'!$C$7:$D$408,224,NYELV_IDX)</f>
        <v>ESZKÖZÖK ÖSSZESEN</v>
      </c>
      <c r="D26" s="23">
        <f>'12_MUNKATABLA'!$G$27</f>
        <v>0</v>
      </c>
      <c r="E26" s="23">
        <f>'03B_NYITO'!$D$27</f>
        <v>0</v>
      </c>
      <c r="F26" s="23">
        <f t="shared" si="0"/>
        <v>0</v>
      </c>
    </row>
    <row r="27" spans="2:6" x14ac:dyDescent="0.3">
      <c r="B27" s="21" t="s">
        <v>38</v>
      </c>
      <c r="C27" s="9" t="str">
        <f>INDEX('91_NYELV'!$C$7:$D$408,225,NYELV_IDX)</f>
        <v>C. AZ ANYAVÁLLALAT TULAJDONOSAIRA JUTÓ SAJÁT TŐKE</v>
      </c>
      <c r="D27" s="23">
        <f>'12_MUNKATABLA'!$G$28</f>
        <v>0</v>
      </c>
      <c r="E27" s="23">
        <f>'03B_NYITO'!$D$28</f>
        <v>0</v>
      </c>
      <c r="F27" s="23">
        <f t="shared" si="0"/>
        <v>0</v>
      </c>
    </row>
    <row r="28" spans="2:6" x14ac:dyDescent="0.3">
      <c r="B28" s="21" t="s">
        <v>39</v>
      </c>
      <c r="C28" s="32" t="str">
        <f>INDEX('91_NYELV'!$C$7:$D$408,226,NYELV_IDX)</f>
        <v>1. Jegyzett tőke</v>
      </c>
      <c r="D28" s="33">
        <f>'12_MUNKATABLA'!$G$29</f>
        <v>0</v>
      </c>
      <c r="E28" s="33">
        <f>'03B_NYITO'!$D$29</f>
        <v>0</v>
      </c>
      <c r="F28" s="33">
        <f t="shared" si="0"/>
        <v>0</v>
      </c>
    </row>
    <row r="29" spans="2:6" x14ac:dyDescent="0.3">
      <c r="B29" s="21" t="s">
        <v>40</v>
      </c>
      <c r="C29" s="32" t="str">
        <f>INDEX('91_NYELV'!$C$7:$D$408,227,NYELV_IDX)</f>
        <v>2. Tőketartalék (ázsió)</v>
      </c>
      <c r="D29" s="33">
        <f>'12_MUNKATABLA'!$G$30</f>
        <v>0</v>
      </c>
      <c r="E29" s="33">
        <f>'03B_NYITO'!$D$30</f>
        <v>0</v>
      </c>
      <c r="F29" s="33">
        <f t="shared" si="0"/>
        <v>0</v>
      </c>
    </row>
    <row r="30" spans="2:6" x14ac:dyDescent="0.3">
      <c r="B30" s="21" t="s">
        <v>41</v>
      </c>
      <c r="C30" s="32" t="str">
        <f>INDEX('91_NYELV'!$C$7:$D$408,228,NYELV_IDX)</f>
        <v>3. Visszavásárolt saját részvények (–)</v>
      </c>
      <c r="D30" s="33">
        <f>'12_MUNKATABLA'!$G$31</f>
        <v>0</v>
      </c>
      <c r="E30" s="33">
        <f>'03B_NYITO'!$D$31</f>
        <v>0</v>
      </c>
      <c r="F30" s="33">
        <f t="shared" si="0"/>
        <v>0</v>
      </c>
    </row>
    <row r="31" spans="2:6" x14ac:dyDescent="0.3">
      <c r="B31" s="21" t="s">
        <v>42</v>
      </c>
      <c r="C31" s="32" t="str">
        <f>INDEX('91_NYELV'!$C$7:$D$408,229,NYELV_IDX)</f>
        <v>4. Eredménytartalék</v>
      </c>
      <c r="D31" s="33">
        <f>'12_MUNKATABLA'!$G$32</f>
        <v>0</v>
      </c>
      <c r="E31" s="33">
        <f>'03B_NYITO'!$D$32</f>
        <v>0</v>
      </c>
      <c r="F31" s="33">
        <f t="shared" si="0"/>
        <v>0</v>
      </c>
    </row>
    <row r="32" spans="2:6" x14ac:dyDescent="0.3">
      <c r="B32" s="21" t="s">
        <v>43</v>
      </c>
      <c r="C32" s="32" t="str">
        <f>INDEX('91_NYELV'!$C$7:$D$408,230,NYELV_IDX)</f>
        <v>5. Átszámítási különbözet (külföldi érdekeltségek)</v>
      </c>
      <c r="D32" s="33">
        <f>'12_MUNKATABLA'!$G$33</f>
        <v>0</v>
      </c>
      <c r="E32" s="33">
        <f>'03B_NYITO'!$D$33</f>
        <v>0</v>
      </c>
      <c r="F32" s="33">
        <f t="shared" si="0"/>
        <v>0</v>
      </c>
    </row>
    <row r="33" spans="2:6" x14ac:dyDescent="0.3">
      <c r="B33" s="21" t="s">
        <v>44</v>
      </c>
      <c r="C33" s="32" t="str">
        <f>INDEX('91_NYELV'!$C$7:$D$408,231,NYELV_IDX)</f>
        <v>6. Egyéb tartalékok (értékelési, fedezeti, FVOCI)</v>
      </c>
      <c r="D33" s="33">
        <f>'12_MUNKATABLA'!$G$34</f>
        <v>0</v>
      </c>
      <c r="E33" s="33">
        <f>'03B_NYITO'!$D$34</f>
        <v>0</v>
      </c>
      <c r="F33" s="33">
        <f t="shared" si="0"/>
        <v>0</v>
      </c>
    </row>
    <row r="34" spans="2:6" x14ac:dyDescent="0.3">
      <c r="B34" s="21" t="s">
        <v>45</v>
      </c>
      <c r="C34" s="9" t="str">
        <f>INDEX('91_NYELV'!$C$7:$D$408,232,NYELV_IDX)</f>
        <v>D. NEM ELLENŐRZŐ RÉSZESEDÉSEK</v>
      </c>
      <c r="D34" s="23">
        <f>'12_MUNKATABLA'!$G$35</f>
        <v>0</v>
      </c>
      <c r="E34" s="23">
        <f>'03B_NYITO'!$D$35</f>
        <v>0</v>
      </c>
      <c r="F34" s="23">
        <f t="shared" si="0"/>
        <v>0</v>
      </c>
    </row>
    <row r="35" spans="2:6" x14ac:dyDescent="0.3">
      <c r="B35" s="21" t="s">
        <v>46</v>
      </c>
      <c r="C35" s="9" t="str">
        <f>INDEX('91_NYELV'!$C$7:$D$408,233,NYELV_IDX)</f>
        <v>SAJÁT TŐKE ÖSSZESEN</v>
      </c>
      <c r="D35" s="23">
        <f>'12_MUNKATABLA'!$G$36</f>
        <v>0</v>
      </c>
      <c r="E35" s="23">
        <f>'03B_NYITO'!$D$36</f>
        <v>0</v>
      </c>
      <c r="F35" s="23">
        <f t="shared" si="0"/>
        <v>0</v>
      </c>
    </row>
    <row r="36" spans="2:6" x14ac:dyDescent="0.3">
      <c r="B36" s="21" t="s">
        <v>47</v>
      </c>
      <c r="C36" s="9" t="str">
        <f>INDEX('91_NYELV'!$C$7:$D$408,234,NYELV_IDX)</f>
        <v>E. HOSSZÚ LEJÁRATÚ KÖTELEZETTSÉGEK</v>
      </c>
      <c r="D36" s="23">
        <f>'12_MUNKATABLA'!$G$37</f>
        <v>0</v>
      </c>
      <c r="E36" s="23">
        <f>'03B_NYITO'!$D$37</f>
        <v>0</v>
      </c>
      <c r="F36" s="23">
        <f t="shared" si="0"/>
        <v>0</v>
      </c>
    </row>
    <row r="37" spans="2:6" x14ac:dyDescent="0.3">
      <c r="B37" s="21" t="s">
        <v>48</v>
      </c>
      <c r="C37" s="32" t="str">
        <f>INDEX('91_NYELV'!$C$7:$D$408,235,NYELV_IDX)</f>
        <v>1. Hitelek és kölcsönök (hosszú lejáratú)</v>
      </c>
      <c r="D37" s="33">
        <f>'12_MUNKATABLA'!$G$38</f>
        <v>0</v>
      </c>
      <c r="E37" s="33">
        <f>'03B_NYITO'!$D$38</f>
        <v>0</v>
      </c>
      <c r="F37" s="33">
        <f t="shared" si="0"/>
        <v>0</v>
      </c>
    </row>
    <row r="38" spans="2:6" x14ac:dyDescent="0.3">
      <c r="B38" s="21" t="s">
        <v>49</v>
      </c>
      <c r="C38" s="32" t="str">
        <f>INDEX('91_NYELV'!$C$7:$D$408,236,NYELV_IDX)</f>
        <v>2. Lízingkötelezettségek (hosszú lejáratú)</v>
      </c>
      <c r="D38" s="33">
        <f>'12_MUNKATABLA'!$G$39</f>
        <v>0</v>
      </c>
      <c r="E38" s="33">
        <f>'03B_NYITO'!$D$39</f>
        <v>0</v>
      </c>
      <c r="F38" s="33">
        <f t="shared" si="0"/>
        <v>0</v>
      </c>
    </row>
    <row r="39" spans="2:6" x14ac:dyDescent="0.3">
      <c r="B39" s="21" t="s">
        <v>50</v>
      </c>
      <c r="C39" s="32" t="str">
        <f>INDEX('91_NYELV'!$C$7:$D$408,237,NYELV_IDX)</f>
        <v>3. Halasztott adókötelezettségek</v>
      </c>
      <c r="D39" s="33">
        <f>'12_MUNKATABLA'!$G$40</f>
        <v>0</v>
      </c>
      <c r="E39" s="33">
        <f>'03B_NYITO'!$D$40</f>
        <v>0</v>
      </c>
      <c r="F39" s="33">
        <f t="shared" si="0"/>
        <v>0</v>
      </c>
    </row>
    <row r="40" spans="2:6" x14ac:dyDescent="0.3">
      <c r="B40" s="21" t="s">
        <v>51</v>
      </c>
      <c r="C40" s="32" t="str">
        <f>INDEX('91_NYELV'!$C$7:$D$408,238,NYELV_IDX)</f>
        <v>4. Céltartalékok (hosszú lejáratú)</v>
      </c>
      <c r="D40" s="33">
        <f>'12_MUNKATABLA'!$G$41</f>
        <v>0</v>
      </c>
      <c r="E40" s="33">
        <f>'03B_NYITO'!$D$41</f>
        <v>0</v>
      </c>
      <c r="F40" s="33">
        <f t="shared" si="0"/>
        <v>0</v>
      </c>
    </row>
    <row r="41" spans="2:6" x14ac:dyDescent="0.3">
      <c r="B41" s="21" t="s">
        <v>52</v>
      </c>
      <c r="C41" s="32" t="str">
        <f>INDEX('91_NYELV'!$C$7:$D$408,239,NYELV_IDX)</f>
        <v>5. Munkavállalói juttatási kötelezettségek</v>
      </c>
      <c r="D41" s="33">
        <f>'12_MUNKATABLA'!$G$42</f>
        <v>0</v>
      </c>
      <c r="E41" s="33">
        <f>'03B_NYITO'!$D$42</f>
        <v>0</v>
      </c>
      <c r="F41" s="33">
        <f t="shared" si="0"/>
        <v>0</v>
      </c>
    </row>
    <row r="42" spans="2:6" x14ac:dyDescent="0.3">
      <c r="B42" s="21" t="s">
        <v>53</v>
      </c>
      <c r="C42" s="32" t="str">
        <f>INDEX('91_NYELV'!$C$7:$D$408,240,NYELV_IDX)</f>
        <v>6. Egyéb hosszú lejáratú kötelezettségek</v>
      </c>
      <c r="D42" s="33">
        <f>'12_MUNKATABLA'!$G$43</f>
        <v>0</v>
      </c>
      <c r="E42" s="33">
        <f>'03B_NYITO'!$D$43</f>
        <v>0</v>
      </c>
      <c r="F42" s="33">
        <f t="shared" si="0"/>
        <v>0</v>
      </c>
    </row>
    <row r="43" spans="2:6" x14ac:dyDescent="0.3">
      <c r="B43" s="21" t="s">
        <v>54</v>
      </c>
      <c r="C43" s="9" t="str">
        <f>INDEX('91_NYELV'!$C$7:$D$408,241,NYELV_IDX)</f>
        <v>F. RÖVID LEJÁRATÚ KÖTELEZETTSÉGEK</v>
      </c>
      <c r="D43" s="23">
        <f>'12_MUNKATABLA'!$G$44</f>
        <v>0</v>
      </c>
      <c r="E43" s="23">
        <f>'03B_NYITO'!$D$44</f>
        <v>0</v>
      </c>
      <c r="F43" s="23">
        <f t="shared" si="0"/>
        <v>0</v>
      </c>
    </row>
    <row r="44" spans="2:6" x14ac:dyDescent="0.3">
      <c r="B44" s="21" t="s">
        <v>55</v>
      </c>
      <c r="C44" s="32" t="str">
        <f>INDEX('91_NYELV'!$C$7:$D$408,242,NYELV_IDX)</f>
        <v>1. Szállítói és egyéb kötelezettségek</v>
      </c>
      <c r="D44" s="33">
        <f>'12_MUNKATABLA'!$G$45</f>
        <v>0</v>
      </c>
      <c r="E44" s="33">
        <f>'03B_NYITO'!$D$45</f>
        <v>0</v>
      </c>
      <c r="F44" s="33">
        <f t="shared" si="0"/>
        <v>0</v>
      </c>
    </row>
    <row r="45" spans="2:6" x14ac:dyDescent="0.3">
      <c r="B45" s="21" t="s">
        <v>56</v>
      </c>
      <c r="C45" s="32" t="str">
        <f>INDEX('91_NYELV'!$C$7:$D$408,243,NYELV_IDX)</f>
        <v>2. Szerződéses kötelezettségek</v>
      </c>
      <c r="D45" s="33">
        <f>'12_MUNKATABLA'!$G$46</f>
        <v>0</v>
      </c>
      <c r="E45" s="33">
        <f>'03B_NYITO'!$D$46</f>
        <v>0</v>
      </c>
      <c r="F45" s="33">
        <f t="shared" si="0"/>
        <v>0</v>
      </c>
    </row>
    <row r="46" spans="2:6" x14ac:dyDescent="0.3">
      <c r="B46" s="21" t="s">
        <v>57</v>
      </c>
      <c r="C46" s="32" t="str">
        <f>INDEX('91_NYELV'!$C$7:$D$408,244,NYELV_IDX)</f>
        <v>3. Hitelek és kölcsönök (rövid lejáratú)</v>
      </c>
      <c r="D46" s="33">
        <f>'12_MUNKATABLA'!$G$47</f>
        <v>0</v>
      </c>
      <c r="E46" s="33">
        <f>'03B_NYITO'!$D$47</f>
        <v>0</v>
      </c>
      <c r="F46" s="33">
        <f t="shared" si="0"/>
        <v>0</v>
      </c>
    </row>
    <row r="47" spans="2:6" x14ac:dyDescent="0.3">
      <c r="B47" s="21" t="s">
        <v>58</v>
      </c>
      <c r="C47" s="32" t="str">
        <f>INDEX('91_NYELV'!$C$7:$D$408,245,NYELV_IDX)</f>
        <v>4. Lízingkötelezettségek (rövid lejáratú)</v>
      </c>
      <c r="D47" s="33">
        <f>'12_MUNKATABLA'!$G$48</f>
        <v>0</v>
      </c>
      <c r="E47" s="33">
        <f>'03B_NYITO'!$D$48</f>
        <v>0</v>
      </c>
      <c r="F47" s="33">
        <f t="shared" si="0"/>
        <v>0</v>
      </c>
    </row>
    <row r="48" spans="2:6" x14ac:dyDescent="0.3">
      <c r="B48" s="21" t="s">
        <v>59</v>
      </c>
      <c r="C48" s="32" t="str">
        <f>INDEX('91_NYELV'!$C$7:$D$408,246,NYELV_IDX)</f>
        <v>5. Tényleges adókötelezettségek</v>
      </c>
      <c r="D48" s="33">
        <f>'12_MUNKATABLA'!$G$49</f>
        <v>0</v>
      </c>
      <c r="E48" s="33">
        <f>'03B_NYITO'!$D$49</f>
        <v>0</v>
      </c>
      <c r="F48" s="33">
        <f t="shared" si="0"/>
        <v>0</v>
      </c>
    </row>
    <row r="49" spans="2:6" x14ac:dyDescent="0.3">
      <c r="B49" s="21" t="s">
        <v>60</v>
      </c>
      <c r="C49" s="32" t="str">
        <f>INDEX('91_NYELV'!$C$7:$D$408,247,NYELV_IDX)</f>
        <v>6. Céltartalékok (rövid lejáratú)</v>
      </c>
      <c r="D49" s="33">
        <f>'12_MUNKATABLA'!$G$50</f>
        <v>0</v>
      </c>
      <c r="E49" s="33">
        <f>'03B_NYITO'!$D$50</f>
        <v>0</v>
      </c>
      <c r="F49" s="33">
        <f t="shared" si="0"/>
        <v>0</v>
      </c>
    </row>
    <row r="50" spans="2:6" x14ac:dyDescent="0.3">
      <c r="B50" s="21" t="s">
        <v>61</v>
      </c>
      <c r="C50" s="32" t="str">
        <f>INDEX('91_NYELV'!$C$7:$D$408,248,NYELV_IDX)</f>
        <v>7. Egyéb rövid lejáratú kötelezettségek, passzív elhatárolások</v>
      </c>
      <c r="D50" s="33">
        <f>'12_MUNKATABLA'!$G$51</f>
        <v>0</v>
      </c>
      <c r="E50" s="33">
        <f>'03B_NYITO'!$D$51</f>
        <v>0</v>
      </c>
      <c r="F50" s="33">
        <f t="shared" si="0"/>
        <v>0</v>
      </c>
    </row>
    <row r="51" spans="2:6" x14ac:dyDescent="0.3">
      <c r="B51" s="21" t="s">
        <v>62</v>
      </c>
      <c r="C51" s="32" t="str">
        <f>INDEX('91_NYELV'!$C$7:$D$408,249,NYELV_IDX)</f>
        <v>8. Értékesítésre tartott kötelezettségek (IFRS 5)</v>
      </c>
      <c r="D51" s="33">
        <f>'12_MUNKATABLA'!$G$52</f>
        <v>0</v>
      </c>
      <c r="E51" s="33">
        <f>'03B_NYITO'!$D$52</f>
        <v>0</v>
      </c>
      <c r="F51" s="33">
        <f t="shared" si="0"/>
        <v>0</v>
      </c>
    </row>
    <row r="52" spans="2:6" x14ac:dyDescent="0.3">
      <c r="B52" s="21" t="s">
        <v>63</v>
      </c>
      <c r="C52" s="9" t="str">
        <f>INDEX('91_NYELV'!$C$7:$D$408,250,NYELV_IDX)</f>
        <v>SAJÁT TŐKE ÉS KÖTELEZETTSÉGEK ÖSSZESEN</v>
      </c>
      <c r="D52" s="23">
        <f>'12_MUNKATABLA'!$G$53</f>
        <v>0</v>
      </c>
      <c r="E52" s="23">
        <f>'03B_NYITO'!$D$53</f>
        <v>0</v>
      </c>
      <c r="F52" s="23">
        <f t="shared" si="0"/>
        <v>0</v>
      </c>
    </row>
  </sheetData>
  <sheetProtection algorithmName="SHA-512" hashValue="8S49nD8cHDBs6VSJkPRnNTHVD0oCO5K0v4zhnoDLMwQOxA3fqhmLUWzf+3uzIV0WE61YsmNOWoyZUUrt6C+V7w==" saltValue="X4VjQBCczGqNNPRVaJ2Gnw==" spinCount="100000" sheet="1" objects="1" scenarios="1"/>
  <pageMargins left="0.75" right="0.75" top="1" bottom="1" header="0.5" footer="0.5"/>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Munka16"/>
  <dimension ref="B1:F61"/>
  <sheetViews>
    <sheetView showGridLines="0" workbookViewId="0"/>
  </sheetViews>
  <sheetFormatPr defaultRowHeight="14.4" x14ac:dyDescent="0.3"/>
  <cols>
    <col min="2" max="2" width="14" customWidth="1"/>
    <col min="3" max="3" width="72" customWidth="1"/>
    <col min="4" max="6" width="18" customWidth="1"/>
  </cols>
  <sheetData>
    <row r="1" spans="2:6" ht="73.95" customHeight="1" x14ac:dyDescent="0.3"/>
    <row r="3" spans="2:6" ht="18" x14ac:dyDescent="0.35">
      <c r="B3" s="11" t="str">
        <f>INDEX('91_NYELV'!$C$7:$D$408,149,NYELV_IDX)</f>
        <v>Konszolidált eredménykimutatás és egyéb átfogó jövedelem</v>
      </c>
    </row>
    <row r="4" spans="2:6" x14ac:dyDescent="0.3">
      <c r="B4" s="15" t="str">
        <f>INDEX('91_NYELV'!$C$7:$D$408,8,NYELV_IDX)</f>
        <v>A sárga hátterű, kék betűs cellák a kitöltendő adatok. A szürke cellák képletet tartalmaznak.</v>
      </c>
    </row>
    <row r="6" spans="2:6" x14ac:dyDescent="0.3">
      <c r="B6" s="16" t="str">
        <f>INDEX('91_NYELV'!$C$7:$D$408,9,NYELV_IDX)</f>
        <v>Kód</v>
      </c>
      <c r="C6" s="16" t="str">
        <f>INDEX('91_NYELV'!$C$7:$D$408,10,NYELV_IDX)</f>
        <v>Megnevezés</v>
      </c>
      <c r="D6" s="16" t="str">
        <f>INDEX('91_NYELV'!$C$7:$D$408,11,NYELV_IDX)</f>
        <v>Tárgyév</v>
      </c>
      <c r="E6" s="16" t="str">
        <f>INDEX('91_NYELV'!$C$7:$D$408,12,NYELV_IDX)</f>
        <v>Előző év</v>
      </c>
      <c r="F6" s="16" t="str">
        <f>INDEX('91_NYELV'!$C$7:$D$408,13,NYELV_IDX)</f>
        <v>Változás</v>
      </c>
    </row>
    <row r="7" spans="2:6" x14ac:dyDescent="0.3">
      <c r="B7" s="21" t="s">
        <v>64</v>
      </c>
      <c r="C7" s="9" t="str">
        <f>INDEX('91_NYELV'!$C$7:$D$408,251,NYELV_IDX)</f>
        <v>I. ÜZEMI (MŰKÖDÉSI) KATEGÓRIA</v>
      </c>
      <c r="D7" s="23">
        <f>'12_MUNKATABLA'!$G$54</f>
        <v>0</v>
      </c>
      <c r="E7" s="23">
        <f>'03B_NYITO'!$D$54</f>
        <v>0</v>
      </c>
      <c r="F7" s="23">
        <f t="shared" ref="F7:F36" si="0">$D7-$E7</f>
        <v>0</v>
      </c>
    </row>
    <row r="8" spans="2:6" x14ac:dyDescent="0.3">
      <c r="B8" s="21" t="s">
        <v>65</v>
      </c>
      <c r="C8" s="32" t="str">
        <f>INDEX('91_NYELV'!$C$7:$D$408,252,NYELV_IDX)</f>
        <v>1. Árbevétel</v>
      </c>
      <c r="D8" s="33">
        <f>'12_MUNKATABLA'!$G$55</f>
        <v>0</v>
      </c>
      <c r="E8" s="33">
        <f>'03B_NYITO'!$D$55</f>
        <v>0</v>
      </c>
      <c r="F8" s="33">
        <f t="shared" si="0"/>
        <v>0</v>
      </c>
    </row>
    <row r="9" spans="2:6" x14ac:dyDescent="0.3">
      <c r="B9" s="21" t="s">
        <v>66</v>
      </c>
      <c r="C9" s="32" t="str">
        <f>INDEX('91_NYELV'!$C$7:$D$408,253,NYELV_IDX)</f>
        <v>2. Az értékesítés önköltsége</v>
      </c>
      <c r="D9" s="33">
        <f>'12_MUNKATABLA'!$G$56</f>
        <v>0</v>
      </c>
      <c r="E9" s="33">
        <f>'03B_NYITO'!$D$56</f>
        <v>0</v>
      </c>
      <c r="F9" s="33">
        <f t="shared" si="0"/>
        <v>0</v>
      </c>
    </row>
    <row r="10" spans="2:6" x14ac:dyDescent="0.3">
      <c r="B10" s="21" t="s">
        <v>67</v>
      </c>
      <c r="C10" s="29" t="str">
        <f>INDEX('91_NYELV'!$C$7:$D$408,254,NYELV_IDX)</f>
        <v>Bruttó fedezet</v>
      </c>
      <c r="D10" s="8">
        <f>'12_MUNKATABLA'!$G$57</f>
        <v>0</v>
      </c>
      <c r="E10" s="8">
        <f>'03B_NYITO'!$D$57</f>
        <v>0</v>
      </c>
      <c r="F10" s="8">
        <f t="shared" si="0"/>
        <v>0</v>
      </c>
    </row>
    <row r="11" spans="2:6" x14ac:dyDescent="0.3">
      <c r="B11" s="21" t="s">
        <v>68</v>
      </c>
      <c r="C11" s="32" t="str">
        <f>INDEX('91_NYELV'!$C$7:$D$408,255,NYELV_IDX)</f>
        <v>3. Egyéb működési bevételek</v>
      </c>
      <c r="D11" s="33">
        <f>'12_MUNKATABLA'!$G$58</f>
        <v>0</v>
      </c>
      <c r="E11" s="33">
        <f>'03B_NYITO'!$D$58</f>
        <v>0</v>
      </c>
      <c r="F11" s="33">
        <f t="shared" si="0"/>
        <v>0</v>
      </c>
    </row>
    <row r="12" spans="2:6" x14ac:dyDescent="0.3">
      <c r="B12" s="21" t="s">
        <v>69</v>
      </c>
      <c r="C12" s="32" t="str">
        <f>INDEX('91_NYELV'!$C$7:$D$408,256,NYELV_IDX)</f>
        <v>4. Értékesítési és forgalmazási költségek</v>
      </c>
      <c r="D12" s="33">
        <f>'12_MUNKATABLA'!$G$59</f>
        <v>0</v>
      </c>
      <c r="E12" s="33">
        <f>'03B_NYITO'!$D$59</f>
        <v>0</v>
      </c>
      <c r="F12" s="33">
        <f t="shared" si="0"/>
        <v>0</v>
      </c>
    </row>
    <row r="13" spans="2:6" x14ac:dyDescent="0.3">
      <c r="B13" s="21" t="s">
        <v>70</v>
      </c>
      <c r="C13" s="32" t="str">
        <f>INDEX('91_NYELV'!$C$7:$D$408,257,NYELV_IDX)</f>
        <v>5. Igazgatási költségek</v>
      </c>
      <c r="D13" s="33">
        <f>'12_MUNKATABLA'!$G$60</f>
        <v>0</v>
      </c>
      <c r="E13" s="33">
        <f>'03B_NYITO'!$D$60</f>
        <v>0</v>
      </c>
      <c r="F13" s="33">
        <f t="shared" si="0"/>
        <v>0</v>
      </c>
    </row>
    <row r="14" spans="2:6" x14ac:dyDescent="0.3">
      <c r="B14" s="21" t="s">
        <v>71</v>
      </c>
      <c r="C14" s="32" t="str">
        <f>INDEX('91_NYELV'!$C$7:$D$408,258,NYELV_IDX)</f>
        <v>6. Értékvesztés (goodwill és egyéb eszközök, IAS 36)</v>
      </c>
      <c r="D14" s="33">
        <f>'12_MUNKATABLA'!$G$61</f>
        <v>0</v>
      </c>
      <c r="E14" s="33">
        <f>'03B_NYITO'!$D$61</f>
        <v>0</v>
      </c>
      <c r="F14" s="33">
        <f t="shared" si="0"/>
        <v>0</v>
      </c>
    </row>
    <row r="15" spans="2:6" x14ac:dyDescent="0.3">
      <c r="B15" s="21" t="s">
        <v>72</v>
      </c>
      <c r="C15" s="32" t="str">
        <f>INDEX('91_NYELV'!$C$7:$D$408,259,NYELV_IDX)</f>
        <v>7. Egyéb működési ráfordítások</v>
      </c>
      <c r="D15" s="33">
        <f>'12_MUNKATABLA'!$G$62</f>
        <v>0</v>
      </c>
      <c r="E15" s="33">
        <f>'03B_NYITO'!$D$62</f>
        <v>0</v>
      </c>
      <c r="F15" s="33">
        <f t="shared" si="0"/>
        <v>0</v>
      </c>
    </row>
    <row r="16" spans="2:6" x14ac:dyDescent="0.3">
      <c r="B16" s="21" t="s">
        <v>73</v>
      </c>
      <c r="C16" s="9" t="str">
        <f>INDEX('91_NYELV'!$C$7:$D$408,260,NYELV_IDX)</f>
        <v>ÜZEMI EREDMÉNY [IFRS 18 kötelező részösszeg]</v>
      </c>
      <c r="D16" s="23">
        <f>'12_MUNKATABLA'!$G$63</f>
        <v>0</v>
      </c>
      <c r="E16" s="23">
        <f>'03B_NYITO'!$D$63</f>
        <v>0</v>
      </c>
      <c r="F16" s="23">
        <f t="shared" si="0"/>
        <v>0</v>
      </c>
    </row>
    <row r="17" spans="2:6" x14ac:dyDescent="0.3">
      <c r="B17" s="21" t="s">
        <v>74</v>
      </c>
      <c r="C17" s="9" t="str">
        <f>INDEX('91_NYELV'!$C$7:$D$408,261,NYELV_IDX)</f>
        <v>II. BEFEKTETÉSI KATEGÓRIA</v>
      </c>
      <c r="D17" s="23">
        <f>'12_MUNKATABLA'!$G$64</f>
        <v>0</v>
      </c>
      <c r="E17" s="23">
        <f>'03B_NYITO'!$D$64</f>
        <v>0</v>
      </c>
      <c r="F17" s="23">
        <f t="shared" si="0"/>
        <v>0</v>
      </c>
    </row>
    <row r="18" spans="2:6" x14ac:dyDescent="0.3">
      <c r="B18" s="21" t="s">
        <v>75</v>
      </c>
      <c r="C18" s="32" t="str">
        <f>INDEX('91_NYELV'!$C$7:$D$408,262,NYELV_IDX)</f>
        <v>1. Társult és közös vezetésű vállalkozások eredményéből való részesedés</v>
      </c>
      <c r="D18" s="33">
        <f>'12_MUNKATABLA'!$G$65</f>
        <v>0</v>
      </c>
      <c r="E18" s="33">
        <f>'03B_NYITO'!$D$65</f>
        <v>0</v>
      </c>
      <c r="F18" s="33">
        <f t="shared" si="0"/>
        <v>0</v>
      </c>
    </row>
    <row r="19" spans="2:6" x14ac:dyDescent="0.3">
      <c r="B19" s="21" t="s">
        <v>76</v>
      </c>
      <c r="C19" s="32" t="str">
        <f>INDEX('91_NYELV'!$C$7:$D$408,263,NYELV_IDX)</f>
        <v>2. Befektetések bevételei (osztalék, árfolyamnyereség)</v>
      </c>
      <c r="D19" s="33">
        <f>'12_MUNKATABLA'!$G$66</f>
        <v>0</v>
      </c>
      <c r="E19" s="33">
        <f>'03B_NYITO'!$D$66</f>
        <v>0</v>
      </c>
      <c r="F19" s="33">
        <f t="shared" si="0"/>
        <v>0</v>
      </c>
    </row>
    <row r="20" spans="2:6" x14ac:dyDescent="0.3">
      <c r="B20" s="21" t="s">
        <v>77</v>
      </c>
      <c r="C20" s="32" t="str">
        <f>INDEX('91_NYELV'!$C$7:$D$408,264,NYELV_IDX)</f>
        <v>3. Befektetések kamatbevétele</v>
      </c>
      <c r="D20" s="33">
        <f>'12_MUNKATABLA'!$G$67</f>
        <v>0</v>
      </c>
      <c r="E20" s="33">
        <f>'03B_NYITO'!$D$67</f>
        <v>0</v>
      </c>
      <c r="F20" s="33">
        <f t="shared" si="0"/>
        <v>0</v>
      </c>
    </row>
    <row r="21" spans="2:6" x14ac:dyDescent="0.3">
      <c r="B21" s="21" t="s">
        <v>78</v>
      </c>
      <c r="C21" s="9" t="str">
        <f>INDEX('91_NYELV'!$C$7:$D$408,265,NYELV_IDX)</f>
        <v>FINANSZÍROZÁS ÉS NYERESÉGADÓK ELŐTTI EREDMÉNY [IFRS 18 kötelező részösszeg]</v>
      </c>
      <c r="D21" s="23">
        <f>'12_MUNKATABLA'!$G$68</f>
        <v>0</v>
      </c>
      <c r="E21" s="23">
        <f>'03B_NYITO'!$D$68</f>
        <v>0</v>
      </c>
      <c r="F21" s="23">
        <f t="shared" si="0"/>
        <v>0</v>
      </c>
    </row>
    <row r="22" spans="2:6" x14ac:dyDescent="0.3">
      <c r="B22" s="21" t="s">
        <v>79</v>
      </c>
      <c r="C22" s="9" t="str">
        <f>INDEX('91_NYELV'!$C$7:$D$408,266,NYELV_IDX)</f>
        <v>III. FINANSZÍROZÁSI KATEGÓRIA</v>
      </c>
      <c r="D22" s="23">
        <f>'12_MUNKATABLA'!$G$69</f>
        <v>0</v>
      </c>
      <c r="E22" s="23">
        <f>'03B_NYITO'!$D$69</f>
        <v>0</v>
      </c>
      <c r="F22" s="23">
        <f t="shared" si="0"/>
        <v>0</v>
      </c>
    </row>
    <row r="23" spans="2:6" x14ac:dyDescent="0.3">
      <c r="B23" s="21" t="s">
        <v>80</v>
      </c>
      <c r="C23" s="32" t="str">
        <f>INDEX('91_NYELV'!$C$7:$D$408,267,NYELV_IDX)</f>
        <v>1. Hitelek és kölcsönök kamatráfordítása</v>
      </c>
      <c r="D23" s="33">
        <f>'12_MUNKATABLA'!$G$70</f>
        <v>0</v>
      </c>
      <c r="E23" s="33">
        <f>'03B_NYITO'!$D$70</f>
        <v>0</v>
      </c>
      <c r="F23" s="33">
        <f t="shared" si="0"/>
        <v>0</v>
      </c>
    </row>
    <row r="24" spans="2:6" x14ac:dyDescent="0.3">
      <c r="B24" s="21" t="s">
        <v>81</v>
      </c>
      <c r="C24" s="32" t="str">
        <f>INDEX('91_NYELV'!$C$7:$D$408,268,NYELV_IDX)</f>
        <v>2. Lízingkötelezettségek kamatráfordítása</v>
      </c>
      <c r="D24" s="33">
        <f>'12_MUNKATABLA'!$G$71</f>
        <v>0</v>
      </c>
      <c r="E24" s="33">
        <f>'03B_NYITO'!$D$71</f>
        <v>0</v>
      </c>
      <c r="F24" s="33">
        <f t="shared" si="0"/>
        <v>0</v>
      </c>
    </row>
    <row r="25" spans="2:6" x14ac:dyDescent="0.3">
      <c r="B25" s="21" t="s">
        <v>82</v>
      </c>
      <c r="C25" s="32" t="str">
        <f>INDEX('91_NYELV'!$C$7:$D$408,269,NYELV_IDX)</f>
        <v>3. Egyéb finanszírozási ráfordítások</v>
      </c>
      <c r="D25" s="33">
        <f>'12_MUNKATABLA'!$G$72</f>
        <v>0</v>
      </c>
      <c r="E25" s="33">
        <f>'03B_NYITO'!$D$72</f>
        <v>0</v>
      </c>
      <c r="F25" s="33">
        <f t="shared" si="0"/>
        <v>0</v>
      </c>
    </row>
    <row r="26" spans="2:6" x14ac:dyDescent="0.3">
      <c r="B26" s="21" t="s">
        <v>83</v>
      </c>
      <c r="C26" s="32" t="str">
        <f>INDEX('91_NYELV'!$C$7:$D$408,270,NYELV_IDX)</f>
        <v>4. Finanszírozási bevételek</v>
      </c>
      <c r="D26" s="33">
        <f>'12_MUNKATABLA'!$G$73</f>
        <v>0</v>
      </c>
      <c r="E26" s="33">
        <f>'03B_NYITO'!$D$73</f>
        <v>0</v>
      </c>
      <c r="F26" s="33">
        <f t="shared" si="0"/>
        <v>0</v>
      </c>
    </row>
    <row r="27" spans="2:6" x14ac:dyDescent="0.3">
      <c r="B27" s="21" t="s">
        <v>84</v>
      </c>
      <c r="C27" s="9" t="str">
        <f>INDEX('91_NYELV'!$C$7:$D$408,271,NYELV_IDX)</f>
        <v>ADÓZÁS ELŐTTI EREDMÉNY</v>
      </c>
      <c r="D27" s="23">
        <f>'12_MUNKATABLA'!$G$74</f>
        <v>0</v>
      </c>
      <c r="E27" s="23">
        <f>'03B_NYITO'!$D$74</f>
        <v>0</v>
      </c>
      <c r="F27" s="23">
        <f t="shared" si="0"/>
        <v>0</v>
      </c>
    </row>
    <row r="28" spans="2:6" x14ac:dyDescent="0.3">
      <c r="B28" s="21" t="s">
        <v>85</v>
      </c>
      <c r="C28" s="9" t="str">
        <f>INDEX('91_NYELV'!$C$7:$D$408,272,NYELV_IDX)</f>
        <v>IV. NYERESÉGADÓK KATEGÓRIA</v>
      </c>
      <c r="D28" s="23">
        <f>'12_MUNKATABLA'!$G$75</f>
        <v>0</v>
      </c>
      <c r="E28" s="23">
        <f>'03B_NYITO'!$D$75</f>
        <v>0</v>
      </c>
      <c r="F28" s="23">
        <f t="shared" si="0"/>
        <v>0</v>
      </c>
    </row>
    <row r="29" spans="2:6" x14ac:dyDescent="0.3">
      <c r="B29" s="21" t="s">
        <v>86</v>
      </c>
      <c r="C29" s="32" t="str">
        <f>INDEX('91_NYELV'!$C$7:$D$408,273,NYELV_IDX)</f>
        <v>1. Nyereségadó-ráfordítás (IAS 12)</v>
      </c>
      <c r="D29" s="33">
        <f>'12_MUNKATABLA'!$G$76</f>
        <v>0</v>
      </c>
      <c r="E29" s="33">
        <f>'03B_NYITO'!$D$76</f>
        <v>0</v>
      </c>
      <c r="F29" s="33">
        <f t="shared" si="0"/>
        <v>0</v>
      </c>
    </row>
    <row r="30" spans="2:6" x14ac:dyDescent="0.3">
      <c r="B30" s="21" t="s">
        <v>87</v>
      </c>
      <c r="C30" s="32" t="str">
        <f>INDEX('91_NYELV'!$C$7:$D$408,274,NYELV_IDX)</f>
        <v>2. Konszolidáció miatti halasztott adó (IAS 12)</v>
      </c>
      <c r="D30" s="33">
        <f>'12_MUNKATABLA'!$G$77</f>
        <v>0</v>
      </c>
      <c r="E30" s="33">
        <f>'03B_NYITO'!$D$77</f>
        <v>0</v>
      </c>
      <c r="F30" s="33">
        <f t="shared" si="0"/>
        <v>0</v>
      </c>
    </row>
    <row r="31" spans="2:6" x14ac:dyDescent="0.3">
      <c r="B31" s="21" t="s">
        <v>88</v>
      </c>
      <c r="C31" s="9" t="str">
        <f>INDEX('91_NYELV'!$C$7:$D$408,275,NYELV_IDX)</f>
        <v>FOLYTATÓDÓ TEVÉKENYSÉG EREDMÉNYE</v>
      </c>
      <c r="D31" s="23">
        <f>'12_MUNKATABLA'!$G$78</f>
        <v>0</v>
      </c>
      <c r="E31" s="23">
        <f>'03B_NYITO'!$D$78</f>
        <v>0</v>
      </c>
      <c r="F31" s="23">
        <f t="shared" si="0"/>
        <v>0</v>
      </c>
    </row>
    <row r="32" spans="2:6" x14ac:dyDescent="0.3">
      <c r="B32" s="21" t="s">
        <v>89</v>
      </c>
      <c r="C32" s="9" t="str">
        <f>INDEX('91_NYELV'!$C$7:$D$408,276,NYELV_IDX)</f>
        <v>V. MEGSZŰNT TEVÉKENYSÉGEK KATEGÓRIA</v>
      </c>
      <c r="D32" s="23">
        <f>'12_MUNKATABLA'!$G$79</f>
        <v>0</v>
      </c>
      <c r="E32" s="23">
        <f>'03B_NYITO'!$D$79</f>
        <v>0</v>
      </c>
      <c r="F32" s="23">
        <f t="shared" si="0"/>
        <v>0</v>
      </c>
    </row>
    <row r="33" spans="2:6" x14ac:dyDescent="0.3">
      <c r="B33" s="21" t="s">
        <v>90</v>
      </c>
      <c r="C33" s="32" t="str">
        <f>INDEX('91_NYELV'!$C$7:$D$408,277,NYELV_IDX)</f>
        <v>1. Megszűnt tevékenységek eredménye (IFRS 5)</v>
      </c>
      <c r="D33" s="33">
        <f>'12_MUNKATABLA'!$G$80</f>
        <v>0</v>
      </c>
      <c r="E33" s="33">
        <f>'03B_NYITO'!$D$80</f>
        <v>0</v>
      </c>
      <c r="F33" s="33">
        <f t="shared" si="0"/>
        <v>0</v>
      </c>
    </row>
    <row r="34" spans="2:6" x14ac:dyDescent="0.3">
      <c r="B34" s="21" t="s">
        <v>91</v>
      </c>
      <c r="C34" s="9" t="str">
        <f>INDEX('91_NYELV'!$C$7:$D$408,278,NYELV_IDX)</f>
        <v>IDŐSZAKI EREDMÉNY</v>
      </c>
      <c r="D34" s="23">
        <f>'12_MUNKATABLA'!$G$81</f>
        <v>0</v>
      </c>
      <c r="E34" s="23">
        <f>'03B_NYITO'!$D$81</f>
        <v>0</v>
      </c>
      <c r="F34" s="23">
        <f t="shared" si="0"/>
        <v>0</v>
      </c>
    </row>
    <row r="35" spans="2:6" x14ac:dyDescent="0.3">
      <c r="B35" s="21" t="s">
        <v>92</v>
      </c>
      <c r="C35" s="32" t="str">
        <f>INDEX('91_NYELV'!$C$7:$D$408,279,NYELV_IDX)</f>
        <v>ebből: az anyavállalat tulajdonosaira jutó</v>
      </c>
      <c r="D35" s="33">
        <f>'12_MUNKATABLA'!$G$82</f>
        <v>0</v>
      </c>
      <c r="E35" s="33">
        <f>'03B_NYITO'!$D$82</f>
        <v>0</v>
      </c>
      <c r="F35" s="33">
        <f t="shared" si="0"/>
        <v>0</v>
      </c>
    </row>
    <row r="36" spans="2:6" x14ac:dyDescent="0.3">
      <c r="B36" s="21" t="s">
        <v>93</v>
      </c>
      <c r="C36" s="32" t="str">
        <f>INDEX('91_NYELV'!$C$7:$D$408,280,NYELV_IDX)</f>
        <v>ebből: a nem ellenőrző részesedésekre jutó</v>
      </c>
      <c r="D36" s="33">
        <f>'12_MUNKATABLA'!$G$83</f>
        <v>0</v>
      </c>
      <c r="E36" s="33">
        <f>'03B_NYITO'!$D$83</f>
        <v>0</v>
      </c>
      <c r="F36" s="33">
        <f t="shared" si="0"/>
        <v>0</v>
      </c>
    </row>
    <row r="38" spans="2:6" x14ac:dyDescent="0.3">
      <c r="C38" s="10" t="str">
        <f>INDEX('91_NYELV'!$C$7:$D$408,150,NYELV_IDX)</f>
        <v>Költségnem szerinti bemutatás (by nature)</v>
      </c>
    </row>
    <row r="39" spans="2:6" x14ac:dyDescent="0.3">
      <c r="B39" s="21" t="s">
        <v>94</v>
      </c>
      <c r="C39" s="34" t="str">
        <f>INDEX('91_NYELV'!$C$7:$D$408,281,NYELV_IDX)</f>
        <v>Késztermékek és befejezetlen termelés állományváltozása</v>
      </c>
      <c r="D39" s="33">
        <f>'12_MUNKATABLA'!$G$84</f>
        <v>0</v>
      </c>
      <c r="E39" s="33">
        <f>'03B_NYITO'!$D$84</f>
        <v>0</v>
      </c>
      <c r="F39" s="33">
        <f>$D39-$E39</f>
        <v>0</v>
      </c>
    </row>
    <row r="40" spans="2:6" x14ac:dyDescent="0.3">
      <c r="B40" s="21" t="s">
        <v>95</v>
      </c>
      <c r="C40" s="34" t="str">
        <f>INDEX('91_NYELV'!$C$7:$D$408,282,NYELV_IDX)</f>
        <v>Felhasznált anyagok és igénybe vett szolgáltatások</v>
      </c>
      <c r="D40" s="33">
        <f>'12_MUNKATABLA'!$G$85</f>
        <v>0</v>
      </c>
      <c r="E40" s="33">
        <f>'03B_NYITO'!$D$85</f>
        <v>0</v>
      </c>
      <c r="F40" s="33">
        <f>$D40-$E40</f>
        <v>0</v>
      </c>
    </row>
    <row r="41" spans="2:6" x14ac:dyDescent="0.3">
      <c r="B41" s="21" t="s">
        <v>96</v>
      </c>
      <c r="C41" s="34" t="str">
        <f>INDEX('91_NYELV'!$C$7:$D$408,283,NYELV_IDX)</f>
        <v>Személyi jellegű ráfordítások</v>
      </c>
      <c r="D41" s="33">
        <f>'12_MUNKATABLA'!$G$86</f>
        <v>0</v>
      </c>
      <c r="E41" s="33">
        <f>'03B_NYITO'!$D$86</f>
        <v>0</v>
      </c>
      <c r="F41" s="33">
        <f>$D41-$E41</f>
        <v>0</v>
      </c>
    </row>
    <row r="42" spans="2:6" x14ac:dyDescent="0.3">
      <c r="B42" s="21" t="s">
        <v>97</v>
      </c>
      <c r="C42" s="34" t="str">
        <f>INDEX('91_NYELV'!$C$7:$D$408,284,NYELV_IDX)</f>
        <v>Értékcsökkenési leírás és amortizáció</v>
      </c>
      <c r="D42" s="33">
        <f>'12_MUNKATABLA'!$G$87</f>
        <v>0</v>
      </c>
      <c r="E42" s="33">
        <f>'03B_NYITO'!$D$87</f>
        <v>0</v>
      </c>
      <c r="F42" s="33">
        <f>$D42-$E42</f>
        <v>0</v>
      </c>
    </row>
    <row r="43" spans="2:6" x14ac:dyDescent="0.3">
      <c r="B43" s="21" t="s">
        <v>98</v>
      </c>
      <c r="C43" s="34" t="str">
        <f>INDEX('91_NYELV'!$C$7:$D$408,285,NYELV_IDX)</f>
        <v>Egyéb ráfordítások</v>
      </c>
      <c r="D43" s="33">
        <f>'12_MUNKATABLA'!$G$88</f>
        <v>0</v>
      </c>
      <c r="E43" s="33">
        <f>'03B_NYITO'!$D$88</f>
        <v>0</v>
      </c>
      <c r="F43" s="33">
        <f>$D43-$E43</f>
        <v>0</v>
      </c>
    </row>
    <row r="45" spans="2:6" x14ac:dyDescent="0.3">
      <c r="B45" s="21" t="s">
        <v>99</v>
      </c>
      <c r="C45" s="9" t="str">
        <f>INDEX('91_NYELV'!$C$7:$D$408,286,NYELV_IDX)</f>
        <v>A. Eredménybe át NEM sorolható tételek</v>
      </c>
      <c r="D45" s="23">
        <f>'12_MUNKATABLA'!$G$89</f>
        <v>0</v>
      </c>
      <c r="E45" s="23">
        <f>'03B_NYITO'!$D$89</f>
        <v>0</v>
      </c>
      <c r="F45" s="23">
        <f t="shared" ref="F45:F59" si="1">$D45-$E45</f>
        <v>0</v>
      </c>
    </row>
    <row r="46" spans="2:6" x14ac:dyDescent="0.3">
      <c r="B46" s="21" t="s">
        <v>100</v>
      </c>
      <c r="C46" s="32" t="str">
        <f>INDEX('91_NYELV'!$C$7:$D$408,287,NYELV_IDX)</f>
        <v>1. Ingatlanok, gépek, berendezések értékelési többlete</v>
      </c>
      <c r="D46" s="33">
        <f>'12_MUNKATABLA'!$G$90</f>
        <v>0</v>
      </c>
      <c r="E46" s="33">
        <f>'03B_NYITO'!$D$90</f>
        <v>0</v>
      </c>
      <c r="F46" s="33">
        <f t="shared" si="1"/>
        <v>0</v>
      </c>
    </row>
    <row r="47" spans="2:6" x14ac:dyDescent="0.3">
      <c r="B47" s="21" t="s">
        <v>101</v>
      </c>
      <c r="C47" s="32" t="str">
        <f>INDEX('91_NYELV'!$C$7:$D$408,288,NYELV_IDX)</f>
        <v>2. Meghatározott juttatási programok újraértékelése</v>
      </c>
      <c r="D47" s="33">
        <f>'12_MUNKATABLA'!$G$91</f>
        <v>0</v>
      </c>
      <c r="E47" s="33">
        <f>'03B_NYITO'!$D$91</f>
        <v>0</v>
      </c>
      <c r="F47" s="33">
        <f t="shared" si="1"/>
        <v>0</v>
      </c>
    </row>
    <row r="48" spans="2:6" x14ac:dyDescent="0.3">
      <c r="B48" s="21" t="s">
        <v>102</v>
      </c>
      <c r="C48" s="32" t="str">
        <f>INDEX('91_NYELV'!$C$7:$D$408,289,NYELV_IDX)</f>
        <v>3. FVOCI tőkeinstrumentumok valósérték-változása</v>
      </c>
      <c r="D48" s="33">
        <f>'12_MUNKATABLA'!$G$92</f>
        <v>0</v>
      </c>
      <c r="E48" s="33">
        <f>'03B_NYITO'!$D$92</f>
        <v>0</v>
      </c>
      <c r="F48" s="33">
        <f t="shared" si="1"/>
        <v>0</v>
      </c>
    </row>
    <row r="49" spans="2:6" x14ac:dyDescent="0.3">
      <c r="B49" s="21" t="s">
        <v>103</v>
      </c>
      <c r="C49" s="32" t="str">
        <f>INDEX('91_NYELV'!$C$7:$D$408,290,NYELV_IDX)</f>
        <v>4. A fenti tételekre jutó nyereségadó</v>
      </c>
      <c r="D49" s="33">
        <f>'12_MUNKATABLA'!$G$93</f>
        <v>0</v>
      </c>
      <c r="E49" s="33">
        <f>'03B_NYITO'!$D$93</f>
        <v>0</v>
      </c>
      <c r="F49" s="33">
        <f t="shared" si="1"/>
        <v>0</v>
      </c>
    </row>
    <row r="50" spans="2:6" x14ac:dyDescent="0.3">
      <c r="B50" s="21" t="s">
        <v>104</v>
      </c>
      <c r="C50" s="9" t="str">
        <f>INDEX('91_NYELV'!$C$7:$D$408,291,NYELV_IDX)</f>
        <v>B. Eredménybe átsorolható tételek</v>
      </c>
      <c r="D50" s="23">
        <f>'12_MUNKATABLA'!$G$94</f>
        <v>0</v>
      </c>
      <c r="E50" s="23">
        <f>'03B_NYITO'!$D$94</f>
        <v>0</v>
      </c>
      <c r="F50" s="23">
        <f t="shared" si="1"/>
        <v>0</v>
      </c>
    </row>
    <row r="51" spans="2:6" x14ac:dyDescent="0.3">
      <c r="B51" s="21" t="s">
        <v>105</v>
      </c>
      <c r="C51" s="32" t="str">
        <f>INDEX('91_NYELV'!$C$7:$D$408,292,NYELV_IDX)</f>
        <v>1. Külföldi érdekeltségek átszámítási különbözete (IAS 21)</v>
      </c>
      <c r="D51" s="33">
        <f>'12_MUNKATABLA'!$G$95</f>
        <v>0</v>
      </c>
      <c r="E51" s="33">
        <f>'03B_NYITO'!$D$95</f>
        <v>0</v>
      </c>
      <c r="F51" s="33">
        <f t="shared" si="1"/>
        <v>0</v>
      </c>
    </row>
    <row r="52" spans="2:6" x14ac:dyDescent="0.3">
      <c r="B52" s="21" t="s">
        <v>106</v>
      </c>
      <c r="C52" s="32" t="str">
        <f>INDEX('91_NYELV'!$C$7:$D$408,293,NYELV_IDX)</f>
        <v>2. Cash flow fedezeti ügyletek</v>
      </c>
      <c r="D52" s="33">
        <f>'12_MUNKATABLA'!$G$96</f>
        <v>0</v>
      </c>
      <c r="E52" s="33">
        <f>'03B_NYITO'!$D$96</f>
        <v>0</v>
      </c>
      <c r="F52" s="33">
        <f t="shared" si="1"/>
        <v>0</v>
      </c>
    </row>
    <row r="53" spans="2:6" x14ac:dyDescent="0.3">
      <c r="B53" s="21" t="s">
        <v>107</v>
      </c>
      <c r="C53" s="32" t="str">
        <f>INDEX('91_NYELV'!$C$7:$D$408,294,NYELV_IDX)</f>
        <v>3. FVOCI hitelinstrumentumok valósérték-változása</v>
      </c>
      <c r="D53" s="33">
        <f>'12_MUNKATABLA'!$G$97</f>
        <v>0</v>
      </c>
      <c r="E53" s="33">
        <f>'03B_NYITO'!$D$97</f>
        <v>0</v>
      </c>
      <c r="F53" s="33">
        <f t="shared" si="1"/>
        <v>0</v>
      </c>
    </row>
    <row r="54" spans="2:6" x14ac:dyDescent="0.3">
      <c r="B54" s="21" t="s">
        <v>108</v>
      </c>
      <c r="C54" s="32" t="str">
        <f>INDEX('91_NYELV'!$C$7:$D$408,295,NYELV_IDX)</f>
        <v>4. Társult vállalkozások egyéb átfogó jövedelméből való részesedés</v>
      </c>
      <c r="D54" s="33">
        <f>'12_MUNKATABLA'!$G$98</f>
        <v>0</v>
      </c>
      <c r="E54" s="33">
        <f>'03B_NYITO'!$D$98</f>
        <v>0</v>
      </c>
      <c r="F54" s="33">
        <f t="shared" si="1"/>
        <v>0</v>
      </c>
    </row>
    <row r="55" spans="2:6" x14ac:dyDescent="0.3">
      <c r="B55" s="21" t="s">
        <v>109</v>
      </c>
      <c r="C55" s="32" t="str">
        <f>INDEX('91_NYELV'!$C$7:$D$408,296,NYELV_IDX)</f>
        <v>5. A fenti tételekre jutó nyereségadó</v>
      </c>
      <c r="D55" s="33">
        <f>'12_MUNKATABLA'!$G$99</f>
        <v>0</v>
      </c>
      <c r="E55" s="33">
        <f>'03B_NYITO'!$D$99</f>
        <v>0</v>
      </c>
      <c r="F55" s="33">
        <f t="shared" si="1"/>
        <v>0</v>
      </c>
    </row>
    <row r="56" spans="2:6" x14ac:dyDescent="0.3">
      <c r="B56" s="21" t="s">
        <v>110</v>
      </c>
      <c r="C56" s="9" t="str">
        <f>INDEX('91_NYELV'!$C$7:$D$408,297,NYELV_IDX)</f>
        <v>IDŐSZAKI EGYÉB ÁTFOGÓ JÖVEDELEM ÖSSZESEN</v>
      </c>
      <c r="D56" s="23">
        <f>'12_MUNKATABLA'!$G$100</f>
        <v>0</v>
      </c>
      <c r="E56" s="23">
        <f>'03B_NYITO'!$D$100</f>
        <v>0</v>
      </c>
      <c r="F56" s="23">
        <f t="shared" si="1"/>
        <v>0</v>
      </c>
    </row>
    <row r="57" spans="2:6" x14ac:dyDescent="0.3">
      <c r="B57" s="21" t="s">
        <v>111</v>
      </c>
      <c r="C57" s="9" t="str">
        <f>INDEX('91_NYELV'!$C$7:$D$408,298,NYELV_IDX)</f>
        <v>IDŐSZAKI ÁTFOGÓ JÖVEDELEM ÖSSZESEN</v>
      </c>
      <c r="D57" s="23">
        <f>'12_MUNKATABLA'!$G$101</f>
        <v>0</v>
      </c>
      <c r="E57" s="23">
        <f>'03B_NYITO'!$D$101</f>
        <v>0</v>
      </c>
      <c r="F57" s="23">
        <f t="shared" si="1"/>
        <v>0</v>
      </c>
    </row>
    <row r="58" spans="2:6" x14ac:dyDescent="0.3">
      <c r="B58" s="21" t="s">
        <v>112</v>
      </c>
      <c r="C58" s="32" t="str">
        <f>INDEX('91_NYELV'!$C$7:$D$408,299,NYELV_IDX)</f>
        <v>ebből: az anyavállalat tulajdonosaira jutó</v>
      </c>
      <c r="D58" s="33">
        <f>'12_MUNKATABLA'!$G$102</f>
        <v>0</v>
      </c>
      <c r="E58" s="33">
        <f>'03B_NYITO'!$D$102</f>
        <v>0</v>
      </c>
      <c r="F58" s="33">
        <f t="shared" si="1"/>
        <v>0</v>
      </c>
    </row>
    <row r="59" spans="2:6" x14ac:dyDescent="0.3">
      <c r="B59" s="21" t="s">
        <v>113</v>
      </c>
      <c r="C59" s="32" t="str">
        <f>INDEX('91_NYELV'!$C$7:$D$408,300,NYELV_IDX)</f>
        <v>ebből: a nem ellenőrző részesedésekre jutó</v>
      </c>
      <c r="D59" s="33">
        <f>'12_MUNKATABLA'!$G$103</f>
        <v>0</v>
      </c>
      <c r="E59" s="33">
        <f>'03B_NYITO'!$D$103</f>
        <v>0</v>
      </c>
      <c r="F59" s="33">
        <f t="shared" si="1"/>
        <v>0</v>
      </c>
    </row>
    <row r="61" spans="2:6" x14ac:dyDescent="0.3">
      <c r="C61" s="14" t="str">
        <f>INDEX('91_NYELV'!$C$7:$D$408,161,NYELV_IDX)</f>
        <v>Az IFRS 18 módosította az IAS 7-et: az indirekt módszer kiindulópontja az ÜZEMI EREDMÉNY, az osztalékfizetés mindig finanszírozási cash flow.</v>
      </c>
    </row>
  </sheetData>
  <sheetProtection algorithmName="SHA-512" hashValue="DvmGJN47INJwmxSJEwZ8tfqFdUjUbIeysdNNYSSXPBLL2FasP1BwsuCW7D00ykD9008iarXSR4/34tygg9aBqQ==" saltValue="zN1JdEZrPjlKocpXG2h8dA==" spinCount="100000" sheet="1" objects="1" scenarios="1"/>
  <pageMargins left="0.75" right="0.75" top="1" bottom="1" header="0.5" footer="0.5"/>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unka17"/>
  <dimension ref="B1:L18"/>
  <sheetViews>
    <sheetView showGridLines="0" workbookViewId="0"/>
  </sheetViews>
  <sheetFormatPr defaultRowHeight="14.4" x14ac:dyDescent="0.3"/>
  <cols>
    <col min="2" max="2" width="12" customWidth="1"/>
    <col min="3" max="3" width="40" customWidth="1"/>
    <col min="4" max="12" width="17" customWidth="1"/>
  </cols>
  <sheetData>
    <row r="1" spans="2:12" ht="73.95" customHeight="1" x14ac:dyDescent="0.3"/>
    <row r="3" spans="2:12" ht="18" x14ac:dyDescent="0.35">
      <c r="B3" s="11" t="str">
        <f>INDEX('91_NYELV'!$C$7:$D$408,152,NYELV_IDX)</f>
        <v>A saját tőke változásának kimutatása</v>
      </c>
    </row>
    <row r="4" spans="2:12" x14ac:dyDescent="0.3">
      <c r="B4" s="15" t="str">
        <f>INDEX('91_NYELV'!$C$7:$D$408,8,NYELV_IDX)</f>
        <v>A sárga hátterű, kék betűs cellák a kitöltendő adatok. A szürke cellák képletet tartalmaznak.</v>
      </c>
    </row>
    <row r="6" spans="2:12" ht="24" x14ac:dyDescent="0.3">
      <c r="D6" s="16" t="str">
        <f>INDEX('91_NYELV'!$C$7:$D$408,379,NYELV_IDX)</f>
        <v>Jegyzett tőke</v>
      </c>
      <c r="E6" s="16" t="str">
        <f>INDEX('91_NYELV'!$C$7:$D$408,380,NYELV_IDX)</f>
        <v>Tőketartalék</v>
      </c>
      <c r="F6" s="16" t="str">
        <f>INDEX('91_NYELV'!$C$7:$D$408,381,NYELV_IDX)</f>
        <v>Saját részvény</v>
      </c>
      <c r="G6" s="16" t="str">
        <f>INDEX('91_NYELV'!$C$7:$D$408,382,NYELV_IDX)</f>
        <v>Eredménytartalék</v>
      </c>
      <c r="H6" s="16" t="str">
        <f>INDEX('91_NYELV'!$C$7:$D$408,383,NYELV_IDX)</f>
        <v>Átszámítási különbözet</v>
      </c>
      <c r="I6" s="16" t="str">
        <f>INDEX('91_NYELV'!$C$7:$D$408,384,NYELV_IDX)</f>
        <v>Egyéb tartalékok</v>
      </c>
      <c r="J6" s="16" t="str">
        <f>INDEX('91_NYELV'!$C$7:$D$408,154,NYELV_IDX)</f>
        <v>Anyavállalat tulajdonosaira jutó</v>
      </c>
      <c r="K6" s="16" t="str">
        <f>INDEX('91_NYELV'!$C$7:$D$408,153,NYELV_IDX)</f>
        <v>Nem ellenőrző részesedések</v>
      </c>
      <c r="L6" s="16" t="str">
        <f>INDEX('91_NYELV'!$C$7:$D$408,14,NYELV_IDX)</f>
        <v>Összesen</v>
      </c>
    </row>
    <row r="7" spans="2:12" x14ac:dyDescent="0.3">
      <c r="B7" s="21" t="s">
        <v>114</v>
      </c>
      <c r="C7" s="34" t="str">
        <f>INDEX('91_NYELV'!$C$7:$D$408,367,NYELV_IDX)</f>
        <v>Nyitó egyenleg</v>
      </c>
      <c r="D7" s="8">
        <f>'03B_NYITO'!$D$29</f>
        <v>0</v>
      </c>
      <c r="E7" s="8">
        <f>'03B_NYITO'!$D$30</f>
        <v>0</v>
      </c>
      <c r="F7" s="8">
        <f>'03B_NYITO'!$D$31</f>
        <v>0</v>
      </c>
      <c r="G7" s="8">
        <f>'03B_NYITO'!$D$32</f>
        <v>0</v>
      </c>
      <c r="H7" s="8">
        <f>'03B_NYITO'!$D$33</f>
        <v>0</v>
      </c>
      <c r="I7" s="8">
        <f>'03B_NYITO'!$D$34</f>
        <v>0</v>
      </c>
      <c r="J7" s="31">
        <f t="shared" ref="J7:J18" si="0">SUM($D7:$I7)</f>
        <v>0</v>
      </c>
      <c r="K7" s="8">
        <f>'03B_NYITO'!$D$35</f>
        <v>0</v>
      </c>
      <c r="L7" s="31">
        <f t="shared" ref="L7:L18" si="1">J7+K7</f>
        <v>0</v>
      </c>
    </row>
    <row r="8" spans="2:12" x14ac:dyDescent="0.3">
      <c r="B8" s="21" t="s">
        <v>115</v>
      </c>
      <c r="C8" s="34" t="str">
        <f>INDEX('91_NYELV'!$C$7:$D$408,368,NYELV_IDX)</f>
        <v>Időszaki eredmény</v>
      </c>
      <c r="D8" s="8">
        <v>0</v>
      </c>
      <c r="E8" s="8">
        <v>0</v>
      </c>
      <c r="F8" s="8">
        <v>0</v>
      </c>
      <c r="G8" s="8">
        <f>'12_MUNKATABLA'!$G$82</f>
        <v>0</v>
      </c>
      <c r="H8" s="8">
        <v>0</v>
      </c>
      <c r="I8" s="8">
        <v>0</v>
      </c>
      <c r="J8" s="31">
        <f t="shared" si="0"/>
        <v>0</v>
      </c>
      <c r="K8" s="8">
        <f>'12_MUNKATABLA'!$G$83</f>
        <v>0</v>
      </c>
      <c r="L8" s="31">
        <f t="shared" si="1"/>
        <v>0</v>
      </c>
    </row>
    <row r="9" spans="2:12" x14ac:dyDescent="0.3">
      <c r="B9" s="21" t="s">
        <v>116</v>
      </c>
      <c r="C9" s="34" t="str">
        <f>INDEX('91_NYELV'!$C$7:$D$408,369,NYELV_IDX)</f>
        <v>Egyéb átfogó jövedelem</v>
      </c>
      <c r="D9" s="24"/>
      <c r="E9" s="24"/>
      <c r="F9" s="24"/>
      <c r="G9" s="24"/>
      <c r="H9" s="24"/>
      <c r="I9" s="24"/>
      <c r="J9" s="31">
        <f t="shared" si="0"/>
        <v>0</v>
      </c>
      <c r="K9" s="24"/>
      <c r="L9" s="31">
        <f t="shared" si="1"/>
        <v>0</v>
      </c>
    </row>
    <row r="10" spans="2:12" x14ac:dyDescent="0.3">
      <c r="B10" s="21" t="s">
        <v>117</v>
      </c>
      <c r="C10" s="9" t="str">
        <f>INDEX('91_NYELV'!$C$7:$D$408,370,NYELV_IDX)</f>
        <v>Átfogó jövedelem összesen</v>
      </c>
      <c r="D10" s="23">
        <f t="shared" ref="D10:I10" si="2">D8+D9</f>
        <v>0</v>
      </c>
      <c r="E10" s="23">
        <f t="shared" si="2"/>
        <v>0</v>
      </c>
      <c r="F10" s="23">
        <f t="shared" si="2"/>
        <v>0</v>
      </c>
      <c r="G10" s="23">
        <f t="shared" si="2"/>
        <v>0</v>
      </c>
      <c r="H10" s="23">
        <f t="shared" si="2"/>
        <v>0</v>
      </c>
      <c r="I10" s="23">
        <f t="shared" si="2"/>
        <v>0</v>
      </c>
      <c r="J10" s="23">
        <f t="shared" si="0"/>
        <v>0</v>
      </c>
      <c r="K10" s="23">
        <f>K8+K9</f>
        <v>0</v>
      </c>
      <c r="L10" s="23">
        <f t="shared" si="1"/>
        <v>0</v>
      </c>
    </row>
    <row r="11" spans="2:12" x14ac:dyDescent="0.3">
      <c r="B11" s="21" t="s">
        <v>118</v>
      </c>
      <c r="C11" s="34" t="str">
        <f>INDEX('91_NYELV'!$C$7:$D$408,371,NYELV_IDX)</f>
        <v>Tőkeemelés, részvénykibocsátás</v>
      </c>
      <c r="D11" s="24"/>
      <c r="E11" s="24"/>
      <c r="F11" s="24"/>
      <c r="G11" s="24"/>
      <c r="H11" s="24"/>
      <c r="I11" s="24"/>
      <c r="J11" s="31">
        <f t="shared" si="0"/>
        <v>0</v>
      </c>
      <c r="K11" s="24"/>
      <c r="L11" s="31">
        <f t="shared" si="1"/>
        <v>0</v>
      </c>
    </row>
    <row r="12" spans="2:12" x14ac:dyDescent="0.3">
      <c r="B12" s="21" t="s">
        <v>119</v>
      </c>
      <c r="C12" s="34" t="str">
        <f>INDEX('91_NYELV'!$C$7:$D$408,372,NYELV_IDX)</f>
        <v>Fizetett osztalék</v>
      </c>
      <c r="D12" s="24"/>
      <c r="E12" s="24"/>
      <c r="F12" s="24"/>
      <c r="G12" s="24"/>
      <c r="H12" s="24"/>
      <c r="I12" s="24"/>
      <c r="J12" s="31">
        <f t="shared" si="0"/>
        <v>0</v>
      </c>
      <c r="K12" s="24"/>
      <c r="L12" s="31">
        <f t="shared" si="1"/>
        <v>0</v>
      </c>
    </row>
    <row r="13" spans="2:12" x14ac:dyDescent="0.3">
      <c r="B13" s="21" t="s">
        <v>120</v>
      </c>
      <c r="C13" s="34" t="str">
        <f>INDEX('91_NYELV'!$C$7:$D$408,373,NYELV_IDX)</f>
        <v>Saját részvény ügyletek</v>
      </c>
      <c r="D13" s="24"/>
      <c r="E13" s="24"/>
      <c r="F13" s="24"/>
      <c r="G13" s="24"/>
      <c r="H13" s="24"/>
      <c r="I13" s="24"/>
      <c r="J13" s="31">
        <f t="shared" si="0"/>
        <v>0</v>
      </c>
      <c r="K13" s="24"/>
      <c r="L13" s="31">
        <f t="shared" si="1"/>
        <v>0</v>
      </c>
    </row>
    <row r="14" spans="2:12" x14ac:dyDescent="0.3">
      <c r="B14" s="21" t="s">
        <v>121</v>
      </c>
      <c r="C14" s="34" t="str">
        <f>INDEX('91_NYELV'!$C$7:$D$408,374,NYELV_IDX)</f>
        <v>Részvényalapú kifizetések</v>
      </c>
      <c r="D14" s="24"/>
      <c r="E14" s="24"/>
      <c r="F14" s="24"/>
      <c r="G14" s="24"/>
      <c r="H14" s="24"/>
      <c r="I14" s="24"/>
      <c r="J14" s="31">
        <f t="shared" si="0"/>
        <v>0</v>
      </c>
      <c r="K14" s="24"/>
      <c r="L14" s="31">
        <f t="shared" si="1"/>
        <v>0</v>
      </c>
    </row>
    <row r="15" spans="2:12" x14ac:dyDescent="0.3">
      <c r="B15" s="21" t="s">
        <v>122</v>
      </c>
      <c r="C15" s="34" t="str">
        <f>INDEX('91_NYELV'!$C$7:$D$408,375,NYELV_IDX)</f>
        <v>Leányvállalat megszerzése (NCI keletkezése)</v>
      </c>
      <c r="D15" s="24"/>
      <c r="E15" s="24"/>
      <c r="F15" s="24"/>
      <c r="G15" s="24"/>
      <c r="H15" s="24"/>
      <c r="I15" s="24"/>
      <c r="J15" s="31">
        <f t="shared" si="0"/>
        <v>0</v>
      </c>
      <c r="K15" s="24"/>
      <c r="L15" s="31">
        <f t="shared" si="1"/>
        <v>0</v>
      </c>
    </row>
    <row r="16" spans="2:12" x14ac:dyDescent="0.3">
      <c r="B16" s="21" t="s">
        <v>123</v>
      </c>
      <c r="C16" s="34" t="str">
        <f>INDEX('91_NYELV'!$C$7:$D$408,376,NYELV_IDX)</f>
        <v>Nem ellenőrző részesedésekkel folytatott tranzakciók</v>
      </c>
      <c r="D16" s="24"/>
      <c r="E16" s="24"/>
      <c r="F16" s="24"/>
      <c r="G16" s="24"/>
      <c r="H16" s="24"/>
      <c r="I16" s="24"/>
      <c r="J16" s="31">
        <f t="shared" si="0"/>
        <v>0</v>
      </c>
      <c r="K16" s="24"/>
      <c r="L16" s="31">
        <f t="shared" si="1"/>
        <v>0</v>
      </c>
    </row>
    <row r="17" spans="2:12" x14ac:dyDescent="0.3">
      <c r="B17" s="21" t="s">
        <v>124</v>
      </c>
      <c r="C17" s="34" t="str">
        <f>INDEX('91_NYELV'!$C$7:$D$408,377,NYELV_IDX)</f>
        <v>Egyéb tőkemozgás</v>
      </c>
      <c r="D17" s="24"/>
      <c r="E17" s="24"/>
      <c r="F17" s="24"/>
      <c r="G17" s="24"/>
      <c r="H17" s="24"/>
      <c r="I17" s="24"/>
      <c r="J17" s="31">
        <f t="shared" si="0"/>
        <v>0</v>
      </c>
      <c r="K17" s="24"/>
      <c r="L17" s="31">
        <f t="shared" si="1"/>
        <v>0</v>
      </c>
    </row>
    <row r="18" spans="2:12" x14ac:dyDescent="0.3">
      <c r="B18" s="21" t="s">
        <v>125</v>
      </c>
      <c r="C18" s="9" t="str">
        <f>INDEX('91_NYELV'!$C$7:$D$408,378,NYELV_IDX)</f>
        <v>Záró egyenleg</v>
      </c>
      <c r="D18" s="23">
        <f t="shared" ref="D18:I18" si="3">D7+D10+D11+D12+D13+D14+D15+D16+D17</f>
        <v>0</v>
      </c>
      <c r="E18" s="23">
        <f t="shared" si="3"/>
        <v>0</v>
      </c>
      <c r="F18" s="23">
        <f t="shared" si="3"/>
        <v>0</v>
      </c>
      <c r="G18" s="23">
        <f t="shared" si="3"/>
        <v>0</v>
      </c>
      <c r="H18" s="23">
        <f t="shared" si="3"/>
        <v>0</v>
      </c>
      <c r="I18" s="23">
        <f t="shared" si="3"/>
        <v>0</v>
      </c>
      <c r="J18" s="23">
        <f t="shared" si="0"/>
        <v>0</v>
      </c>
      <c r="K18" s="23">
        <f>K7+K10+K11+K12+K13+K14+K15+K16+K17</f>
        <v>0</v>
      </c>
      <c r="L18" s="23">
        <f t="shared" si="1"/>
        <v>0</v>
      </c>
    </row>
  </sheetData>
  <sheetProtection algorithmName="SHA-512" hashValue="2rnDs3OP3YWVNBtlHb8ipW6CeOonaHwmVTdLwJAMkEdifRseMoxkPLjrkxPIHAODZM+sec3JcG9elcBXY5dvng==" saltValue="J1lnStrozGa34x2SwaEKAw==" spinCount="100000" sheet="1" objects="1" scenarios="1"/>
  <pageMargins left="0.75" right="0.75" top="1" bottom="1" header="0.5" footer="0.5"/>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Munka18"/>
  <dimension ref="B1:I45"/>
  <sheetViews>
    <sheetView showGridLines="0" workbookViewId="0"/>
  </sheetViews>
  <sheetFormatPr defaultRowHeight="14.4" x14ac:dyDescent="0.3"/>
  <cols>
    <col min="2" max="2" width="12" customWidth="1"/>
    <col min="3" max="3" width="62" customWidth="1"/>
    <col min="4" max="4" width="5" customWidth="1"/>
    <col min="5" max="8" width="18" customWidth="1"/>
    <col min="9" max="9" width="70" customWidth="1"/>
  </cols>
  <sheetData>
    <row r="1" spans="2:9" ht="73.95" customHeight="1" x14ac:dyDescent="0.3"/>
    <row r="3" spans="2:9" ht="18" x14ac:dyDescent="0.35">
      <c r="B3" s="11" t="str">
        <f>INDEX('91_NYELV'!$C$7:$D$408,155,NYELV_IDX)</f>
        <v>Konszolidált cash flow-kimutatás (IAS 7)</v>
      </c>
    </row>
    <row r="4" spans="2:9" x14ac:dyDescent="0.3">
      <c r="B4" s="15" t="str">
        <f>INDEX('91_NYELV'!$C$7:$D$408,161,NYELV_IDX)</f>
        <v>Az IFRS 18 módosította az IAS 7-et: az indirekt módszer kiindulópontja az ÜZEMI EREDMÉNY, az osztalékfizetés mindig finanszírozási cash flow.</v>
      </c>
    </row>
    <row r="6" spans="2:9" x14ac:dyDescent="0.3">
      <c r="B6" s="16" t="str">
        <f>INDEX('91_NYELV'!$C$7:$D$408,9,NYELV_IDX)</f>
        <v>Kód</v>
      </c>
      <c r="C6" s="16" t="str">
        <f>INDEX('91_NYELV'!$C$7:$D$408,10,NYELV_IDX)</f>
        <v>Megnevezés</v>
      </c>
      <c r="D6" s="16" t="str">
        <f>INDEX('91_NYELV'!$C$7:$D$408,159,NYELV_IDX)</f>
        <v>±</v>
      </c>
      <c r="E6" s="16" t="str">
        <f>INDEX('91_NYELV'!$C$7:$D$408,156,NYELV_IDX)</f>
        <v>Automatikus levezetés</v>
      </c>
      <c r="F6" s="16" t="str">
        <f>INDEX('91_NYELV'!$C$7:$D$408,157,NYELV_IDX)</f>
        <v>Kézi adat / korrekció</v>
      </c>
      <c r="G6" s="16" t="str">
        <f>INDEX('91_NYELV'!$C$7:$D$408,11,NYELV_IDX)</f>
        <v>Tárgyév</v>
      </c>
      <c r="H6" s="16" t="str">
        <f>INDEX('91_NYELV'!$C$7:$D$408,12,NYELV_IDX)</f>
        <v>Előző év</v>
      </c>
      <c r="I6" s="16" t="str">
        <f>INDEX('91_NYELV'!$C$7:$D$408,158,NYELV_IDX)</f>
        <v>A levezetés alapja</v>
      </c>
    </row>
    <row r="7" spans="2:9" x14ac:dyDescent="0.3">
      <c r="B7" s="21" t="s">
        <v>126</v>
      </c>
      <c r="C7" s="35" t="str">
        <f>INDEX('91_NYELV'!$C$7:$D$408,301,NYELV_IDX)</f>
        <v>I. MŰKÖDÉSI TEVÉKENYSÉG</v>
      </c>
      <c r="D7" s="36"/>
      <c r="E7" s="37"/>
      <c r="F7" s="37"/>
      <c r="G7" s="37"/>
      <c r="H7" s="37"/>
    </row>
    <row r="8" spans="2:9" x14ac:dyDescent="0.3">
      <c r="B8" s="21" t="s">
        <v>127</v>
      </c>
      <c r="C8" s="34" t="str">
        <f>INDEX('91_NYELV'!$C$7:$D$408,302,NYELV_IDX)</f>
        <v>1. Üzemi eredmény (IFRS 18 részösszeg)</v>
      </c>
      <c r="D8" s="36" t="s">
        <v>128</v>
      </c>
      <c r="E8" s="8">
        <f>'12_MUNKATABLA'!$G$63</f>
        <v>0</v>
      </c>
      <c r="F8" s="24"/>
      <c r="G8" s="31">
        <f t="shared" ref="G8:G16" si="0">$E8+$F8</f>
        <v>0</v>
      </c>
      <c r="H8" s="33"/>
      <c r="I8" s="14" t="str">
        <f>INDEX('91_NYELV'!$C$7:$D$408,303,NYELV_IDX)</f>
        <v>Eredménykimutatás üzemi eredmény sora</v>
      </c>
    </row>
    <row r="9" spans="2:9" x14ac:dyDescent="0.3">
      <c r="B9" s="21" t="s">
        <v>129</v>
      </c>
      <c r="C9" s="34" t="str">
        <f>INDEX('91_NYELV'!$C$7:$D$408,304,NYELV_IDX)</f>
        <v>2. Értékcsökkenési leírás és amortizáció</v>
      </c>
      <c r="D9" s="36" t="s">
        <v>128</v>
      </c>
      <c r="E9" s="8"/>
      <c r="F9" s="24"/>
      <c r="G9" s="31">
        <f t="shared" si="0"/>
        <v>0</v>
      </c>
      <c r="H9" s="33"/>
      <c r="I9" s="14" t="str">
        <f>INDEX('91_NYELV'!$C$7:$D$408,305,NYELV_IDX)</f>
        <v>Kézi: nem pénzmozgásos tétel</v>
      </c>
    </row>
    <row r="10" spans="2:9" x14ac:dyDescent="0.3">
      <c r="B10" s="21" t="s">
        <v>130</v>
      </c>
      <c r="C10" s="34" t="str">
        <f>INDEX('91_NYELV'!$C$7:$D$408,306,NYELV_IDX)</f>
        <v>3. Értékvesztés (IAS 36)</v>
      </c>
      <c r="D10" s="36" t="s">
        <v>128</v>
      </c>
      <c r="E10" s="8">
        <f>'12_MUNKATABLA'!$G$61</f>
        <v>0</v>
      </c>
      <c r="F10" s="24"/>
      <c r="G10" s="31">
        <f t="shared" si="0"/>
        <v>0</v>
      </c>
      <c r="H10" s="33"/>
      <c r="I10" s="14" t="str">
        <f>INDEX('91_NYELV'!$C$7:$D$408,307,NYELV_IDX)</f>
        <v>Eredménykimutatás értékvesztés sora</v>
      </c>
    </row>
    <row r="11" spans="2:9" x14ac:dyDescent="0.3">
      <c r="B11" s="21" t="s">
        <v>131</v>
      </c>
      <c r="C11" s="34" t="str">
        <f>INDEX('91_NYELV'!$C$7:$D$408,308,NYELV_IDX)</f>
        <v>4. Befektetett eszközök értékesítésének eredménye</v>
      </c>
      <c r="D11" s="36" t="s">
        <v>132</v>
      </c>
      <c r="E11" s="8"/>
      <c r="F11" s="24"/>
      <c r="G11" s="31">
        <f t="shared" si="0"/>
        <v>0</v>
      </c>
      <c r="H11" s="33"/>
      <c r="I11" s="14" t="str">
        <f>INDEX('91_NYELV'!$C$7:$D$408,309,NYELV_IDX)</f>
        <v>Kézi: nyereség negatív, veszteség pozitív előjellel</v>
      </c>
    </row>
    <row r="12" spans="2:9" x14ac:dyDescent="0.3">
      <c r="B12" s="21" t="s">
        <v>133</v>
      </c>
      <c r="C12" s="34" t="str">
        <f>INDEX('91_NYELV'!$C$7:$D$408,310,NYELV_IDX)</f>
        <v>5. Egyéb nem pénzmozgásos tételek</v>
      </c>
      <c r="D12" s="36" t="s">
        <v>128</v>
      </c>
      <c r="E12" s="8"/>
      <c r="F12" s="24"/>
      <c r="G12" s="31">
        <f t="shared" si="0"/>
        <v>0</v>
      </c>
      <c r="H12" s="33"/>
      <c r="I12" s="14" t="str">
        <f>INDEX('91_NYELV'!$C$7:$D$408,311,NYELV_IDX)</f>
        <v>Kézi</v>
      </c>
    </row>
    <row r="13" spans="2:9" x14ac:dyDescent="0.3">
      <c r="B13" s="21" t="s">
        <v>134</v>
      </c>
      <c r="C13" s="34" t="str">
        <f>INDEX('91_NYELV'!$C$7:$D$408,312,NYELV_IDX)</f>
        <v>6. Készletek állományváltozása</v>
      </c>
      <c r="D13" s="36" t="s">
        <v>132</v>
      </c>
      <c r="E13" s="8">
        <f>-(('12_MUNKATABLA'!$G$19-'03B_NYITO'!$D$19))</f>
        <v>0</v>
      </c>
      <c r="F13" s="24"/>
      <c r="G13" s="31">
        <f t="shared" si="0"/>
        <v>0</v>
      </c>
      <c r="H13" s="33"/>
      <c r="I13" s="14" t="str">
        <f>INDEX('91_NYELV'!$C$7:$D$408,313,NYELV_IDX)</f>
        <v>Mérleg készletek állományváltozása, ellenkező előjellel</v>
      </c>
    </row>
    <row r="14" spans="2:9" x14ac:dyDescent="0.3">
      <c r="B14" s="21" t="s">
        <v>135</v>
      </c>
      <c r="C14" s="34" t="str">
        <f>INDEX('91_NYELV'!$C$7:$D$408,314,NYELV_IDX)</f>
        <v>7. Vevő- és egyéb követelések változása</v>
      </c>
      <c r="D14" s="36" t="s">
        <v>132</v>
      </c>
      <c r="E14" s="8">
        <f>-(('12_MUNKATABLA'!$G$20-'03B_NYITO'!$D$20)+('12_MUNKATABLA'!$G$21-'03B_NYITO'!$D$21))</f>
        <v>0</v>
      </c>
      <c r="F14" s="24"/>
      <c r="G14" s="31">
        <f t="shared" si="0"/>
        <v>0</v>
      </c>
      <c r="H14" s="33"/>
      <c r="I14" s="14" t="str">
        <f>INDEX('91_NYELV'!$C$7:$D$408,315,NYELV_IDX)</f>
        <v>Mérleg vevő- és szerződéses követelések változása, ellenkező előjellel</v>
      </c>
    </row>
    <row r="15" spans="2:9" x14ac:dyDescent="0.3">
      <c r="B15" s="21" t="s">
        <v>136</v>
      </c>
      <c r="C15" s="34" t="str">
        <f>INDEX('91_NYELV'!$C$7:$D$408,316,NYELV_IDX)</f>
        <v>8. Szállítói és egyéb kötelezettségek változása</v>
      </c>
      <c r="D15" s="36" t="s">
        <v>128</v>
      </c>
      <c r="E15" s="8">
        <f>('12_MUNKATABLA'!$G$45-'03B_NYITO'!$D$45)+('12_MUNKATABLA'!$G$46-'03B_NYITO'!$D$46)</f>
        <v>0</v>
      </c>
      <c r="F15" s="24"/>
      <c r="G15" s="31">
        <f t="shared" si="0"/>
        <v>0</v>
      </c>
      <c r="H15" s="33"/>
      <c r="I15" s="14" t="str">
        <f>INDEX('91_NYELV'!$C$7:$D$408,317,NYELV_IDX)</f>
        <v>Mérleg szállítói és szerződéses kötelezettségek változása</v>
      </c>
    </row>
    <row r="16" spans="2:9" x14ac:dyDescent="0.3">
      <c r="B16" s="21" t="s">
        <v>137</v>
      </c>
      <c r="C16" s="34" t="str">
        <f>INDEX('91_NYELV'!$C$7:$D$408,318,NYELV_IDX)</f>
        <v>9. Céltartalékok változása</v>
      </c>
      <c r="D16" s="36" t="s">
        <v>128</v>
      </c>
      <c r="E16" s="8">
        <f>('12_MUNKATABLA'!$G$41-'03B_NYITO'!$D$41)+('12_MUNKATABLA'!$G$50-'03B_NYITO'!$D$50)</f>
        <v>0</v>
      </c>
      <c r="F16" s="24"/>
      <c r="G16" s="31">
        <f t="shared" si="0"/>
        <v>0</v>
      </c>
      <c r="H16" s="33"/>
      <c r="I16" s="14" t="str">
        <f>INDEX('91_NYELV'!$C$7:$D$408,319,NYELV_IDX)</f>
        <v>Mérleg céltartalékok állományváltozása</v>
      </c>
    </row>
    <row r="17" spans="2:9" x14ac:dyDescent="0.3">
      <c r="B17" s="21" t="s">
        <v>138</v>
      </c>
      <c r="C17" s="9" t="str">
        <f>INDEX('91_NYELV'!$C$7:$D$408,320,NYELV_IDX)</f>
        <v>Működési cash flow a nyereségadók előtt</v>
      </c>
      <c r="D17" s="36"/>
      <c r="E17" s="38"/>
      <c r="F17" s="38"/>
      <c r="G17" s="23">
        <f>$G$8+$G$9+$G$10+$G$11+$G$12+$G$13+$G$14+$G$15+$G$16</f>
        <v>0</v>
      </c>
      <c r="H17" s="38"/>
      <c r="I17" s="14" t="str">
        <f>INDEX('91_NYELV'!$C$7:$D$408,321,NYELV_IDX)</f>
        <v>IAS 7 részösszeg (IFRS 18 módosítás)</v>
      </c>
    </row>
    <row r="18" spans="2:9" x14ac:dyDescent="0.3">
      <c r="B18" s="21" t="s">
        <v>139</v>
      </c>
      <c r="C18" s="34" t="str">
        <f>INDEX('91_NYELV'!$C$7:$D$408,322,NYELV_IDX)</f>
        <v>10. Fizetett nyereségadó</v>
      </c>
      <c r="D18" s="36" t="s">
        <v>132</v>
      </c>
      <c r="E18" s="8"/>
      <c r="F18" s="24"/>
      <c r="G18" s="31">
        <f>$E18+$F18</f>
        <v>0</v>
      </c>
      <c r="H18" s="33"/>
      <c r="I18" s="14" t="str">
        <f>INDEX('91_NYELV'!$C$7:$D$408,323,NYELV_IDX)</f>
        <v>Kézi: a ténylegesen megfizetett adó</v>
      </c>
    </row>
    <row r="19" spans="2:9" x14ac:dyDescent="0.3">
      <c r="B19" s="21" t="s">
        <v>140</v>
      </c>
      <c r="C19" s="9" t="str">
        <f>INDEX('91_NYELV'!$C$7:$D$408,324,NYELV_IDX)</f>
        <v>MŰKÖDÉSI CASH FLOW ÖSSZESEN</v>
      </c>
      <c r="D19" s="36"/>
      <c r="E19" s="38"/>
      <c r="F19" s="38"/>
      <c r="G19" s="23">
        <f>$G$17+$G$18</f>
        <v>0</v>
      </c>
      <c r="H19" s="38"/>
    </row>
    <row r="20" spans="2:9" x14ac:dyDescent="0.3">
      <c r="B20" s="21" t="s">
        <v>141</v>
      </c>
      <c r="C20" s="35" t="str">
        <f>INDEX('91_NYELV'!$C$7:$D$408,325,NYELV_IDX)</f>
        <v>II. BEFEKTETÉSI TEVÉKENYSÉG</v>
      </c>
      <c r="D20" s="36"/>
      <c r="E20" s="37"/>
      <c r="F20" s="37"/>
      <c r="G20" s="37"/>
      <c r="H20" s="37"/>
    </row>
    <row r="21" spans="2:9" x14ac:dyDescent="0.3">
      <c r="B21" s="21" t="s">
        <v>142</v>
      </c>
      <c r="C21" s="34" t="str">
        <f>INDEX('91_NYELV'!$C$7:$D$408,326,NYELV_IDX)</f>
        <v>1. Ingatlanok, gépek, berendezések beszerzése</v>
      </c>
      <c r="D21" s="36" t="s">
        <v>132</v>
      </c>
      <c r="E21" s="8"/>
      <c r="F21" s="24"/>
      <c r="G21" s="31">
        <f t="shared" ref="G21:G28" si="1">$E21+$F21</f>
        <v>0</v>
      </c>
      <c r="H21" s="33"/>
      <c r="I21" s="14" t="str">
        <f>INDEX('91_NYELV'!$C$7:$D$408,327,NYELV_IDX)</f>
        <v>Kézi</v>
      </c>
    </row>
    <row r="22" spans="2:9" x14ac:dyDescent="0.3">
      <c r="B22" s="21" t="s">
        <v>143</v>
      </c>
      <c r="C22" s="34" t="str">
        <f>INDEX('91_NYELV'!$C$7:$D$408,328,NYELV_IDX)</f>
        <v>2. Immateriális javak beszerzése</v>
      </c>
      <c r="D22" s="36" t="s">
        <v>132</v>
      </c>
      <c r="E22" s="8"/>
      <c r="F22" s="24"/>
      <c r="G22" s="31">
        <f t="shared" si="1"/>
        <v>0</v>
      </c>
      <c r="H22" s="33"/>
      <c r="I22" s="14" t="str">
        <f>INDEX('91_NYELV'!$C$7:$D$408,329,NYELV_IDX)</f>
        <v>Kézi</v>
      </c>
    </row>
    <row r="23" spans="2:9" x14ac:dyDescent="0.3">
      <c r="B23" s="21" t="s">
        <v>144</v>
      </c>
      <c r="C23" s="34" t="str">
        <f>INDEX('91_NYELV'!$C$7:$D$408,330,NYELV_IDX)</f>
        <v>3. Befektetett eszközök értékesítéséből származó bevétel</v>
      </c>
      <c r="D23" s="36" t="s">
        <v>128</v>
      </c>
      <c r="E23" s="8"/>
      <c r="F23" s="24"/>
      <c r="G23" s="31">
        <f t="shared" si="1"/>
        <v>0</v>
      </c>
      <c r="H23" s="33"/>
      <c r="I23" s="14" t="str">
        <f>INDEX('91_NYELV'!$C$7:$D$408,331,NYELV_IDX)</f>
        <v>Kézi</v>
      </c>
    </row>
    <row r="24" spans="2:9" x14ac:dyDescent="0.3">
      <c r="B24" s="21" t="s">
        <v>145</v>
      </c>
      <c r="C24" s="34" t="str">
        <f>INDEX('91_NYELV'!$C$7:$D$408,332,NYELV_IDX)</f>
        <v>4. Leányvállalat megszerzése, a megszerzett pénzeszközzel csökkentve</v>
      </c>
      <c r="D24" s="36" t="s">
        <v>132</v>
      </c>
      <c r="E24" s="8"/>
      <c r="F24" s="24"/>
      <c r="G24" s="31">
        <f t="shared" si="1"/>
        <v>0</v>
      </c>
      <c r="H24" s="33"/>
      <c r="I24" s="14" t="str">
        <f>INDEX('91_NYELV'!$C$7:$D$408,333,NYELV_IDX)</f>
        <v>Kézi: IFRS 3 akvizíció (konszolidáció-specifikus)</v>
      </c>
    </row>
    <row r="25" spans="2:9" x14ac:dyDescent="0.3">
      <c r="B25" s="21" t="s">
        <v>146</v>
      </c>
      <c r="C25" s="34" t="str">
        <f>INDEX('91_NYELV'!$C$7:$D$408,334,NYELV_IDX)</f>
        <v>5. Leányvállalat elidegenítése, az átadott pénzeszközzel csökkentve</v>
      </c>
      <c r="D25" s="36" t="s">
        <v>128</v>
      </c>
      <c r="E25" s="8"/>
      <c r="F25" s="24"/>
      <c r="G25" s="31">
        <f t="shared" si="1"/>
        <v>0</v>
      </c>
      <c r="H25" s="33"/>
      <c r="I25" s="14" t="str">
        <f>INDEX('91_NYELV'!$C$7:$D$408,335,NYELV_IDX)</f>
        <v>Kézi (konszolidáció-specifikus)</v>
      </c>
    </row>
    <row r="26" spans="2:9" x14ac:dyDescent="0.3">
      <c r="B26" s="21" t="s">
        <v>147</v>
      </c>
      <c r="C26" s="34" t="str">
        <f>INDEX('91_NYELV'!$C$7:$D$408,336,NYELV_IDX)</f>
        <v>6. Társult vállalkozásokba történő befektetés</v>
      </c>
      <c r="D26" s="36" t="s">
        <v>132</v>
      </c>
      <c r="E26" s="8"/>
      <c r="F26" s="24"/>
      <c r="G26" s="31">
        <f t="shared" si="1"/>
        <v>0</v>
      </c>
      <c r="H26" s="33"/>
      <c r="I26" s="14" t="str">
        <f>INDEX('91_NYELV'!$C$7:$D$408,337,NYELV_IDX)</f>
        <v>Kézi</v>
      </c>
    </row>
    <row r="27" spans="2:9" x14ac:dyDescent="0.3">
      <c r="B27" s="21" t="s">
        <v>148</v>
      </c>
      <c r="C27" s="34" t="str">
        <f>INDEX('91_NYELV'!$C$7:$D$408,338,NYELV_IDX)</f>
        <v>7. Kapott kamat</v>
      </c>
      <c r="D27" s="36" t="s">
        <v>128</v>
      </c>
      <c r="E27" s="8"/>
      <c r="F27" s="24"/>
      <c r="G27" s="31">
        <f t="shared" si="1"/>
        <v>0</v>
      </c>
      <c r="H27" s="33"/>
      <c r="I27" s="14" t="str">
        <f>INDEX('91_NYELV'!$C$7:$D$408,339,NYELV_IDX)</f>
        <v>Kézi – IAS 7 (IFRS 18): befektetési, ha nincs ilyen fő üzleti tevékenység</v>
      </c>
    </row>
    <row r="28" spans="2:9" x14ac:dyDescent="0.3">
      <c r="B28" s="21" t="s">
        <v>149</v>
      </c>
      <c r="C28" s="34" t="str">
        <f>INDEX('91_NYELV'!$C$7:$D$408,340,NYELV_IDX)</f>
        <v>8. Kapott osztalék</v>
      </c>
      <c r="D28" s="36" t="s">
        <v>128</v>
      </c>
      <c r="E28" s="8"/>
      <c r="F28" s="24"/>
      <c r="G28" s="31">
        <f t="shared" si="1"/>
        <v>0</v>
      </c>
      <c r="H28" s="33"/>
      <c r="I28" s="14" t="str">
        <f>INDEX('91_NYELV'!$C$7:$D$408,341,NYELV_IDX)</f>
        <v>Kézi – IAS 7 (IFRS 18): befektetési, ha nincs ilyen fő üzleti tevékenység</v>
      </c>
    </row>
    <row r="29" spans="2:9" x14ac:dyDescent="0.3">
      <c r="B29" s="21" t="s">
        <v>150</v>
      </c>
      <c r="C29" s="9" t="str">
        <f>INDEX('91_NYELV'!$C$7:$D$408,342,NYELV_IDX)</f>
        <v>BEFEKTETÉSI CASH FLOW ÖSSZESEN</v>
      </c>
      <c r="D29" s="36"/>
      <c r="E29" s="38"/>
      <c r="F29" s="38"/>
      <c r="G29" s="23">
        <f>$G$21+$G$22+$G$23+$G$24+$G$25+$G$26+$G$27+$G$28</f>
        <v>0</v>
      </c>
      <c r="H29" s="38"/>
    </row>
    <row r="30" spans="2:9" x14ac:dyDescent="0.3">
      <c r="B30" s="21" t="s">
        <v>151</v>
      </c>
      <c r="C30" s="35" t="str">
        <f>INDEX('91_NYELV'!$C$7:$D$408,343,NYELV_IDX)</f>
        <v>III. FINANSZÍROZÁSI TEVÉKENYSÉG</v>
      </c>
      <c r="D30" s="36"/>
      <c r="E30" s="37"/>
      <c r="F30" s="37"/>
      <c r="G30" s="37"/>
      <c r="H30" s="37"/>
    </row>
    <row r="31" spans="2:9" x14ac:dyDescent="0.3">
      <c r="B31" s="21" t="s">
        <v>152</v>
      </c>
      <c r="C31" s="34" t="str">
        <f>INDEX('91_NYELV'!$C$7:$D$408,344,NYELV_IDX)</f>
        <v>1. Részvénykibocsátásból származó bevétel</v>
      </c>
      <c r="D31" s="36" t="s">
        <v>128</v>
      </c>
      <c r="E31" s="8"/>
      <c r="F31" s="24"/>
      <c r="G31" s="31">
        <f t="shared" ref="G31:G38" si="2">$E31+$F31</f>
        <v>0</v>
      </c>
      <c r="H31" s="33"/>
      <c r="I31" s="14" t="str">
        <f>INDEX('91_NYELV'!$C$7:$D$408,345,NYELV_IDX)</f>
        <v>Kézi</v>
      </c>
    </row>
    <row r="32" spans="2:9" x14ac:dyDescent="0.3">
      <c r="B32" s="21" t="s">
        <v>153</v>
      </c>
      <c r="C32" s="34" t="str">
        <f>INDEX('91_NYELV'!$C$7:$D$408,346,NYELV_IDX)</f>
        <v>2. Hitelek és kölcsönök felvétele</v>
      </c>
      <c r="D32" s="36" t="s">
        <v>128</v>
      </c>
      <c r="E32" s="8"/>
      <c r="F32" s="24"/>
      <c r="G32" s="31">
        <f t="shared" si="2"/>
        <v>0</v>
      </c>
      <c r="H32" s="33"/>
      <c r="I32" s="14" t="str">
        <f>INDEX('91_NYELV'!$C$7:$D$408,347,NYELV_IDX)</f>
        <v>Kézi</v>
      </c>
    </row>
    <row r="33" spans="2:9" x14ac:dyDescent="0.3">
      <c r="B33" s="21" t="s">
        <v>154</v>
      </c>
      <c r="C33" s="34" t="str">
        <f>INDEX('91_NYELV'!$C$7:$D$408,348,NYELV_IDX)</f>
        <v>3. Hitelek és kölcsönök törlesztése</v>
      </c>
      <c r="D33" s="36" t="s">
        <v>132</v>
      </c>
      <c r="E33" s="8"/>
      <c r="F33" s="24"/>
      <c r="G33" s="31">
        <f t="shared" si="2"/>
        <v>0</v>
      </c>
      <c r="H33" s="33"/>
      <c r="I33" s="14" t="str">
        <f>INDEX('91_NYELV'!$C$7:$D$408,349,NYELV_IDX)</f>
        <v>Kézi</v>
      </c>
    </row>
    <row r="34" spans="2:9" x14ac:dyDescent="0.3">
      <c r="B34" s="21" t="s">
        <v>155</v>
      </c>
      <c r="C34" s="34" t="str">
        <f>INDEX('91_NYELV'!$C$7:$D$408,350,NYELV_IDX)</f>
        <v>4. Lízingkötelezettségek törlesztése</v>
      </c>
      <c r="D34" s="36" t="s">
        <v>132</v>
      </c>
      <c r="E34" s="8"/>
      <c r="F34" s="24"/>
      <c r="G34" s="31">
        <f t="shared" si="2"/>
        <v>0</v>
      </c>
      <c r="H34" s="33"/>
      <c r="I34" s="14" t="str">
        <f>INDEX('91_NYELV'!$C$7:$D$408,351,NYELV_IDX)</f>
        <v>Kézi (IFRS 16)</v>
      </c>
    </row>
    <row r="35" spans="2:9" x14ac:dyDescent="0.3">
      <c r="B35" s="21" t="s">
        <v>156</v>
      </c>
      <c r="C35" s="34" t="str">
        <f>INDEX('91_NYELV'!$C$7:$D$408,352,NYELV_IDX)</f>
        <v>5. Fizetett kamat</v>
      </c>
      <c r="D35" s="36" t="s">
        <v>132</v>
      </c>
      <c r="E35" s="8"/>
      <c r="F35" s="24"/>
      <c r="G35" s="31">
        <f t="shared" si="2"/>
        <v>0</v>
      </c>
      <c r="H35" s="33"/>
      <c r="I35" s="14" t="str">
        <f>INDEX('91_NYELV'!$C$7:$D$408,353,NYELV_IDX)</f>
        <v>Kézi – IAS 7 (IFRS 18): finanszírozási, ha nincs ilyen fő üzleti tevékenység</v>
      </c>
    </row>
    <row r="36" spans="2:9" x14ac:dyDescent="0.3">
      <c r="B36" s="21" t="s">
        <v>157</v>
      </c>
      <c r="C36" s="34" t="str">
        <f>INDEX('91_NYELV'!$C$7:$D$408,354,NYELV_IDX)</f>
        <v>6. Az anyavállalat tulajdonosainak fizetett osztalék</v>
      </c>
      <c r="D36" s="36" t="s">
        <v>132</v>
      </c>
      <c r="E36" s="8"/>
      <c r="F36" s="24"/>
      <c r="G36" s="31">
        <f t="shared" si="2"/>
        <v>0</v>
      </c>
      <c r="H36" s="33"/>
      <c r="I36" s="14" t="str">
        <f>INDEX('91_NYELV'!$C$7:$D$408,355,NYELV_IDX)</f>
        <v>Kézi – IAS 7 (IFRS 18): mindig finanszírozási</v>
      </c>
    </row>
    <row r="37" spans="2:9" x14ac:dyDescent="0.3">
      <c r="B37" s="21" t="s">
        <v>158</v>
      </c>
      <c r="C37" s="34" t="str">
        <f>INDEX('91_NYELV'!$C$7:$D$408,356,NYELV_IDX)</f>
        <v>7. A nem ellenőrző részesedéseknek fizetett osztalék</v>
      </c>
      <c r="D37" s="36" t="s">
        <v>132</v>
      </c>
      <c r="E37" s="8"/>
      <c r="F37" s="24"/>
      <c r="G37" s="31">
        <f t="shared" si="2"/>
        <v>0</v>
      </c>
      <c r="H37" s="33"/>
      <c r="I37" s="14" t="str">
        <f>INDEX('91_NYELV'!$C$7:$D$408,357,NYELV_IDX)</f>
        <v>Kézi – konszolidáció-specifikus</v>
      </c>
    </row>
    <row r="38" spans="2:9" x14ac:dyDescent="0.3">
      <c r="B38" s="21" t="s">
        <v>159</v>
      </c>
      <c r="C38" s="34" t="str">
        <f>INDEX('91_NYELV'!$C$7:$D$408,358,NYELV_IDX)</f>
        <v>8. Nem ellenőrző részesedésekkel folytatott tranzakciók</v>
      </c>
      <c r="D38" s="36" t="s">
        <v>128</v>
      </c>
      <c r="E38" s="8"/>
      <c r="F38" s="24"/>
      <c r="G38" s="31">
        <f t="shared" si="2"/>
        <v>0</v>
      </c>
      <c r="H38" s="33"/>
      <c r="I38" s="14" t="str">
        <f>INDEX('91_NYELV'!$C$7:$D$408,359,NYELV_IDX)</f>
        <v>Kézi – IFRS 10: tőketranzakció, goodwill nem keletkezik</v>
      </c>
    </row>
    <row r="39" spans="2:9" x14ac:dyDescent="0.3">
      <c r="B39" s="21" t="s">
        <v>160</v>
      </c>
      <c r="C39" s="9" t="str">
        <f>INDEX('91_NYELV'!$C$7:$D$408,360,NYELV_IDX)</f>
        <v>FINANSZÍROZÁSI CASH FLOW ÖSSZESEN</v>
      </c>
      <c r="D39" s="36"/>
      <c r="E39" s="38"/>
      <c r="F39" s="38"/>
      <c r="G39" s="23">
        <f>$G$31+$G$32+$G$33+$G$34+$G$35+$G$36+$G$37+$G$38</f>
        <v>0</v>
      </c>
      <c r="H39" s="38"/>
    </row>
    <row r="40" spans="2:9" x14ac:dyDescent="0.3">
      <c r="B40" s="21" t="s">
        <v>161</v>
      </c>
      <c r="C40" s="9" t="str">
        <f>INDEX('91_NYELV'!$C$7:$D$408,361,NYELV_IDX)</f>
        <v>IV. PÉNZESZKÖZÖK NETTÓ VÁLTOZÁSA (I+II+III)</v>
      </c>
      <c r="D40" s="36"/>
      <c r="E40" s="38"/>
      <c r="F40" s="38"/>
      <c r="G40" s="23">
        <f>$G$19+$G$29+$G$39</f>
        <v>0</v>
      </c>
      <c r="H40" s="38"/>
    </row>
    <row r="41" spans="2:9" x14ac:dyDescent="0.3">
      <c r="B41" s="21" t="s">
        <v>162</v>
      </c>
      <c r="C41" s="34" t="str">
        <f>INDEX('91_NYELV'!$C$7:$D$408,362,NYELV_IDX)</f>
        <v>V. Pénzeszközök az időszak elején</v>
      </c>
      <c r="D41" s="36" t="s">
        <v>128</v>
      </c>
      <c r="E41" s="8">
        <f>'03B_NYITO'!$D$25</f>
        <v>0</v>
      </c>
      <c r="F41" s="24"/>
      <c r="G41" s="31">
        <f>$E41+$F41</f>
        <v>0</v>
      </c>
      <c r="H41" s="33"/>
      <c r="I41" s="14" t="str">
        <f>INDEX('91_NYELV'!$C$7:$D$408,363,NYELV_IDX)</f>
        <v>Előző évi pénzeszközök (nyitó lap)</v>
      </c>
    </row>
    <row r="42" spans="2:9" x14ac:dyDescent="0.3">
      <c r="B42" s="21" t="s">
        <v>163</v>
      </c>
      <c r="C42" s="34" t="str">
        <f>INDEX('91_NYELV'!$C$7:$D$408,364,NYELV_IDX)</f>
        <v>VI. Árfolyamváltozás hatása a pénzeszközökre</v>
      </c>
      <c r="D42" s="36" t="s">
        <v>128</v>
      </c>
      <c r="E42" s="8"/>
      <c r="F42" s="24"/>
      <c r="G42" s="31">
        <f>$E42+$F42</f>
        <v>0</v>
      </c>
      <c r="H42" s="33"/>
      <c r="I42" s="14" t="str">
        <f>INDEX('91_NYELV'!$C$7:$D$408,365,NYELV_IDX)</f>
        <v>Kézi – IAS 7.28</v>
      </c>
    </row>
    <row r="43" spans="2:9" x14ac:dyDescent="0.3">
      <c r="B43" s="21" t="s">
        <v>164</v>
      </c>
      <c r="C43" s="9" t="str">
        <f>INDEX('91_NYELV'!$C$7:$D$408,366,NYELV_IDX)</f>
        <v>VII. PÉNZESZKÖZÖK AZ IDŐSZAK VÉGÉN (IV+V+VI)</v>
      </c>
      <c r="D43" s="36"/>
      <c r="E43" s="38"/>
      <c r="F43" s="38"/>
      <c r="G43" s="23">
        <f>$G$40+$G$41+$G$42</f>
        <v>0</v>
      </c>
      <c r="H43" s="38"/>
    </row>
    <row r="45" spans="2:9" x14ac:dyDescent="0.3">
      <c r="C45" s="10" t="str">
        <f>INDEX('91_NYELV'!$C$7:$D$408,160,NYELV_IDX)</f>
        <v>Ellenőrzés: a VII. sor egyezzen a mérleg pénzeszköz sorával.</v>
      </c>
      <c r="G45" s="23">
        <f>'12_MUNKATABLA'!$G$25</f>
        <v>0</v>
      </c>
    </row>
  </sheetData>
  <sheetProtection algorithmName="SHA-512" hashValue="LULG7dGnYokzE9LCR7ZvsyULxYZ5fJH/t4hKfxye81kgIMl3aSlfdooaSkPC/QzJqpCPu9A5u+x3dQofTBuA4Q==" saltValue="Etcj8NXw8+PfJZibUtrbzg==" spinCount="100000" sheet="1" objects="1" scenarios="1"/>
  <pageMargins left="0.75" right="0.75" top="1" bottom="1" header="0.5" footer="0.5"/>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Munka19"/>
  <dimension ref="B1:E16"/>
  <sheetViews>
    <sheetView showGridLines="0" workbookViewId="0"/>
  </sheetViews>
  <sheetFormatPr defaultRowHeight="14.4" x14ac:dyDescent="0.3"/>
  <cols>
    <col min="2" max="2" width="8" customWidth="1"/>
    <col min="3" max="3" width="74" customWidth="1"/>
    <col min="4" max="4" width="18" customWidth="1"/>
    <col min="5" max="5" width="14" customWidth="1"/>
  </cols>
  <sheetData>
    <row r="1" spans="2:5" ht="73.95" customHeight="1" x14ac:dyDescent="0.3"/>
    <row r="3" spans="2:5" ht="18" x14ac:dyDescent="0.35">
      <c r="B3" s="11" t="str">
        <f>INDEX('91_NYELV'!$C$7:$D$408,162,NYELV_IDX)</f>
        <v>Ellenőrzések</v>
      </c>
    </row>
    <row r="6" spans="2:5" ht="24" x14ac:dyDescent="0.3">
      <c r="B6" s="16" t="str">
        <f>INDEX('91_NYELV'!$C$7:$D$408,9,NYELV_IDX)</f>
        <v>Kód</v>
      </c>
      <c r="C6" s="16" t="str">
        <f>INDEX('91_NYELV'!$C$7:$D$408,10,NYELV_IDX)</f>
        <v>Megnevezés</v>
      </c>
      <c r="D6" s="16" t="str">
        <f>INDEX('91_NYELV'!$C$7:$D$408,105,NYELV_IDX)</f>
        <v>Eltérés (egyeztetési különbözet)</v>
      </c>
      <c r="E6" s="16" t="str">
        <f>INDEX('91_NYELV'!$C$7:$D$408,5,NYELV_IDX)</f>
        <v>Állapot</v>
      </c>
    </row>
    <row r="7" spans="2:5" x14ac:dyDescent="0.3">
      <c r="B7" s="29">
        <v>1</v>
      </c>
      <c r="C7" s="7" t="str">
        <f>INDEX('91_NYELV'!$C$7:$D$408,163,NYELV_IDX)</f>
        <v>Eszközök összesen = Saját tőke és kötelezettségek összesen</v>
      </c>
      <c r="D7" s="26">
        <f>'12_MUNKATABLA'!$G$27-'12_MUNKATABLA'!$G$53</f>
        <v>0</v>
      </c>
      <c r="E7" s="9" t="str">
        <f>IF(ROUND($D7,0)=0,INDEX('91_NYELV'!$C$7:$D$408,6,NYELV_IDX),INDEX('91_NYELV'!$C$7:$D$408,7,NYELV_IDX))</f>
        <v>RENDBEN</v>
      </c>
    </row>
    <row r="8" spans="2:5" x14ac:dyDescent="0.3">
      <c r="B8" s="29">
        <v>2</v>
      </c>
      <c r="C8" s="7" t="str">
        <f>INDEX('91_NYELV'!$C$7:$D$408,164,NYELV_IDX)</f>
        <v>Konszolidációs napló: Tartozik = Követel</v>
      </c>
      <c r="D8" s="26">
        <f>'11_NAPLO'!$H$808-'11_NAPLO'!$I$808</f>
        <v>0</v>
      </c>
      <c r="E8" s="9" t="str">
        <f>IF(ROUND($D8,0)=0,INDEX('91_NYELV'!$C$7:$D$408,6,NYELV_IDX),INDEX('91_NYELV'!$C$7:$D$408,7,NYELV_IDX))</f>
        <v>RENDBEN</v>
      </c>
    </row>
    <row r="9" spans="2:5" x14ac:dyDescent="0.3">
      <c r="B9" s="29">
        <v>3</v>
      </c>
      <c r="C9" s="7" t="str">
        <f>INDEX('91_NYELV'!$C$7:$D$408,165,NYELV_IDX)</f>
        <v>Egyedi kimutatások egyensúlya (minden társaság)</v>
      </c>
      <c r="D9" s="26">
        <f>SUM('03_ADATBEVITEL'!$E$105:$J$105)</f>
        <v>0</v>
      </c>
      <c r="E9" s="9" t="str">
        <f>IF(ROUND($D9,0)=0,INDEX('91_NYELV'!$C$7:$D$408,6,NYELV_IDX),INDEX('91_NYELV'!$C$7:$D$408,7,NYELV_IDX))</f>
        <v>RENDBEN</v>
      </c>
    </row>
    <row r="10" spans="2:5" x14ac:dyDescent="0.3">
      <c r="B10" s="29">
        <v>4</v>
      </c>
      <c r="C10" s="7" t="str">
        <f>INDEX('91_NYELV'!$C$7:$D$408,166,NYELV_IDX)</f>
        <v>Saját tőke kimutatás záró egyenlege = mérleg saját tőke</v>
      </c>
      <c r="D10" s="26">
        <f>'15_SOCIE'!$L$18-'12_MUNKATABLA'!$G$36</f>
        <v>0</v>
      </c>
      <c r="E10" s="9" t="str">
        <f>IF(ROUND($D10,0)=0,INDEX('91_NYELV'!$C$7:$D$408,6,NYELV_IDX),INDEX('91_NYELV'!$C$7:$D$408,7,NYELV_IDX))</f>
        <v>RENDBEN</v>
      </c>
    </row>
    <row r="11" spans="2:5" x14ac:dyDescent="0.3">
      <c r="B11" s="29">
        <v>5</v>
      </c>
      <c r="C11" s="7" t="str">
        <f>INDEX('91_NYELV'!$C$7:$D$408,167,NYELV_IDX)</f>
        <v>Cash flow VII. sora = mérleg pénzeszközök</v>
      </c>
      <c r="D11" s="26">
        <f>'16_CASHFLOW'!$G$43-'12_MUNKATABLA'!$G$25</f>
        <v>0</v>
      </c>
      <c r="E11" s="9" t="str">
        <f>IF(ROUND($D11,0)=0,INDEX('91_NYELV'!$C$7:$D$408,6,NYELV_IDX),INDEX('91_NYELV'!$C$7:$D$408,7,NYELV_IDX))</f>
        <v>RENDBEN</v>
      </c>
    </row>
    <row r="12" spans="2:5" x14ac:dyDescent="0.3">
      <c r="B12" s="29">
        <v>6</v>
      </c>
      <c r="C12" s="7" t="str">
        <f>INDEX('91_NYELV'!$C$7:$D$408,168,NYELV_IDX)</f>
        <v>Eredmény megbontása: anyavállalat + NCI = időszaki eredmény</v>
      </c>
      <c r="D12" s="26">
        <f>'12_MUNKATABLA'!$G$82+'12_MUNKATABLA'!$G$83-'12_MUNKATABLA'!$G$81</f>
        <v>0</v>
      </c>
      <c r="E12" s="9" t="str">
        <f>IF(ROUND($D12,0)=0,INDEX('91_NYELV'!$C$7:$D$408,6,NYELV_IDX),INDEX('91_NYELV'!$C$7:$D$408,7,NYELV_IDX))</f>
        <v>RENDBEN</v>
      </c>
    </row>
    <row r="13" spans="2:5" x14ac:dyDescent="0.3">
      <c r="B13" s="29">
        <v>7</v>
      </c>
      <c r="C13" s="7" t="str">
        <f>INDEX('91_NYELV'!$C$7:$D$408,169,NYELV_IDX)</f>
        <v>Mérleg szerinti goodwill = számított goodwill – elszámolt értékvesztés</v>
      </c>
      <c r="D13" s="26">
        <f>'12_MUNKATABLA'!$G$12-(SUM('04_AKVIZICIO'!$C$12:$G$12)-SUM('10_GOODWILL'!$E$7:$E$16))</f>
        <v>0</v>
      </c>
      <c r="E13" s="9" t="str">
        <f>IF(ROUND($D13,0)=0,INDEX('91_NYELV'!$C$7:$D$408,6,NYELV_IDX),INDEX('91_NYELV'!$C$7:$D$408,7,NYELV_IDX))</f>
        <v>RENDBEN</v>
      </c>
    </row>
    <row r="14" spans="2:5" x14ac:dyDescent="0.3">
      <c r="B14" s="29">
        <v>8</v>
      </c>
      <c r="C14" s="7" t="str">
        <f>INDEX('91_NYELV'!$C$7:$D$408,170,NYELV_IDX)</f>
        <v>Minden bevont társaságnál meg van adva a záró és az átlagárfolyam</v>
      </c>
      <c r="D14" s="26">
        <f>SUMPRODUCT(('02_CSOPORT'!$M$7:$M$12&gt;0)*(('02_CSOPORT'!$J$7:$J$12=0)+('02_CSOPORT'!$K$7:$K$12=0)))</f>
        <v>0</v>
      </c>
      <c r="E14" s="9" t="str">
        <f>IF(ROUND($D14,0)=0,INDEX('91_NYELV'!$C$7:$D$408,6,NYELV_IDX),INDEX('91_NYELV'!$C$7:$D$408,7,NYELV_IDX))</f>
        <v>RENDBEN</v>
      </c>
    </row>
    <row r="16" spans="2:5" x14ac:dyDescent="0.3">
      <c r="C16" s="10" t="str">
        <f>INDEX('91_NYELV'!$C$7:$D$408,171,NYELV_IDX)</f>
        <v>Összesített állapot</v>
      </c>
      <c r="E16" s="9" t="str">
        <f>IF(SUMPRODUCT(--(ROUND($D$7:$D$14,0)&lt;&gt;0))=0,INDEX('91_NYELV'!$C$7:$D$408,6,NYELV_IDX),INDEX('91_NYELV'!$C$7:$D$408,7,NYELV_IDX))</f>
        <v>RENDBEN</v>
      </c>
    </row>
  </sheetData>
  <sheetProtection algorithmName="SHA-512" hashValue="emnxaoBL5N/vlTJKqUAmCjQ4YxfyuI1qW2JlaIESwh742FjjoUOVgCCPdd7sqVcP4fnwPl84dcTtCb6wX38gFg==" saltValue="6uzscbX+GOV13/qTRIeTow==" spinCount="100000" sheet="1" objects="1" scenarios="1"/>
  <pageMargins left="0.75" right="0.75" top="1" bottom="1" header="0.5" footer="0.5"/>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Munka20"/>
  <dimension ref="B1:I102"/>
  <sheetViews>
    <sheetView showGridLines="0" workbookViewId="0"/>
  </sheetViews>
  <sheetFormatPr defaultRowHeight="14.4" x14ac:dyDescent="0.3"/>
  <cols>
    <col min="2" max="2" width="14" customWidth="1"/>
    <col min="3" max="6" width="8" customWidth="1"/>
    <col min="7" max="8" width="62" customWidth="1"/>
    <col min="9" max="9" width="9" customWidth="1"/>
  </cols>
  <sheetData>
    <row r="1" spans="2:9" ht="73.95" customHeight="1" x14ac:dyDescent="0.3"/>
    <row r="3" spans="2:9" ht="18" x14ac:dyDescent="0.35">
      <c r="B3" s="11" t="str">
        <f>INDEX('91_NYELV'!$C$7:$D$408,172,NYELV_IDX)</f>
        <v>Sorséma (szerkeszthető)</v>
      </c>
    </row>
    <row r="4" spans="2:9" x14ac:dyDescent="0.3">
      <c r="B4" s="15" t="str">
        <f>INDEX('91_NYELV'!$C$7:$D$408,177,NYELV_IDX)</f>
        <v>Az IFRS NEM ír elő kötött formátumot. Ez a séma az IAS 1.54 minimum sortételeire és az IFRS 18 kategóriáira épül – szabadon átnevezhető és bővíthető.</v>
      </c>
    </row>
    <row r="6" spans="2:9" x14ac:dyDescent="0.3">
      <c r="B6" s="39" t="s">
        <v>165</v>
      </c>
      <c r="C6" s="39" t="s">
        <v>166</v>
      </c>
      <c r="D6" s="39" t="s">
        <v>167</v>
      </c>
      <c r="E6" s="39" t="s">
        <v>168</v>
      </c>
      <c r="F6" s="39" t="s">
        <v>169</v>
      </c>
      <c r="G6" s="39" t="s">
        <v>170</v>
      </c>
      <c r="H6" s="39" t="s">
        <v>171</v>
      </c>
      <c r="I6" s="39" t="s">
        <v>172</v>
      </c>
    </row>
    <row r="7" spans="2:9" x14ac:dyDescent="0.3">
      <c r="B7" s="22" t="s">
        <v>18</v>
      </c>
      <c r="C7" s="22">
        <v>1</v>
      </c>
      <c r="D7" s="22" t="s">
        <v>173</v>
      </c>
      <c r="E7" s="22" t="s">
        <v>174</v>
      </c>
      <c r="F7" s="22" t="s">
        <v>175</v>
      </c>
      <c r="G7" s="22" t="s">
        <v>176</v>
      </c>
      <c r="H7" s="22" t="s">
        <v>177</v>
      </c>
      <c r="I7" s="22"/>
    </row>
    <row r="8" spans="2:9" x14ac:dyDescent="0.3">
      <c r="B8" s="5" t="s">
        <v>19</v>
      </c>
      <c r="C8" s="5">
        <v>3</v>
      </c>
      <c r="D8" s="5" t="s">
        <v>173</v>
      </c>
      <c r="E8" s="5" t="s">
        <v>174</v>
      </c>
      <c r="F8" s="5" t="s">
        <v>178</v>
      </c>
      <c r="G8" s="5" t="s">
        <v>179</v>
      </c>
      <c r="H8" s="5" t="s">
        <v>180</v>
      </c>
      <c r="I8" s="5"/>
    </row>
    <row r="9" spans="2:9" x14ac:dyDescent="0.3">
      <c r="B9" s="5" t="s">
        <v>20</v>
      </c>
      <c r="C9" s="5">
        <v>3</v>
      </c>
      <c r="D9" s="5" t="s">
        <v>173</v>
      </c>
      <c r="E9" s="5" t="s">
        <v>174</v>
      </c>
      <c r="F9" s="5" t="s">
        <v>178</v>
      </c>
      <c r="G9" s="5" t="s">
        <v>181</v>
      </c>
      <c r="H9" s="5" t="s">
        <v>182</v>
      </c>
      <c r="I9" s="5"/>
    </row>
    <row r="10" spans="2:9" x14ac:dyDescent="0.3">
      <c r="B10" s="5" t="s">
        <v>21</v>
      </c>
      <c r="C10" s="5">
        <v>3</v>
      </c>
      <c r="D10" s="5" t="s">
        <v>173</v>
      </c>
      <c r="E10" s="5" t="s">
        <v>174</v>
      </c>
      <c r="F10" s="5" t="s">
        <v>178</v>
      </c>
      <c r="G10" s="5" t="s">
        <v>183</v>
      </c>
      <c r="H10" s="5" t="s">
        <v>184</v>
      </c>
      <c r="I10" s="5"/>
    </row>
    <row r="11" spans="2:9" x14ac:dyDescent="0.3">
      <c r="B11" s="40" t="s">
        <v>22</v>
      </c>
      <c r="C11" s="40">
        <v>3</v>
      </c>
      <c r="D11" s="40" t="s">
        <v>173</v>
      </c>
      <c r="E11" s="40" t="s">
        <v>174</v>
      </c>
      <c r="F11" s="40" t="s">
        <v>178</v>
      </c>
      <c r="G11" s="40" t="s">
        <v>185</v>
      </c>
      <c r="H11" s="40" t="s">
        <v>186</v>
      </c>
      <c r="I11" s="40" t="s">
        <v>187</v>
      </c>
    </row>
    <row r="12" spans="2:9" x14ac:dyDescent="0.3">
      <c r="B12" s="5" t="s">
        <v>23</v>
      </c>
      <c r="C12" s="5">
        <v>3</v>
      </c>
      <c r="D12" s="5" t="s">
        <v>173</v>
      </c>
      <c r="E12" s="5" t="s">
        <v>174</v>
      </c>
      <c r="F12" s="5" t="s">
        <v>178</v>
      </c>
      <c r="G12" s="5" t="s">
        <v>188</v>
      </c>
      <c r="H12" s="5" t="s">
        <v>189</v>
      </c>
      <c r="I12" s="5"/>
    </row>
    <row r="13" spans="2:9" x14ac:dyDescent="0.3">
      <c r="B13" s="40" t="s">
        <v>24</v>
      </c>
      <c r="C13" s="40">
        <v>3</v>
      </c>
      <c r="D13" s="40" t="s">
        <v>173</v>
      </c>
      <c r="E13" s="40" t="s">
        <v>174</v>
      </c>
      <c r="F13" s="40" t="s">
        <v>178</v>
      </c>
      <c r="G13" s="40" t="s">
        <v>190</v>
      </c>
      <c r="H13" s="40" t="s">
        <v>191</v>
      </c>
      <c r="I13" s="40" t="s">
        <v>187</v>
      </c>
    </row>
    <row r="14" spans="2:9" x14ac:dyDescent="0.3">
      <c r="B14" s="5" t="s">
        <v>25</v>
      </c>
      <c r="C14" s="5">
        <v>3</v>
      </c>
      <c r="D14" s="5" t="s">
        <v>173</v>
      </c>
      <c r="E14" s="5" t="s">
        <v>174</v>
      </c>
      <c r="F14" s="5" t="s">
        <v>178</v>
      </c>
      <c r="G14" s="5" t="s">
        <v>192</v>
      </c>
      <c r="H14" s="5" t="s">
        <v>193</v>
      </c>
      <c r="I14" s="5"/>
    </row>
    <row r="15" spans="2:9" x14ac:dyDescent="0.3">
      <c r="B15" s="5" t="s">
        <v>26</v>
      </c>
      <c r="C15" s="5">
        <v>3</v>
      </c>
      <c r="D15" s="5" t="s">
        <v>173</v>
      </c>
      <c r="E15" s="5" t="s">
        <v>174</v>
      </c>
      <c r="F15" s="5" t="s">
        <v>178</v>
      </c>
      <c r="G15" s="5" t="s">
        <v>194</v>
      </c>
      <c r="H15" s="5" t="s">
        <v>195</v>
      </c>
      <c r="I15" s="5"/>
    </row>
    <row r="16" spans="2:9" x14ac:dyDescent="0.3">
      <c r="B16" s="5" t="s">
        <v>27</v>
      </c>
      <c r="C16" s="5">
        <v>3</v>
      </c>
      <c r="D16" s="5" t="s">
        <v>173</v>
      </c>
      <c r="E16" s="5" t="s">
        <v>174</v>
      </c>
      <c r="F16" s="5" t="s">
        <v>178</v>
      </c>
      <c r="G16" s="5" t="s">
        <v>196</v>
      </c>
      <c r="H16" s="5" t="s">
        <v>197</v>
      </c>
      <c r="I16" s="5"/>
    </row>
    <row r="17" spans="2:9" x14ac:dyDescent="0.3">
      <c r="B17" s="22" t="s">
        <v>28</v>
      </c>
      <c r="C17" s="22">
        <v>1</v>
      </c>
      <c r="D17" s="22" t="s">
        <v>173</v>
      </c>
      <c r="E17" s="22" t="s">
        <v>174</v>
      </c>
      <c r="F17" s="22" t="s">
        <v>175</v>
      </c>
      <c r="G17" s="22" t="s">
        <v>198</v>
      </c>
      <c r="H17" s="22" t="s">
        <v>199</v>
      </c>
      <c r="I17" s="22"/>
    </row>
    <row r="18" spans="2:9" x14ac:dyDescent="0.3">
      <c r="B18" s="5" t="s">
        <v>29</v>
      </c>
      <c r="C18" s="5">
        <v>3</v>
      </c>
      <c r="D18" s="5" t="s">
        <v>173</v>
      </c>
      <c r="E18" s="5" t="s">
        <v>174</v>
      </c>
      <c r="F18" s="5" t="s">
        <v>178</v>
      </c>
      <c r="G18" s="5" t="s">
        <v>200</v>
      </c>
      <c r="H18" s="5" t="s">
        <v>201</v>
      </c>
      <c r="I18" s="5"/>
    </row>
    <row r="19" spans="2:9" x14ac:dyDescent="0.3">
      <c r="B19" s="5" t="s">
        <v>30</v>
      </c>
      <c r="C19" s="5">
        <v>3</v>
      </c>
      <c r="D19" s="5" t="s">
        <v>173</v>
      </c>
      <c r="E19" s="5" t="s">
        <v>174</v>
      </c>
      <c r="F19" s="5" t="s">
        <v>178</v>
      </c>
      <c r="G19" s="5" t="s">
        <v>202</v>
      </c>
      <c r="H19" s="5" t="s">
        <v>203</v>
      </c>
      <c r="I19" s="5"/>
    </row>
    <row r="20" spans="2:9" x14ac:dyDescent="0.3">
      <c r="B20" s="5" t="s">
        <v>31</v>
      </c>
      <c r="C20" s="5">
        <v>3</v>
      </c>
      <c r="D20" s="5" t="s">
        <v>173</v>
      </c>
      <c r="E20" s="5" t="s">
        <v>174</v>
      </c>
      <c r="F20" s="5" t="s">
        <v>178</v>
      </c>
      <c r="G20" s="5" t="s">
        <v>204</v>
      </c>
      <c r="H20" s="5" t="s">
        <v>205</v>
      </c>
      <c r="I20" s="5"/>
    </row>
    <row r="21" spans="2:9" x14ac:dyDescent="0.3">
      <c r="B21" s="5" t="s">
        <v>32</v>
      </c>
      <c r="C21" s="5">
        <v>3</v>
      </c>
      <c r="D21" s="5" t="s">
        <v>173</v>
      </c>
      <c r="E21" s="5" t="s">
        <v>174</v>
      </c>
      <c r="F21" s="5" t="s">
        <v>178</v>
      </c>
      <c r="G21" s="5" t="s">
        <v>206</v>
      </c>
      <c r="H21" s="5" t="s">
        <v>207</v>
      </c>
      <c r="I21" s="5"/>
    </row>
    <row r="22" spans="2:9" x14ac:dyDescent="0.3">
      <c r="B22" s="5" t="s">
        <v>33</v>
      </c>
      <c r="C22" s="5">
        <v>3</v>
      </c>
      <c r="D22" s="5" t="s">
        <v>173</v>
      </c>
      <c r="E22" s="5" t="s">
        <v>174</v>
      </c>
      <c r="F22" s="5" t="s">
        <v>178</v>
      </c>
      <c r="G22" s="5" t="s">
        <v>208</v>
      </c>
      <c r="H22" s="5" t="s">
        <v>209</v>
      </c>
      <c r="I22" s="5"/>
    </row>
    <row r="23" spans="2:9" x14ac:dyDescent="0.3">
      <c r="B23" s="5" t="s">
        <v>34</v>
      </c>
      <c r="C23" s="5">
        <v>3</v>
      </c>
      <c r="D23" s="5" t="s">
        <v>173</v>
      </c>
      <c r="E23" s="5" t="s">
        <v>174</v>
      </c>
      <c r="F23" s="5" t="s">
        <v>178</v>
      </c>
      <c r="G23" s="5" t="s">
        <v>210</v>
      </c>
      <c r="H23" s="5" t="s">
        <v>211</v>
      </c>
      <c r="I23" s="5"/>
    </row>
    <row r="24" spans="2:9" x14ac:dyDescent="0.3">
      <c r="B24" s="5" t="s">
        <v>35</v>
      </c>
      <c r="C24" s="5">
        <v>3</v>
      </c>
      <c r="D24" s="5" t="s">
        <v>173</v>
      </c>
      <c r="E24" s="5" t="s">
        <v>174</v>
      </c>
      <c r="F24" s="5" t="s">
        <v>178</v>
      </c>
      <c r="G24" s="5" t="s">
        <v>212</v>
      </c>
      <c r="H24" s="5" t="s">
        <v>213</v>
      </c>
      <c r="I24" s="5"/>
    </row>
    <row r="25" spans="2:9" x14ac:dyDescent="0.3">
      <c r="B25" s="5" t="s">
        <v>36</v>
      </c>
      <c r="C25" s="5">
        <v>3</v>
      </c>
      <c r="D25" s="5" t="s">
        <v>173</v>
      </c>
      <c r="E25" s="5" t="s">
        <v>174</v>
      </c>
      <c r="F25" s="5" t="s">
        <v>178</v>
      </c>
      <c r="G25" s="5" t="s">
        <v>214</v>
      </c>
      <c r="H25" s="5" t="s">
        <v>215</v>
      </c>
      <c r="I25" s="5"/>
    </row>
    <row r="26" spans="2:9" x14ac:dyDescent="0.3">
      <c r="B26" s="22" t="s">
        <v>37</v>
      </c>
      <c r="C26" s="22">
        <v>1</v>
      </c>
      <c r="D26" s="22" t="s">
        <v>173</v>
      </c>
      <c r="E26" s="22" t="s">
        <v>174</v>
      </c>
      <c r="F26" s="22" t="s">
        <v>175</v>
      </c>
      <c r="G26" s="22" t="s">
        <v>216</v>
      </c>
      <c r="H26" s="22" t="s">
        <v>217</v>
      </c>
      <c r="I26" s="22"/>
    </row>
    <row r="27" spans="2:9" x14ac:dyDescent="0.3">
      <c r="B27" s="41" t="s">
        <v>38</v>
      </c>
      <c r="C27" s="41">
        <v>1</v>
      </c>
      <c r="D27" s="41" t="s">
        <v>173</v>
      </c>
      <c r="E27" s="41" t="s">
        <v>187</v>
      </c>
      <c r="F27" s="41" t="s">
        <v>175</v>
      </c>
      <c r="G27" s="41" t="s">
        <v>218</v>
      </c>
      <c r="H27" s="41" t="s">
        <v>219</v>
      </c>
      <c r="I27" s="41" t="s">
        <v>187</v>
      </c>
    </row>
    <row r="28" spans="2:9" x14ac:dyDescent="0.3">
      <c r="B28" s="5" t="s">
        <v>39</v>
      </c>
      <c r="C28" s="5">
        <v>3</v>
      </c>
      <c r="D28" s="5" t="s">
        <v>173</v>
      </c>
      <c r="E28" s="5" t="s">
        <v>187</v>
      </c>
      <c r="F28" s="5" t="s">
        <v>178</v>
      </c>
      <c r="G28" s="5" t="s">
        <v>220</v>
      </c>
      <c r="H28" s="5" t="s">
        <v>221</v>
      </c>
      <c r="I28" s="5"/>
    </row>
    <row r="29" spans="2:9" x14ac:dyDescent="0.3">
      <c r="B29" s="5" t="s">
        <v>40</v>
      </c>
      <c r="C29" s="5">
        <v>3</v>
      </c>
      <c r="D29" s="5" t="s">
        <v>173</v>
      </c>
      <c r="E29" s="5" t="s">
        <v>187</v>
      </c>
      <c r="F29" s="5" t="s">
        <v>178</v>
      </c>
      <c r="G29" s="5" t="s">
        <v>222</v>
      </c>
      <c r="H29" s="5" t="s">
        <v>223</v>
      </c>
      <c r="I29" s="5"/>
    </row>
    <row r="30" spans="2:9" x14ac:dyDescent="0.3">
      <c r="B30" s="5" t="s">
        <v>41</v>
      </c>
      <c r="C30" s="5">
        <v>3</v>
      </c>
      <c r="D30" s="5" t="s">
        <v>173</v>
      </c>
      <c r="E30" s="5" t="s">
        <v>187</v>
      </c>
      <c r="F30" s="5" t="s">
        <v>178</v>
      </c>
      <c r="G30" s="5" t="s">
        <v>224</v>
      </c>
      <c r="H30" s="5" t="s">
        <v>225</v>
      </c>
      <c r="I30" s="5"/>
    </row>
    <row r="31" spans="2:9" x14ac:dyDescent="0.3">
      <c r="B31" s="5" t="s">
        <v>42</v>
      </c>
      <c r="C31" s="5">
        <v>3</v>
      </c>
      <c r="D31" s="5" t="s">
        <v>173</v>
      </c>
      <c r="E31" s="5" t="s">
        <v>187</v>
      </c>
      <c r="F31" s="5" t="s">
        <v>178</v>
      </c>
      <c r="G31" s="5" t="s">
        <v>226</v>
      </c>
      <c r="H31" s="5" t="s">
        <v>227</v>
      </c>
      <c r="I31" s="5"/>
    </row>
    <row r="32" spans="2:9" x14ac:dyDescent="0.3">
      <c r="B32" s="40" t="s">
        <v>43</v>
      </c>
      <c r="C32" s="40">
        <v>3</v>
      </c>
      <c r="D32" s="40" t="s">
        <v>173</v>
      </c>
      <c r="E32" s="40" t="s">
        <v>187</v>
      </c>
      <c r="F32" s="40" t="s">
        <v>178</v>
      </c>
      <c r="G32" s="40" t="s">
        <v>228</v>
      </c>
      <c r="H32" s="40" t="s">
        <v>229</v>
      </c>
      <c r="I32" s="40" t="s">
        <v>187</v>
      </c>
    </row>
    <row r="33" spans="2:9" x14ac:dyDescent="0.3">
      <c r="B33" s="5" t="s">
        <v>44</v>
      </c>
      <c r="C33" s="5">
        <v>3</v>
      </c>
      <c r="D33" s="5" t="s">
        <v>173</v>
      </c>
      <c r="E33" s="5" t="s">
        <v>187</v>
      </c>
      <c r="F33" s="5" t="s">
        <v>178</v>
      </c>
      <c r="G33" s="5" t="s">
        <v>230</v>
      </c>
      <c r="H33" s="5" t="s">
        <v>231</v>
      </c>
      <c r="I33" s="5"/>
    </row>
    <row r="34" spans="2:9" x14ac:dyDescent="0.3">
      <c r="B34" s="41" t="s">
        <v>45</v>
      </c>
      <c r="C34" s="41">
        <v>1</v>
      </c>
      <c r="D34" s="41" t="s">
        <v>173</v>
      </c>
      <c r="E34" s="41" t="s">
        <v>187</v>
      </c>
      <c r="F34" s="41" t="s">
        <v>178</v>
      </c>
      <c r="G34" s="41" t="s">
        <v>232</v>
      </c>
      <c r="H34" s="41" t="s">
        <v>233</v>
      </c>
      <c r="I34" s="41" t="s">
        <v>187</v>
      </c>
    </row>
    <row r="35" spans="2:9" x14ac:dyDescent="0.3">
      <c r="B35" s="41" t="s">
        <v>46</v>
      </c>
      <c r="C35" s="41">
        <v>1</v>
      </c>
      <c r="D35" s="41" t="s">
        <v>173</v>
      </c>
      <c r="E35" s="41" t="s">
        <v>187</v>
      </c>
      <c r="F35" s="41" t="s">
        <v>175</v>
      </c>
      <c r="G35" s="41" t="s">
        <v>234</v>
      </c>
      <c r="H35" s="41" t="s">
        <v>235</v>
      </c>
      <c r="I35" s="41" t="s">
        <v>187</v>
      </c>
    </row>
    <row r="36" spans="2:9" x14ac:dyDescent="0.3">
      <c r="B36" s="22" t="s">
        <v>47</v>
      </c>
      <c r="C36" s="22">
        <v>1</v>
      </c>
      <c r="D36" s="22" t="s">
        <v>173</v>
      </c>
      <c r="E36" s="22" t="s">
        <v>187</v>
      </c>
      <c r="F36" s="22" t="s">
        <v>175</v>
      </c>
      <c r="G36" s="22" t="s">
        <v>236</v>
      </c>
      <c r="H36" s="22" t="s">
        <v>237</v>
      </c>
      <c r="I36" s="22"/>
    </row>
    <row r="37" spans="2:9" x14ac:dyDescent="0.3">
      <c r="B37" s="5" t="s">
        <v>48</v>
      </c>
      <c r="C37" s="5">
        <v>3</v>
      </c>
      <c r="D37" s="5" t="s">
        <v>173</v>
      </c>
      <c r="E37" s="5" t="s">
        <v>187</v>
      </c>
      <c r="F37" s="5" t="s">
        <v>178</v>
      </c>
      <c r="G37" s="5" t="s">
        <v>238</v>
      </c>
      <c r="H37" s="5" t="s">
        <v>239</v>
      </c>
      <c r="I37" s="5"/>
    </row>
    <row r="38" spans="2:9" x14ac:dyDescent="0.3">
      <c r="B38" s="5" t="s">
        <v>49</v>
      </c>
      <c r="C38" s="5">
        <v>3</v>
      </c>
      <c r="D38" s="5" t="s">
        <v>173</v>
      </c>
      <c r="E38" s="5" t="s">
        <v>187</v>
      </c>
      <c r="F38" s="5" t="s">
        <v>178</v>
      </c>
      <c r="G38" s="5" t="s">
        <v>240</v>
      </c>
      <c r="H38" s="5" t="s">
        <v>241</v>
      </c>
      <c r="I38" s="5"/>
    </row>
    <row r="39" spans="2:9" x14ac:dyDescent="0.3">
      <c r="B39" s="5" t="s">
        <v>50</v>
      </c>
      <c r="C39" s="5">
        <v>3</v>
      </c>
      <c r="D39" s="5" t="s">
        <v>173</v>
      </c>
      <c r="E39" s="5" t="s">
        <v>187</v>
      </c>
      <c r="F39" s="5" t="s">
        <v>178</v>
      </c>
      <c r="G39" s="5" t="s">
        <v>242</v>
      </c>
      <c r="H39" s="5" t="s">
        <v>243</v>
      </c>
      <c r="I39" s="5"/>
    </row>
    <row r="40" spans="2:9" x14ac:dyDescent="0.3">
      <c r="B40" s="5" t="s">
        <v>51</v>
      </c>
      <c r="C40" s="5">
        <v>3</v>
      </c>
      <c r="D40" s="5" t="s">
        <v>173</v>
      </c>
      <c r="E40" s="5" t="s">
        <v>187</v>
      </c>
      <c r="F40" s="5" t="s">
        <v>178</v>
      </c>
      <c r="G40" s="5" t="s">
        <v>244</v>
      </c>
      <c r="H40" s="5" t="s">
        <v>245</v>
      </c>
      <c r="I40" s="5"/>
    </row>
    <row r="41" spans="2:9" x14ac:dyDescent="0.3">
      <c r="B41" s="5" t="s">
        <v>52</v>
      </c>
      <c r="C41" s="5">
        <v>3</v>
      </c>
      <c r="D41" s="5" t="s">
        <v>173</v>
      </c>
      <c r="E41" s="5" t="s">
        <v>187</v>
      </c>
      <c r="F41" s="5" t="s">
        <v>178</v>
      </c>
      <c r="G41" s="5" t="s">
        <v>246</v>
      </c>
      <c r="H41" s="5" t="s">
        <v>247</v>
      </c>
      <c r="I41" s="5"/>
    </row>
    <row r="42" spans="2:9" x14ac:dyDescent="0.3">
      <c r="B42" s="5" t="s">
        <v>53</v>
      </c>
      <c r="C42" s="5">
        <v>3</v>
      </c>
      <c r="D42" s="5" t="s">
        <v>173</v>
      </c>
      <c r="E42" s="5" t="s">
        <v>187</v>
      </c>
      <c r="F42" s="5" t="s">
        <v>178</v>
      </c>
      <c r="G42" s="5" t="s">
        <v>248</v>
      </c>
      <c r="H42" s="5" t="s">
        <v>249</v>
      </c>
      <c r="I42" s="5"/>
    </row>
    <row r="43" spans="2:9" x14ac:dyDescent="0.3">
      <c r="B43" s="22" t="s">
        <v>54</v>
      </c>
      <c r="C43" s="22">
        <v>1</v>
      </c>
      <c r="D43" s="22" t="s">
        <v>173</v>
      </c>
      <c r="E43" s="22" t="s">
        <v>187</v>
      </c>
      <c r="F43" s="22" t="s">
        <v>175</v>
      </c>
      <c r="G43" s="22" t="s">
        <v>250</v>
      </c>
      <c r="H43" s="22" t="s">
        <v>251</v>
      </c>
      <c r="I43" s="22"/>
    </row>
    <row r="44" spans="2:9" x14ac:dyDescent="0.3">
      <c r="B44" s="5" t="s">
        <v>55</v>
      </c>
      <c r="C44" s="5">
        <v>3</v>
      </c>
      <c r="D44" s="5" t="s">
        <v>173</v>
      </c>
      <c r="E44" s="5" t="s">
        <v>187</v>
      </c>
      <c r="F44" s="5" t="s">
        <v>178</v>
      </c>
      <c r="G44" s="5" t="s">
        <v>252</v>
      </c>
      <c r="H44" s="5" t="s">
        <v>253</v>
      </c>
      <c r="I44" s="5"/>
    </row>
    <row r="45" spans="2:9" x14ac:dyDescent="0.3">
      <c r="B45" s="5" t="s">
        <v>56</v>
      </c>
      <c r="C45" s="5">
        <v>3</v>
      </c>
      <c r="D45" s="5" t="s">
        <v>173</v>
      </c>
      <c r="E45" s="5" t="s">
        <v>187</v>
      </c>
      <c r="F45" s="5" t="s">
        <v>178</v>
      </c>
      <c r="G45" s="5" t="s">
        <v>254</v>
      </c>
      <c r="H45" s="5" t="s">
        <v>255</v>
      </c>
      <c r="I45" s="5"/>
    </row>
    <row r="46" spans="2:9" x14ac:dyDescent="0.3">
      <c r="B46" s="5" t="s">
        <v>57</v>
      </c>
      <c r="C46" s="5">
        <v>3</v>
      </c>
      <c r="D46" s="5" t="s">
        <v>173</v>
      </c>
      <c r="E46" s="5" t="s">
        <v>187</v>
      </c>
      <c r="F46" s="5" t="s">
        <v>178</v>
      </c>
      <c r="G46" s="5" t="s">
        <v>256</v>
      </c>
      <c r="H46" s="5" t="s">
        <v>257</v>
      </c>
      <c r="I46" s="5"/>
    </row>
    <row r="47" spans="2:9" x14ac:dyDescent="0.3">
      <c r="B47" s="5" t="s">
        <v>58</v>
      </c>
      <c r="C47" s="5">
        <v>3</v>
      </c>
      <c r="D47" s="5" t="s">
        <v>173</v>
      </c>
      <c r="E47" s="5" t="s">
        <v>187</v>
      </c>
      <c r="F47" s="5" t="s">
        <v>178</v>
      </c>
      <c r="G47" s="5" t="s">
        <v>258</v>
      </c>
      <c r="H47" s="5" t="s">
        <v>259</v>
      </c>
      <c r="I47" s="5"/>
    </row>
    <row r="48" spans="2:9" x14ac:dyDescent="0.3">
      <c r="B48" s="5" t="s">
        <v>59</v>
      </c>
      <c r="C48" s="5">
        <v>3</v>
      </c>
      <c r="D48" s="5" t="s">
        <v>173</v>
      </c>
      <c r="E48" s="5" t="s">
        <v>187</v>
      </c>
      <c r="F48" s="5" t="s">
        <v>178</v>
      </c>
      <c r="G48" s="5" t="s">
        <v>260</v>
      </c>
      <c r="H48" s="5" t="s">
        <v>261</v>
      </c>
      <c r="I48" s="5"/>
    </row>
    <row r="49" spans="2:9" x14ac:dyDescent="0.3">
      <c r="B49" s="5" t="s">
        <v>60</v>
      </c>
      <c r="C49" s="5">
        <v>3</v>
      </c>
      <c r="D49" s="5" t="s">
        <v>173</v>
      </c>
      <c r="E49" s="5" t="s">
        <v>187</v>
      </c>
      <c r="F49" s="5" t="s">
        <v>178</v>
      </c>
      <c r="G49" s="5" t="s">
        <v>262</v>
      </c>
      <c r="H49" s="5" t="s">
        <v>263</v>
      </c>
      <c r="I49" s="5"/>
    </row>
    <row r="50" spans="2:9" x14ac:dyDescent="0.3">
      <c r="B50" s="5" t="s">
        <v>61</v>
      </c>
      <c r="C50" s="5">
        <v>3</v>
      </c>
      <c r="D50" s="5" t="s">
        <v>173</v>
      </c>
      <c r="E50" s="5" t="s">
        <v>187</v>
      </c>
      <c r="F50" s="5" t="s">
        <v>178</v>
      </c>
      <c r="G50" s="5" t="s">
        <v>264</v>
      </c>
      <c r="H50" s="5" t="s">
        <v>265</v>
      </c>
      <c r="I50" s="5"/>
    </row>
    <row r="51" spans="2:9" x14ac:dyDescent="0.3">
      <c r="B51" s="5" t="s">
        <v>62</v>
      </c>
      <c r="C51" s="5">
        <v>3</v>
      </c>
      <c r="D51" s="5" t="s">
        <v>173</v>
      </c>
      <c r="E51" s="5" t="s">
        <v>187</v>
      </c>
      <c r="F51" s="5" t="s">
        <v>178</v>
      </c>
      <c r="G51" s="5" t="s">
        <v>266</v>
      </c>
      <c r="H51" s="5" t="s">
        <v>267</v>
      </c>
      <c r="I51" s="5"/>
    </row>
    <row r="52" spans="2:9" x14ac:dyDescent="0.3">
      <c r="B52" s="22" t="s">
        <v>63</v>
      </c>
      <c r="C52" s="22">
        <v>1</v>
      </c>
      <c r="D52" s="22" t="s">
        <v>173</v>
      </c>
      <c r="E52" s="22" t="s">
        <v>187</v>
      </c>
      <c r="F52" s="22" t="s">
        <v>175</v>
      </c>
      <c r="G52" s="22" t="s">
        <v>268</v>
      </c>
      <c r="H52" s="22" t="s">
        <v>269</v>
      </c>
      <c r="I52" s="22"/>
    </row>
    <row r="53" spans="2:9" x14ac:dyDescent="0.3">
      <c r="B53" s="22" t="s">
        <v>64</v>
      </c>
      <c r="C53" s="22">
        <v>1</v>
      </c>
      <c r="D53" s="22" t="s">
        <v>270</v>
      </c>
      <c r="E53" s="22" t="s">
        <v>187</v>
      </c>
      <c r="F53" s="22" t="s">
        <v>175</v>
      </c>
      <c r="G53" s="22" t="s">
        <v>271</v>
      </c>
      <c r="H53" s="22" t="s">
        <v>272</v>
      </c>
      <c r="I53" s="22"/>
    </row>
    <row r="54" spans="2:9" x14ac:dyDescent="0.3">
      <c r="B54" s="5" t="s">
        <v>65</v>
      </c>
      <c r="C54" s="5">
        <v>3</v>
      </c>
      <c r="D54" s="5" t="s">
        <v>270</v>
      </c>
      <c r="E54" s="5" t="s">
        <v>187</v>
      </c>
      <c r="F54" s="5" t="s">
        <v>178</v>
      </c>
      <c r="G54" s="5" t="s">
        <v>273</v>
      </c>
      <c r="H54" s="5" t="s">
        <v>274</v>
      </c>
      <c r="I54" s="5"/>
    </row>
    <row r="55" spans="2:9" x14ac:dyDescent="0.3">
      <c r="B55" s="5" t="s">
        <v>66</v>
      </c>
      <c r="C55" s="5">
        <v>3</v>
      </c>
      <c r="D55" s="5" t="s">
        <v>270</v>
      </c>
      <c r="E55" s="5" t="s">
        <v>174</v>
      </c>
      <c r="F55" s="5" t="s">
        <v>178</v>
      </c>
      <c r="G55" s="5" t="s">
        <v>275</v>
      </c>
      <c r="H55" s="5" t="s">
        <v>276</v>
      </c>
      <c r="I55" s="5"/>
    </row>
    <row r="56" spans="2:9" x14ac:dyDescent="0.3">
      <c r="B56" s="40" t="s">
        <v>67</v>
      </c>
      <c r="C56" s="40">
        <v>2</v>
      </c>
      <c r="D56" s="40" t="s">
        <v>270</v>
      </c>
      <c r="E56" s="40" t="s">
        <v>187</v>
      </c>
      <c r="F56" s="40" t="s">
        <v>175</v>
      </c>
      <c r="G56" s="40" t="s">
        <v>277</v>
      </c>
      <c r="H56" s="40" t="s">
        <v>278</v>
      </c>
      <c r="I56" s="40" t="s">
        <v>279</v>
      </c>
    </row>
    <row r="57" spans="2:9" x14ac:dyDescent="0.3">
      <c r="B57" s="5" t="s">
        <v>68</v>
      </c>
      <c r="C57" s="5">
        <v>3</v>
      </c>
      <c r="D57" s="5" t="s">
        <v>270</v>
      </c>
      <c r="E57" s="5" t="s">
        <v>187</v>
      </c>
      <c r="F57" s="5" t="s">
        <v>178</v>
      </c>
      <c r="G57" s="5" t="s">
        <v>280</v>
      </c>
      <c r="H57" s="5" t="s">
        <v>281</v>
      </c>
      <c r="I57" s="5"/>
    </row>
    <row r="58" spans="2:9" x14ac:dyDescent="0.3">
      <c r="B58" s="5" t="s">
        <v>69</v>
      </c>
      <c r="C58" s="5">
        <v>3</v>
      </c>
      <c r="D58" s="5" t="s">
        <v>270</v>
      </c>
      <c r="E58" s="5" t="s">
        <v>174</v>
      </c>
      <c r="F58" s="5" t="s">
        <v>178</v>
      </c>
      <c r="G58" s="5" t="s">
        <v>282</v>
      </c>
      <c r="H58" s="5" t="s">
        <v>283</v>
      </c>
      <c r="I58" s="5"/>
    </row>
    <row r="59" spans="2:9" x14ac:dyDescent="0.3">
      <c r="B59" s="5" t="s">
        <v>70</v>
      </c>
      <c r="C59" s="5">
        <v>3</v>
      </c>
      <c r="D59" s="5" t="s">
        <v>270</v>
      </c>
      <c r="E59" s="5" t="s">
        <v>174</v>
      </c>
      <c r="F59" s="5" t="s">
        <v>178</v>
      </c>
      <c r="G59" s="5" t="s">
        <v>284</v>
      </c>
      <c r="H59" s="5" t="s">
        <v>285</v>
      </c>
      <c r="I59" s="5"/>
    </row>
    <row r="60" spans="2:9" x14ac:dyDescent="0.3">
      <c r="B60" s="40" t="s">
        <v>71</v>
      </c>
      <c r="C60" s="40">
        <v>3</v>
      </c>
      <c r="D60" s="40" t="s">
        <v>270</v>
      </c>
      <c r="E60" s="40" t="s">
        <v>174</v>
      </c>
      <c r="F60" s="40" t="s">
        <v>178</v>
      </c>
      <c r="G60" s="40" t="s">
        <v>286</v>
      </c>
      <c r="H60" s="40" t="s">
        <v>287</v>
      </c>
      <c r="I60" s="40" t="s">
        <v>187</v>
      </c>
    </row>
    <row r="61" spans="2:9" x14ac:dyDescent="0.3">
      <c r="B61" s="5" t="s">
        <v>72</v>
      </c>
      <c r="C61" s="5">
        <v>3</v>
      </c>
      <c r="D61" s="5" t="s">
        <v>270</v>
      </c>
      <c r="E61" s="5" t="s">
        <v>174</v>
      </c>
      <c r="F61" s="5" t="s">
        <v>178</v>
      </c>
      <c r="G61" s="5" t="s">
        <v>288</v>
      </c>
      <c r="H61" s="5" t="s">
        <v>289</v>
      </c>
      <c r="I61" s="5"/>
    </row>
    <row r="62" spans="2:9" x14ac:dyDescent="0.3">
      <c r="B62" s="22" t="s">
        <v>73</v>
      </c>
      <c r="C62" s="22">
        <v>1</v>
      </c>
      <c r="D62" s="22" t="s">
        <v>270</v>
      </c>
      <c r="E62" s="22" t="s">
        <v>187</v>
      </c>
      <c r="F62" s="22" t="s">
        <v>175</v>
      </c>
      <c r="G62" s="22" t="s">
        <v>290</v>
      </c>
      <c r="H62" s="22" t="s">
        <v>291</v>
      </c>
      <c r="I62" s="22"/>
    </row>
    <row r="63" spans="2:9" x14ac:dyDescent="0.3">
      <c r="B63" s="22" t="s">
        <v>74</v>
      </c>
      <c r="C63" s="22">
        <v>1</v>
      </c>
      <c r="D63" s="22" t="s">
        <v>270</v>
      </c>
      <c r="E63" s="22" t="s">
        <v>187</v>
      </c>
      <c r="F63" s="22" t="s">
        <v>175</v>
      </c>
      <c r="G63" s="22" t="s">
        <v>292</v>
      </c>
      <c r="H63" s="22" t="s">
        <v>293</v>
      </c>
      <c r="I63" s="22"/>
    </row>
    <row r="64" spans="2:9" x14ac:dyDescent="0.3">
      <c r="B64" s="40" t="s">
        <v>75</v>
      </c>
      <c r="C64" s="40">
        <v>3</v>
      </c>
      <c r="D64" s="40" t="s">
        <v>270</v>
      </c>
      <c r="E64" s="40" t="s">
        <v>187</v>
      </c>
      <c r="F64" s="40" t="s">
        <v>178</v>
      </c>
      <c r="G64" s="40" t="s">
        <v>294</v>
      </c>
      <c r="H64" s="40" t="s">
        <v>295</v>
      </c>
      <c r="I64" s="40" t="s">
        <v>187</v>
      </c>
    </row>
    <row r="65" spans="2:9" x14ac:dyDescent="0.3">
      <c r="B65" s="5" t="s">
        <v>76</v>
      </c>
      <c r="C65" s="5">
        <v>3</v>
      </c>
      <c r="D65" s="5" t="s">
        <v>270</v>
      </c>
      <c r="E65" s="5" t="s">
        <v>187</v>
      </c>
      <c r="F65" s="5" t="s">
        <v>178</v>
      </c>
      <c r="G65" s="5" t="s">
        <v>296</v>
      </c>
      <c r="H65" s="5" t="s">
        <v>297</v>
      </c>
      <c r="I65" s="5"/>
    </row>
    <row r="66" spans="2:9" x14ac:dyDescent="0.3">
      <c r="B66" s="5" t="s">
        <v>77</v>
      </c>
      <c r="C66" s="5">
        <v>3</v>
      </c>
      <c r="D66" s="5" t="s">
        <v>270</v>
      </c>
      <c r="E66" s="5" t="s">
        <v>187</v>
      </c>
      <c r="F66" s="5" t="s">
        <v>178</v>
      </c>
      <c r="G66" s="5" t="s">
        <v>298</v>
      </c>
      <c r="H66" s="5" t="s">
        <v>299</v>
      </c>
      <c r="I66" s="5"/>
    </row>
    <row r="67" spans="2:9" x14ac:dyDescent="0.3">
      <c r="B67" s="22" t="s">
        <v>78</v>
      </c>
      <c r="C67" s="22">
        <v>1</v>
      </c>
      <c r="D67" s="22" t="s">
        <v>270</v>
      </c>
      <c r="E67" s="22" t="s">
        <v>187</v>
      </c>
      <c r="F67" s="22" t="s">
        <v>175</v>
      </c>
      <c r="G67" s="22" t="s">
        <v>300</v>
      </c>
      <c r="H67" s="22" t="s">
        <v>301</v>
      </c>
      <c r="I67" s="22"/>
    </row>
    <row r="68" spans="2:9" x14ac:dyDescent="0.3">
      <c r="B68" s="22" t="s">
        <v>79</v>
      </c>
      <c r="C68" s="22">
        <v>1</v>
      </c>
      <c r="D68" s="22" t="s">
        <v>270</v>
      </c>
      <c r="E68" s="22" t="s">
        <v>174</v>
      </c>
      <c r="F68" s="22" t="s">
        <v>175</v>
      </c>
      <c r="G68" s="22" t="s">
        <v>302</v>
      </c>
      <c r="H68" s="22" t="s">
        <v>303</v>
      </c>
      <c r="I68" s="22"/>
    </row>
    <row r="69" spans="2:9" x14ac:dyDescent="0.3">
      <c r="B69" s="5" t="s">
        <v>80</v>
      </c>
      <c r="C69" s="5">
        <v>3</v>
      </c>
      <c r="D69" s="5" t="s">
        <v>270</v>
      </c>
      <c r="E69" s="5" t="s">
        <v>174</v>
      </c>
      <c r="F69" s="5" t="s">
        <v>178</v>
      </c>
      <c r="G69" s="5" t="s">
        <v>304</v>
      </c>
      <c r="H69" s="5" t="s">
        <v>305</v>
      </c>
      <c r="I69" s="5"/>
    </row>
    <row r="70" spans="2:9" x14ac:dyDescent="0.3">
      <c r="B70" s="5" t="s">
        <v>81</v>
      </c>
      <c r="C70" s="5">
        <v>3</v>
      </c>
      <c r="D70" s="5" t="s">
        <v>270</v>
      </c>
      <c r="E70" s="5" t="s">
        <v>174</v>
      </c>
      <c r="F70" s="5" t="s">
        <v>178</v>
      </c>
      <c r="G70" s="5" t="s">
        <v>306</v>
      </c>
      <c r="H70" s="5" t="s">
        <v>307</v>
      </c>
      <c r="I70" s="5"/>
    </row>
    <row r="71" spans="2:9" x14ac:dyDescent="0.3">
      <c r="B71" s="5" t="s">
        <v>82</v>
      </c>
      <c r="C71" s="5">
        <v>3</v>
      </c>
      <c r="D71" s="5" t="s">
        <v>270</v>
      </c>
      <c r="E71" s="5" t="s">
        <v>174</v>
      </c>
      <c r="F71" s="5" t="s">
        <v>178</v>
      </c>
      <c r="G71" s="5" t="s">
        <v>308</v>
      </c>
      <c r="H71" s="5" t="s">
        <v>309</v>
      </c>
      <c r="I71" s="5"/>
    </row>
    <row r="72" spans="2:9" x14ac:dyDescent="0.3">
      <c r="B72" s="5" t="s">
        <v>83</v>
      </c>
      <c r="C72" s="5">
        <v>3</v>
      </c>
      <c r="D72" s="5" t="s">
        <v>270</v>
      </c>
      <c r="E72" s="5" t="s">
        <v>187</v>
      </c>
      <c r="F72" s="5" t="s">
        <v>178</v>
      </c>
      <c r="G72" s="5" t="s">
        <v>310</v>
      </c>
      <c r="H72" s="5" t="s">
        <v>311</v>
      </c>
      <c r="I72" s="5"/>
    </row>
    <row r="73" spans="2:9" x14ac:dyDescent="0.3">
      <c r="B73" s="22" t="s">
        <v>84</v>
      </c>
      <c r="C73" s="22">
        <v>1</v>
      </c>
      <c r="D73" s="22" t="s">
        <v>270</v>
      </c>
      <c r="E73" s="22" t="s">
        <v>187</v>
      </c>
      <c r="F73" s="22" t="s">
        <v>175</v>
      </c>
      <c r="G73" s="22" t="s">
        <v>312</v>
      </c>
      <c r="H73" s="22" t="s">
        <v>313</v>
      </c>
      <c r="I73" s="22"/>
    </row>
    <row r="74" spans="2:9" x14ac:dyDescent="0.3">
      <c r="B74" s="22" t="s">
        <v>85</v>
      </c>
      <c r="C74" s="22">
        <v>1</v>
      </c>
      <c r="D74" s="22" t="s">
        <v>270</v>
      </c>
      <c r="E74" s="22" t="s">
        <v>174</v>
      </c>
      <c r="F74" s="22" t="s">
        <v>175</v>
      </c>
      <c r="G74" s="22" t="s">
        <v>314</v>
      </c>
      <c r="H74" s="22" t="s">
        <v>315</v>
      </c>
      <c r="I74" s="22"/>
    </row>
    <row r="75" spans="2:9" x14ac:dyDescent="0.3">
      <c r="B75" s="5" t="s">
        <v>86</v>
      </c>
      <c r="C75" s="5">
        <v>3</v>
      </c>
      <c r="D75" s="5" t="s">
        <v>270</v>
      </c>
      <c r="E75" s="5" t="s">
        <v>174</v>
      </c>
      <c r="F75" s="5" t="s">
        <v>178</v>
      </c>
      <c r="G75" s="5" t="s">
        <v>316</v>
      </c>
      <c r="H75" s="5" t="s">
        <v>317</v>
      </c>
      <c r="I75" s="5"/>
    </row>
    <row r="76" spans="2:9" x14ac:dyDescent="0.3">
      <c r="B76" s="40" t="s">
        <v>87</v>
      </c>
      <c r="C76" s="40">
        <v>3</v>
      </c>
      <c r="D76" s="40" t="s">
        <v>270</v>
      </c>
      <c r="E76" s="40" t="s">
        <v>174</v>
      </c>
      <c r="F76" s="40" t="s">
        <v>178</v>
      </c>
      <c r="G76" s="40" t="s">
        <v>318</v>
      </c>
      <c r="H76" s="40" t="s">
        <v>319</v>
      </c>
      <c r="I76" s="40" t="s">
        <v>187</v>
      </c>
    </row>
    <row r="77" spans="2:9" x14ac:dyDescent="0.3">
      <c r="B77" s="22" t="s">
        <v>88</v>
      </c>
      <c r="C77" s="22">
        <v>1</v>
      </c>
      <c r="D77" s="22" t="s">
        <v>270</v>
      </c>
      <c r="E77" s="22" t="s">
        <v>187</v>
      </c>
      <c r="F77" s="22" t="s">
        <v>175</v>
      </c>
      <c r="G77" s="22" t="s">
        <v>320</v>
      </c>
      <c r="H77" s="22" t="s">
        <v>321</v>
      </c>
      <c r="I77" s="22"/>
    </row>
    <row r="78" spans="2:9" x14ac:dyDescent="0.3">
      <c r="B78" s="22" t="s">
        <v>89</v>
      </c>
      <c r="C78" s="22">
        <v>1</v>
      </c>
      <c r="D78" s="22" t="s">
        <v>270</v>
      </c>
      <c r="E78" s="22" t="s">
        <v>187</v>
      </c>
      <c r="F78" s="22" t="s">
        <v>175</v>
      </c>
      <c r="G78" s="22" t="s">
        <v>322</v>
      </c>
      <c r="H78" s="22" t="s">
        <v>323</v>
      </c>
      <c r="I78" s="22"/>
    </row>
    <row r="79" spans="2:9" x14ac:dyDescent="0.3">
      <c r="B79" s="5" t="s">
        <v>90</v>
      </c>
      <c r="C79" s="5">
        <v>3</v>
      </c>
      <c r="D79" s="5" t="s">
        <v>270</v>
      </c>
      <c r="E79" s="5" t="s">
        <v>187</v>
      </c>
      <c r="F79" s="5" t="s">
        <v>178</v>
      </c>
      <c r="G79" s="5" t="s">
        <v>324</v>
      </c>
      <c r="H79" s="5" t="s">
        <v>325</v>
      </c>
      <c r="I79" s="5"/>
    </row>
    <row r="80" spans="2:9" x14ac:dyDescent="0.3">
      <c r="B80" s="22" t="s">
        <v>91</v>
      </c>
      <c r="C80" s="22">
        <v>1</v>
      </c>
      <c r="D80" s="22" t="s">
        <v>270</v>
      </c>
      <c r="E80" s="22" t="s">
        <v>187</v>
      </c>
      <c r="F80" s="22" t="s">
        <v>175</v>
      </c>
      <c r="G80" s="22" t="s">
        <v>326</v>
      </c>
      <c r="H80" s="22" t="s">
        <v>327</v>
      </c>
      <c r="I80" s="22"/>
    </row>
    <row r="81" spans="2:9" x14ac:dyDescent="0.3">
      <c r="B81" s="40" t="s">
        <v>92</v>
      </c>
      <c r="C81" s="40">
        <v>3</v>
      </c>
      <c r="D81" s="40" t="s">
        <v>270</v>
      </c>
      <c r="E81" s="40" t="s">
        <v>187</v>
      </c>
      <c r="F81" s="40" t="s">
        <v>178</v>
      </c>
      <c r="G81" s="40" t="s">
        <v>328</v>
      </c>
      <c r="H81" s="40" t="s">
        <v>329</v>
      </c>
      <c r="I81" s="40" t="s">
        <v>187</v>
      </c>
    </row>
    <row r="82" spans="2:9" x14ac:dyDescent="0.3">
      <c r="B82" s="40" t="s">
        <v>93</v>
      </c>
      <c r="C82" s="40">
        <v>3</v>
      </c>
      <c r="D82" s="40" t="s">
        <v>270</v>
      </c>
      <c r="E82" s="40" t="s">
        <v>187</v>
      </c>
      <c r="F82" s="40" t="s">
        <v>178</v>
      </c>
      <c r="G82" s="40" t="s">
        <v>330</v>
      </c>
      <c r="H82" s="40" t="s">
        <v>331</v>
      </c>
      <c r="I82" s="40" t="s">
        <v>187</v>
      </c>
    </row>
    <row r="83" spans="2:9" x14ac:dyDescent="0.3">
      <c r="B83" s="5" t="s">
        <v>94</v>
      </c>
      <c r="C83" s="5">
        <v>3</v>
      </c>
      <c r="D83" s="5" t="s">
        <v>332</v>
      </c>
      <c r="E83" s="5" t="s">
        <v>187</v>
      </c>
      <c r="F83" s="5" t="s">
        <v>178</v>
      </c>
      <c r="G83" s="5" t="s">
        <v>333</v>
      </c>
      <c r="H83" s="5" t="s">
        <v>334</v>
      </c>
      <c r="I83" s="5"/>
    </row>
    <row r="84" spans="2:9" x14ac:dyDescent="0.3">
      <c r="B84" s="5" t="s">
        <v>95</v>
      </c>
      <c r="C84" s="5">
        <v>3</v>
      </c>
      <c r="D84" s="5" t="s">
        <v>332</v>
      </c>
      <c r="E84" s="5" t="s">
        <v>174</v>
      </c>
      <c r="F84" s="5" t="s">
        <v>178</v>
      </c>
      <c r="G84" s="5" t="s">
        <v>335</v>
      </c>
      <c r="H84" s="5" t="s">
        <v>336</v>
      </c>
      <c r="I84" s="5"/>
    </row>
    <row r="85" spans="2:9" x14ac:dyDescent="0.3">
      <c r="B85" s="5" t="s">
        <v>96</v>
      </c>
      <c r="C85" s="5">
        <v>3</v>
      </c>
      <c r="D85" s="5" t="s">
        <v>332</v>
      </c>
      <c r="E85" s="5" t="s">
        <v>174</v>
      </c>
      <c r="F85" s="5" t="s">
        <v>178</v>
      </c>
      <c r="G85" s="5" t="s">
        <v>337</v>
      </c>
      <c r="H85" s="5" t="s">
        <v>338</v>
      </c>
      <c r="I85" s="5"/>
    </row>
    <row r="86" spans="2:9" x14ac:dyDescent="0.3">
      <c r="B86" s="5" t="s">
        <v>97</v>
      </c>
      <c r="C86" s="5">
        <v>3</v>
      </c>
      <c r="D86" s="5" t="s">
        <v>332</v>
      </c>
      <c r="E86" s="5" t="s">
        <v>174</v>
      </c>
      <c r="F86" s="5" t="s">
        <v>178</v>
      </c>
      <c r="G86" s="5" t="s">
        <v>339</v>
      </c>
      <c r="H86" s="5" t="s">
        <v>340</v>
      </c>
      <c r="I86" s="5"/>
    </row>
    <row r="87" spans="2:9" x14ac:dyDescent="0.3">
      <c r="B87" s="5" t="s">
        <v>98</v>
      </c>
      <c r="C87" s="5">
        <v>3</v>
      </c>
      <c r="D87" s="5" t="s">
        <v>332</v>
      </c>
      <c r="E87" s="5" t="s">
        <v>174</v>
      </c>
      <c r="F87" s="5" t="s">
        <v>178</v>
      </c>
      <c r="G87" s="5" t="s">
        <v>341</v>
      </c>
      <c r="H87" s="5" t="s">
        <v>342</v>
      </c>
      <c r="I87" s="5"/>
    </row>
    <row r="88" spans="2:9" x14ac:dyDescent="0.3">
      <c r="B88" s="22" t="s">
        <v>99</v>
      </c>
      <c r="C88" s="22">
        <v>1</v>
      </c>
      <c r="D88" s="22" t="s">
        <v>343</v>
      </c>
      <c r="E88" s="22" t="s">
        <v>187</v>
      </c>
      <c r="F88" s="22" t="s">
        <v>175</v>
      </c>
      <c r="G88" s="22" t="s">
        <v>344</v>
      </c>
      <c r="H88" s="22" t="s">
        <v>345</v>
      </c>
      <c r="I88" s="22"/>
    </row>
    <row r="89" spans="2:9" x14ac:dyDescent="0.3">
      <c r="B89" s="5" t="s">
        <v>100</v>
      </c>
      <c r="C89" s="5">
        <v>3</v>
      </c>
      <c r="D89" s="5" t="s">
        <v>343</v>
      </c>
      <c r="E89" s="5" t="s">
        <v>187</v>
      </c>
      <c r="F89" s="5" t="s">
        <v>178</v>
      </c>
      <c r="G89" s="5" t="s">
        <v>346</v>
      </c>
      <c r="H89" s="5" t="s">
        <v>347</v>
      </c>
      <c r="I89" s="5"/>
    </row>
    <row r="90" spans="2:9" x14ac:dyDescent="0.3">
      <c r="B90" s="5" t="s">
        <v>101</v>
      </c>
      <c r="C90" s="5">
        <v>3</v>
      </c>
      <c r="D90" s="5" t="s">
        <v>343</v>
      </c>
      <c r="E90" s="5" t="s">
        <v>187</v>
      </c>
      <c r="F90" s="5" t="s">
        <v>178</v>
      </c>
      <c r="G90" s="5" t="s">
        <v>348</v>
      </c>
      <c r="H90" s="5" t="s">
        <v>349</v>
      </c>
      <c r="I90" s="5"/>
    </row>
    <row r="91" spans="2:9" x14ac:dyDescent="0.3">
      <c r="B91" s="5" t="s">
        <v>102</v>
      </c>
      <c r="C91" s="5">
        <v>3</v>
      </c>
      <c r="D91" s="5" t="s">
        <v>343</v>
      </c>
      <c r="E91" s="5" t="s">
        <v>187</v>
      </c>
      <c r="F91" s="5" t="s">
        <v>178</v>
      </c>
      <c r="G91" s="5" t="s">
        <v>350</v>
      </c>
      <c r="H91" s="5" t="s">
        <v>351</v>
      </c>
      <c r="I91" s="5"/>
    </row>
    <row r="92" spans="2:9" x14ac:dyDescent="0.3">
      <c r="B92" s="5" t="s">
        <v>103</v>
      </c>
      <c r="C92" s="5">
        <v>3</v>
      </c>
      <c r="D92" s="5" t="s">
        <v>343</v>
      </c>
      <c r="E92" s="5" t="s">
        <v>174</v>
      </c>
      <c r="F92" s="5" t="s">
        <v>178</v>
      </c>
      <c r="G92" s="5" t="s">
        <v>352</v>
      </c>
      <c r="H92" s="5" t="s">
        <v>353</v>
      </c>
      <c r="I92" s="5"/>
    </row>
    <row r="93" spans="2:9" x14ac:dyDescent="0.3">
      <c r="B93" s="22" t="s">
        <v>104</v>
      </c>
      <c r="C93" s="22">
        <v>1</v>
      </c>
      <c r="D93" s="22" t="s">
        <v>343</v>
      </c>
      <c r="E93" s="22" t="s">
        <v>187</v>
      </c>
      <c r="F93" s="22" t="s">
        <v>175</v>
      </c>
      <c r="G93" s="22" t="s">
        <v>354</v>
      </c>
      <c r="H93" s="22" t="s">
        <v>355</v>
      </c>
      <c r="I93" s="22"/>
    </row>
    <row r="94" spans="2:9" x14ac:dyDescent="0.3">
      <c r="B94" s="40" t="s">
        <v>105</v>
      </c>
      <c r="C94" s="40">
        <v>3</v>
      </c>
      <c r="D94" s="40" t="s">
        <v>343</v>
      </c>
      <c r="E94" s="40" t="s">
        <v>187</v>
      </c>
      <c r="F94" s="40" t="s">
        <v>178</v>
      </c>
      <c r="G94" s="40" t="s">
        <v>356</v>
      </c>
      <c r="H94" s="40" t="s">
        <v>357</v>
      </c>
      <c r="I94" s="40" t="s">
        <v>187</v>
      </c>
    </row>
    <row r="95" spans="2:9" x14ac:dyDescent="0.3">
      <c r="B95" s="5" t="s">
        <v>106</v>
      </c>
      <c r="C95" s="5">
        <v>3</v>
      </c>
      <c r="D95" s="5" t="s">
        <v>343</v>
      </c>
      <c r="E95" s="5" t="s">
        <v>187</v>
      </c>
      <c r="F95" s="5" t="s">
        <v>178</v>
      </c>
      <c r="G95" s="5" t="s">
        <v>358</v>
      </c>
      <c r="H95" s="5" t="s">
        <v>359</v>
      </c>
      <c r="I95" s="5"/>
    </row>
    <row r="96" spans="2:9" x14ac:dyDescent="0.3">
      <c r="B96" s="5" t="s">
        <v>107</v>
      </c>
      <c r="C96" s="5">
        <v>3</v>
      </c>
      <c r="D96" s="5" t="s">
        <v>343</v>
      </c>
      <c r="E96" s="5" t="s">
        <v>187</v>
      </c>
      <c r="F96" s="5" t="s">
        <v>178</v>
      </c>
      <c r="G96" s="5" t="s">
        <v>360</v>
      </c>
      <c r="H96" s="5" t="s">
        <v>361</v>
      </c>
      <c r="I96" s="5"/>
    </row>
    <row r="97" spans="2:9" x14ac:dyDescent="0.3">
      <c r="B97" s="40" t="s">
        <v>108</v>
      </c>
      <c r="C97" s="40">
        <v>3</v>
      </c>
      <c r="D97" s="40" t="s">
        <v>343</v>
      </c>
      <c r="E97" s="40" t="s">
        <v>187</v>
      </c>
      <c r="F97" s="40" t="s">
        <v>178</v>
      </c>
      <c r="G97" s="40" t="s">
        <v>362</v>
      </c>
      <c r="H97" s="40" t="s">
        <v>363</v>
      </c>
      <c r="I97" s="40" t="s">
        <v>187</v>
      </c>
    </row>
    <row r="98" spans="2:9" x14ac:dyDescent="0.3">
      <c r="B98" s="5" t="s">
        <v>109</v>
      </c>
      <c r="C98" s="5">
        <v>3</v>
      </c>
      <c r="D98" s="5" t="s">
        <v>343</v>
      </c>
      <c r="E98" s="5" t="s">
        <v>174</v>
      </c>
      <c r="F98" s="5" t="s">
        <v>178</v>
      </c>
      <c r="G98" s="5" t="s">
        <v>364</v>
      </c>
      <c r="H98" s="5" t="s">
        <v>365</v>
      </c>
      <c r="I98" s="5"/>
    </row>
    <row r="99" spans="2:9" x14ac:dyDescent="0.3">
      <c r="B99" s="22" t="s">
        <v>110</v>
      </c>
      <c r="C99" s="22">
        <v>1</v>
      </c>
      <c r="D99" s="22" t="s">
        <v>343</v>
      </c>
      <c r="E99" s="22" t="s">
        <v>187</v>
      </c>
      <c r="F99" s="22" t="s">
        <v>175</v>
      </c>
      <c r="G99" s="22" t="s">
        <v>366</v>
      </c>
      <c r="H99" s="22" t="s">
        <v>367</v>
      </c>
      <c r="I99" s="22"/>
    </row>
    <row r="100" spans="2:9" x14ac:dyDescent="0.3">
      <c r="B100" s="22" t="s">
        <v>111</v>
      </c>
      <c r="C100" s="22">
        <v>1</v>
      </c>
      <c r="D100" s="22" t="s">
        <v>343</v>
      </c>
      <c r="E100" s="22" t="s">
        <v>187</v>
      </c>
      <c r="F100" s="22" t="s">
        <v>175</v>
      </c>
      <c r="G100" s="22" t="s">
        <v>368</v>
      </c>
      <c r="H100" s="22" t="s">
        <v>369</v>
      </c>
      <c r="I100" s="22"/>
    </row>
    <row r="101" spans="2:9" x14ac:dyDescent="0.3">
      <c r="B101" s="40" t="s">
        <v>112</v>
      </c>
      <c r="C101" s="40">
        <v>3</v>
      </c>
      <c r="D101" s="40" t="s">
        <v>343</v>
      </c>
      <c r="E101" s="40" t="s">
        <v>187</v>
      </c>
      <c r="F101" s="40" t="s">
        <v>178</v>
      </c>
      <c r="G101" s="40" t="s">
        <v>328</v>
      </c>
      <c r="H101" s="40" t="s">
        <v>329</v>
      </c>
      <c r="I101" s="40" t="s">
        <v>187</v>
      </c>
    </row>
    <row r="102" spans="2:9" x14ac:dyDescent="0.3">
      <c r="B102" s="40" t="s">
        <v>113</v>
      </c>
      <c r="C102" s="40">
        <v>3</v>
      </c>
      <c r="D102" s="40" t="s">
        <v>343</v>
      </c>
      <c r="E102" s="40" t="s">
        <v>187</v>
      </c>
      <c r="F102" s="40" t="s">
        <v>178</v>
      </c>
      <c r="G102" s="40" t="s">
        <v>330</v>
      </c>
      <c r="H102" s="40" t="s">
        <v>331</v>
      </c>
      <c r="I102" s="40" t="s">
        <v>187</v>
      </c>
    </row>
  </sheetData>
  <sheetProtection algorithmName="SHA-512" hashValue="/omRECNxocujbsQCJwrNteE+BKoqjmOv7Fvdg2/sbhLb9buPE/RzHv6upn0crOOd54fTv1ZIHV+XZvjsEhuudg==" saltValue="cGWhYrqsFBjucm5QXxH1aQ==" spinCount="100000" sheet="1" objects="1" scenarios="1"/>
  <pageMargins left="0.75" right="0.75" top="1" bottom="1" header="0.5" footer="0.5"/>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Munka21"/>
  <dimension ref="B3:D408"/>
  <sheetViews>
    <sheetView showGridLines="0" workbookViewId="0"/>
  </sheetViews>
  <sheetFormatPr defaultRowHeight="14.4" x14ac:dyDescent="0.3"/>
  <cols>
    <col min="2" max="2" width="16" customWidth="1"/>
    <col min="3" max="4" width="82" customWidth="1"/>
  </cols>
  <sheetData>
    <row r="3" spans="2:4" ht="18" x14ac:dyDescent="0.35">
      <c r="B3" s="11" t="s">
        <v>370</v>
      </c>
    </row>
    <row r="4" spans="2:4" x14ac:dyDescent="0.3">
      <c r="B4" s="15" t="s">
        <v>371</v>
      </c>
    </row>
    <row r="6" spans="2:4" x14ac:dyDescent="0.3">
      <c r="B6" s="16" t="s">
        <v>372</v>
      </c>
      <c r="C6" s="16" t="s">
        <v>373</v>
      </c>
      <c r="D6" s="16" t="s">
        <v>374</v>
      </c>
    </row>
    <row r="7" spans="2:4" x14ac:dyDescent="0.3">
      <c r="B7" s="42" t="s">
        <v>375</v>
      </c>
      <c r="C7" s="43" t="s">
        <v>376</v>
      </c>
      <c r="D7" s="43" t="s">
        <v>377</v>
      </c>
    </row>
    <row r="8" spans="2:4" x14ac:dyDescent="0.3">
      <c r="B8" s="42" t="s">
        <v>378</v>
      </c>
      <c r="C8" s="43" t="s">
        <v>379</v>
      </c>
      <c r="D8" s="43" t="s">
        <v>380</v>
      </c>
    </row>
    <row r="9" spans="2:4" x14ac:dyDescent="0.3">
      <c r="B9" s="42" t="s">
        <v>381</v>
      </c>
      <c r="C9" s="43" t="s">
        <v>382</v>
      </c>
      <c r="D9" s="43" t="s">
        <v>383</v>
      </c>
    </row>
    <row r="10" spans="2:4" x14ac:dyDescent="0.3">
      <c r="B10" s="42" t="s">
        <v>384</v>
      </c>
      <c r="C10" s="43" t="s">
        <v>385</v>
      </c>
      <c r="D10" s="43" t="s">
        <v>386</v>
      </c>
    </row>
    <row r="11" spans="2:4" x14ac:dyDescent="0.3">
      <c r="B11" s="42" t="s">
        <v>387</v>
      </c>
      <c r="C11" s="43" t="s">
        <v>388</v>
      </c>
      <c r="D11" s="43" t="s">
        <v>389</v>
      </c>
    </row>
    <row r="12" spans="2:4" x14ac:dyDescent="0.3">
      <c r="B12" s="42" t="s">
        <v>390</v>
      </c>
      <c r="C12" s="43" t="s">
        <v>391</v>
      </c>
      <c r="D12" s="43" t="s">
        <v>392</v>
      </c>
    </row>
    <row r="13" spans="2:4" x14ac:dyDescent="0.3">
      <c r="B13" s="42" t="s">
        <v>393</v>
      </c>
      <c r="C13" s="43" t="s">
        <v>394</v>
      </c>
      <c r="D13" s="43" t="s">
        <v>395</v>
      </c>
    </row>
    <row r="14" spans="2:4" x14ac:dyDescent="0.3">
      <c r="B14" s="42" t="s">
        <v>396</v>
      </c>
      <c r="C14" s="43" t="s">
        <v>397</v>
      </c>
      <c r="D14" s="43" t="s">
        <v>398</v>
      </c>
    </row>
    <row r="15" spans="2:4" x14ac:dyDescent="0.3">
      <c r="B15" s="42" t="s">
        <v>399</v>
      </c>
      <c r="C15" s="43" t="s">
        <v>400</v>
      </c>
      <c r="D15" s="43" t="s">
        <v>401</v>
      </c>
    </row>
    <row r="16" spans="2:4" x14ac:dyDescent="0.3">
      <c r="B16" s="42" t="s">
        <v>402</v>
      </c>
      <c r="C16" s="43" t="s">
        <v>403</v>
      </c>
      <c r="D16" s="43" t="s">
        <v>404</v>
      </c>
    </row>
    <row r="17" spans="2:4" x14ac:dyDescent="0.3">
      <c r="B17" s="42" t="s">
        <v>405</v>
      </c>
      <c r="C17" s="43" t="s">
        <v>406</v>
      </c>
      <c r="D17" s="43" t="s">
        <v>407</v>
      </c>
    </row>
    <row r="18" spans="2:4" x14ac:dyDescent="0.3">
      <c r="B18" s="42" t="s">
        <v>408</v>
      </c>
      <c r="C18" s="43" t="s">
        <v>409</v>
      </c>
      <c r="D18" s="43" t="s">
        <v>410</v>
      </c>
    </row>
    <row r="19" spans="2:4" x14ac:dyDescent="0.3">
      <c r="B19" s="42" t="s">
        <v>411</v>
      </c>
      <c r="C19" s="43" t="s">
        <v>412</v>
      </c>
      <c r="D19" s="43" t="s">
        <v>413</v>
      </c>
    </row>
    <row r="20" spans="2:4" x14ac:dyDescent="0.3">
      <c r="B20" s="42" t="s">
        <v>414</v>
      </c>
      <c r="C20" s="43" t="s">
        <v>415</v>
      </c>
      <c r="D20" s="43" t="s">
        <v>416</v>
      </c>
    </row>
    <row r="21" spans="2:4" x14ac:dyDescent="0.3">
      <c r="B21" s="42" t="s">
        <v>417</v>
      </c>
      <c r="C21" s="43" t="s">
        <v>418</v>
      </c>
      <c r="D21" s="43" t="s">
        <v>419</v>
      </c>
    </row>
    <row r="22" spans="2:4" x14ac:dyDescent="0.3">
      <c r="B22" s="42" t="s">
        <v>420</v>
      </c>
      <c r="C22" s="43" t="s">
        <v>421</v>
      </c>
      <c r="D22" s="43" t="s">
        <v>422</v>
      </c>
    </row>
    <row r="23" spans="2:4" x14ac:dyDescent="0.3">
      <c r="B23" s="42" t="s">
        <v>423</v>
      </c>
      <c r="C23" s="43" t="s">
        <v>424</v>
      </c>
      <c r="D23" s="43" t="s">
        <v>425</v>
      </c>
    </row>
    <row r="24" spans="2:4" x14ac:dyDescent="0.3">
      <c r="B24" s="42" t="s">
        <v>426</v>
      </c>
      <c r="C24" s="43" t="s">
        <v>427</v>
      </c>
      <c r="D24" s="43" t="s">
        <v>428</v>
      </c>
    </row>
    <row r="25" spans="2:4" x14ac:dyDescent="0.3">
      <c r="B25" s="42" t="s">
        <v>429</v>
      </c>
      <c r="C25" s="43" t="s">
        <v>430</v>
      </c>
      <c r="D25" s="43" t="s">
        <v>431</v>
      </c>
    </row>
    <row r="26" spans="2:4" x14ac:dyDescent="0.3">
      <c r="B26" s="42" t="s">
        <v>432</v>
      </c>
      <c r="C26" s="43" t="s">
        <v>433</v>
      </c>
      <c r="D26" s="43" t="s">
        <v>434</v>
      </c>
    </row>
    <row r="27" spans="2:4" x14ac:dyDescent="0.3">
      <c r="B27" s="42" t="s">
        <v>435</v>
      </c>
      <c r="C27" s="43" t="s">
        <v>436</v>
      </c>
      <c r="D27" s="43" t="s">
        <v>437</v>
      </c>
    </row>
    <row r="28" spans="2:4" x14ac:dyDescent="0.3">
      <c r="B28" s="42" t="s">
        <v>438</v>
      </c>
      <c r="C28" s="43" t="s">
        <v>439</v>
      </c>
      <c r="D28" s="43" t="s">
        <v>440</v>
      </c>
    </row>
    <row r="29" spans="2:4" x14ac:dyDescent="0.3">
      <c r="B29" s="42" t="s">
        <v>441</v>
      </c>
      <c r="C29" s="43" t="s">
        <v>442</v>
      </c>
      <c r="D29" s="43" t="s">
        <v>443</v>
      </c>
    </row>
    <row r="30" spans="2:4" x14ac:dyDescent="0.3">
      <c r="B30" s="42" t="s">
        <v>444</v>
      </c>
      <c r="C30" s="43" t="s">
        <v>445</v>
      </c>
      <c r="D30" s="43" t="s">
        <v>446</v>
      </c>
    </row>
    <row r="31" spans="2:4" x14ac:dyDescent="0.3">
      <c r="B31" s="42" t="s">
        <v>447</v>
      </c>
      <c r="C31" s="43" t="s">
        <v>448</v>
      </c>
      <c r="D31" s="43" t="s">
        <v>449</v>
      </c>
    </row>
    <row r="32" spans="2:4" x14ac:dyDescent="0.3">
      <c r="B32" s="42" t="s">
        <v>450</v>
      </c>
      <c r="C32" s="43" t="s">
        <v>451</v>
      </c>
      <c r="D32" s="43" t="s">
        <v>452</v>
      </c>
    </row>
    <row r="33" spans="2:4" x14ac:dyDescent="0.3">
      <c r="B33" s="42" t="s">
        <v>453</v>
      </c>
      <c r="C33" s="43" t="s">
        <v>454</v>
      </c>
      <c r="D33" s="43" t="s">
        <v>455</v>
      </c>
    </row>
    <row r="34" spans="2:4" x14ac:dyDescent="0.3">
      <c r="B34" s="42" t="s">
        <v>456</v>
      </c>
      <c r="C34" s="43" t="s">
        <v>457</v>
      </c>
      <c r="D34" s="43" t="s">
        <v>458</v>
      </c>
    </row>
    <row r="35" spans="2:4" x14ac:dyDescent="0.3">
      <c r="B35" s="42" t="s">
        <v>459</v>
      </c>
      <c r="C35" s="43" t="s">
        <v>460</v>
      </c>
      <c r="D35" s="43" t="s">
        <v>461</v>
      </c>
    </row>
    <row r="36" spans="2:4" x14ac:dyDescent="0.3">
      <c r="B36" s="42" t="s">
        <v>462</v>
      </c>
      <c r="C36" s="43" t="s">
        <v>463</v>
      </c>
      <c r="D36" s="43" t="s">
        <v>464</v>
      </c>
    </row>
    <row r="37" spans="2:4" x14ac:dyDescent="0.3">
      <c r="B37" s="42" t="s">
        <v>465</v>
      </c>
      <c r="C37" s="43" t="s">
        <v>466</v>
      </c>
      <c r="D37" s="43" t="s">
        <v>467</v>
      </c>
    </row>
    <row r="38" spans="2:4" x14ac:dyDescent="0.3">
      <c r="B38" s="42" t="s">
        <v>468</v>
      </c>
      <c r="C38" s="43" t="s">
        <v>469</v>
      </c>
      <c r="D38" s="43" t="s">
        <v>470</v>
      </c>
    </row>
    <row r="39" spans="2:4" x14ac:dyDescent="0.3">
      <c r="B39" s="42" t="s">
        <v>471</v>
      </c>
      <c r="C39" s="43" t="s">
        <v>472</v>
      </c>
      <c r="D39" s="43" t="s">
        <v>473</v>
      </c>
    </row>
    <row r="40" spans="2:4" x14ac:dyDescent="0.3">
      <c r="B40" s="42" t="s">
        <v>474</v>
      </c>
      <c r="C40" s="43" t="s">
        <v>475</v>
      </c>
      <c r="D40" s="43" t="s">
        <v>476</v>
      </c>
    </row>
    <row r="41" spans="2:4" x14ac:dyDescent="0.3">
      <c r="B41" s="42" t="s">
        <v>477</v>
      </c>
      <c r="C41" s="43" t="s">
        <v>478</v>
      </c>
      <c r="D41" s="43" t="s">
        <v>479</v>
      </c>
    </row>
    <row r="42" spans="2:4" x14ac:dyDescent="0.3">
      <c r="B42" s="42" t="s">
        <v>480</v>
      </c>
      <c r="C42" s="43" t="s">
        <v>481</v>
      </c>
      <c r="D42" s="43" t="s">
        <v>482</v>
      </c>
    </row>
    <row r="43" spans="2:4" x14ac:dyDescent="0.3">
      <c r="B43" s="42" t="s">
        <v>483</v>
      </c>
      <c r="C43" s="43" t="s">
        <v>484</v>
      </c>
      <c r="D43" s="43" t="s">
        <v>485</v>
      </c>
    </row>
    <row r="44" spans="2:4" x14ac:dyDescent="0.3">
      <c r="B44" s="42" t="s">
        <v>486</v>
      </c>
      <c r="C44" s="43" t="s">
        <v>487</v>
      </c>
      <c r="D44" s="43" t="s">
        <v>488</v>
      </c>
    </row>
    <row r="45" spans="2:4" x14ac:dyDescent="0.3">
      <c r="B45" s="42" t="s">
        <v>489</v>
      </c>
      <c r="C45" s="43" t="s">
        <v>490</v>
      </c>
      <c r="D45" s="43" t="s">
        <v>491</v>
      </c>
    </row>
    <row r="46" spans="2:4" x14ac:dyDescent="0.3">
      <c r="B46" s="42" t="s">
        <v>492</v>
      </c>
      <c r="C46" s="43" t="s">
        <v>493</v>
      </c>
      <c r="D46" s="43" t="s">
        <v>494</v>
      </c>
    </row>
    <row r="47" spans="2:4" x14ac:dyDescent="0.3">
      <c r="B47" s="42" t="s">
        <v>495</v>
      </c>
      <c r="C47" s="43" t="s">
        <v>496</v>
      </c>
      <c r="D47" s="43" t="s">
        <v>497</v>
      </c>
    </row>
    <row r="48" spans="2:4" x14ac:dyDescent="0.3">
      <c r="B48" s="42" t="s">
        <v>498</v>
      </c>
      <c r="C48" s="43" t="s">
        <v>499</v>
      </c>
      <c r="D48" s="43" t="s">
        <v>500</v>
      </c>
    </row>
    <row r="49" spans="2:4" x14ac:dyDescent="0.3">
      <c r="B49" s="42" t="s">
        <v>501</v>
      </c>
      <c r="C49" s="43" t="s">
        <v>502</v>
      </c>
      <c r="D49" s="43" t="s">
        <v>503</v>
      </c>
    </row>
    <row r="50" spans="2:4" x14ac:dyDescent="0.3">
      <c r="B50" s="42" t="s">
        <v>504</v>
      </c>
      <c r="C50" s="43" t="s">
        <v>505</v>
      </c>
      <c r="D50" s="43" t="s">
        <v>506</v>
      </c>
    </row>
    <row r="51" spans="2:4" x14ac:dyDescent="0.3">
      <c r="B51" s="42" t="s">
        <v>507</v>
      </c>
      <c r="C51" s="43" t="s">
        <v>508</v>
      </c>
      <c r="D51" s="43" t="s">
        <v>509</v>
      </c>
    </row>
    <row r="52" spans="2:4" x14ac:dyDescent="0.3">
      <c r="B52" s="42" t="s">
        <v>510</v>
      </c>
      <c r="C52" s="43" t="s">
        <v>511</v>
      </c>
      <c r="D52" s="43" t="s">
        <v>512</v>
      </c>
    </row>
    <row r="53" spans="2:4" x14ac:dyDescent="0.3">
      <c r="B53" s="42" t="s">
        <v>513</v>
      </c>
      <c r="C53" s="43" t="s">
        <v>514</v>
      </c>
      <c r="D53" s="43" t="s">
        <v>515</v>
      </c>
    </row>
    <row r="54" spans="2:4" x14ac:dyDescent="0.3">
      <c r="B54" s="42" t="s">
        <v>516</v>
      </c>
      <c r="C54" s="43" t="s">
        <v>517</v>
      </c>
      <c r="D54" s="43" t="s">
        <v>518</v>
      </c>
    </row>
    <row r="55" spans="2:4" x14ac:dyDescent="0.3">
      <c r="B55" s="42" t="s">
        <v>519</v>
      </c>
      <c r="C55" s="43" t="s">
        <v>520</v>
      </c>
      <c r="D55" s="43" t="s">
        <v>521</v>
      </c>
    </row>
    <row r="56" spans="2:4" x14ac:dyDescent="0.3">
      <c r="B56" s="42" t="s">
        <v>522</v>
      </c>
      <c r="C56" s="43" t="s">
        <v>523</v>
      </c>
      <c r="D56" s="43" t="s">
        <v>524</v>
      </c>
    </row>
    <row r="57" spans="2:4" x14ac:dyDescent="0.3">
      <c r="B57" s="42" t="s">
        <v>525</v>
      </c>
      <c r="C57" s="43" t="s">
        <v>526</v>
      </c>
      <c r="D57" s="43" t="s">
        <v>527</v>
      </c>
    </row>
    <row r="58" spans="2:4" x14ac:dyDescent="0.3">
      <c r="B58" s="42" t="s">
        <v>528</v>
      </c>
      <c r="C58" s="43" t="s">
        <v>529</v>
      </c>
      <c r="D58" s="43" t="s">
        <v>530</v>
      </c>
    </row>
    <row r="59" spans="2:4" x14ac:dyDescent="0.3">
      <c r="B59" s="42" t="s">
        <v>531</v>
      </c>
      <c r="C59" s="43" t="s">
        <v>532</v>
      </c>
      <c r="D59" s="43" t="s">
        <v>533</v>
      </c>
    </row>
    <row r="60" spans="2:4" x14ac:dyDescent="0.3">
      <c r="B60" s="42" t="s">
        <v>534</v>
      </c>
      <c r="C60" s="43" t="s">
        <v>535</v>
      </c>
      <c r="D60" s="43" t="s">
        <v>536</v>
      </c>
    </row>
    <row r="61" spans="2:4" x14ac:dyDescent="0.3">
      <c r="B61" s="42" t="s">
        <v>537</v>
      </c>
      <c r="C61" s="43" t="s">
        <v>538</v>
      </c>
      <c r="D61" s="43" t="s">
        <v>539</v>
      </c>
    </row>
    <row r="62" spans="2:4" x14ac:dyDescent="0.3">
      <c r="B62" s="42" t="s">
        <v>540</v>
      </c>
      <c r="C62" s="43" t="s">
        <v>541</v>
      </c>
      <c r="D62" s="43" t="s">
        <v>542</v>
      </c>
    </row>
    <row r="63" spans="2:4" x14ac:dyDescent="0.3">
      <c r="B63" s="42" t="s">
        <v>543</v>
      </c>
      <c r="C63" s="43" t="s">
        <v>544</v>
      </c>
      <c r="D63" s="43" t="s">
        <v>545</v>
      </c>
    </row>
    <row r="64" spans="2:4" x14ac:dyDescent="0.3">
      <c r="B64" s="42" t="s">
        <v>546</v>
      </c>
      <c r="C64" s="43" t="s">
        <v>547</v>
      </c>
      <c r="D64" s="43" t="s">
        <v>548</v>
      </c>
    </row>
    <row r="65" spans="2:4" x14ac:dyDescent="0.3">
      <c r="B65" s="42" t="s">
        <v>549</v>
      </c>
      <c r="C65" s="43" t="s">
        <v>550</v>
      </c>
      <c r="D65" s="43" t="s">
        <v>551</v>
      </c>
    </row>
    <row r="66" spans="2:4" x14ac:dyDescent="0.3">
      <c r="B66" s="42" t="s">
        <v>552</v>
      </c>
      <c r="C66" s="43" t="s">
        <v>553</v>
      </c>
      <c r="D66" s="43" t="s">
        <v>554</v>
      </c>
    </row>
    <row r="67" spans="2:4" x14ac:dyDescent="0.3">
      <c r="B67" s="42" t="s">
        <v>555</v>
      </c>
      <c r="C67" s="43" t="s">
        <v>556</v>
      </c>
      <c r="D67" s="43" t="s">
        <v>557</v>
      </c>
    </row>
    <row r="68" spans="2:4" x14ac:dyDescent="0.3">
      <c r="B68" s="42" t="s">
        <v>558</v>
      </c>
      <c r="C68" s="43" t="s">
        <v>559</v>
      </c>
      <c r="D68" s="43" t="s">
        <v>559</v>
      </c>
    </row>
    <row r="69" spans="2:4" x14ac:dyDescent="0.3">
      <c r="B69" s="42" t="s">
        <v>560</v>
      </c>
      <c r="C69" s="43" t="s">
        <v>561</v>
      </c>
      <c r="D69" s="43" t="s">
        <v>562</v>
      </c>
    </row>
    <row r="70" spans="2:4" x14ac:dyDescent="0.3">
      <c r="B70" s="42" t="s">
        <v>563</v>
      </c>
      <c r="C70" s="43" t="s">
        <v>564</v>
      </c>
      <c r="D70" s="43" t="s">
        <v>565</v>
      </c>
    </row>
    <row r="71" spans="2:4" x14ac:dyDescent="0.3">
      <c r="B71" s="42" t="s">
        <v>566</v>
      </c>
      <c r="C71" s="43" t="s">
        <v>567</v>
      </c>
      <c r="D71" s="43" t="s">
        <v>568</v>
      </c>
    </row>
    <row r="72" spans="2:4" x14ac:dyDescent="0.3">
      <c r="B72" s="42" t="s">
        <v>569</v>
      </c>
      <c r="C72" s="43" t="s">
        <v>570</v>
      </c>
      <c r="D72" s="43" t="s">
        <v>571</v>
      </c>
    </row>
    <row r="73" spans="2:4" x14ac:dyDescent="0.3">
      <c r="B73" s="42" t="s">
        <v>572</v>
      </c>
      <c r="C73" s="43" t="s">
        <v>573</v>
      </c>
      <c r="D73" s="43" t="s">
        <v>574</v>
      </c>
    </row>
    <row r="74" spans="2:4" x14ac:dyDescent="0.3">
      <c r="B74" s="42" t="s">
        <v>575</v>
      </c>
      <c r="C74" s="43" t="s">
        <v>400</v>
      </c>
      <c r="D74" s="43" t="s">
        <v>401</v>
      </c>
    </row>
    <row r="75" spans="2:4" x14ac:dyDescent="0.3">
      <c r="B75" s="42" t="s">
        <v>576</v>
      </c>
      <c r="C75" s="43" t="s">
        <v>577</v>
      </c>
      <c r="D75" s="43" t="s">
        <v>578</v>
      </c>
    </row>
    <row r="76" spans="2:4" x14ac:dyDescent="0.3">
      <c r="B76" s="42" t="s">
        <v>579</v>
      </c>
      <c r="C76" s="43" t="s">
        <v>580</v>
      </c>
      <c r="D76" s="43" t="s">
        <v>581</v>
      </c>
    </row>
    <row r="77" spans="2:4" x14ac:dyDescent="0.3">
      <c r="B77" s="42" t="s">
        <v>582</v>
      </c>
      <c r="C77" s="43" t="s">
        <v>583</v>
      </c>
      <c r="D77" s="43" t="s">
        <v>584</v>
      </c>
    </row>
    <row r="78" spans="2:4" x14ac:dyDescent="0.3">
      <c r="B78" s="42" t="s">
        <v>585</v>
      </c>
      <c r="C78" s="43" t="s">
        <v>586</v>
      </c>
      <c r="D78" s="43" t="s">
        <v>587</v>
      </c>
    </row>
    <row r="79" spans="2:4" x14ac:dyDescent="0.3">
      <c r="B79" s="42" t="s">
        <v>588</v>
      </c>
      <c r="C79" s="43" t="s">
        <v>589</v>
      </c>
      <c r="D79" s="43" t="s">
        <v>590</v>
      </c>
    </row>
    <row r="80" spans="2:4" x14ac:dyDescent="0.3">
      <c r="B80" s="42" t="s">
        <v>591</v>
      </c>
      <c r="C80" s="43" t="s">
        <v>592</v>
      </c>
      <c r="D80" s="43" t="s">
        <v>593</v>
      </c>
    </row>
    <row r="81" spans="2:4" x14ac:dyDescent="0.3">
      <c r="B81" s="42" t="s">
        <v>594</v>
      </c>
      <c r="C81" s="43" t="s">
        <v>595</v>
      </c>
      <c r="D81" s="43" t="s">
        <v>596</v>
      </c>
    </row>
    <row r="82" spans="2:4" x14ac:dyDescent="0.3">
      <c r="B82" s="42" t="s">
        <v>597</v>
      </c>
      <c r="C82" s="43" t="s">
        <v>598</v>
      </c>
      <c r="D82" s="43" t="s">
        <v>599</v>
      </c>
    </row>
    <row r="83" spans="2:4" x14ac:dyDescent="0.3">
      <c r="B83" s="42" t="s">
        <v>600</v>
      </c>
      <c r="C83" s="43" t="s">
        <v>601</v>
      </c>
      <c r="D83" s="43" t="s">
        <v>602</v>
      </c>
    </row>
    <row r="84" spans="2:4" x14ac:dyDescent="0.3">
      <c r="B84" s="42" t="s">
        <v>603</v>
      </c>
      <c r="C84" s="43" t="s">
        <v>604</v>
      </c>
      <c r="D84" s="43" t="s">
        <v>605</v>
      </c>
    </row>
    <row r="85" spans="2:4" x14ac:dyDescent="0.3">
      <c r="B85" s="42" t="s">
        <v>606</v>
      </c>
      <c r="C85" s="43" t="s">
        <v>607</v>
      </c>
      <c r="D85" s="43" t="s">
        <v>608</v>
      </c>
    </row>
    <row r="86" spans="2:4" x14ac:dyDescent="0.3">
      <c r="B86" s="42" t="s">
        <v>609</v>
      </c>
      <c r="C86" s="43" t="s">
        <v>610</v>
      </c>
      <c r="D86" s="43" t="s">
        <v>611</v>
      </c>
    </row>
    <row r="87" spans="2:4" x14ac:dyDescent="0.3">
      <c r="B87" s="42" t="s">
        <v>612</v>
      </c>
      <c r="C87" s="43" t="s">
        <v>613</v>
      </c>
      <c r="D87" s="43" t="s">
        <v>614</v>
      </c>
    </row>
    <row r="88" spans="2:4" x14ac:dyDescent="0.3">
      <c r="B88" s="42" t="s">
        <v>615</v>
      </c>
      <c r="C88" s="43" t="s">
        <v>616</v>
      </c>
      <c r="D88" s="43" t="s">
        <v>617</v>
      </c>
    </row>
    <row r="89" spans="2:4" x14ac:dyDescent="0.3">
      <c r="B89" s="42" t="s">
        <v>618</v>
      </c>
      <c r="C89" s="43" t="s">
        <v>619</v>
      </c>
      <c r="D89" s="43" t="s">
        <v>620</v>
      </c>
    </row>
    <row r="90" spans="2:4" x14ac:dyDescent="0.3">
      <c r="B90" s="42" t="s">
        <v>621</v>
      </c>
      <c r="C90" s="43" t="s">
        <v>622</v>
      </c>
      <c r="D90" s="43" t="s">
        <v>623</v>
      </c>
    </row>
    <row r="91" spans="2:4" x14ac:dyDescent="0.3">
      <c r="B91" s="42" t="s">
        <v>624</v>
      </c>
      <c r="C91" s="43" t="s">
        <v>625</v>
      </c>
      <c r="D91" s="43" t="s">
        <v>626</v>
      </c>
    </row>
    <row r="92" spans="2:4" x14ac:dyDescent="0.3">
      <c r="B92" s="42" t="s">
        <v>627</v>
      </c>
      <c r="C92" s="43" t="s">
        <v>628</v>
      </c>
      <c r="D92" s="43" t="s">
        <v>629</v>
      </c>
    </row>
    <row r="93" spans="2:4" x14ac:dyDescent="0.3">
      <c r="B93" s="42" t="s">
        <v>630</v>
      </c>
      <c r="C93" s="43" t="s">
        <v>631</v>
      </c>
      <c r="D93" s="43" t="s">
        <v>632</v>
      </c>
    </row>
    <row r="94" spans="2:4" x14ac:dyDescent="0.3">
      <c r="B94" s="42" t="s">
        <v>633</v>
      </c>
      <c r="C94" s="43" t="s">
        <v>634</v>
      </c>
      <c r="D94" s="43" t="s">
        <v>635</v>
      </c>
    </row>
    <row r="95" spans="2:4" x14ac:dyDescent="0.3">
      <c r="B95" s="42" t="s">
        <v>636</v>
      </c>
      <c r="C95" s="43" t="s">
        <v>637</v>
      </c>
      <c r="D95" s="43" t="s">
        <v>638</v>
      </c>
    </row>
    <row r="96" spans="2:4" x14ac:dyDescent="0.3">
      <c r="B96" s="42" t="s">
        <v>639</v>
      </c>
      <c r="C96" s="43" t="s">
        <v>640</v>
      </c>
      <c r="D96" s="43" t="s">
        <v>641</v>
      </c>
    </row>
    <row r="97" spans="2:4" x14ac:dyDescent="0.3">
      <c r="B97" s="42" t="s">
        <v>642</v>
      </c>
      <c r="C97" s="43" t="s">
        <v>643</v>
      </c>
      <c r="D97" s="43" t="s">
        <v>644</v>
      </c>
    </row>
    <row r="98" spans="2:4" x14ac:dyDescent="0.3">
      <c r="B98" s="42" t="s">
        <v>645</v>
      </c>
      <c r="C98" s="43" t="s">
        <v>415</v>
      </c>
      <c r="D98" s="43" t="s">
        <v>416</v>
      </c>
    </row>
    <row r="99" spans="2:4" x14ac:dyDescent="0.3">
      <c r="B99" s="42" t="s">
        <v>646</v>
      </c>
      <c r="C99" s="43" t="s">
        <v>647</v>
      </c>
      <c r="D99" s="43" t="s">
        <v>648</v>
      </c>
    </row>
    <row r="100" spans="2:4" x14ac:dyDescent="0.3">
      <c r="B100" s="42" t="s">
        <v>649</v>
      </c>
      <c r="C100" s="43" t="s">
        <v>650</v>
      </c>
      <c r="D100" s="43" t="s">
        <v>650</v>
      </c>
    </row>
    <row r="101" spans="2:4" x14ac:dyDescent="0.3">
      <c r="B101" s="42" t="s">
        <v>651</v>
      </c>
      <c r="C101" s="43" t="s">
        <v>652</v>
      </c>
      <c r="D101" s="43" t="s">
        <v>653</v>
      </c>
    </row>
    <row r="102" spans="2:4" x14ac:dyDescent="0.3">
      <c r="B102" s="42" t="s">
        <v>654</v>
      </c>
      <c r="C102" s="43" t="s">
        <v>586</v>
      </c>
      <c r="D102" s="43" t="s">
        <v>587</v>
      </c>
    </row>
    <row r="103" spans="2:4" x14ac:dyDescent="0.3">
      <c r="B103" s="42" t="s">
        <v>655</v>
      </c>
      <c r="C103" s="43" t="s">
        <v>656</v>
      </c>
      <c r="D103" s="43" t="s">
        <v>657</v>
      </c>
    </row>
    <row r="104" spans="2:4" x14ac:dyDescent="0.3">
      <c r="B104" s="42" t="s">
        <v>658</v>
      </c>
      <c r="C104" s="43" t="s">
        <v>659</v>
      </c>
      <c r="D104" s="43" t="s">
        <v>660</v>
      </c>
    </row>
    <row r="105" spans="2:4" x14ac:dyDescent="0.3">
      <c r="B105" s="42" t="s">
        <v>661</v>
      </c>
      <c r="C105" s="43" t="s">
        <v>662</v>
      </c>
      <c r="D105" s="43" t="s">
        <v>663</v>
      </c>
    </row>
    <row r="106" spans="2:4" x14ac:dyDescent="0.3">
      <c r="B106" s="42" t="s">
        <v>664</v>
      </c>
      <c r="C106" s="43" t="s">
        <v>665</v>
      </c>
      <c r="D106" s="43" t="s">
        <v>666</v>
      </c>
    </row>
    <row r="107" spans="2:4" x14ac:dyDescent="0.3">
      <c r="B107" s="42" t="s">
        <v>667</v>
      </c>
      <c r="C107" s="43" t="s">
        <v>668</v>
      </c>
      <c r="D107" s="43" t="s">
        <v>669</v>
      </c>
    </row>
    <row r="108" spans="2:4" x14ac:dyDescent="0.3">
      <c r="B108" s="42" t="s">
        <v>670</v>
      </c>
      <c r="C108" s="43" t="s">
        <v>671</v>
      </c>
      <c r="D108" s="43" t="s">
        <v>672</v>
      </c>
    </row>
    <row r="109" spans="2:4" x14ac:dyDescent="0.3">
      <c r="B109" s="42" t="s">
        <v>673</v>
      </c>
      <c r="C109" s="43" t="s">
        <v>674</v>
      </c>
      <c r="D109" s="43" t="s">
        <v>675</v>
      </c>
    </row>
    <row r="110" spans="2:4" x14ac:dyDescent="0.3">
      <c r="B110" s="42" t="s">
        <v>676</v>
      </c>
      <c r="C110" s="43" t="s">
        <v>677</v>
      </c>
      <c r="D110" s="43" t="s">
        <v>678</v>
      </c>
    </row>
    <row r="111" spans="2:4" x14ac:dyDescent="0.3">
      <c r="B111" s="42" t="s">
        <v>679</v>
      </c>
      <c r="C111" s="43" t="s">
        <v>680</v>
      </c>
      <c r="D111" s="43" t="s">
        <v>681</v>
      </c>
    </row>
    <row r="112" spans="2:4" x14ac:dyDescent="0.3">
      <c r="B112" s="42" t="s">
        <v>682</v>
      </c>
      <c r="C112" s="43" t="s">
        <v>683</v>
      </c>
      <c r="D112" s="43" t="s">
        <v>684</v>
      </c>
    </row>
    <row r="113" spans="2:4" x14ac:dyDescent="0.3">
      <c r="B113" s="42" t="s">
        <v>685</v>
      </c>
      <c r="C113" s="43" t="s">
        <v>686</v>
      </c>
      <c r="D113" s="43" t="s">
        <v>687</v>
      </c>
    </row>
    <row r="114" spans="2:4" x14ac:dyDescent="0.3">
      <c r="B114" s="42" t="s">
        <v>688</v>
      </c>
      <c r="C114" s="43" t="s">
        <v>689</v>
      </c>
      <c r="D114" s="43" t="s">
        <v>690</v>
      </c>
    </row>
    <row r="115" spans="2:4" x14ac:dyDescent="0.3">
      <c r="B115" s="42" t="s">
        <v>691</v>
      </c>
      <c r="C115" s="43" t="s">
        <v>692</v>
      </c>
      <c r="D115" s="43" t="s">
        <v>693</v>
      </c>
    </row>
    <row r="116" spans="2:4" x14ac:dyDescent="0.3">
      <c r="B116" s="42" t="s">
        <v>694</v>
      </c>
      <c r="C116" s="43" t="s">
        <v>695</v>
      </c>
      <c r="D116" s="43" t="s">
        <v>696</v>
      </c>
    </row>
    <row r="117" spans="2:4" x14ac:dyDescent="0.3">
      <c r="B117" s="42" t="s">
        <v>697</v>
      </c>
      <c r="C117" s="43" t="s">
        <v>698</v>
      </c>
      <c r="D117" s="43" t="s">
        <v>699</v>
      </c>
    </row>
    <row r="118" spans="2:4" x14ac:dyDescent="0.3">
      <c r="B118" s="42" t="s">
        <v>700</v>
      </c>
      <c r="C118" s="43" t="s">
        <v>701</v>
      </c>
      <c r="D118" s="43" t="s">
        <v>702</v>
      </c>
    </row>
    <row r="119" spans="2:4" x14ac:dyDescent="0.3">
      <c r="B119" s="42" t="s">
        <v>703</v>
      </c>
      <c r="C119" s="43" t="s">
        <v>704</v>
      </c>
      <c r="D119" s="43" t="s">
        <v>705</v>
      </c>
    </row>
    <row r="120" spans="2:4" x14ac:dyDescent="0.3">
      <c r="B120" s="42" t="s">
        <v>706</v>
      </c>
      <c r="C120" s="43" t="s">
        <v>707</v>
      </c>
      <c r="D120" s="43" t="s">
        <v>708</v>
      </c>
    </row>
    <row r="121" spans="2:4" x14ac:dyDescent="0.3">
      <c r="B121" s="42" t="s">
        <v>709</v>
      </c>
      <c r="C121" s="43" t="s">
        <v>710</v>
      </c>
      <c r="D121" s="43" t="s">
        <v>711</v>
      </c>
    </row>
    <row r="122" spans="2:4" x14ac:dyDescent="0.3">
      <c r="B122" s="42" t="s">
        <v>712</v>
      </c>
      <c r="C122" s="43" t="s">
        <v>713</v>
      </c>
      <c r="D122" s="43" t="s">
        <v>714</v>
      </c>
    </row>
    <row r="123" spans="2:4" x14ac:dyDescent="0.3">
      <c r="B123" s="42" t="s">
        <v>715</v>
      </c>
      <c r="C123" s="43" t="s">
        <v>716</v>
      </c>
      <c r="D123" s="43" t="s">
        <v>717</v>
      </c>
    </row>
    <row r="124" spans="2:4" x14ac:dyDescent="0.3">
      <c r="B124" s="42" t="s">
        <v>718</v>
      </c>
      <c r="C124" s="43" t="s">
        <v>586</v>
      </c>
      <c r="D124" s="43" t="s">
        <v>587</v>
      </c>
    </row>
    <row r="125" spans="2:4" x14ac:dyDescent="0.3">
      <c r="B125" s="42" t="s">
        <v>719</v>
      </c>
      <c r="C125" s="43" t="s">
        <v>720</v>
      </c>
      <c r="D125" s="43" t="s">
        <v>721</v>
      </c>
    </row>
    <row r="126" spans="2:4" x14ac:dyDescent="0.3">
      <c r="B126" s="42" t="s">
        <v>722</v>
      </c>
      <c r="C126" s="43" t="s">
        <v>723</v>
      </c>
      <c r="D126" s="43" t="s">
        <v>724</v>
      </c>
    </row>
    <row r="127" spans="2:4" x14ac:dyDescent="0.3">
      <c r="B127" s="42" t="s">
        <v>725</v>
      </c>
      <c r="C127" s="43" t="s">
        <v>726</v>
      </c>
      <c r="D127" s="43" t="s">
        <v>727</v>
      </c>
    </row>
    <row r="128" spans="2:4" x14ac:dyDescent="0.3">
      <c r="B128" s="42" t="s">
        <v>728</v>
      </c>
      <c r="C128" s="43" t="s">
        <v>729</v>
      </c>
      <c r="D128" s="43" t="s">
        <v>730</v>
      </c>
    </row>
    <row r="129" spans="2:4" x14ac:dyDescent="0.3">
      <c r="B129" s="42" t="s">
        <v>731</v>
      </c>
      <c r="C129" s="43" t="s">
        <v>732</v>
      </c>
      <c r="D129" s="43" t="s">
        <v>733</v>
      </c>
    </row>
    <row r="130" spans="2:4" x14ac:dyDescent="0.3">
      <c r="B130" s="42" t="s">
        <v>734</v>
      </c>
      <c r="C130" s="43" t="s">
        <v>735</v>
      </c>
      <c r="D130" s="43" t="s">
        <v>736</v>
      </c>
    </row>
    <row r="131" spans="2:4" x14ac:dyDescent="0.3">
      <c r="B131" s="42" t="s">
        <v>737</v>
      </c>
      <c r="C131" s="43" t="s">
        <v>738</v>
      </c>
      <c r="D131" s="43" t="s">
        <v>739</v>
      </c>
    </row>
    <row r="132" spans="2:4" x14ac:dyDescent="0.3">
      <c r="B132" s="42" t="s">
        <v>740</v>
      </c>
      <c r="C132" s="43" t="s">
        <v>741</v>
      </c>
      <c r="D132" s="43" t="s">
        <v>742</v>
      </c>
    </row>
    <row r="133" spans="2:4" x14ac:dyDescent="0.3">
      <c r="B133" s="42" t="s">
        <v>743</v>
      </c>
      <c r="C133" s="43" t="s">
        <v>744</v>
      </c>
      <c r="D133" s="43" t="s">
        <v>745</v>
      </c>
    </row>
    <row r="134" spans="2:4" x14ac:dyDescent="0.3">
      <c r="B134" s="42" t="s">
        <v>746</v>
      </c>
      <c r="C134" s="43" t="s">
        <v>747</v>
      </c>
      <c r="D134" s="43" t="s">
        <v>748</v>
      </c>
    </row>
    <row r="135" spans="2:4" x14ac:dyDescent="0.3">
      <c r="B135" s="42" t="s">
        <v>749</v>
      </c>
      <c r="C135" s="43" t="s">
        <v>750</v>
      </c>
      <c r="D135" s="43" t="s">
        <v>751</v>
      </c>
    </row>
    <row r="136" spans="2:4" x14ac:dyDescent="0.3">
      <c r="B136" s="42" t="s">
        <v>752</v>
      </c>
      <c r="C136" s="43" t="s">
        <v>753</v>
      </c>
      <c r="D136" s="43" t="s">
        <v>754</v>
      </c>
    </row>
    <row r="137" spans="2:4" x14ac:dyDescent="0.3">
      <c r="B137" s="42" t="s">
        <v>755</v>
      </c>
      <c r="C137" s="43" t="s">
        <v>756</v>
      </c>
      <c r="D137" s="43" t="s">
        <v>757</v>
      </c>
    </row>
    <row r="138" spans="2:4" x14ac:dyDescent="0.3">
      <c r="B138" s="42" t="s">
        <v>758</v>
      </c>
      <c r="C138" s="43" t="s">
        <v>759</v>
      </c>
      <c r="D138" s="43" t="s">
        <v>760</v>
      </c>
    </row>
    <row r="139" spans="2:4" x14ac:dyDescent="0.3">
      <c r="B139" s="42" t="s">
        <v>761</v>
      </c>
      <c r="C139" s="43" t="s">
        <v>762</v>
      </c>
      <c r="D139" s="43" t="s">
        <v>763</v>
      </c>
    </row>
    <row r="140" spans="2:4" x14ac:dyDescent="0.3">
      <c r="B140" s="42" t="s">
        <v>764</v>
      </c>
      <c r="C140" s="43" t="s">
        <v>765</v>
      </c>
      <c r="D140" s="43" t="s">
        <v>766</v>
      </c>
    </row>
    <row r="141" spans="2:4" x14ac:dyDescent="0.3">
      <c r="B141" s="42" t="s">
        <v>767</v>
      </c>
      <c r="C141" s="43" t="s">
        <v>768</v>
      </c>
      <c r="D141" s="43" t="s">
        <v>769</v>
      </c>
    </row>
    <row r="142" spans="2:4" x14ac:dyDescent="0.3">
      <c r="B142" s="42" t="s">
        <v>770</v>
      </c>
      <c r="C142" s="43" t="s">
        <v>771</v>
      </c>
      <c r="D142" s="43" t="s">
        <v>772</v>
      </c>
    </row>
    <row r="143" spans="2:4" x14ac:dyDescent="0.3">
      <c r="B143" s="42" t="s">
        <v>773</v>
      </c>
      <c r="C143" s="43" t="s">
        <v>774</v>
      </c>
      <c r="D143" s="43" t="s">
        <v>775</v>
      </c>
    </row>
    <row r="144" spans="2:4" x14ac:dyDescent="0.3">
      <c r="B144" s="42" t="s">
        <v>776</v>
      </c>
      <c r="C144" s="43" t="s">
        <v>777</v>
      </c>
      <c r="D144" s="43" t="s">
        <v>404</v>
      </c>
    </row>
    <row r="145" spans="2:4" x14ac:dyDescent="0.3">
      <c r="B145" s="42" t="s">
        <v>778</v>
      </c>
      <c r="C145" s="43" t="s">
        <v>779</v>
      </c>
      <c r="D145" s="43" t="s">
        <v>780</v>
      </c>
    </row>
    <row r="146" spans="2:4" x14ac:dyDescent="0.3">
      <c r="B146" s="42" t="s">
        <v>781</v>
      </c>
      <c r="C146" s="43" t="s">
        <v>782</v>
      </c>
      <c r="D146" s="43" t="s">
        <v>783</v>
      </c>
    </row>
    <row r="147" spans="2:4" x14ac:dyDescent="0.3">
      <c r="B147" s="42" t="s">
        <v>784</v>
      </c>
      <c r="C147" s="43" t="s">
        <v>785</v>
      </c>
      <c r="D147" s="43" t="s">
        <v>786</v>
      </c>
    </row>
    <row r="148" spans="2:4" x14ac:dyDescent="0.3">
      <c r="B148" s="42" t="s">
        <v>787</v>
      </c>
      <c r="C148" s="43" t="s">
        <v>788</v>
      </c>
      <c r="D148" s="43" t="s">
        <v>789</v>
      </c>
    </row>
    <row r="149" spans="2:4" x14ac:dyDescent="0.3">
      <c r="B149" s="42" t="s">
        <v>790</v>
      </c>
      <c r="C149" s="43" t="s">
        <v>791</v>
      </c>
      <c r="D149" s="43" t="s">
        <v>792</v>
      </c>
    </row>
    <row r="150" spans="2:4" x14ac:dyDescent="0.3">
      <c r="B150" s="42" t="s">
        <v>793</v>
      </c>
      <c r="C150" s="43" t="s">
        <v>794</v>
      </c>
      <c r="D150" s="43" t="s">
        <v>795</v>
      </c>
    </row>
    <row r="151" spans="2:4" x14ac:dyDescent="0.3">
      <c r="B151" s="42" t="s">
        <v>796</v>
      </c>
      <c r="C151" s="43" t="s">
        <v>797</v>
      </c>
      <c r="D151" s="43" t="s">
        <v>798</v>
      </c>
    </row>
    <row r="152" spans="2:4" x14ac:dyDescent="0.3">
      <c r="B152" s="42" t="s">
        <v>799</v>
      </c>
      <c r="C152" s="43" t="s">
        <v>800</v>
      </c>
      <c r="D152" s="43" t="s">
        <v>801</v>
      </c>
    </row>
    <row r="153" spans="2:4" x14ac:dyDescent="0.3">
      <c r="B153" s="42" t="s">
        <v>802</v>
      </c>
      <c r="C153" s="43" t="s">
        <v>803</v>
      </c>
      <c r="D153" s="43" t="s">
        <v>804</v>
      </c>
    </row>
    <row r="154" spans="2:4" x14ac:dyDescent="0.3">
      <c r="B154" s="42" t="s">
        <v>805</v>
      </c>
      <c r="C154" s="43" t="s">
        <v>806</v>
      </c>
      <c r="D154" s="43" t="s">
        <v>807</v>
      </c>
    </row>
    <row r="155" spans="2:4" x14ac:dyDescent="0.3">
      <c r="B155" s="42" t="s">
        <v>808</v>
      </c>
      <c r="C155" s="43" t="s">
        <v>809</v>
      </c>
      <c r="D155" s="43" t="s">
        <v>810</v>
      </c>
    </row>
    <row r="156" spans="2:4" x14ac:dyDescent="0.3">
      <c r="B156" s="42" t="s">
        <v>811</v>
      </c>
      <c r="C156" s="43" t="s">
        <v>812</v>
      </c>
      <c r="D156" s="43" t="s">
        <v>813</v>
      </c>
    </row>
    <row r="157" spans="2:4" x14ac:dyDescent="0.3">
      <c r="B157" s="42" t="s">
        <v>814</v>
      </c>
      <c r="C157" s="43" t="s">
        <v>815</v>
      </c>
      <c r="D157" s="43" t="s">
        <v>816</v>
      </c>
    </row>
    <row r="158" spans="2:4" x14ac:dyDescent="0.3">
      <c r="B158" s="42" t="s">
        <v>817</v>
      </c>
      <c r="C158" s="43" t="s">
        <v>818</v>
      </c>
      <c r="D158" s="43" t="s">
        <v>819</v>
      </c>
    </row>
    <row r="159" spans="2:4" x14ac:dyDescent="0.3">
      <c r="B159" s="42" t="s">
        <v>820</v>
      </c>
      <c r="C159" s="43" t="s">
        <v>821</v>
      </c>
      <c r="D159" s="43" t="s">
        <v>822</v>
      </c>
    </row>
    <row r="160" spans="2:4" x14ac:dyDescent="0.3">
      <c r="B160" s="42" t="s">
        <v>823</v>
      </c>
      <c r="C160" s="43" t="s">
        <v>824</v>
      </c>
      <c r="D160" s="43" t="s">
        <v>825</v>
      </c>
    </row>
    <row r="161" spans="2:4" x14ac:dyDescent="0.3">
      <c r="B161" s="42" t="s">
        <v>826</v>
      </c>
      <c r="C161" s="43" t="s">
        <v>827</v>
      </c>
      <c r="D161" s="43" t="s">
        <v>828</v>
      </c>
    </row>
    <row r="162" spans="2:4" x14ac:dyDescent="0.3">
      <c r="B162" s="42" t="s">
        <v>829</v>
      </c>
      <c r="C162" s="43" t="s">
        <v>830</v>
      </c>
      <c r="D162" s="43" t="s">
        <v>831</v>
      </c>
    </row>
    <row r="163" spans="2:4" x14ac:dyDescent="0.3">
      <c r="B163" s="42" t="s">
        <v>832</v>
      </c>
      <c r="C163" s="43" t="s">
        <v>833</v>
      </c>
      <c r="D163" s="43" t="s">
        <v>834</v>
      </c>
    </row>
    <row r="164" spans="2:4" x14ac:dyDescent="0.3">
      <c r="B164" s="42" t="s">
        <v>835</v>
      </c>
      <c r="C164" s="43" t="s">
        <v>836</v>
      </c>
      <c r="D164" s="43" t="s">
        <v>837</v>
      </c>
    </row>
    <row r="165" spans="2:4" x14ac:dyDescent="0.3">
      <c r="B165" s="42" t="s">
        <v>838</v>
      </c>
      <c r="C165" s="43" t="s">
        <v>839</v>
      </c>
      <c r="D165" s="43" t="s">
        <v>839</v>
      </c>
    </row>
    <row r="166" spans="2:4" x14ac:dyDescent="0.3">
      <c r="B166" s="42" t="s">
        <v>840</v>
      </c>
      <c r="C166" s="43" t="s">
        <v>841</v>
      </c>
      <c r="D166" s="43" t="s">
        <v>842</v>
      </c>
    </row>
    <row r="167" spans="2:4" x14ac:dyDescent="0.3">
      <c r="B167" s="42" t="s">
        <v>843</v>
      </c>
      <c r="C167" s="43" t="s">
        <v>844</v>
      </c>
      <c r="D167" s="43" t="s">
        <v>845</v>
      </c>
    </row>
    <row r="168" spans="2:4" x14ac:dyDescent="0.3">
      <c r="B168" s="42" t="s">
        <v>846</v>
      </c>
      <c r="C168" s="43" t="s">
        <v>847</v>
      </c>
      <c r="D168" s="43" t="s">
        <v>848</v>
      </c>
    </row>
    <row r="169" spans="2:4" x14ac:dyDescent="0.3">
      <c r="B169" s="42" t="s">
        <v>849</v>
      </c>
      <c r="C169" s="43" t="s">
        <v>850</v>
      </c>
      <c r="D169" s="43" t="s">
        <v>851</v>
      </c>
    </row>
    <row r="170" spans="2:4" x14ac:dyDescent="0.3">
      <c r="B170" s="42" t="s">
        <v>852</v>
      </c>
      <c r="C170" s="43" t="s">
        <v>853</v>
      </c>
      <c r="D170" s="43" t="s">
        <v>854</v>
      </c>
    </row>
    <row r="171" spans="2:4" x14ac:dyDescent="0.3">
      <c r="B171" s="42" t="s">
        <v>855</v>
      </c>
      <c r="C171" s="43" t="s">
        <v>856</v>
      </c>
      <c r="D171" s="43" t="s">
        <v>857</v>
      </c>
    </row>
    <row r="172" spans="2:4" x14ac:dyDescent="0.3">
      <c r="B172" s="42" t="s">
        <v>858</v>
      </c>
      <c r="C172" s="43" t="s">
        <v>859</v>
      </c>
      <c r="D172" s="43" t="s">
        <v>860</v>
      </c>
    </row>
    <row r="173" spans="2:4" x14ac:dyDescent="0.3">
      <c r="B173" s="42" t="s">
        <v>861</v>
      </c>
      <c r="C173" s="43" t="s">
        <v>862</v>
      </c>
      <c r="D173" s="43" t="s">
        <v>863</v>
      </c>
    </row>
    <row r="174" spans="2:4" x14ac:dyDescent="0.3">
      <c r="B174" s="42" t="s">
        <v>864</v>
      </c>
      <c r="C174" s="43" t="s">
        <v>865</v>
      </c>
      <c r="D174" s="43" t="s">
        <v>866</v>
      </c>
    </row>
    <row r="175" spans="2:4" x14ac:dyDescent="0.3">
      <c r="B175" s="42" t="s">
        <v>867</v>
      </c>
      <c r="C175" s="43" t="s">
        <v>868</v>
      </c>
      <c r="D175" s="43" t="s">
        <v>869</v>
      </c>
    </row>
    <row r="176" spans="2:4" x14ac:dyDescent="0.3">
      <c r="B176" s="42" t="s">
        <v>870</v>
      </c>
      <c r="C176" s="43" t="s">
        <v>871</v>
      </c>
      <c r="D176" s="43" t="s">
        <v>872</v>
      </c>
    </row>
    <row r="177" spans="2:4" x14ac:dyDescent="0.3">
      <c r="B177" s="42" t="s">
        <v>873</v>
      </c>
      <c r="C177" s="43" t="s">
        <v>874</v>
      </c>
      <c r="D177" s="43" t="s">
        <v>875</v>
      </c>
    </row>
    <row r="178" spans="2:4" x14ac:dyDescent="0.3">
      <c r="B178" s="42" t="s">
        <v>876</v>
      </c>
      <c r="C178" s="43" t="s">
        <v>877</v>
      </c>
      <c r="D178" s="43" t="s">
        <v>878</v>
      </c>
    </row>
    <row r="179" spans="2:4" x14ac:dyDescent="0.3">
      <c r="B179" s="42" t="s">
        <v>879</v>
      </c>
      <c r="C179" s="43" t="s">
        <v>167</v>
      </c>
      <c r="D179" s="43" t="s">
        <v>880</v>
      </c>
    </row>
    <row r="180" spans="2:4" x14ac:dyDescent="0.3">
      <c r="B180" s="42" t="s">
        <v>881</v>
      </c>
      <c r="C180" s="43" t="s">
        <v>168</v>
      </c>
      <c r="D180" s="43" t="s">
        <v>882</v>
      </c>
    </row>
    <row r="181" spans="2:4" x14ac:dyDescent="0.3">
      <c r="B181" s="42" t="s">
        <v>883</v>
      </c>
      <c r="C181" s="43" t="s">
        <v>169</v>
      </c>
      <c r="D181" s="43" t="s">
        <v>169</v>
      </c>
    </row>
    <row r="182" spans="2:4" x14ac:dyDescent="0.3">
      <c r="B182" s="42" t="s">
        <v>884</v>
      </c>
      <c r="C182" s="43" t="s">
        <v>172</v>
      </c>
      <c r="D182" s="43" t="s">
        <v>885</v>
      </c>
    </row>
    <row r="183" spans="2:4" x14ac:dyDescent="0.3">
      <c r="B183" s="42" t="s">
        <v>886</v>
      </c>
      <c r="C183" s="43" t="s">
        <v>887</v>
      </c>
      <c r="D183" s="43" t="s">
        <v>888</v>
      </c>
    </row>
    <row r="184" spans="2:4" x14ac:dyDescent="0.3">
      <c r="B184" s="42" t="s">
        <v>889</v>
      </c>
      <c r="C184" s="43" t="s">
        <v>890</v>
      </c>
      <c r="D184" s="43" t="s">
        <v>891</v>
      </c>
    </row>
    <row r="185" spans="2:4" x14ac:dyDescent="0.3">
      <c r="B185" s="42" t="s">
        <v>892</v>
      </c>
      <c r="C185" s="43" t="s">
        <v>370</v>
      </c>
      <c r="D185" s="43" t="s">
        <v>370</v>
      </c>
    </row>
    <row r="186" spans="2:4" x14ac:dyDescent="0.3">
      <c r="B186" s="42" t="s">
        <v>893</v>
      </c>
      <c r="C186" s="43" t="s">
        <v>371</v>
      </c>
      <c r="D186" s="43" t="s">
        <v>371</v>
      </c>
    </row>
    <row r="187" spans="2:4" x14ac:dyDescent="0.3">
      <c r="B187" s="42" t="s">
        <v>894</v>
      </c>
      <c r="C187" s="43" t="s">
        <v>895</v>
      </c>
      <c r="D187" s="43" t="s">
        <v>896</v>
      </c>
    </row>
    <row r="188" spans="2:4" x14ac:dyDescent="0.3">
      <c r="B188" s="42" t="s">
        <v>897</v>
      </c>
      <c r="C188" s="43" t="s">
        <v>898</v>
      </c>
      <c r="D188" s="43" t="s">
        <v>899</v>
      </c>
    </row>
    <row r="189" spans="2:4" x14ac:dyDescent="0.3">
      <c r="B189" s="42" t="s">
        <v>900</v>
      </c>
      <c r="C189" s="43" t="s">
        <v>901</v>
      </c>
      <c r="D189" s="43" t="s">
        <v>902</v>
      </c>
    </row>
    <row r="190" spans="2:4" x14ac:dyDescent="0.3">
      <c r="B190" s="42" t="s">
        <v>903</v>
      </c>
      <c r="C190" s="43" t="s">
        <v>376</v>
      </c>
      <c r="D190" s="43" t="s">
        <v>377</v>
      </c>
    </row>
    <row r="191" spans="2:4" x14ac:dyDescent="0.3">
      <c r="B191" s="42" t="s">
        <v>904</v>
      </c>
      <c r="C191" s="43" t="s">
        <v>905</v>
      </c>
      <c r="D191" s="43" t="s">
        <v>906</v>
      </c>
    </row>
    <row r="192" spans="2:4" x14ac:dyDescent="0.3">
      <c r="B192" s="42" t="s">
        <v>907</v>
      </c>
      <c r="C192" s="43" t="s">
        <v>908</v>
      </c>
      <c r="D192" s="43" t="s">
        <v>909</v>
      </c>
    </row>
    <row r="193" spans="2:4" x14ac:dyDescent="0.3">
      <c r="B193" s="42" t="s">
        <v>910</v>
      </c>
      <c r="C193" s="43" t="s">
        <v>911</v>
      </c>
      <c r="D193" s="43" t="s">
        <v>912</v>
      </c>
    </row>
    <row r="194" spans="2:4" x14ac:dyDescent="0.3">
      <c r="B194" s="42" t="s">
        <v>913</v>
      </c>
      <c r="C194" s="43" t="s">
        <v>914</v>
      </c>
      <c r="D194" s="43" t="s">
        <v>915</v>
      </c>
    </row>
    <row r="195" spans="2:4" x14ac:dyDescent="0.3">
      <c r="B195" s="42" t="s">
        <v>916</v>
      </c>
      <c r="C195" s="43" t="s">
        <v>917</v>
      </c>
      <c r="D195" s="43" t="s">
        <v>918</v>
      </c>
    </row>
    <row r="196" spans="2:4" x14ac:dyDescent="0.3">
      <c r="B196" s="42" t="s">
        <v>919</v>
      </c>
      <c r="C196" s="43" t="s">
        <v>920</v>
      </c>
      <c r="D196" s="43" t="s">
        <v>921</v>
      </c>
    </row>
    <row r="197" spans="2:4" x14ac:dyDescent="0.3">
      <c r="B197" s="42" t="s">
        <v>922</v>
      </c>
      <c r="C197" s="43" t="s">
        <v>923</v>
      </c>
      <c r="D197" s="43" t="s">
        <v>924</v>
      </c>
    </row>
    <row r="198" spans="2:4" x14ac:dyDescent="0.3">
      <c r="B198" s="42" t="s">
        <v>925</v>
      </c>
      <c r="C198" s="43" t="s">
        <v>926</v>
      </c>
      <c r="D198" s="43" t="s">
        <v>927</v>
      </c>
    </row>
    <row r="199" spans="2:4" x14ac:dyDescent="0.3">
      <c r="B199" s="42" t="s">
        <v>928</v>
      </c>
      <c r="C199" s="43" t="s">
        <v>929</v>
      </c>
      <c r="D199" s="43" t="s">
        <v>930</v>
      </c>
    </row>
    <row r="200" spans="2:4" x14ac:dyDescent="0.3">
      <c r="B200" s="42" t="s">
        <v>931</v>
      </c>
      <c r="C200" s="43" t="s">
        <v>932</v>
      </c>
      <c r="D200" s="43" t="s">
        <v>933</v>
      </c>
    </row>
    <row r="201" spans="2:4" x14ac:dyDescent="0.3">
      <c r="B201" s="42" t="s">
        <v>934</v>
      </c>
      <c r="C201" s="43" t="s">
        <v>935</v>
      </c>
      <c r="D201" s="43" t="s">
        <v>936</v>
      </c>
    </row>
    <row r="202" spans="2:4" x14ac:dyDescent="0.3">
      <c r="B202" s="42" t="s">
        <v>937</v>
      </c>
      <c r="C202" s="43" t="s">
        <v>938</v>
      </c>
      <c r="D202" s="43" t="s">
        <v>939</v>
      </c>
    </row>
    <row r="203" spans="2:4" x14ac:dyDescent="0.3">
      <c r="B203" s="42" t="s">
        <v>940</v>
      </c>
      <c r="C203" s="43" t="s">
        <v>941</v>
      </c>
      <c r="D203" s="43" t="s">
        <v>942</v>
      </c>
    </row>
    <row r="204" spans="2:4" x14ac:dyDescent="0.3">
      <c r="B204" s="42" t="s">
        <v>943</v>
      </c>
      <c r="C204" s="43" t="s">
        <v>944</v>
      </c>
      <c r="D204" s="43" t="s">
        <v>945</v>
      </c>
    </row>
    <row r="205" spans="2:4" x14ac:dyDescent="0.3">
      <c r="B205" s="42" t="s">
        <v>946</v>
      </c>
      <c r="C205" s="43" t="s">
        <v>947</v>
      </c>
      <c r="D205" s="43" t="s">
        <v>948</v>
      </c>
    </row>
    <row r="206" spans="2:4" x14ac:dyDescent="0.3">
      <c r="B206" s="42" t="s">
        <v>949</v>
      </c>
      <c r="C206" s="43" t="s">
        <v>950</v>
      </c>
      <c r="D206" s="43" t="s">
        <v>951</v>
      </c>
    </row>
    <row r="207" spans="2:4" x14ac:dyDescent="0.3">
      <c r="B207" s="42" t="s">
        <v>952</v>
      </c>
      <c r="C207" s="43" t="s">
        <v>953</v>
      </c>
      <c r="D207" s="43" t="s">
        <v>954</v>
      </c>
    </row>
    <row r="208" spans="2:4" x14ac:dyDescent="0.3">
      <c r="B208" s="42" t="s">
        <v>955</v>
      </c>
      <c r="C208" s="43" t="s">
        <v>956</v>
      </c>
      <c r="D208" s="43" t="s">
        <v>957</v>
      </c>
    </row>
    <row r="209" spans="2:4" x14ac:dyDescent="0.3">
      <c r="B209" s="42" t="s">
        <v>958</v>
      </c>
      <c r="C209" s="43" t="s">
        <v>959</v>
      </c>
      <c r="D209" s="43" t="s">
        <v>960</v>
      </c>
    </row>
    <row r="210" spans="2:4" x14ac:dyDescent="0.3">
      <c r="B210" s="42" t="s">
        <v>961</v>
      </c>
      <c r="C210" s="43" t="s">
        <v>962</v>
      </c>
      <c r="D210" s="43" t="s">
        <v>963</v>
      </c>
    </row>
    <row r="211" spans="2:4" x14ac:dyDescent="0.3">
      <c r="B211" s="42" t="s">
        <v>964</v>
      </c>
      <c r="C211" s="43" t="s">
        <v>176</v>
      </c>
      <c r="D211" s="43" t="s">
        <v>177</v>
      </c>
    </row>
    <row r="212" spans="2:4" x14ac:dyDescent="0.3">
      <c r="B212" s="42" t="s">
        <v>965</v>
      </c>
      <c r="C212" s="43" t="s">
        <v>179</v>
      </c>
      <c r="D212" s="43" t="s">
        <v>180</v>
      </c>
    </row>
    <row r="213" spans="2:4" x14ac:dyDescent="0.3">
      <c r="B213" s="42" t="s">
        <v>966</v>
      </c>
      <c r="C213" s="43" t="s">
        <v>181</v>
      </c>
      <c r="D213" s="43" t="s">
        <v>182</v>
      </c>
    </row>
    <row r="214" spans="2:4" x14ac:dyDescent="0.3">
      <c r="B214" s="42" t="s">
        <v>967</v>
      </c>
      <c r="C214" s="43" t="s">
        <v>183</v>
      </c>
      <c r="D214" s="43" t="s">
        <v>184</v>
      </c>
    </row>
    <row r="215" spans="2:4" x14ac:dyDescent="0.3">
      <c r="B215" s="42" t="s">
        <v>968</v>
      </c>
      <c r="C215" s="43" t="s">
        <v>185</v>
      </c>
      <c r="D215" s="43" t="s">
        <v>186</v>
      </c>
    </row>
    <row r="216" spans="2:4" x14ac:dyDescent="0.3">
      <c r="B216" s="42" t="s">
        <v>969</v>
      </c>
      <c r="C216" s="43" t="s">
        <v>188</v>
      </c>
      <c r="D216" s="43" t="s">
        <v>189</v>
      </c>
    </row>
    <row r="217" spans="2:4" x14ac:dyDescent="0.3">
      <c r="B217" s="42" t="s">
        <v>970</v>
      </c>
      <c r="C217" s="43" t="s">
        <v>190</v>
      </c>
      <c r="D217" s="43" t="s">
        <v>191</v>
      </c>
    </row>
    <row r="218" spans="2:4" x14ac:dyDescent="0.3">
      <c r="B218" s="42" t="s">
        <v>971</v>
      </c>
      <c r="C218" s="43" t="s">
        <v>192</v>
      </c>
      <c r="D218" s="43" t="s">
        <v>193</v>
      </c>
    </row>
    <row r="219" spans="2:4" x14ac:dyDescent="0.3">
      <c r="B219" s="42" t="s">
        <v>972</v>
      </c>
      <c r="C219" s="43" t="s">
        <v>194</v>
      </c>
      <c r="D219" s="43" t="s">
        <v>195</v>
      </c>
    </row>
    <row r="220" spans="2:4" x14ac:dyDescent="0.3">
      <c r="B220" s="42" t="s">
        <v>973</v>
      </c>
      <c r="C220" s="43" t="s">
        <v>196</v>
      </c>
      <c r="D220" s="43" t="s">
        <v>197</v>
      </c>
    </row>
    <row r="221" spans="2:4" x14ac:dyDescent="0.3">
      <c r="B221" s="42" t="s">
        <v>974</v>
      </c>
      <c r="C221" s="43" t="s">
        <v>198</v>
      </c>
      <c r="D221" s="43" t="s">
        <v>199</v>
      </c>
    </row>
    <row r="222" spans="2:4" x14ac:dyDescent="0.3">
      <c r="B222" s="42" t="s">
        <v>975</v>
      </c>
      <c r="C222" s="43" t="s">
        <v>200</v>
      </c>
      <c r="D222" s="43" t="s">
        <v>201</v>
      </c>
    </row>
    <row r="223" spans="2:4" x14ac:dyDescent="0.3">
      <c r="B223" s="42" t="s">
        <v>976</v>
      </c>
      <c r="C223" s="43" t="s">
        <v>202</v>
      </c>
      <c r="D223" s="43" t="s">
        <v>203</v>
      </c>
    </row>
    <row r="224" spans="2:4" x14ac:dyDescent="0.3">
      <c r="B224" s="42" t="s">
        <v>977</v>
      </c>
      <c r="C224" s="43" t="s">
        <v>204</v>
      </c>
      <c r="D224" s="43" t="s">
        <v>205</v>
      </c>
    </row>
    <row r="225" spans="2:4" x14ac:dyDescent="0.3">
      <c r="B225" s="42" t="s">
        <v>978</v>
      </c>
      <c r="C225" s="43" t="s">
        <v>206</v>
      </c>
      <c r="D225" s="43" t="s">
        <v>207</v>
      </c>
    </row>
    <row r="226" spans="2:4" x14ac:dyDescent="0.3">
      <c r="B226" s="42" t="s">
        <v>979</v>
      </c>
      <c r="C226" s="43" t="s">
        <v>208</v>
      </c>
      <c r="D226" s="43" t="s">
        <v>209</v>
      </c>
    </row>
    <row r="227" spans="2:4" x14ac:dyDescent="0.3">
      <c r="B227" s="42" t="s">
        <v>980</v>
      </c>
      <c r="C227" s="43" t="s">
        <v>210</v>
      </c>
      <c r="D227" s="43" t="s">
        <v>211</v>
      </c>
    </row>
    <row r="228" spans="2:4" x14ac:dyDescent="0.3">
      <c r="B228" s="42" t="s">
        <v>981</v>
      </c>
      <c r="C228" s="43" t="s">
        <v>212</v>
      </c>
      <c r="D228" s="43" t="s">
        <v>213</v>
      </c>
    </row>
    <row r="229" spans="2:4" x14ac:dyDescent="0.3">
      <c r="B229" s="42" t="s">
        <v>982</v>
      </c>
      <c r="C229" s="43" t="s">
        <v>214</v>
      </c>
      <c r="D229" s="43" t="s">
        <v>215</v>
      </c>
    </row>
    <row r="230" spans="2:4" x14ac:dyDescent="0.3">
      <c r="B230" s="42" t="s">
        <v>983</v>
      </c>
      <c r="C230" s="43" t="s">
        <v>216</v>
      </c>
      <c r="D230" s="43" t="s">
        <v>217</v>
      </c>
    </row>
    <row r="231" spans="2:4" x14ac:dyDescent="0.3">
      <c r="B231" s="42" t="s">
        <v>984</v>
      </c>
      <c r="C231" s="43" t="s">
        <v>218</v>
      </c>
      <c r="D231" s="43" t="s">
        <v>219</v>
      </c>
    </row>
    <row r="232" spans="2:4" x14ac:dyDescent="0.3">
      <c r="B232" s="42" t="s">
        <v>985</v>
      </c>
      <c r="C232" s="43" t="s">
        <v>220</v>
      </c>
      <c r="D232" s="43" t="s">
        <v>221</v>
      </c>
    </row>
    <row r="233" spans="2:4" x14ac:dyDescent="0.3">
      <c r="B233" s="42" t="s">
        <v>986</v>
      </c>
      <c r="C233" s="43" t="s">
        <v>222</v>
      </c>
      <c r="D233" s="43" t="s">
        <v>223</v>
      </c>
    </row>
    <row r="234" spans="2:4" x14ac:dyDescent="0.3">
      <c r="B234" s="42" t="s">
        <v>987</v>
      </c>
      <c r="C234" s="43" t="s">
        <v>224</v>
      </c>
      <c r="D234" s="43" t="s">
        <v>225</v>
      </c>
    </row>
    <row r="235" spans="2:4" x14ac:dyDescent="0.3">
      <c r="B235" s="42" t="s">
        <v>988</v>
      </c>
      <c r="C235" s="43" t="s">
        <v>226</v>
      </c>
      <c r="D235" s="43" t="s">
        <v>227</v>
      </c>
    </row>
    <row r="236" spans="2:4" x14ac:dyDescent="0.3">
      <c r="B236" s="42" t="s">
        <v>989</v>
      </c>
      <c r="C236" s="43" t="s">
        <v>228</v>
      </c>
      <c r="D236" s="43" t="s">
        <v>229</v>
      </c>
    </row>
    <row r="237" spans="2:4" x14ac:dyDescent="0.3">
      <c r="B237" s="42" t="s">
        <v>990</v>
      </c>
      <c r="C237" s="43" t="s">
        <v>230</v>
      </c>
      <c r="D237" s="43" t="s">
        <v>231</v>
      </c>
    </row>
    <row r="238" spans="2:4" x14ac:dyDescent="0.3">
      <c r="B238" s="42" t="s">
        <v>991</v>
      </c>
      <c r="C238" s="43" t="s">
        <v>232</v>
      </c>
      <c r="D238" s="43" t="s">
        <v>233</v>
      </c>
    </row>
    <row r="239" spans="2:4" x14ac:dyDescent="0.3">
      <c r="B239" s="42" t="s">
        <v>992</v>
      </c>
      <c r="C239" s="43" t="s">
        <v>234</v>
      </c>
      <c r="D239" s="43" t="s">
        <v>235</v>
      </c>
    </row>
    <row r="240" spans="2:4" x14ac:dyDescent="0.3">
      <c r="B240" s="42" t="s">
        <v>993</v>
      </c>
      <c r="C240" s="43" t="s">
        <v>236</v>
      </c>
      <c r="D240" s="43" t="s">
        <v>237</v>
      </c>
    </row>
    <row r="241" spans="2:4" x14ac:dyDescent="0.3">
      <c r="B241" s="42" t="s">
        <v>994</v>
      </c>
      <c r="C241" s="43" t="s">
        <v>238</v>
      </c>
      <c r="D241" s="43" t="s">
        <v>239</v>
      </c>
    </row>
    <row r="242" spans="2:4" x14ac:dyDescent="0.3">
      <c r="B242" s="42" t="s">
        <v>995</v>
      </c>
      <c r="C242" s="43" t="s">
        <v>240</v>
      </c>
      <c r="D242" s="43" t="s">
        <v>241</v>
      </c>
    </row>
    <row r="243" spans="2:4" x14ac:dyDescent="0.3">
      <c r="B243" s="42" t="s">
        <v>996</v>
      </c>
      <c r="C243" s="43" t="s">
        <v>242</v>
      </c>
      <c r="D243" s="43" t="s">
        <v>243</v>
      </c>
    </row>
    <row r="244" spans="2:4" x14ac:dyDescent="0.3">
      <c r="B244" s="42" t="s">
        <v>997</v>
      </c>
      <c r="C244" s="43" t="s">
        <v>244</v>
      </c>
      <c r="D244" s="43" t="s">
        <v>245</v>
      </c>
    </row>
    <row r="245" spans="2:4" x14ac:dyDescent="0.3">
      <c r="B245" s="42" t="s">
        <v>998</v>
      </c>
      <c r="C245" s="43" t="s">
        <v>246</v>
      </c>
      <c r="D245" s="43" t="s">
        <v>247</v>
      </c>
    </row>
    <row r="246" spans="2:4" x14ac:dyDescent="0.3">
      <c r="B246" s="42" t="s">
        <v>999</v>
      </c>
      <c r="C246" s="43" t="s">
        <v>248</v>
      </c>
      <c r="D246" s="43" t="s">
        <v>249</v>
      </c>
    </row>
    <row r="247" spans="2:4" x14ac:dyDescent="0.3">
      <c r="B247" s="42" t="s">
        <v>1000</v>
      </c>
      <c r="C247" s="43" t="s">
        <v>250</v>
      </c>
      <c r="D247" s="43" t="s">
        <v>251</v>
      </c>
    </row>
    <row r="248" spans="2:4" x14ac:dyDescent="0.3">
      <c r="B248" s="42" t="s">
        <v>1001</v>
      </c>
      <c r="C248" s="43" t="s">
        <v>252</v>
      </c>
      <c r="D248" s="43" t="s">
        <v>253</v>
      </c>
    </row>
    <row r="249" spans="2:4" x14ac:dyDescent="0.3">
      <c r="B249" s="42" t="s">
        <v>1002</v>
      </c>
      <c r="C249" s="43" t="s">
        <v>254</v>
      </c>
      <c r="D249" s="43" t="s">
        <v>255</v>
      </c>
    </row>
    <row r="250" spans="2:4" x14ac:dyDescent="0.3">
      <c r="B250" s="42" t="s">
        <v>1003</v>
      </c>
      <c r="C250" s="43" t="s">
        <v>256</v>
      </c>
      <c r="D250" s="43" t="s">
        <v>257</v>
      </c>
    </row>
    <row r="251" spans="2:4" x14ac:dyDescent="0.3">
      <c r="B251" s="42" t="s">
        <v>1004</v>
      </c>
      <c r="C251" s="43" t="s">
        <v>258</v>
      </c>
      <c r="D251" s="43" t="s">
        <v>259</v>
      </c>
    </row>
    <row r="252" spans="2:4" x14ac:dyDescent="0.3">
      <c r="B252" s="42" t="s">
        <v>1005</v>
      </c>
      <c r="C252" s="43" t="s">
        <v>260</v>
      </c>
      <c r="D252" s="43" t="s">
        <v>261</v>
      </c>
    </row>
    <row r="253" spans="2:4" x14ac:dyDescent="0.3">
      <c r="B253" s="42" t="s">
        <v>1006</v>
      </c>
      <c r="C253" s="43" t="s">
        <v>262</v>
      </c>
      <c r="D253" s="43" t="s">
        <v>263</v>
      </c>
    </row>
    <row r="254" spans="2:4" x14ac:dyDescent="0.3">
      <c r="B254" s="42" t="s">
        <v>1007</v>
      </c>
      <c r="C254" s="43" t="s">
        <v>264</v>
      </c>
      <c r="D254" s="43" t="s">
        <v>265</v>
      </c>
    </row>
    <row r="255" spans="2:4" x14ac:dyDescent="0.3">
      <c r="B255" s="42" t="s">
        <v>1008</v>
      </c>
      <c r="C255" s="43" t="s">
        <v>266</v>
      </c>
      <c r="D255" s="43" t="s">
        <v>267</v>
      </c>
    </row>
    <row r="256" spans="2:4" x14ac:dyDescent="0.3">
      <c r="B256" s="42" t="s">
        <v>1009</v>
      </c>
      <c r="C256" s="43" t="s">
        <v>268</v>
      </c>
      <c r="D256" s="43" t="s">
        <v>269</v>
      </c>
    </row>
    <row r="257" spans="2:4" x14ac:dyDescent="0.3">
      <c r="B257" s="42" t="s">
        <v>1010</v>
      </c>
      <c r="C257" s="43" t="s">
        <v>271</v>
      </c>
      <c r="D257" s="43" t="s">
        <v>272</v>
      </c>
    </row>
    <row r="258" spans="2:4" x14ac:dyDescent="0.3">
      <c r="B258" s="42" t="s">
        <v>1011</v>
      </c>
      <c r="C258" s="43" t="s">
        <v>273</v>
      </c>
      <c r="D258" s="43" t="s">
        <v>274</v>
      </c>
    </row>
    <row r="259" spans="2:4" x14ac:dyDescent="0.3">
      <c r="B259" s="42" t="s">
        <v>1012</v>
      </c>
      <c r="C259" s="43" t="s">
        <v>275</v>
      </c>
      <c r="D259" s="43" t="s">
        <v>276</v>
      </c>
    </row>
    <row r="260" spans="2:4" x14ac:dyDescent="0.3">
      <c r="B260" s="42" t="s">
        <v>1013</v>
      </c>
      <c r="C260" s="43" t="s">
        <v>277</v>
      </c>
      <c r="D260" s="43" t="s">
        <v>278</v>
      </c>
    </row>
    <row r="261" spans="2:4" x14ac:dyDescent="0.3">
      <c r="B261" s="42" t="s">
        <v>1014</v>
      </c>
      <c r="C261" s="43" t="s">
        <v>280</v>
      </c>
      <c r="D261" s="43" t="s">
        <v>281</v>
      </c>
    </row>
    <row r="262" spans="2:4" x14ac:dyDescent="0.3">
      <c r="B262" s="42" t="s">
        <v>1015</v>
      </c>
      <c r="C262" s="43" t="s">
        <v>282</v>
      </c>
      <c r="D262" s="43" t="s">
        <v>283</v>
      </c>
    </row>
    <row r="263" spans="2:4" x14ac:dyDescent="0.3">
      <c r="B263" s="42" t="s">
        <v>1016</v>
      </c>
      <c r="C263" s="43" t="s">
        <v>284</v>
      </c>
      <c r="D263" s="43" t="s">
        <v>285</v>
      </c>
    </row>
    <row r="264" spans="2:4" x14ac:dyDescent="0.3">
      <c r="B264" s="42" t="s">
        <v>1017</v>
      </c>
      <c r="C264" s="43" t="s">
        <v>286</v>
      </c>
      <c r="D264" s="43" t="s">
        <v>287</v>
      </c>
    </row>
    <row r="265" spans="2:4" x14ac:dyDescent="0.3">
      <c r="B265" s="42" t="s">
        <v>1018</v>
      </c>
      <c r="C265" s="43" t="s">
        <v>288</v>
      </c>
      <c r="D265" s="43" t="s">
        <v>289</v>
      </c>
    </row>
    <row r="266" spans="2:4" x14ac:dyDescent="0.3">
      <c r="B266" s="42" t="s">
        <v>1019</v>
      </c>
      <c r="C266" s="43" t="s">
        <v>290</v>
      </c>
      <c r="D266" s="43" t="s">
        <v>291</v>
      </c>
    </row>
    <row r="267" spans="2:4" x14ac:dyDescent="0.3">
      <c r="B267" s="42" t="s">
        <v>1020</v>
      </c>
      <c r="C267" s="43" t="s">
        <v>292</v>
      </c>
      <c r="D267" s="43" t="s">
        <v>293</v>
      </c>
    </row>
    <row r="268" spans="2:4" x14ac:dyDescent="0.3">
      <c r="B268" s="42" t="s">
        <v>1021</v>
      </c>
      <c r="C268" s="43" t="s">
        <v>294</v>
      </c>
      <c r="D268" s="43" t="s">
        <v>295</v>
      </c>
    </row>
    <row r="269" spans="2:4" x14ac:dyDescent="0.3">
      <c r="B269" s="42" t="s">
        <v>1022</v>
      </c>
      <c r="C269" s="43" t="s">
        <v>296</v>
      </c>
      <c r="D269" s="43" t="s">
        <v>297</v>
      </c>
    </row>
    <row r="270" spans="2:4" x14ac:dyDescent="0.3">
      <c r="B270" s="42" t="s">
        <v>1023</v>
      </c>
      <c r="C270" s="43" t="s">
        <v>298</v>
      </c>
      <c r="D270" s="43" t="s">
        <v>299</v>
      </c>
    </row>
    <row r="271" spans="2:4" x14ac:dyDescent="0.3">
      <c r="B271" s="42" t="s">
        <v>1024</v>
      </c>
      <c r="C271" s="43" t="s">
        <v>300</v>
      </c>
      <c r="D271" s="43" t="s">
        <v>301</v>
      </c>
    </row>
    <row r="272" spans="2:4" x14ac:dyDescent="0.3">
      <c r="B272" s="42" t="s">
        <v>1025</v>
      </c>
      <c r="C272" s="43" t="s">
        <v>302</v>
      </c>
      <c r="D272" s="43" t="s">
        <v>303</v>
      </c>
    </row>
    <row r="273" spans="2:4" x14ac:dyDescent="0.3">
      <c r="B273" s="42" t="s">
        <v>1026</v>
      </c>
      <c r="C273" s="43" t="s">
        <v>304</v>
      </c>
      <c r="D273" s="43" t="s">
        <v>305</v>
      </c>
    </row>
    <row r="274" spans="2:4" x14ac:dyDescent="0.3">
      <c r="B274" s="42" t="s">
        <v>1027</v>
      </c>
      <c r="C274" s="43" t="s">
        <v>306</v>
      </c>
      <c r="D274" s="43" t="s">
        <v>307</v>
      </c>
    </row>
    <row r="275" spans="2:4" x14ac:dyDescent="0.3">
      <c r="B275" s="42" t="s">
        <v>1028</v>
      </c>
      <c r="C275" s="43" t="s">
        <v>308</v>
      </c>
      <c r="D275" s="43" t="s">
        <v>309</v>
      </c>
    </row>
    <row r="276" spans="2:4" x14ac:dyDescent="0.3">
      <c r="B276" s="42" t="s">
        <v>1029</v>
      </c>
      <c r="C276" s="43" t="s">
        <v>310</v>
      </c>
      <c r="D276" s="43" t="s">
        <v>311</v>
      </c>
    </row>
    <row r="277" spans="2:4" x14ac:dyDescent="0.3">
      <c r="B277" s="42" t="s">
        <v>1030</v>
      </c>
      <c r="C277" s="43" t="s">
        <v>312</v>
      </c>
      <c r="D277" s="43" t="s">
        <v>313</v>
      </c>
    </row>
    <row r="278" spans="2:4" x14ac:dyDescent="0.3">
      <c r="B278" s="42" t="s">
        <v>1031</v>
      </c>
      <c r="C278" s="43" t="s">
        <v>314</v>
      </c>
      <c r="D278" s="43" t="s">
        <v>315</v>
      </c>
    </row>
    <row r="279" spans="2:4" x14ac:dyDescent="0.3">
      <c r="B279" s="42" t="s">
        <v>1032</v>
      </c>
      <c r="C279" s="43" t="s">
        <v>316</v>
      </c>
      <c r="D279" s="43" t="s">
        <v>317</v>
      </c>
    </row>
    <row r="280" spans="2:4" x14ac:dyDescent="0.3">
      <c r="B280" s="42" t="s">
        <v>1033</v>
      </c>
      <c r="C280" s="43" t="s">
        <v>318</v>
      </c>
      <c r="D280" s="43" t="s">
        <v>319</v>
      </c>
    </row>
    <row r="281" spans="2:4" x14ac:dyDescent="0.3">
      <c r="B281" s="42" t="s">
        <v>1034</v>
      </c>
      <c r="C281" s="43" t="s">
        <v>320</v>
      </c>
      <c r="D281" s="43" t="s">
        <v>321</v>
      </c>
    </row>
    <row r="282" spans="2:4" x14ac:dyDescent="0.3">
      <c r="B282" s="42" t="s">
        <v>1035</v>
      </c>
      <c r="C282" s="43" t="s">
        <v>322</v>
      </c>
      <c r="D282" s="43" t="s">
        <v>323</v>
      </c>
    </row>
    <row r="283" spans="2:4" x14ac:dyDescent="0.3">
      <c r="B283" s="42" t="s">
        <v>1036</v>
      </c>
      <c r="C283" s="43" t="s">
        <v>324</v>
      </c>
      <c r="D283" s="43" t="s">
        <v>325</v>
      </c>
    </row>
    <row r="284" spans="2:4" x14ac:dyDescent="0.3">
      <c r="B284" s="42" t="s">
        <v>1037</v>
      </c>
      <c r="C284" s="43" t="s">
        <v>326</v>
      </c>
      <c r="D284" s="43" t="s">
        <v>327</v>
      </c>
    </row>
    <row r="285" spans="2:4" x14ac:dyDescent="0.3">
      <c r="B285" s="42" t="s">
        <v>1038</v>
      </c>
      <c r="C285" s="43" t="s">
        <v>328</v>
      </c>
      <c r="D285" s="43" t="s">
        <v>329</v>
      </c>
    </row>
    <row r="286" spans="2:4" x14ac:dyDescent="0.3">
      <c r="B286" s="42" t="s">
        <v>1039</v>
      </c>
      <c r="C286" s="43" t="s">
        <v>330</v>
      </c>
      <c r="D286" s="43" t="s">
        <v>331</v>
      </c>
    </row>
    <row r="287" spans="2:4" x14ac:dyDescent="0.3">
      <c r="B287" s="42" t="s">
        <v>1040</v>
      </c>
      <c r="C287" s="43" t="s">
        <v>333</v>
      </c>
      <c r="D287" s="43" t="s">
        <v>334</v>
      </c>
    </row>
    <row r="288" spans="2:4" x14ac:dyDescent="0.3">
      <c r="B288" s="42" t="s">
        <v>1041</v>
      </c>
      <c r="C288" s="43" t="s">
        <v>335</v>
      </c>
      <c r="D288" s="43" t="s">
        <v>336</v>
      </c>
    </row>
    <row r="289" spans="2:4" x14ac:dyDescent="0.3">
      <c r="B289" s="42" t="s">
        <v>1042</v>
      </c>
      <c r="C289" s="43" t="s">
        <v>337</v>
      </c>
      <c r="D289" s="43" t="s">
        <v>338</v>
      </c>
    </row>
    <row r="290" spans="2:4" x14ac:dyDescent="0.3">
      <c r="B290" s="42" t="s">
        <v>1043</v>
      </c>
      <c r="C290" s="43" t="s">
        <v>339</v>
      </c>
      <c r="D290" s="43" t="s">
        <v>340</v>
      </c>
    </row>
    <row r="291" spans="2:4" x14ac:dyDescent="0.3">
      <c r="B291" s="42" t="s">
        <v>1044</v>
      </c>
      <c r="C291" s="43" t="s">
        <v>341</v>
      </c>
      <c r="D291" s="43" t="s">
        <v>342</v>
      </c>
    </row>
    <row r="292" spans="2:4" x14ac:dyDescent="0.3">
      <c r="B292" s="42" t="s">
        <v>1045</v>
      </c>
      <c r="C292" s="43" t="s">
        <v>344</v>
      </c>
      <c r="D292" s="43" t="s">
        <v>345</v>
      </c>
    </row>
    <row r="293" spans="2:4" x14ac:dyDescent="0.3">
      <c r="B293" s="42" t="s">
        <v>1046</v>
      </c>
      <c r="C293" s="43" t="s">
        <v>346</v>
      </c>
      <c r="D293" s="43" t="s">
        <v>347</v>
      </c>
    </row>
    <row r="294" spans="2:4" x14ac:dyDescent="0.3">
      <c r="B294" s="42" t="s">
        <v>1047</v>
      </c>
      <c r="C294" s="43" t="s">
        <v>348</v>
      </c>
      <c r="D294" s="43" t="s">
        <v>349</v>
      </c>
    </row>
    <row r="295" spans="2:4" x14ac:dyDescent="0.3">
      <c r="B295" s="42" t="s">
        <v>1048</v>
      </c>
      <c r="C295" s="43" t="s">
        <v>350</v>
      </c>
      <c r="D295" s="43" t="s">
        <v>351</v>
      </c>
    </row>
    <row r="296" spans="2:4" x14ac:dyDescent="0.3">
      <c r="B296" s="42" t="s">
        <v>1049</v>
      </c>
      <c r="C296" s="43" t="s">
        <v>352</v>
      </c>
      <c r="D296" s="43" t="s">
        <v>353</v>
      </c>
    </row>
    <row r="297" spans="2:4" x14ac:dyDescent="0.3">
      <c r="B297" s="42" t="s">
        <v>1050</v>
      </c>
      <c r="C297" s="43" t="s">
        <v>354</v>
      </c>
      <c r="D297" s="43" t="s">
        <v>355</v>
      </c>
    </row>
    <row r="298" spans="2:4" x14ac:dyDescent="0.3">
      <c r="B298" s="42" t="s">
        <v>1051</v>
      </c>
      <c r="C298" s="43" t="s">
        <v>356</v>
      </c>
      <c r="D298" s="43" t="s">
        <v>357</v>
      </c>
    </row>
    <row r="299" spans="2:4" x14ac:dyDescent="0.3">
      <c r="B299" s="42" t="s">
        <v>1052</v>
      </c>
      <c r="C299" s="43" t="s">
        <v>358</v>
      </c>
      <c r="D299" s="43" t="s">
        <v>359</v>
      </c>
    </row>
    <row r="300" spans="2:4" x14ac:dyDescent="0.3">
      <c r="B300" s="42" t="s">
        <v>1053</v>
      </c>
      <c r="C300" s="43" t="s">
        <v>360</v>
      </c>
      <c r="D300" s="43" t="s">
        <v>361</v>
      </c>
    </row>
    <row r="301" spans="2:4" x14ac:dyDescent="0.3">
      <c r="B301" s="42" t="s">
        <v>1054</v>
      </c>
      <c r="C301" s="43" t="s">
        <v>362</v>
      </c>
      <c r="D301" s="43" t="s">
        <v>363</v>
      </c>
    </row>
    <row r="302" spans="2:4" x14ac:dyDescent="0.3">
      <c r="B302" s="42" t="s">
        <v>1055</v>
      </c>
      <c r="C302" s="43" t="s">
        <v>364</v>
      </c>
      <c r="D302" s="43" t="s">
        <v>365</v>
      </c>
    </row>
    <row r="303" spans="2:4" x14ac:dyDescent="0.3">
      <c r="B303" s="42" t="s">
        <v>1056</v>
      </c>
      <c r="C303" s="43" t="s">
        <v>366</v>
      </c>
      <c r="D303" s="43" t="s">
        <v>367</v>
      </c>
    </row>
    <row r="304" spans="2:4" x14ac:dyDescent="0.3">
      <c r="B304" s="42" t="s">
        <v>1057</v>
      </c>
      <c r="C304" s="43" t="s">
        <v>368</v>
      </c>
      <c r="D304" s="43" t="s">
        <v>369</v>
      </c>
    </row>
    <row r="305" spans="2:4" x14ac:dyDescent="0.3">
      <c r="B305" s="42" t="s">
        <v>1058</v>
      </c>
      <c r="C305" s="43" t="s">
        <v>328</v>
      </c>
      <c r="D305" s="43" t="s">
        <v>329</v>
      </c>
    </row>
    <row r="306" spans="2:4" x14ac:dyDescent="0.3">
      <c r="B306" s="42" t="s">
        <v>1059</v>
      </c>
      <c r="C306" s="43" t="s">
        <v>330</v>
      </c>
      <c r="D306" s="43" t="s">
        <v>331</v>
      </c>
    </row>
    <row r="307" spans="2:4" x14ac:dyDescent="0.3">
      <c r="B307" s="42" t="s">
        <v>1060</v>
      </c>
      <c r="C307" s="43" t="s">
        <v>1061</v>
      </c>
      <c r="D307" s="43" t="s">
        <v>1062</v>
      </c>
    </row>
    <row r="308" spans="2:4" x14ac:dyDescent="0.3">
      <c r="B308" s="42" t="s">
        <v>1063</v>
      </c>
      <c r="C308" s="43" t="s">
        <v>1064</v>
      </c>
      <c r="D308" s="43" t="s">
        <v>1065</v>
      </c>
    </row>
    <row r="309" spans="2:4" x14ac:dyDescent="0.3">
      <c r="B309" s="42" t="s">
        <v>1066</v>
      </c>
      <c r="C309" s="43" t="s">
        <v>1067</v>
      </c>
      <c r="D309" s="43" t="s">
        <v>1068</v>
      </c>
    </row>
    <row r="310" spans="2:4" x14ac:dyDescent="0.3">
      <c r="B310" s="42" t="s">
        <v>1069</v>
      </c>
      <c r="C310" s="43" t="s">
        <v>1070</v>
      </c>
      <c r="D310" s="43" t="s">
        <v>1071</v>
      </c>
    </row>
    <row r="311" spans="2:4" x14ac:dyDescent="0.3">
      <c r="B311" s="42" t="s">
        <v>1072</v>
      </c>
      <c r="C311" s="43" t="s">
        <v>1073</v>
      </c>
      <c r="D311" s="43" t="s">
        <v>1074</v>
      </c>
    </row>
    <row r="312" spans="2:4" x14ac:dyDescent="0.3">
      <c r="B312" s="42" t="s">
        <v>1075</v>
      </c>
      <c r="C312" s="43" t="s">
        <v>1076</v>
      </c>
      <c r="D312" s="43" t="s">
        <v>1077</v>
      </c>
    </row>
    <row r="313" spans="2:4" x14ac:dyDescent="0.3">
      <c r="B313" s="42" t="s">
        <v>1078</v>
      </c>
      <c r="C313" s="43" t="s">
        <v>1079</v>
      </c>
      <c r="D313" s="43" t="s">
        <v>1080</v>
      </c>
    </row>
    <row r="314" spans="2:4" x14ac:dyDescent="0.3">
      <c r="B314" s="42" t="s">
        <v>1081</v>
      </c>
      <c r="C314" s="43" t="s">
        <v>1082</v>
      </c>
      <c r="D314" s="43" t="s">
        <v>1083</v>
      </c>
    </row>
    <row r="315" spans="2:4" x14ac:dyDescent="0.3">
      <c r="B315" s="42" t="s">
        <v>1084</v>
      </c>
      <c r="C315" s="43" t="s">
        <v>1085</v>
      </c>
      <c r="D315" s="43" t="s">
        <v>1086</v>
      </c>
    </row>
    <row r="316" spans="2:4" x14ac:dyDescent="0.3">
      <c r="B316" s="42" t="s">
        <v>1087</v>
      </c>
      <c r="C316" s="43" t="s">
        <v>1088</v>
      </c>
      <c r="D316" s="43" t="s">
        <v>1089</v>
      </c>
    </row>
    <row r="317" spans="2:4" x14ac:dyDescent="0.3">
      <c r="B317" s="42" t="s">
        <v>1090</v>
      </c>
      <c r="C317" s="43" t="s">
        <v>1091</v>
      </c>
      <c r="D317" s="43" t="s">
        <v>1092</v>
      </c>
    </row>
    <row r="318" spans="2:4" x14ac:dyDescent="0.3">
      <c r="B318" s="42" t="s">
        <v>1093</v>
      </c>
      <c r="C318" s="43" t="s">
        <v>1094</v>
      </c>
      <c r="D318" s="43" t="s">
        <v>1095</v>
      </c>
    </row>
    <row r="319" spans="2:4" x14ac:dyDescent="0.3">
      <c r="B319" s="42" t="s">
        <v>1096</v>
      </c>
      <c r="C319" s="43" t="s">
        <v>1097</v>
      </c>
      <c r="D319" s="43" t="s">
        <v>1098</v>
      </c>
    </row>
    <row r="320" spans="2:4" x14ac:dyDescent="0.3">
      <c r="B320" s="42" t="s">
        <v>1099</v>
      </c>
      <c r="C320" s="43" t="s">
        <v>1100</v>
      </c>
      <c r="D320" s="43" t="s">
        <v>1101</v>
      </c>
    </row>
    <row r="321" spans="2:4" x14ac:dyDescent="0.3">
      <c r="B321" s="42" t="s">
        <v>1102</v>
      </c>
      <c r="C321" s="43" t="s">
        <v>1103</v>
      </c>
      <c r="D321" s="43" t="s">
        <v>1104</v>
      </c>
    </row>
    <row r="322" spans="2:4" x14ac:dyDescent="0.3">
      <c r="B322" s="42" t="s">
        <v>1105</v>
      </c>
      <c r="C322" s="43" t="s">
        <v>1106</v>
      </c>
      <c r="D322" s="43" t="s">
        <v>1107</v>
      </c>
    </row>
    <row r="323" spans="2:4" x14ac:dyDescent="0.3">
      <c r="B323" s="42" t="s">
        <v>1108</v>
      </c>
      <c r="C323" s="43" t="s">
        <v>1109</v>
      </c>
      <c r="D323" s="43" t="s">
        <v>1110</v>
      </c>
    </row>
    <row r="324" spans="2:4" x14ac:dyDescent="0.3">
      <c r="B324" s="42" t="s">
        <v>1111</v>
      </c>
      <c r="C324" s="43" t="s">
        <v>1112</v>
      </c>
      <c r="D324" s="43" t="s">
        <v>1113</v>
      </c>
    </row>
    <row r="325" spans="2:4" x14ac:dyDescent="0.3">
      <c r="B325" s="42" t="s">
        <v>1114</v>
      </c>
      <c r="C325" s="43" t="s">
        <v>1115</v>
      </c>
      <c r="D325" s="43" t="s">
        <v>1116</v>
      </c>
    </row>
    <row r="326" spans="2:4" x14ac:dyDescent="0.3">
      <c r="B326" s="42" t="s">
        <v>1117</v>
      </c>
      <c r="C326" s="43" t="s">
        <v>1118</v>
      </c>
      <c r="D326" s="43" t="s">
        <v>1119</v>
      </c>
    </row>
    <row r="327" spans="2:4" x14ac:dyDescent="0.3">
      <c r="B327" s="42" t="s">
        <v>1120</v>
      </c>
      <c r="C327" s="43" t="s">
        <v>1121</v>
      </c>
      <c r="D327" s="43" t="s">
        <v>1122</v>
      </c>
    </row>
    <row r="328" spans="2:4" x14ac:dyDescent="0.3">
      <c r="B328" s="42" t="s">
        <v>1123</v>
      </c>
      <c r="C328" s="43" t="s">
        <v>1124</v>
      </c>
      <c r="D328" s="43" t="s">
        <v>1125</v>
      </c>
    </row>
    <row r="329" spans="2:4" x14ac:dyDescent="0.3">
      <c r="B329" s="42" t="s">
        <v>1126</v>
      </c>
      <c r="C329" s="43" t="s">
        <v>1127</v>
      </c>
      <c r="D329" s="43" t="s">
        <v>1128</v>
      </c>
    </row>
    <row r="330" spans="2:4" x14ac:dyDescent="0.3">
      <c r="B330" s="42" t="s">
        <v>1129</v>
      </c>
      <c r="C330" s="43" t="s">
        <v>1130</v>
      </c>
      <c r="D330" s="43" t="s">
        <v>1131</v>
      </c>
    </row>
    <row r="331" spans="2:4" x14ac:dyDescent="0.3">
      <c r="B331" s="42" t="s">
        <v>1132</v>
      </c>
      <c r="C331" s="43" t="s">
        <v>1133</v>
      </c>
      <c r="D331" s="43" t="s">
        <v>1134</v>
      </c>
    </row>
    <row r="332" spans="2:4" x14ac:dyDescent="0.3">
      <c r="B332" s="42" t="s">
        <v>1135</v>
      </c>
      <c r="C332" s="43" t="s">
        <v>1136</v>
      </c>
      <c r="D332" s="43" t="s">
        <v>1137</v>
      </c>
    </row>
    <row r="333" spans="2:4" x14ac:dyDescent="0.3">
      <c r="B333" s="42" t="s">
        <v>1138</v>
      </c>
      <c r="C333" s="43" t="s">
        <v>1091</v>
      </c>
      <c r="D333" s="43" t="s">
        <v>1092</v>
      </c>
    </row>
    <row r="334" spans="2:4" x14ac:dyDescent="0.3">
      <c r="B334" s="42" t="s">
        <v>1139</v>
      </c>
      <c r="C334" s="43" t="s">
        <v>1140</v>
      </c>
      <c r="D334" s="43" t="s">
        <v>1141</v>
      </c>
    </row>
    <row r="335" spans="2:4" x14ac:dyDescent="0.3">
      <c r="B335" s="42" t="s">
        <v>1142</v>
      </c>
      <c r="C335" s="43" t="s">
        <v>1091</v>
      </c>
      <c r="D335" s="43" t="s">
        <v>1092</v>
      </c>
    </row>
    <row r="336" spans="2:4" x14ac:dyDescent="0.3">
      <c r="B336" s="42" t="s">
        <v>1143</v>
      </c>
      <c r="C336" s="43" t="s">
        <v>1144</v>
      </c>
      <c r="D336" s="43" t="s">
        <v>1145</v>
      </c>
    </row>
    <row r="337" spans="2:4" x14ac:dyDescent="0.3">
      <c r="B337" s="42" t="s">
        <v>1146</v>
      </c>
      <c r="C337" s="43" t="s">
        <v>1091</v>
      </c>
      <c r="D337" s="43" t="s">
        <v>1092</v>
      </c>
    </row>
    <row r="338" spans="2:4" x14ac:dyDescent="0.3">
      <c r="B338" s="42" t="s">
        <v>1147</v>
      </c>
      <c r="C338" s="43" t="s">
        <v>1148</v>
      </c>
      <c r="D338" s="43" t="s">
        <v>1149</v>
      </c>
    </row>
    <row r="339" spans="2:4" x14ac:dyDescent="0.3">
      <c r="B339" s="42" t="s">
        <v>1150</v>
      </c>
      <c r="C339" s="43" t="s">
        <v>1151</v>
      </c>
      <c r="D339" s="43" t="s">
        <v>1152</v>
      </c>
    </row>
    <row r="340" spans="2:4" x14ac:dyDescent="0.3">
      <c r="B340" s="42" t="s">
        <v>1153</v>
      </c>
      <c r="C340" s="43" t="s">
        <v>1154</v>
      </c>
      <c r="D340" s="43" t="s">
        <v>1155</v>
      </c>
    </row>
    <row r="341" spans="2:4" x14ac:dyDescent="0.3">
      <c r="B341" s="42" t="s">
        <v>1156</v>
      </c>
      <c r="C341" s="43" t="s">
        <v>1157</v>
      </c>
      <c r="D341" s="43" t="s">
        <v>1158</v>
      </c>
    </row>
    <row r="342" spans="2:4" x14ac:dyDescent="0.3">
      <c r="B342" s="42" t="s">
        <v>1159</v>
      </c>
      <c r="C342" s="43" t="s">
        <v>1160</v>
      </c>
      <c r="D342" s="43" t="s">
        <v>1161</v>
      </c>
    </row>
    <row r="343" spans="2:4" x14ac:dyDescent="0.3">
      <c r="B343" s="42" t="s">
        <v>1162</v>
      </c>
      <c r="C343" s="43" t="s">
        <v>1091</v>
      </c>
      <c r="D343" s="43" t="s">
        <v>1092</v>
      </c>
    </row>
    <row r="344" spans="2:4" x14ac:dyDescent="0.3">
      <c r="B344" s="42" t="s">
        <v>1163</v>
      </c>
      <c r="C344" s="43" t="s">
        <v>1164</v>
      </c>
      <c r="D344" s="43" t="s">
        <v>1165</v>
      </c>
    </row>
    <row r="345" spans="2:4" x14ac:dyDescent="0.3">
      <c r="B345" s="42" t="s">
        <v>1166</v>
      </c>
      <c r="C345" s="43" t="s">
        <v>1167</v>
      </c>
      <c r="D345" s="43" t="s">
        <v>1168</v>
      </c>
    </row>
    <row r="346" spans="2:4" x14ac:dyDescent="0.3">
      <c r="B346" s="42" t="s">
        <v>1169</v>
      </c>
      <c r="C346" s="43" t="s">
        <v>1170</v>
      </c>
      <c r="D346" s="43" t="s">
        <v>1171</v>
      </c>
    </row>
    <row r="347" spans="2:4" x14ac:dyDescent="0.3">
      <c r="B347" s="42" t="s">
        <v>1172</v>
      </c>
      <c r="C347" s="43" t="s">
        <v>1167</v>
      </c>
      <c r="D347" s="43" t="s">
        <v>1168</v>
      </c>
    </row>
    <row r="348" spans="2:4" x14ac:dyDescent="0.3">
      <c r="B348" s="42" t="s">
        <v>1173</v>
      </c>
      <c r="C348" s="43" t="s">
        <v>1174</v>
      </c>
      <c r="D348" s="43" t="s">
        <v>1175</v>
      </c>
    </row>
    <row r="349" spans="2:4" x14ac:dyDescent="0.3">
      <c r="B349" s="42" t="s">
        <v>1176</v>
      </c>
      <c r="C349" s="43" t="s">
        <v>1177</v>
      </c>
      <c r="D349" s="43" t="s">
        <v>1178</v>
      </c>
    </row>
    <row r="350" spans="2:4" x14ac:dyDescent="0.3">
      <c r="B350" s="42" t="s">
        <v>1179</v>
      </c>
      <c r="C350" s="43" t="s">
        <v>1180</v>
      </c>
      <c r="D350" s="43" t="s">
        <v>1181</v>
      </c>
    </row>
    <row r="351" spans="2:4" x14ac:dyDescent="0.3">
      <c r="B351" s="42" t="s">
        <v>1182</v>
      </c>
      <c r="C351" s="43" t="s">
        <v>1091</v>
      </c>
      <c r="D351" s="43" t="s">
        <v>1092</v>
      </c>
    </row>
    <row r="352" spans="2:4" x14ac:dyDescent="0.3">
      <c r="B352" s="42" t="s">
        <v>1183</v>
      </c>
      <c r="C352" s="43" t="s">
        <v>1184</v>
      </c>
      <c r="D352" s="43" t="s">
        <v>1185</v>
      </c>
    </row>
    <row r="353" spans="2:4" x14ac:dyDescent="0.3">
      <c r="B353" s="42" t="s">
        <v>1186</v>
      </c>
      <c r="C353" s="43" t="s">
        <v>1091</v>
      </c>
      <c r="D353" s="43" t="s">
        <v>1092</v>
      </c>
    </row>
    <row r="354" spans="2:4" x14ac:dyDescent="0.3">
      <c r="B354" s="42" t="s">
        <v>1187</v>
      </c>
      <c r="C354" s="43" t="s">
        <v>1188</v>
      </c>
      <c r="D354" s="43" t="s">
        <v>1189</v>
      </c>
    </row>
    <row r="355" spans="2:4" x14ac:dyDescent="0.3">
      <c r="B355" s="42" t="s">
        <v>1190</v>
      </c>
      <c r="C355" s="43" t="s">
        <v>1091</v>
      </c>
      <c r="D355" s="43" t="s">
        <v>1092</v>
      </c>
    </row>
    <row r="356" spans="2:4" x14ac:dyDescent="0.3">
      <c r="B356" s="42" t="s">
        <v>1191</v>
      </c>
      <c r="C356" s="43" t="s">
        <v>1192</v>
      </c>
      <c r="D356" s="43" t="s">
        <v>1193</v>
      </c>
    </row>
    <row r="357" spans="2:4" x14ac:dyDescent="0.3">
      <c r="B357" s="42" t="s">
        <v>1194</v>
      </c>
      <c r="C357" s="43" t="s">
        <v>1195</v>
      </c>
      <c r="D357" s="43" t="s">
        <v>1196</v>
      </c>
    </row>
    <row r="358" spans="2:4" x14ac:dyDescent="0.3">
      <c r="B358" s="42" t="s">
        <v>1197</v>
      </c>
      <c r="C358" s="43" t="s">
        <v>1198</v>
      </c>
      <c r="D358" s="43" t="s">
        <v>1199</v>
      </c>
    </row>
    <row r="359" spans="2:4" x14ac:dyDescent="0.3">
      <c r="B359" s="42" t="s">
        <v>1200</v>
      </c>
      <c r="C359" s="43" t="s">
        <v>1201</v>
      </c>
      <c r="D359" s="43" t="s">
        <v>1202</v>
      </c>
    </row>
    <row r="360" spans="2:4" x14ac:dyDescent="0.3">
      <c r="B360" s="42" t="s">
        <v>1203</v>
      </c>
      <c r="C360" s="43" t="s">
        <v>1204</v>
      </c>
      <c r="D360" s="43" t="s">
        <v>1205</v>
      </c>
    </row>
    <row r="361" spans="2:4" x14ac:dyDescent="0.3">
      <c r="B361" s="42" t="s">
        <v>1206</v>
      </c>
      <c r="C361" s="43" t="s">
        <v>1207</v>
      </c>
      <c r="D361" s="43" t="s">
        <v>1208</v>
      </c>
    </row>
    <row r="362" spans="2:4" x14ac:dyDescent="0.3">
      <c r="B362" s="42" t="s">
        <v>1209</v>
      </c>
      <c r="C362" s="43" t="s">
        <v>1210</v>
      </c>
      <c r="D362" s="43" t="s">
        <v>1211</v>
      </c>
    </row>
    <row r="363" spans="2:4" x14ac:dyDescent="0.3">
      <c r="B363" s="42" t="s">
        <v>1212</v>
      </c>
      <c r="C363" s="43" t="s">
        <v>1213</v>
      </c>
      <c r="D363" s="43" t="s">
        <v>1214</v>
      </c>
    </row>
    <row r="364" spans="2:4" x14ac:dyDescent="0.3">
      <c r="B364" s="42" t="s">
        <v>1215</v>
      </c>
      <c r="C364" s="43" t="s">
        <v>1216</v>
      </c>
      <c r="D364" s="43" t="s">
        <v>1217</v>
      </c>
    </row>
    <row r="365" spans="2:4" x14ac:dyDescent="0.3">
      <c r="B365" s="42" t="s">
        <v>1218</v>
      </c>
      <c r="C365" s="43" t="s">
        <v>1219</v>
      </c>
      <c r="D365" s="43" t="s">
        <v>1220</v>
      </c>
    </row>
    <row r="366" spans="2:4" x14ac:dyDescent="0.3">
      <c r="B366" s="42" t="s">
        <v>1221</v>
      </c>
      <c r="C366" s="43" t="s">
        <v>1222</v>
      </c>
      <c r="D366" s="43" t="s">
        <v>1223</v>
      </c>
    </row>
    <row r="367" spans="2:4" x14ac:dyDescent="0.3">
      <c r="B367" s="42" t="s">
        <v>1224</v>
      </c>
      <c r="C367" s="43" t="s">
        <v>1225</v>
      </c>
      <c r="D367" s="43" t="s">
        <v>1226</v>
      </c>
    </row>
    <row r="368" spans="2:4" x14ac:dyDescent="0.3">
      <c r="B368" s="42" t="s">
        <v>1227</v>
      </c>
      <c r="C368" s="43" t="s">
        <v>1228</v>
      </c>
      <c r="D368" s="43" t="s">
        <v>1229</v>
      </c>
    </row>
    <row r="369" spans="2:4" x14ac:dyDescent="0.3">
      <c r="B369" s="42" t="s">
        <v>1230</v>
      </c>
      <c r="C369" s="43" t="s">
        <v>1231</v>
      </c>
      <c r="D369" s="43" t="s">
        <v>1232</v>
      </c>
    </row>
    <row r="370" spans="2:4" x14ac:dyDescent="0.3">
      <c r="B370" s="42" t="s">
        <v>1233</v>
      </c>
      <c r="C370" s="43" t="s">
        <v>1234</v>
      </c>
      <c r="D370" s="43" t="s">
        <v>1235</v>
      </c>
    </row>
    <row r="371" spans="2:4" x14ac:dyDescent="0.3">
      <c r="B371" s="42" t="s">
        <v>1236</v>
      </c>
      <c r="C371" s="43" t="s">
        <v>1237</v>
      </c>
      <c r="D371" s="43" t="s">
        <v>1238</v>
      </c>
    </row>
    <row r="372" spans="2:4" x14ac:dyDescent="0.3">
      <c r="B372" s="42" t="s">
        <v>1239</v>
      </c>
      <c r="C372" s="43" t="s">
        <v>1240</v>
      </c>
      <c r="D372" s="43" t="s">
        <v>1241</v>
      </c>
    </row>
    <row r="373" spans="2:4" x14ac:dyDescent="0.3">
      <c r="B373" s="42" t="s">
        <v>1242</v>
      </c>
      <c r="C373" s="43" t="s">
        <v>1243</v>
      </c>
      <c r="D373" s="43" t="s">
        <v>1244</v>
      </c>
    </row>
    <row r="374" spans="2:4" x14ac:dyDescent="0.3">
      <c r="B374" s="42" t="s">
        <v>1245</v>
      </c>
      <c r="C374" s="43" t="s">
        <v>1246</v>
      </c>
      <c r="D374" s="43" t="s">
        <v>1247</v>
      </c>
    </row>
    <row r="375" spans="2:4" x14ac:dyDescent="0.3">
      <c r="B375" s="42" t="s">
        <v>1248</v>
      </c>
      <c r="C375" s="43" t="s">
        <v>1249</v>
      </c>
      <c r="D375" s="43" t="s">
        <v>1250</v>
      </c>
    </row>
    <row r="376" spans="2:4" x14ac:dyDescent="0.3">
      <c r="B376" s="42" t="s">
        <v>1251</v>
      </c>
      <c r="C376" s="43" t="s">
        <v>1252</v>
      </c>
      <c r="D376" s="43" t="s">
        <v>1253</v>
      </c>
    </row>
    <row r="377" spans="2:4" x14ac:dyDescent="0.3">
      <c r="B377" s="42" t="s">
        <v>1254</v>
      </c>
      <c r="C377" s="43" t="s">
        <v>1255</v>
      </c>
      <c r="D377" s="43" t="s">
        <v>1256</v>
      </c>
    </row>
    <row r="378" spans="2:4" x14ac:dyDescent="0.3">
      <c r="B378" s="42" t="s">
        <v>1257</v>
      </c>
      <c r="C378" s="43" t="s">
        <v>1258</v>
      </c>
      <c r="D378" s="43" t="s">
        <v>1259</v>
      </c>
    </row>
    <row r="379" spans="2:4" x14ac:dyDescent="0.3">
      <c r="B379" s="42" t="s">
        <v>1260</v>
      </c>
      <c r="C379" s="43" t="s">
        <v>1261</v>
      </c>
      <c r="D379" s="43" t="s">
        <v>1262</v>
      </c>
    </row>
    <row r="380" spans="2:4" x14ac:dyDescent="0.3">
      <c r="B380" s="42" t="s">
        <v>1263</v>
      </c>
      <c r="C380" s="43" t="s">
        <v>1264</v>
      </c>
      <c r="D380" s="43" t="s">
        <v>1265</v>
      </c>
    </row>
    <row r="381" spans="2:4" x14ac:dyDescent="0.3">
      <c r="B381" s="42" t="s">
        <v>1266</v>
      </c>
      <c r="C381" s="43" t="s">
        <v>1267</v>
      </c>
      <c r="D381" s="43" t="s">
        <v>1268</v>
      </c>
    </row>
    <row r="382" spans="2:4" x14ac:dyDescent="0.3">
      <c r="B382" s="42" t="s">
        <v>1269</v>
      </c>
      <c r="C382" s="43" t="s">
        <v>1270</v>
      </c>
      <c r="D382" s="43" t="s">
        <v>1271</v>
      </c>
    </row>
    <row r="383" spans="2:4" x14ac:dyDescent="0.3">
      <c r="B383" s="42" t="s">
        <v>1272</v>
      </c>
      <c r="C383" s="43" t="s">
        <v>1273</v>
      </c>
      <c r="D383" s="43" t="s">
        <v>1274</v>
      </c>
    </row>
    <row r="384" spans="2:4" x14ac:dyDescent="0.3">
      <c r="B384" s="42" t="s">
        <v>1275</v>
      </c>
      <c r="C384" s="43" t="s">
        <v>1276</v>
      </c>
      <c r="D384" s="43" t="s">
        <v>1277</v>
      </c>
    </row>
    <row r="385" spans="2:4" x14ac:dyDescent="0.3">
      <c r="B385" s="42" t="s">
        <v>1278</v>
      </c>
      <c r="C385" s="43" t="s">
        <v>1279</v>
      </c>
      <c r="D385" s="43" t="s">
        <v>1280</v>
      </c>
    </row>
    <row r="386" spans="2:4" x14ac:dyDescent="0.3">
      <c r="B386" s="42" t="s">
        <v>1281</v>
      </c>
      <c r="C386" s="43" t="s">
        <v>1282</v>
      </c>
      <c r="D386" s="43" t="s">
        <v>1283</v>
      </c>
    </row>
    <row r="387" spans="2:4" x14ac:dyDescent="0.3">
      <c r="B387" s="42" t="s">
        <v>1284</v>
      </c>
      <c r="C387" s="43" t="s">
        <v>1285</v>
      </c>
      <c r="D387" s="43" t="s">
        <v>1286</v>
      </c>
    </row>
    <row r="388" spans="2:4" x14ac:dyDescent="0.3">
      <c r="B388" s="42" t="s">
        <v>1287</v>
      </c>
      <c r="C388" s="43" t="s">
        <v>1288</v>
      </c>
      <c r="D388" s="43" t="s">
        <v>1289</v>
      </c>
    </row>
    <row r="389" spans="2:4" x14ac:dyDescent="0.3">
      <c r="B389" s="42" t="s">
        <v>1290</v>
      </c>
      <c r="C389" s="43" t="s">
        <v>1291</v>
      </c>
      <c r="D389" s="43" t="s">
        <v>1292</v>
      </c>
    </row>
    <row r="390" spans="2:4" x14ac:dyDescent="0.3">
      <c r="B390" s="42" t="s">
        <v>1293</v>
      </c>
      <c r="C390" s="43" t="s">
        <v>1294</v>
      </c>
      <c r="D390" s="43" t="s">
        <v>1295</v>
      </c>
    </row>
    <row r="391" spans="2:4" x14ac:dyDescent="0.3">
      <c r="B391" s="42" t="s">
        <v>1296</v>
      </c>
      <c r="C391" s="43" t="s">
        <v>1297</v>
      </c>
      <c r="D391" s="43" t="s">
        <v>1298</v>
      </c>
    </row>
    <row r="392" spans="2:4" x14ac:dyDescent="0.3">
      <c r="B392" s="42" t="s">
        <v>1299</v>
      </c>
      <c r="C392" s="43" t="s">
        <v>1300</v>
      </c>
      <c r="D392" s="43" t="s">
        <v>1301</v>
      </c>
    </row>
    <row r="393" spans="2:4" x14ac:dyDescent="0.3">
      <c r="B393" s="42" t="s">
        <v>1302</v>
      </c>
      <c r="C393" s="43" t="s">
        <v>1303</v>
      </c>
      <c r="D393" s="43" t="s">
        <v>1304</v>
      </c>
    </row>
    <row r="394" spans="2:4" x14ac:dyDescent="0.3">
      <c r="B394" s="42" t="s">
        <v>1305</v>
      </c>
      <c r="C394" s="43" t="s">
        <v>1306</v>
      </c>
      <c r="D394" s="43" t="s">
        <v>1307</v>
      </c>
    </row>
    <row r="395" spans="2:4" x14ac:dyDescent="0.3">
      <c r="B395" s="42" t="s">
        <v>1308</v>
      </c>
      <c r="C395" s="43" t="s">
        <v>1309</v>
      </c>
      <c r="D395" s="43" t="s">
        <v>1310</v>
      </c>
    </row>
    <row r="396" spans="2:4" x14ac:dyDescent="0.3">
      <c r="B396" s="42" t="s">
        <v>1311</v>
      </c>
      <c r="C396" s="43" t="s">
        <v>1312</v>
      </c>
      <c r="D396" s="43" t="s">
        <v>1313</v>
      </c>
    </row>
    <row r="397" spans="2:4" x14ac:dyDescent="0.3">
      <c r="B397" s="42" t="s">
        <v>1314</v>
      </c>
      <c r="C397" s="43" t="s">
        <v>1315</v>
      </c>
      <c r="D397" s="43" t="s">
        <v>1315</v>
      </c>
    </row>
    <row r="398" spans="2:4" x14ac:dyDescent="0.3">
      <c r="B398" s="42" t="s">
        <v>1316</v>
      </c>
      <c r="C398" s="43" t="s">
        <v>1317</v>
      </c>
      <c r="D398" s="43" t="s">
        <v>1318</v>
      </c>
    </row>
    <row r="399" spans="2:4" x14ac:dyDescent="0.3">
      <c r="B399" s="42" t="s">
        <v>1319</v>
      </c>
      <c r="C399" s="43" t="s">
        <v>1320</v>
      </c>
      <c r="D399" s="43" t="s">
        <v>1321</v>
      </c>
    </row>
    <row r="400" spans="2:4" x14ac:dyDescent="0.3">
      <c r="B400" s="42" t="s">
        <v>1322</v>
      </c>
      <c r="C400" s="43" t="s">
        <v>1323</v>
      </c>
      <c r="D400" s="43" t="s">
        <v>1324</v>
      </c>
    </row>
    <row r="401" spans="2:4" x14ac:dyDescent="0.3">
      <c r="B401" s="42" t="s">
        <v>1325</v>
      </c>
      <c r="C401" s="43" t="s">
        <v>1326</v>
      </c>
      <c r="D401" s="43" t="s">
        <v>1327</v>
      </c>
    </row>
    <row r="402" spans="2:4" x14ac:dyDescent="0.3">
      <c r="B402" s="42" t="s">
        <v>1328</v>
      </c>
      <c r="C402" s="43" t="s">
        <v>1329</v>
      </c>
      <c r="D402" s="43" t="s">
        <v>1330</v>
      </c>
    </row>
    <row r="403" spans="2:4" x14ac:dyDescent="0.3">
      <c r="B403" s="42" t="s">
        <v>1331</v>
      </c>
      <c r="C403" s="43" t="s">
        <v>1332</v>
      </c>
      <c r="D403" s="43" t="s">
        <v>1333</v>
      </c>
    </row>
    <row r="404" spans="2:4" x14ac:dyDescent="0.3">
      <c r="B404" s="42" t="s">
        <v>1334</v>
      </c>
      <c r="C404" s="43" t="s">
        <v>1335</v>
      </c>
      <c r="D404" s="43" t="s">
        <v>1336</v>
      </c>
    </row>
    <row r="405" spans="2:4" x14ac:dyDescent="0.3">
      <c r="B405" s="42" t="s">
        <v>1337</v>
      </c>
      <c r="C405" s="43" t="s">
        <v>1338</v>
      </c>
      <c r="D405" s="43" t="s">
        <v>1339</v>
      </c>
    </row>
    <row r="406" spans="2:4" x14ac:dyDescent="0.3">
      <c r="B406" s="42" t="s">
        <v>1340</v>
      </c>
      <c r="C406" s="43" t="s">
        <v>1341</v>
      </c>
      <c r="D406" s="43" t="s">
        <v>1342</v>
      </c>
    </row>
    <row r="407" spans="2:4" x14ac:dyDescent="0.3">
      <c r="B407" s="42" t="s">
        <v>1343</v>
      </c>
      <c r="C407" s="43" t="s">
        <v>1344</v>
      </c>
      <c r="D407" s="43" t="s">
        <v>1345</v>
      </c>
    </row>
    <row r="408" spans="2:4" x14ac:dyDescent="0.3">
      <c r="B408" s="42" t="s">
        <v>1346</v>
      </c>
      <c r="C408" s="43" t="s">
        <v>1347</v>
      </c>
      <c r="D408" s="43" t="s">
        <v>1348</v>
      </c>
    </row>
  </sheetData>
  <sheetProtection algorithmName="SHA-512" hashValue="H2oLQskz241AGKqkSVJJI/X9hxnVtEeEXpgXdcbz7S3X/oLS7o0xVqziLizfwU2im8JZniMO4azZ+xNbUNvl0w==" saltValue="5VjxSiD1wzPQtqDWGIEbpg==" spinCount="100000" sheet="1" objects="1" scenarios="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Munka22"/>
  <dimension ref="B1:C22"/>
  <sheetViews>
    <sheetView showGridLines="0" workbookViewId="0"/>
  </sheetViews>
  <sheetFormatPr defaultRowHeight="14.4" x14ac:dyDescent="0.3"/>
  <cols>
    <col min="2" max="2" width="40" customWidth="1"/>
    <col min="3" max="3" width="100" customWidth="1"/>
  </cols>
  <sheetData>
    <row r="1" spans="2:3" ht="73.95" customHeight="1" x14ac:dyDescent="0.3"/>
    <row r="3" spans="2:3" ht="18" x14ac:dyDescent="0.35">
      <c r="B3" s="11" t="str">
        <f>INDEX('91_NYELV'!$C$7:$D$408,178,NYELV_IDX)</f>
        <v>Súgó és standardhivatkozások</v>
      </c>
    </row>
    <row r="6" spans="2:3" ht="42" customHeight="1" x14ac:dyDescent="0.3">
      <c r="B6" s="10" t="str">
        <f>INDEX('91_NYELV'!$C$7:$D$408,385,NYELV_IDX)</f>
        <v>Alkalmazott standardok</v>
      </c>
      <c r="C6" s="44" t="str">
        <f>INDEX('91_NYELV'!$C$7:$D$408,386,NYELV_IDX)</f>
        <v>IFRS 10 (konszolidált pénzügyi kimutatások), IFRS 3 (üzleti kombinációk), IAS 28 (társult vállalkozások), IAS 21 (átváltás), IAS 12 (nyereségadók), IAS 36 (értékvesztés), IAS 7 (cash flow), IFRS 18 (bemutatás, 2027-től; korábbi alkalmazás megengedett).</v>
      </c>
    </row>
    <row r="8" spans="2:3" ht="42" customHeight="1" x14ac:dyDescent="0.3">
      <c r="B8" s="10" t="str">
        <f>INDEX('91_NYELV'!$C$7:$D$408,387,NYELV_IDX)</f>
        <v>Nincs kötött formátum</v>
      </c>
      <c r="C8" s="44" t="str">
        <f>INDEX('91_NYELV'!$C$7:$D$408,388,NYELV_IDX)</f>
        <v>Az IFRS – a magyar Szt. mellékleteivel ellentétben – nem ír elő kötött beszámolóformátumot. Az IAS 1.54 minimum sortételeket, az IFRS 18 pedig kötelező kategóriákat és részösszegeket határoz meg. A 19. lap sorsémája ezért szabadon szerkeszthető.</v>
      </c>
    </row>
    <row r="10" spans="2:3" ht="42" customHeight="1" x14ac:dyDescent="0.3">
      <c r="B10" s="10" t="str">
        <f>INDEX('91_NYELV'!$C$7:$D$408,389,NYELV_IDX)</f>
        <v>IFRS 18 kötelező részösszegek</v>
      </c>
      <c r="C10" s="44" t="str">
        <f>INDEX('91_NYELV'!$C$7:$D$408,390,NYELV_IDX)</f>
        <v>Üzemi eredmény (operating profit) és Finanszírozás és nyereségadók előtti eredmény (profit before financing and income taxes). Az eredménykimutatás öt kategóriája: működési, befektetési, finanszírozási, nyereségadók, megszűnt tevékenységek.</v>
      </c>
    </row>
    <row r="12" spans="2:3" ht="42" customHeight="1" x14ac:dyDescent="0.3">
      <c r="B12" s="10" t="str">
        <f>INDEX('91_NYELV'!$C$7:$D$408,391,NYELV_IDX)</f>
        <v>Goodwill</v>
      </c>
      <c r="C12" s="44" t="str">
        <f>INDEX('91_NYELV'!$C$7:$D$408,392,NYELV_IDX)</f>
        <v>Az IFRS 3 szerinti goodwill NEM amortizálható. Évente (és értékvesztésre utaló jel esetén) az IAS 36 szerinti értékvesztés-tesztet kell elvégezni. A goodwillre elszámolt értékvesztés nem fordítható vissza. Ez lényeges eltérés a magyar szabályoktól.</v>
      </c>
    </row>
    <row r="14" spans="2:3" ht="42" customHeight="1" x14ac:dyDescent="0.3">
      <c r="B14" s="10" t="str">
        <f>INDEX('91_NYELV'!$C$7:$D$408,393,NYELV_IDX)</f>
        <v>Nem ellenőrző részesedés (NCI)</v>
      </c>
      <c r="C14" s="44" t="str">
        <f>INDEX('91_NYELV'!$C$7:$D$408,394,NYELV_IDX)</f>
        <v>Az IFRS 3.19 választást enged: az NCI valós értéken (full goodwill) vagy az azonosítható nettó eszközök arányos részén értékelhető. A választás ügyletenként külön gyakorolható.</v>
      </c>
    </row>
    <row r="16" spans="2:3" ht="42" customHeight="1" x14ac:dyDescent="0.3">
      <c r="B16" s="10" t="str">
        <f>INDEX('91_NYELV'!$C$7:$D$408,395,NYELV_IDX)</f>
        <v>Devizaátszámítás</v>
      </c>
      <c r="C16" s="44" t="str">
        <f>INDEX('91_NYELV'!$C$7:$D$408,396,NYELV_IDX)</f>
        <v>Az IAS 21 szerint a külföldi érdekeltség eszközeit és kötelezettségeit záró árfolyamon, a bevételeket és ráfordításokat átlagárfolyamon kell átszámítani; a keletkező átszámítási különbözet az egyéb átfogó jövedelemben (OCI) jelenik meg.</v>
      </c>
    </row>
    <row r="18" spans="2:3" ht="42" customHeight="1" x14ac:dyDescent="0.3">
      <c r="B18" s="10" t="str">
        <f>INDEX('91_NYELV'!$C$7:$D$408,397,NYELV_IDX)</f>
        <v>NCI-vel folytatott tranzakciók</v>
      </c>
      <c r="C18" s="44" t="str">
        <f>INDEX('91_NYELV'!$C$7:$D$408,398,NYELV_IDX)</f>
        <v>Az IFRS 10 szerint az ellenőrzés megtartása melletti részesedésváltozás tőketranzakció: goodwill nem keletkezik és eredmény nem számolható el.</v>
      </c>
    </row>
    <row r="20" spans="2:3" ht="42" customHeight="1" x14ac:dyDescent="0.3">
      <c r="B20" s="10" t="str">
        <f>INDEX('91_NYELV'!$C$7:$D$408,399,NYELV_IDX)</f>
        <v>Cash flow (IAS 7 az IFRS 18 után)</v>
      </c>
      <c r="C20" s="44" t="str">
        <f>INDEX('91_NYELV'!$C$7:$D$408,400,NYELV_IDX)</f>
        <v>Az indirekt módszer kiindulópontja az üzemi eredmény. Az osztalékfizetés mindig finanszírozási. Ha a társaságnak nincs ilyen fő üzleti tevékenysége: a kapott kamat és osztalék befektetési, a fizetett kamat finanszírozási cash flow.</v>
      </c>
    </row>
    <row r="22" spans="2:3" ht="42" customHeight="1" x14ac:dyDescent="0.3">
      <c r="B22" s="10" t="str">
        <f>INDEX('91_NYELV'!$C$7:$D$408,401,NYELV_IDX)</f>
        <v>Korlátok</v>
      </c>
      <c r="C22" s="44" t="str">
        <f>INDEX('91_NYELV'!$C$7:$D$408,402,NYELV_IDX)</f>
        <v>A program a bevitt adatokból számol; az IFRS-re való átdolgozás (IFRS 1, IFRS 9, IFRS 15, IFRS 16 stb.) az Ön feladata. A szakmai megítélést igénylő döntéseket a program nem helyettesíti – ezeket könyvvizsgálóval egyeztesse.</v>
      </c>
    </row>
  </sheetData>
  <sheetProtection algorithmName="SHA-512" hashValue="VO1dDA9pMTAoYJ2btvSnFdJeDZCG63TI3QZAum2bzNF4hd9Qz+EMRVdKkSeBSe6hI7Xlzzl1cSKBg41PJVZ9vA==" saltValue="nEKtHhgW7BCTCXL8gKSfyQ==" spinCount="100000" sheet="1" objects="1" scenarios="1"/>
  <pageMargins left="0.75" right="0.75" top="1" bottom="1" header="0.5" footer="0.5"/>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Munkalapok</vt:lpstr>
      </vt:variant>
      <vt:variant>
        <vt:i4>22</vt:i4>
      </vt:variant>
      <vt:variant>
        <vt:lpstr>Névvel ellátott tartományok</vt:lpstr>
      </vt:variant>
      <vt:variant>
        <vt:i4>3</vt:i4>
      </vt:variant>
    </vt:vector>
  </HeadingPairs>
  <TitlesOfParts>
    <vt:vector size="25" baseType="lpstr">
      <vt:lpstr>00_KEZDOLAP</vt:lpstr>
      <vt:lpstr>01_BEALLITASOK</vt:lpstr>
      <vt:lpstr>02_CSOPORT</vt:lpstr>
      <vt:lpstr>03_ADATBEVITEL</vt:lpstr>
      <vt:lpstr>03B_NYITO</vt:lpstr>
      <vt:lpstr>04_AKVIZICIO</vt:lpstr>
      <vt:lpstr>05_EGYENLEGEK</vt:lpstr>
      <vt:lpstr>06_KOZBENSO</vt:lpstr>
      <vt:lpstr>07_BEVRAF</vt:lpstr>
      <vt:lpstr>08_EQUITY</vt:lpstr>
      <vt:lpstr>09_HALASZTOTT</vt:lpstr>
      <vt:lpstr>10_GOODWILL</vt:lpstr>
      <vt:lpstr>11_NAPLO</vt:lpstr>
      <vt:lpstr>12_MUNKATABLA</vt:lpstr>
      <vt:lpstr>13_SFP</vt:lpstr>
      <vt:lpstr>14_PL</vt:lpstr>
      <vt:lpstr>15_SOCIE</vt:lpstr>
      <vt:lpstr>16_CASHFLOW</vt:lpstr>
      <vt:lpstr>20_ELLENORZES</vt:lpstr>
      <vt:lpstr>90_SEMA</vt:lpstr>
      <vt:lpstr>91_NYELV</vt:lpstr>
      <vt:lpstr>99_SUGO</vt:lpstr>
      <vt:lpstr>ADO_KULCS</vt:lpstr>
      <vt:lpstr>KOLT_VALT</vt:lpstr>
      <vt:lpstr>NYELV_IDX</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David S</cp:lastModifiedBy>
  <dcterms:created xsi:type="dcterms:W3CDTF">2026-08-20T16:37:35Z</dcterms:created>
  <dcterms:modified xsi:type="dcterms:W3CDTF">2026-08-23T22:33:19Z</dcterms:modified>
</cp:coreProperties>
</file>